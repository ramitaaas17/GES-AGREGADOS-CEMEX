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-EDRAMOSV\Downloads\"/>
    </mc:Choice>
  </mc:AlternateContent>
  <xr:revisionPtr revIDLastSave="0" documentId="13_ncr:1_{5441CC25-2E8C-437C-BDF8-6D4F2C884074}" xr6:coauthVersionLast="47" xr6:coauthVersionMax="47" xr10:uidLastSave="{00000000-0000-0000-0000-000000000000}"/>
  <bookViews>
    <workbookView xWindow="-120" yWindow="-120" windowWidth="29040" windowHeight="15720" firstSheet="2" activeTab="2" xr2:uid="{0B1D674E-92FD-4DB0-A5CC-C6F3B27922D9}"/>
  </bookViews>
  <sheets>
    <sheet name="Materiales,canteras" sheetId="2" r:id="rId1"/>
    <sheet name="NO MODIFICAR" sheetId="19" r:id="rId2"/>
    <sheet name="Formato Alta Precio" sheetId="12" r:id="rId3"/>
    <sheet name="Formato cambio" sheetId="18" r:id="rId4"/>
    <sheet name="P.Referencia" sheetId="6" r:id="rId5"/>
    <sheet name="Hoja1" sheetId="11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2" hidden="1">'Formato Alta Precio'!$A$1:$AM$1483</definedName>
    <definedName name="_xlnm._FilterDatabase" localSheetId="0" hidden="1">'Materiales,canteras'!$A$1:$J$133</definedName>
    <definedName name="_xlnm._FilterDatabase" localSheetId="1" hidden="1">'NO MODIFICAR'!$A$1:$K$16</definedName>
    <definedName name="_xlnm._FilterDatabase" localSheetId="4" hidden="1">P.Referencia!$A$2:$AA$86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81" i="12" l="1"/>
  <c r="D1481" i="12"/>
  <c r="C1481" i="12" s="1"/>
  <c r="T1478" i="12"/>
  <c r="D1478" i="12"/>
  <c r="C1478" i="12" s="1"/>
  <c r="D1479" i="12"/>
  <c r="C1479" i="12" s="1"/>
  <c r="D1480" i="12"/>
  <c r="C1480" i="12" s="1"/>
  <c r="D1482" i="12"/>
  <c r="F1482" i="12" s="1"/>
  <c r="T1472" i="12"/>
  <c r="Y1469" i="12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G43" i="6" s="1"/>
  <c r="H44" i="6"/>
  <c r="G44" i="6" s="1"/>
  <c r="H45" i="6"/>
  <c r="G45" i="6" s="1"/>
  <c r="H47" i="6"/>
  <c r="H48" i="6"/>
  <c r="H49" i="6"/>
  <c r="H50" i="6"/>
  <c r="G50" i="6" s="1"/>
  <c r="H51" i="6"/>
  <c r="G51" i="6" s="1"/>
  <c r="H52" i="6"/>
  <c r="H53" i="6"/>
  <c r="H54" i="6"/>
  <c r="H55" i="6"/>
  <c r="H56" i="6"/>
  <c r="H57" i="6"/>
  <c r="G57" i="6" s="1"/>
  <c r="H58" i="6"/>
  <c r="H59" i="6"/>
  <c r="G59" i="6" s="1"/>
  <c r="H60" i="6"/>
  <c r="H61" i="6"/>
  <c r="H62" i="6"/>
  <c r="H63" i="6"/>
  <c r="G63" i="6" s="1"/>
  <c r="H64" i="6"/>
  <c r="G64" i="6" s="1"/>
  <c r="H65" i="6"/>
  <c r="G65" i="6" s="1"/>
  <c r="H66" i="6"/>
  <c r="H67" i="6"/>
  <c r="H68" i="6"/>
  <c r="G68" i="6" s="1"/>
  <c r="H69" i="6"/>
  <c r="G69" i="6" s="1"/>
  <c r="H70" i="6"/>
  <c r="H71" i="6"/>
  <c r="H72" i="6"/>
  <c r="H73" i="6"/>
  <c r="H74" i="6"/>
  <c r="G74" i="6" s="1"/>
  <c r="H75" i="6"/>
  <c r="H76" i="6"/>
  <c r="H77" i="6"/>
  <c r="H78" i="6"/>
  <c r="H79" i="6"/>
  <c r="G79" i="6" s="1"/>
  <c r="H80" i="6"/>
  <c r="H81" i="6"/>
  <c r="H82" i="6"/>
  <c r="H83" i="6"/>
  <c r="H84" i="6"/>
  <c r="G84" i="6" s="1"/>
  <c r="H85" i="6"/>
  <c r="G85" i="6" s="1"/>
  <c r="H86" i="6"/>
  <c r="G86" i="6" s="1"/>
  <c r="H3" i="6"/>
  <c r="F1481" i="12" l="1"/>
  <c r="F1480" i="12"/>
  <c r="C1482" i="12"/>
  <c r="F1479" i="12"/>
  <c r="F1478" i="12"/>
  <c r="J1466" i="12"/>
  <c r="K1466" i="12"/>
  <c r="N1466" i="12"/>
  <c r="T1466" i="12"/>
  <c r="U1466" i="12"/>
  <c r="X1466" i="12" s="1"/>
  <c r="Y1466" i="12"/>
  <c r="Z1466" i="12"/>
  <c r="AA1466" i="12" s="1"/>
  <c r="C1469" i="12"/>
  <c r="F1470" i="12"/>
  <c r="C1471" i="12"/>
  <c r="F1472" i="12"/>
  <c r="C1473" i="12"/>
  <c r="C1474" i="12"/>
  <c r="F1475" i="12"/>
  <c r="D1476" i="12"/>
  <c r="F1476" i="12" s="1"/>
  <c r="D1477" i="12"/>
  <c r="C1477" i="12" s="1"/>
  <c r="D1466" i="12"/>
  <c r="C1466" i="12" s="1"/>
  <c r="D1467" i="12"/>
  <c r="F1467" i="12" s="1"/>
  <c r="D1468" i="12"/>
  <c r="C1468" i="12" s="1"/>
  <c r="D1458" i="12"/>
  <c r="F1458" i="12" s="1"/>
  <c r="D1459" i="12"/>
  <c r="F1459" i="12" s="1"/>
  <c r="D1460" i="12"/>
  <c r="F1460" i="12" s="1"/>
  <c r="D1461" i="12"/>
  <c r="C1461" i="12" s="1"/>
  <c r="D1462" i="12"/>
  <c r="F1462" i="12" s="1"/>
  <c r="D1463" i="12"/>
  <c r="C1463" i="12" s="1"/>
  <c r="D1464" i="12"/>
  <c r="F1464" i="12" s="1"/>
  <c r="D1465" i="12"/>
  <c r="F1465" i="12" s="1"/>
  <c r="C1472" i="12" l="1"/>
  <c r="C1467" i="12"/>
  <c r="C1476" i="12"/>
  <c r="C1475" i="12"/>
  <c r="F1474" i="12"/>
  <c r="C1465" i="12"/>
  <c r="F1473" i="12"/>
  <c r="C1464" i="12"/>
  <c r="F1471" i="12"/>
  <c r="F1468" i="12"/>
  <c r="F1469" i="12"/>
  <c r="F1477" i="12"/>
  <c r="F1466" i="12"/>
  <c r="C1470" i="12"/>
  <c r="C1462" i="12"/>
  <c r="F1461" i="12"/>
  <c r="F1463" i="12"/>
  <c r="J1451" i="12" l="1"/>
  <c r="K1451" i="12"/>
  <c r="N1451" i="12"/>
  <c r="T1451" i="12"/>
  <c r="U1451" i="12"/>
  <c r="X1451" i="12" s="1"/>
  <c r="J1452" i="12"/>
  <c r="K1452" i="12"/>
  <c r="N1452" i="12"/>
  <c r="T1452" i="12"/>
  <c r="U1452" i="12"/>
  <c r="X1452" i="12" s="1"/>
  <c r="K1453" i="12"/>
  <c r="N1453" i="12"/>
  <c r="T1453" i="12"/>
  <c r="U1453" i="12"/>
  <c r="X1453" i="12" s="1"/>
  <c r="J1454" i="12"/>
  <c r="K1454" i="12"/>
  <c r="N1454" i="12"/>
  <c r="T1454" i="12"/>
  <c r="U1454" i="12"/>
  <c r="X1454" i="12" s="1"/>
  <c r="J1455" i="12"/>
  <c r="K1455" i="12"/>
  <c r="N1455" i="12"/>
  <c r="T1455" i="12"/>
  <c r="U1455" i="12"/>
  <c r="X1455" i="12" s="1"/>
  <c r="J1456" i="12"/>
  <c r="K1456" i="12"/>
  <c r="N1456" i="12"/>
  <c r="T1456" i="12"/>
  <c r="U1456" i="12"/>
  <c r="X1456" i="12" s="1"/>
  <c r="J1457" i="12"/>
  <c r="K1457" i="12"/>
  <c r="N1457" i="12"/>
  <c r="T1457" i="12"/>
  <c r="U1457" i="12"/>
  <c r="X1457" i="12" s="1"/>
  <c r="J1458" i="12"/>
  <c r="K1458" i="12"/>
  <c r="N1458" i="12"/>
  <c r="T1458" i="12"/>
  <c r="U1458" i="12"/>
  <c r="X1458" i="12" s="1"/>
  <c r="J1459" i="12"/>
  <c r="K1459" i="12"/>
  <c r="N1459" i="12"/>
  <c r="T1459" i="12"/>
  <c r="U1459" i="12"/>
  <c r="X1459" i="12" s="1"/>
  <c r="J1460" i="12"/>
  <c r="K1460" i="12"/>
  <c r="N1460" i="12"/>
  <c r="T1460" i="12"/>
  <c r="U1460" i="12"/>
  <c r="X1460" i="12" s="1"/>
  <c r="J1461" i="12"/>
  <c r="K1461" i="12"/>
  <c r="N1461" i="12"/>
  <c r="T1461" i="12"/>
  <c r="U1461" i="12"/>
  <c r="X1461" i="12" s="1"/>
  <c r="J1462" i="12"/>
  <c r="K1462" i="12"/>
  <c r="N1462" i="12"/>
  <c r="T1462" i="12"/>
  <c r="U1462" i="12"/>
  <c r="X1462" i="12" s="1"/>
  <c r="J1463" i="12"/>
  <c r="K1463" i="12"/>
  <c r="N1463" i="12"/>
  <c r="T1463" i="12"/>
  <c r="U1463" i="12"/>
  <c r="X1463" i="12" s="1"/>
  <c r="Y1463" i="12"/>
  <c r="Z1463" i="12"/>
  <c r="J1464" i="12"/>
  <c r="K1464" i="12"/>
  <c r="N1464" i="12"/>
  <c r="T1464" i="12"/>
  <c r="U1464" i="12"/>
  <c r="X1464" i="12" s="1"/>
  <c r="J1465" i="12"/>
  <c r="K1465" i="12"/>
  <c r="N1465" i="12"/>
  <c r="T1465" i="12"/>
  <c r="U1465" i="12"/>
  <c r="X1465" i="12" s="1"/>
  <c r="J1467" i="12"/>
  <c r="K1467" i="12"/>
  <c r="N1467" i="12"/>
  <c r="T1467" i="12"/>
  <c r="U1467" i="12"/>
  <c r="X1467" i="12" s="1"/>
  <c r="J1468" i="12"/>
  <c r="K1468" i="12"/>
  <c r="N1468" i="12"/>
  <c r="T1468" i="12"/>
  <c r="U1468" i="12"/>
  <c r="X1468" i="12" s="1"/>
  <c r="J1469" i="12"/>
  <c r="K1469" i="12"/>
  <c r="N1469" i="12"/>
  <c r="T1469" i="12"/>
  <c r="U1469" i="12"/>
  <c r="X1469" i="12" s="1"/>
  <c r="J1470" i="12"/>
  <c r="K1470" i="12"/>
  <c r="N1470" i="12"/>
  <c r="T1470" i="12"/>
  <c r="U1470" i="12"/>
  <c r="X1470" i="12" s="1"/>
  <c r="J1471" i="12"/>
  <c r="K1471" i="12"/>
  <c r="N1471" i="12"/>
  <c r="T1471" i="12"/>
  <c r="U1471" i="12"/>
  <c r="X1471" i="12"/>
  <c r="J1472" i="12"/>
  <c r="K1472" i="12"/>
  <c r="N1472" i="12"/>
  <c r="U1472" i="12"/>
  <c r="X1472" i="12" s="1"/>
  <c r="J1473" i="12"/>
  <c r="K1473" i="12"/>
  <c r="N1473" i="12"/>
  <c r="T1473" i="12"/>
  <c r="U1473" i="12"/>
  <c r="X1473" i="12" s="1"/>
  <c r="J1474" i="12"/>
  <c r="K1474" i="12"/>
  <c r="N1474" i="12"/>
  <c r="T1474" i="12"/>
  <c r="U1474" i="12"/>
  <c r="X1474" i="12" s="1"/>
  <c r="J1475" i="12"/>
  <c r="K1475" i="12"/>
  <c r="N1475" i="12"/>
  <c r="T1475" i="12"/>
  <c r="U1475" i="12"/>
  <c r="X1475" i="12" s="1"/>
  <c r="J1476" i="12"/>
  <c r="K1476" i="12"/>
  <c r="N1476" i="12"/>
  <c r="T1476" i="12"/>
  <c r="U1476" i="12"/>
  <c r="X1476" i="12" s="1"/>
  <c r="J1477" i="12"/>
  <c r="K1477" i="12"/>
  <c r="N1477" i="12"/>
  <c r="T1477" i="12"/>
  <c r="U1477" i="12"/>
  <c r="X1477" i="12" s="1"/>
  <c r="J1478" i="12"/>
  <c r="K1478" i="12"/>
  <c r="N1478" i="12"/>
  <c r="U1478" i="12"/>
  <c r="X1478" i="12" s="1"/>
  <c r="J1479" i="12"/>
  <c r="K1479" i="12"/>
  <c r="N1479" i="12"/>
  <c r="T1479" i="12"/>
  <c r="U1479" i="12"/>
  <c r="X1479" i="12" s="1"/>
  <c r="Y1479" i="12"/>
  <c r="Z1479" i="12"/>
  <c r="J1480" i="12"/>
  <c r="K1480" i="12"/>
  <c r="N1480" i="12"/>
  <c r="T1480" i="12"/>
  <c r="U1480" i="12"/>
  <c r="X1480" i="12" s="1"/>
  <c r="Y1480" i="12"/>
  <c r="Z1480" i="12"/>
  <c r="J1481" i="12"/>
  <c r="K1481" i="12"/>
  <c r="N1481" i="12"/>
  <c r="U1481" i="12"/>
  <c r="X1481" i="12" s="1"/>
  <c r="Y1481" i="12"/>
  <c r="Z1481" i="12"/>
  <c r="D1450" i="12"/>
  <c r="C1450" i="12" s="1"/>
  <c r="D1451" i="12"/>
  <c r="C1451" i="12" s="1"/>
  <c r="D1452" i="12"/>
  <c r="C1452" i="12" s="1"/>
  <c r="D1453" i="12"/>
  <c r="C1453" i="12" s="1"/>
  <c r="D1454" i="12"/>
  <c r="F1454" i="12" s="1"/>
  <c r="D1455" i="12"/>
  <c r="C1455" i="12" s="1"/>
  <c r="D1456" i="12"/>
  <c r="C1456" i="12" s="1"/>
  <c r="D1457" i="12"/>
  <c r="C1457" i="12" s="1"/>
  <c r="C1458" i="12"/>
  <c r="C1459" i="12"/>
  <c r="C1460" i="12"/>
  <c r="J1446" i="12"/>
  <c r="J1447" i="12"/>
  <c r="AB1466" i="12" l="1"/>
  <c r="AC1466" i="12" s="1"/>
  <c r="F1451" i="12"/>
  <c r="AA1480" i="12"/>
  <c r="AB1480" i="12" s="1"/>
  <c r="AC1480" i="12" s="1"/>
  <c r="AA1463" i="12"/>
  <c r="AB1463" i="12" s="1"/>
  <c r="AC1463" i="12" s="1"/>
  <c r="F1452" i="12"/>
  <c r="F1457" i="12"/>
  <c r="F1456" i="12"/>
  <c r="F1455" i="12"/>
  <c r="C1454" i="12"/>
  <c r="F1453" i="12"/>
  <c r="AA1479" i="12"/>
  <c r="AB1479" i="12" s="1"/>
  <c r="AC1479" i="12" s="1"/>
  <c r="AA1481" i="12"/>
  <c r="AB1481" i="12" s="1"/>
  <c r="AC1481" i="12" s="1"/>
  <c r="T1430" i="12"/>
  <c r="T1427" i="12"/>
  <c r="T1428" i="12"/>
  <c r="T1429" i="12"/>
  <c r="D1425" i="12" l="1"/>
  <c r="C1425" i="12" s="1"/>
  <c r="D1426" i="12"/>
  <c r="C1426" i="12" s="1"/>
  <c r="D1427" i="12"/>
  <c r="C1427" i="12" s="1"/>
  <c r="D1428" i="12"/>
  <c r="C1428" i="12" s="1"/>
  <c r="J1425" i="12"/>
  <c r="K1425" i="12"/>
  <c r="L1425" i="12" s="1"/>
  <c r="N1425" i="12"/>
  <c r="J1426" i="12"/>
  <c r="K1426" i="12"/>
  <c r="V1426" i="12" s="1"/>
  <c r="N1426" i="12"/>
  <c r="J1427" i="12"/>
  <c r="K1427" i="12"/>
  <c r="N1427" i="12"/>
  <c r="U1427" i="12"/>
  <c r="X1427" i="12" s="1"/>
  <c r="J1428" i="12"/>
  <c r="K1428" i="12"/>
  <c r="N1428" i="12"/>
  <c r="U1428" i="12"/>
  <c r="X1428" i="12" s="1"/>
  <c r="J1429" i="12"/>
  <c r="K1429" i="12"/>
  <c r="N1429" i="12"/>
  <c r="U1429" i="12"/>
  <c r="X1429" i="12" s="1"/>
  <c r="K1430" i="12"/>
  <c r="N1430" i="12"/>
  <c r="U1430" i="12"/>
  <c r="Y1385" i="12"/>
  <c r="Y1386" i="12"/>
  <c r="U1387" i="12"/>
  <c r="T1387" i="12"/>
  <c r="N1387" i="12"/>
  <c r="K1387" i="12"/>
  <c r="J1387" i="12"/>
  <c r="D1387" i="12"/>
  <c r="F1387" i="12" s="1"/>
  <c r="L1426" i="12" l="1"/>
  <c r="T1426" i="12" s="1"/>
  <c r="F1426" i="12"/>
  <c r="F1425" i="12"/>
  <c r="V1425" i="12"/>
  <c r="T1425" i="12"/>
  <c r="U1425" i="12"/>
  <c r="X1430" i="12"/>
  <c r="F1428" i="12"/>
  <c r="F1427" i="12"/>
  <c r="C1387" i="12"/>
  <c r="X1387" i="12"/>
  <c r="U1426" i="12" l="1"/>
  <c r="X1426" i="12" s="1"/>
  <c r="X1425" i="12"/>
  <c r="K1354" i="12"/>
  <c r="L1354" i="12" s="1"/>
  <c r="K1355" i="12"/>
  <c r="L1355" i="12" s="1"/>
  <c r="K1356" i="12"/>
  <c r="L1356" i="12" s="1"/>
  <c r="Y1356" i="12" s="1"/>
  <c r="K1357" i="12"/>
  <c r="J1354" i="12"/>
  <c r="J1355" i="12"/>
  <c r="J1356" i="12"/>
  <c r="Z1350" i="12" l="1"/>
  <c r="Y1350" i="12"/>
  <c r="K1349" i="12"/>
  <c r="K1350" i="12"/>
  <c r="K1351" i="12"/>
  <c r="K1352" i="12"/>
  <c r="K1353" i="12"/>
  <c r="J1350" i="12"/>
  <c r="J1351" i="12"/>
  <c r="J1352" i="12"/>
  <c r="J1353" i="12"/>
  <c r="T1323" i="12" l="1"/>
  <c r="U1295" i="12" l="1"/>
  <c r="U1296" i="12"/>
  <c r="X1296" i="12" s="1"/>
  <c r="U1297" i="12"/>
  <c r="X1297" i="12" s="1"/>
  <c r="U1298" i="12"/>
  <c r="X1298" i="12" s="1"/>
  <c r="T1294" i="12"/>
  <c r="T1295" i="12"/>
  <c r="T1296" i="12"/>
  <c r="T1297" i="12"/>
  <c r="T1298" i="12"/>
  <c r="Y1296" i="12"/>
  <c r="Z1296" i="12"/>
  <c r="AA1296" i="12" l="1"/>
  <c r="AB1296" i="12" s="1"/>
  <c r="AC1296" i="12" s="1"/>
  <c r="U1294" i="12"/>
  <c r="J1278" i="12" l="1"/>
  <c r="S1272" i="12" l="1"/>
  <c r="B86" i="6" l="1"/>
  <c r="B85" i="6"/>
  <c r="B84" i="6" l="1"/>
  <c r="U1161" i="12"/>
  <c r="T1161" i="12"/>
  <c r="N1161" i="12"/>
  <c r="K1161" i="12"/>
  <c r="J1161" i="12"/>
  <c r="D1161" i="12"/>
  <c r="F1161" i="12" s="1"/>
  <c r="D2" i="12"/>
  <c r="C2" i="12" s="1"/>
  <c r="J2" i="12"/>
  <c r="K2" i="12"/>
  <c r="N2" i="12"/>
  <c r="T2" i="12"/>
  <c r="U2" i="12"/>
  <c r="X2" i="12" s="1"/>
  <c r="D3" i="12"/>
  <c r="C3" i="12" s="1"/>
  <c r="J3" i="12"/>
  <c r="K3" i="12"/>
  <c r="N3" i="12"/>
  <c r="T3" i="12"/>
  <c r="U3" i="12"/>
  <c r="X3" i="12" s="1"/>
  <c r="D4" i="12"/>
  <c r="C4" i="12" s="1"/>
  <c r="J4" i="12"/>
  <c r="K4" i="12"/>
  <c r="N4" i="12"/>
  <c r="T4" i="12"/>
  <c r="U4" i="12"/>
  <c r="X4" i="12" s="1"/>
  <c r="D5" i="12"/>
  <c r="C5" i="12" s="1"/>
  <c r="J5" i="12"/>
  <c r="K5" i="12"/>
  <c r="N5" i="12"/>
  <c r="T5" i="12"/>
  <c r="U5" i="12"/>
  <c r="X5" i="12" s="1"/>
  <c r="D6" i="12"/>
  <c r="C6" i="12" s="1"/>
  <c r="J6" i="12"/>
  <c r="K6" i="12"/>
  <c r="N6" i="12"/>
  <c r="T6" i="12"/>
  <c r="U6" i="12"/>
  <c r="X6" i="12" s="1"/>
  <c r="D7" i="12"/>
  <c r="C7" i="12" s="1"/>
  <c r="J7" i="12"/>
  <c r="K7" i="12"/>
  <c r="N7" i="12"/>
  <c r="T7" i="12"/>
  <c r="U7" i="12"/>
  <c r="D8" i="12"/>
  <c r="C8" i="12" s="1"/>
  <c r="J8" i="12"/>
  <c r="K8" i="12"/>
  <c r="N8" i="12"/>
  <c r="T8" i="12"/>
  <c r="U8" i="12"/>
  <c r="X8" i="12" s="1"/>
  <c r="D9" i="12"/>
  <c r="C9" i="12" s="1"/>
  <c r="J9" i="12"/>
  <c r="K9" i="12"/>
  <c r="N9" i="12"/>
  <c r="T9" i="12"/>
  <c r="U9" i="12"/>
  <c r="X9" i="12" s="1"/>
  <c r="D10" i="12"/>
  <c r="J10" i="12"/>
  <c r="K10" i="12"/>
  <c r="N10" i="12"/>
  <c r="T10" i="12"/>
  <c r="U10" i="12"/>
  <c r="X10" i="12" s="1"/>
  <c r="D11" i="12"/>
  <c r="F11" i="12" s="1"/>
  <c r="J11" i="12"/>
  <c r="K11" i="12"/>
  <c r="N11" i="12"/>
  <c r="T11" i="12"/>
  <c r="U11" i="12"/>
  <c r="D12" i="12"/>
  <c r="F12" i="12" s="1"/>
  <c r="J12" i="12"/>
  <c r="K12" i="12"/>
  <c r="N12" i="12"/>
  <c r="T12" i="12"/>
  <c r="U12" i="12"/>
  <c r="D13" i="12"/>
  <c r="F13" i="12" s="1"/>
  <c r="J13" i="12"/>
  <c r="K13" i="12"/>
  <c r="N13" i="12"/>
  <c r="T13" i="12"/>
  <c r="U13" i="12"/>
  <c r="X13" i="12" s="1"/>
  <c r="D14" i="12"/>
  <c r="F14" i="12" s="1"/>
  <c r="J14" i="12"/>
  <c r="K14" i="12"/>
  <c r="N14" i="12"/>
  <c r="T14" i="12"/>
  <c r="U14" i="12"/>
  <c r="D15" i="12"/>
  <c r="F15" i="12" s="1"/>
  <c r="J15" i="12"/>
  <c r="K15" i="12"/>
  <c r="N15" i="12"/>
  <c r="T15" i="12"/>
  <c r="U15" i="12"/>
  <c r="X15" i="12" s="1"/>
  <c r="D16" i="12"/>
  <c r="F16" i="12" s="1"/>
  <c r="J16" i="12"/>
  <c r="K16" i="12"/>
  <c r="N16" i="12"/>
  <c r="T16" i="12"/>
  <c r="U16" i="12"/>
  <c r="X16" i="12" s="1"/>
  <c r="D17" i="12"/>
  <c r="J17" i="12"/>
  <c r="K17" i="12"/>
  <c r="N17" i="12"/>
  <c r="T17" i="12"/>
  <c r="U17" i="12"/>
  <c r="X17" i="12" s="1"/>
  <c r="D18" i="12"/>
  <c r="F18" i="12" s="1"/>
  <c r="J18" i="12"/>
  <c r="K18" i="12"/>
  <c r="N18" i="12"/>
  <c r="T18" i="12"/>
  <c r="U18" i="12"/>
  <c r="D19" i="12"/>
  <c r="F19" i="12" s="1"/>
  <c r="J19" i="12"/>
  <c r="K19" i="12"/>
  <c r="N19" i="12"/>
  <c r="T19" i="12"/>
  <c r="U19" i="12"/>
  <c r="D20" i="12"/>
  <c r="F20" i="12" s="1"/>
  <c r="J20" i="12"/>
  <c r="K20" i="12"/>
  <c r="N20" i="12"/>
  <c r="T20" i="12"/>
  <c r="U20" i="12"/>
  <c r="X20" i="12" s="1"/>
  <c r="D21" i="12"/>
  <c r="F21" i="12" s="1"/>
  <c r="J21" i="12"/>
  <c r="K21" i="12"/>
  <c r="N21" i="12"/>
  <c r="T21" i="12"/>
  <c r="U21" i="12"/>
  <c r="D22" i="12"/>
  <c r="F22" i="12" s="1"/>
  <c r="J22" i="12"/>
  <c r="K22" i="12"/>
  <c r="N22" i="12"/>
  <c r="T22" i="12"/>
  <c r="U22" i="12"/>
  <c r="X22" i="12" s="1"/>
  <c r="D23" i="12"/>
  <c r="J23" i="12"/>
  <c r="K23" i="12"/>
  <c r="N23" i="12"/>
  <c r="T23" i="12"/>
  <c r="U23" i="12"/>
  <c r="X23" i="12" s="1"/>
  <c r="D24" i="12"/>
  <c r="J24" i="12"/>
  <c r="K24" i="12"/>
  <c r="N24" i="12"/>
  <c r="T24" i="12"/>
  <c r="U24" i="12"/>
  <c r="D25" i="12"/>
  <c r="F25" i="12" s="1"/>
  <c r="J25" i="12"/>
  <c r="K25" i="12"/>
  <c r="N25" i="12"/>
  <c r="T25" i="12"/>
  <c r="U25" i="12"/>
  <c r="D26" i="12"/>
  <c r="F26" i="12" s="1"/>
  <c r="J26" i="12"/>
  <c r="K26" i="12"/>
  <c r="N26" i="12"/>
  <c r="T26" i="12"/>
  <c r="U26" i="12"/>
  <c r="D27" i="12"/>
  <c r="F27" i="12" s="1"/>
  <c r="J27" i="12"/>
  <c r="K27" i="12"/>
  <c r="N27" i="12"/>
  <c r="T27" i="12"/>
  <c r="X27" i="12"/>
  <c r="D28" i="12"/>
  <c r="C28" i="12" s="1"/>
  <c r="J28" i="12"/>
  <c r="K28" i="12"/>
  <c r="N28" i="12"/>
  <c r="T28" i="12"/>
  <c r="X28" i="12"/>
  <c r="D29" i="12"/>
  <c r="C29" i="12" s="1"/>
  <c r="J29" i="12"/>
  <c r="K29" i="12"/>
  <c r="N29" i="12"/>
  <c r="T29" i="12"/>
  <c r="X29" i="12"/>
  <c r="D30" i="12"/>
  <c r="J30" i="12"/>
  <c r="K30" i="12"/>
  <c r="N30" i="12"/>
  <c r="T30" i="12"/>
  <c r="U30" i="12"/>
  <c r="D31" i="12"/>
  <c r="F31" i="12" s="1"/>
  <c r="J31" i="12"/>
  <c r="K31" i="12"/>
  <c r="N31" i="12"/>
  <c r="T31" i="12"/>
  <c r="U31" i="12"/>
  <c r="X31" i="12" s="1"/>
  <c r="D32" i="12"/>
  <c r="F32" i="12" s="1"/>
  <c r="J32" i="12"/>
  <c r="K32" i="12"/>
  <c r="N32" i="12"/>
  <c r="T32" i="12"/>
  <c r="U32" i="12"/>
  <c r="X32" i="12" s="1"/>
  <c r="D33" i="12"/>
  <c r="F33" i="12" s="1"/>
  <c r="J33" i="12"/>
  <c r="K33" i="12"/>
  <c r="N33" i="12"/>
  <c r="T33" i="12"/>
  <c r="U33" i="12"/>
  <c r="X33" i="12" s="1"/>
  <c r="D34" i="12"/>
  <c r="J34" i="12"/>
  <c r="K34" i="12"/>
  <c r="N34" i="12"/>
  <c r="T34" i="12"/>
  <c r="X34" i="12"/>
  <c r="D35" i="12"/>
  <c r="J35" i="12"/>
  <c r="K35" i="12"/>
  <c r="N35" i="12"/>
  <c r="T35" i="12"/>
  <c r="X35" i="12"/>
  <c r="D36" i="12"/>
  <c r="F36" i="12" s="1"/>
  <c r="J36" i="12"/>
  <c r="K36" i="12"/>
  <c r="N36" i="12"/>
  <c r="T36" i="12"/>
  <c r="X36" i="12"/>
  <c r="D37" i="12"/>
  <c r="F37" i="12" s="1"/>
  <c r="J37" i="12"/>
  <c r="K37" i="12"/>
  <c r="N37" i="12"/>
  <c r="T37" i="12"/>
  <c r="X37" i="12"/>
  <c r="D38" i="12"/>
  <c r="C38" i="12" s="1"/>
  <c r="J38" i="12"/>
  <c r="K38" i="12"/>
  <c r="N38" i="12"/>
  <c r="T38" i="12"/>
  <c r="X38" i="12"/>
  <c r="D39" i="12"/>
  <c r="C39" i="12" s="1"/>
  <c r="J39" i="12"/>
  <c r="K39" i="12"/>
  <c r="N39" i="12"/>
  <c r="T39" i="12"/>
  <c r="X39" i="12"/>
  <c r="D40" i="12"/>
  <c r="C40" i="12" s="1"/>
  <c r="J40" i="12"/>
  <c r="K40" i="12"/>
  <c r="N40" i="12"/>
  <c r="T40" i="12"/>
  <c r="X40" i="12"/>
  <c r="D41" i="12"/>
  <c r="J41" i="12"/>
  <c r="K41" i="12"/>
  <c r="N41" i="12"/>
  <c r="T41" i="12"/>
  <c r="U41" i="12"/>
  <c r="X41" i="12" s="1"/>
  <c r="D42" i="12"/>
  <c r="J42" i="12"/>
  <c r="K42" i="12"/>
  <c r="N42" i="12"/>
  <c r="T42" i="12"/>
  <c r="U42" i="12"/>
  <c r="D43" i="12"/>
  <c r="J43" i="12"/>
  <c r="K43" i="12"/>
  <c r="N43" i="12"/>
  <c r="T43" i="12"/>
  <c r="U43" i="12"/>
  <c r="X43" i="12" s="1"/>
  <c r="D44" i="12"/>
  <c r="J44" i="12"/>
  <c r="K44" i="12"/>
  <c r="N44" i="12"/>
  <c r="T44" i="12"/>
  <c r="U44" i="12"/>
  <c r="X44" i="12" s="1"/>
  <c r="D45" i="12"/>
  <c r="J45" i="12"/>
  <c r="K45" i="12"/>
  <c r="N45" i="12"/>
  <c r="T45" i="12"/>
  <c r="U45" i="12"/>
  <c r="X45" i="12" s="1"/>
  <c r="D46" i="12"/>
  <c r="J46" i="12"/>
  <c r="K46" i="12"/>
  <c r="N46" i="12"/>
  <c r="T46" i="12"/>
  <c r="U46" i="12"/>
  <c r="D47" i="12"/>
  <c r="J47" i="12"/>
  <c r="K47" i="12"/>
  <c r="N47" i="12"/>
  <c r="T47" i="12"/>
  <c r="U47" i="12"/>
  <c r="D48" i="12"/>
  <c r="J48" i="12"/>
  <c r="K48" i="12"/>
  <c r="N48" i="12"/>
  <c r="T48" i="12"/>
  <c r="U48" i="12"/>
  <c r="X48" i="12" s="1"/>
  <c r="D49" i="12"/>
  <c r="J49" i="12"/>
  <c r="K49" i="12"/>
  <c r="N49" i="12"/>
  <c r="T49" i="12"/>
  <c r="U49" i="12"/>
  <c r="X49" i="12" s="1"/>
  <c r="D50" i="12"/>
  <c r="J50" i="12"/>
  <c r="K50" i="12"/>
  <c r="N50" i="12"/>
  <c r="R50" i="12"/>
  <c r="T50" i="12" s="1"/>
  <c r="U50" i="12"/>
  <c r="D51" i="12"/>
  <c r="C51" i="12" s="1"/>
  <c r="J51" i="12"/>
  <c r="K51" i="12"/>
  <c r="N51" i="12"/>
  <c r="R51" i="12"/>
  <c r="T51" i="12" s="1"/>
  <c r="U51" i="12"/>
  <c r="X51" i="12" s="1"/>
  <c r="D52" i="12"/>
  <c r="C52" i="12" s="1"/>
  <c r="J52" i="12"/>
  <c r="K52" i="12"/>
  <c r="N52" i="12"/>
  <c r="R52" i="12"/>
  <c r="T52" i="12" s="1"/>
  <c r="U52" i="12"/>
  <c r="X52" i="12" s="1"/>
  <c r="D53" i="12"/>
  <c r="C53" i="12" s="1"/>
  <c r="J53" i="12"/>
  <c r="K53" i="12"/>
  <c r="N53" i="12"/>
  <c r="T53" i="12"/>
  <c r="U53" i="12"/>
  <c r="X53" i="12" s="1"/>
  <c r="D54" i="12"/>
  <c r="C54" i="12" s="1"/>
  <c r="J54" i="12"/>
  <c r="K54" i="12"/>
  <c r="N54" i="12"/>
  <c r="T54" i="12"/>
  <c r="U54" i="12"/>
  <c r="D55" i="12"/>
  <c r="F55" i="12" s="1"/>
  <c r="J55" i="12"/>
  <c r="K55" i="12"/>
  <c r="N55" i="12"/>
  <c r="T55" i="12"/>
  <c r="U55" i="12"/>
  <c r="X55" i="12" s="1"/>
  <c r="D56" i="12"/>
  <c r="C56" i="12" s="1"/>
  <c r="J56" i="12"/>
  <c r="K56" i="12"/>
  <c r="N56" i="12"/>
  <c r="T56" i="12"/>
  <c r="U56" i="12"/>
  <c r="X56" i="12" s="1"/>
  <c r="Y56" i="12"/>
  <c r="Z56" i="12"/>
  <c r="D57" i="12"/>
  <c r="C57" i="12" s="1"/>
  <c r="J57" i="12"/>
  <c r="K57" i="12"/>
  <c r="N57" i="12"/>
  <c r="T57" i="12"/>
  <c r="U57" i="12"/>
  <c r="X57" i="12" s="1"/>
  <c r="Y57" i="12"/>
  <c r="Z57" i="12"/>
  <c r="D58" i="12"/>
  <c r="J58" i="12"/>
  <c r="K58" i="12"/>
  <c r="N58" i="12"/>
  <c r="T58" i="12"/>
  <c r="U58" i="12"/>
  <c r="Y58" i="12"/>
  <c r="Z58" i="12"/>
  <c r="D59" i="12"/>
  <c r="C59" i="12" s="1"/>
  <c r="J59" i="12"/>
  <c r="K59" i="12"/>
  <c r="N59" i="12"/>
  <c r="T59" i="12"/>
  <c r="U59" i="12"/>
  <c r="D60" i="12"/>
  <c r="C60" i="12" s="1"/>
  <c r="K60" i="12"/>
  <c r="N60" i="12"/>
  <c r="T60" i="12"/>
  <c r="U60" i="12"/>
  <c r="D61" i="12"/>
  <c r="F61" i="12" s="1"/>
  <c r="J61" i="12"/>
  <c r="K61" i="12"/>
  <c r="N61" i="12"/>
  <c r="T61" i="12"/>
  <c r="U61" i="12"/>
  <c r="X61" i="12" s="1"/>
  <c r="D62" i="12"/>
  <c r="C62" i="12" s="1"/>
  <c r="J62" i="12"/>
  <c r="K62" i="12"/>
  <c r="N62" i="12"/>
  <c r="T62" i="12"/>
  <c r="U62" i="12"/>
  <c r="X62" i="12" s="1"/>
  <c r="D63" i="12"/>
  <c r="J63" i="12"/>
  <c r="K63" i="12"/>
  <c r="N63" i="12"/>
  <c r="T63" i="12"/>
  <c r="U63" i="12"/>
  <c r="X63" i="12" s="1"/>
  <c r="D64" i="12"/>
  <c r="C64" i="12" s="1"/>
  <c r="J64" i="12"/>
  <c r="K64" i="12"/>
  <c r="N64" i="12"/>
  <c r="T64" i="12"/>
  <c r="U64" i="12"/>
  <c r="D65" i="12"/>
  <c r="F65" i="12" s="1"/>
  <c r="J65" i="12"/>
  <c r="K65" i="12"/>
  <c r="N65" i="12"/>
  <c r="T65" i="12"/>
  <c r="U65" i="12"/>
  <c r="X65" i="12" s="1"/>
  <c r="D66" i="12"/>
  <c r="C66" i="12" s="1"/>
  <c r="J66" i="12"/>
  <c r="K66" i="12"/>
  <c r="N66" i="12"/>
  <c r="T66" i="12"/>
  <c r="U66" i="12"/>
  <c r="X66" i="12" s="1"/>
  <c r="D67" i="12"/>
  <c r="C67" i="12" s="1"/>
  <c r="J67" i="12"/>
  <c r="K67" i="12"/>
  <c r="N67" i="12"/>
  <c r="T67" i="12"/>
  <c r="U67" i="12"/>
  <c r="D68" i="12"/>
  <c r="C68" i="12" s="1"/>
  <c r="J68" i="12"/>
  <c r="K68" i="12"/>
  <c r="N68" i="12"/>
  <c r="T68" i="12"/>
  <c r="U68" i="12"/>
  <c r="X68" i="12" s="1"/>
  <c r="D69" i="12"/>
  <c r="F69" i="12" s="1"/>
  <c r="J69" i="12"/>
  <c r="K69" i="12"/>
  <c r="N69" i="12"/>
  <c r="T69" i="12"/>
  <c r="U69" i="12"/>
  <c r="X69" i="12" s="1"/>
  <c r="D70" i="12"/>
  <c r="F70" i="12" s="1"/>
  <c r="J70" i="12"/>
  <c r="K70" i="12"/>
  <c r="N70" i="12"/>
  <c r="T70" i="12"/>
  <c r="U70" i="12"/>
  <c r="X70" i="12" s="1"/>
  <c r="D71" i="12"/>
  <c r="F71" i="12" s="1"/>
  <c r="J71" i="12"/>
  <c r="K71" i="12"/>
  <c r="N71" i="12"/>
  <c r="T71" i="12"/>
  <c r="U71" i="12"/>
  <c r="D72" i="12"/>
  <c r="C72" i="12" s="1"/>
  <c r="J72" i="12"/>
  <c r="K72" i="12"/>
  <c r="N72" i="12"/>
  <c r="T72" i="12"/>
  <c r="U72" i="12"/>
  <c r="X72" i="12" s="1"/>
  <c r="D73" i="12"/>
  <c r="C73" i="12" s="1"/>
  <c r="J73" i="12"/>
  <c r="K73" i="12"/>
  <c r="N73" i="12"/>
  <c r="T73" i="12"/>
  <c r="U73" i="12"/>
  <c r="X73" i="12" s="1"/>
  <c r="D74" i="12"/>
  <c r="F74" i="12" s="1"/>
  <c r="J74" i="12"/>
  <c r="K74" i="12"/>
  <c r="N74" i="12"/>
  <c r="T74" i="12"/>
  <c r="U74" i="12"/>
  <c r="D75" i="12"/>
  <c r="J75" i="12"/>
  <c r="K75" i="12"/>
  <c r="N75" i="12"/>
  <c r="T75" i="12"/>
  <c r="U75" i="12"/>
  <c r="X75" i="12" s="1"/>
  <c r="D76" i="12"/>
  <c r="C76" i="12" s="1"/>
  <c r="J76" i="12"/>
  <c r="K76" i="12"/>
  <c r="N76" i="12"/>
  <c r="T76" i="12"/>
  <c r="U76" i="12"/>
  <c r="D77" i="12"/>
  <c r="C77" i="12" s="1"/>
  <c r="J77" i="12"/>
  <c r="K77" i="12"/>
  <c r="N77" i="12"/>
  <c r="T77" i="12"/>
  <c r="U77" i="12"/>
  <c r="X77" i="12" s="1"/>
  <c r="D78" i="12"/>
  <c r="F78" i="12" s="1"/>
  <c r="J78" i="12"/>
  <c r="K78" i="12"/>
  <c r="N78" i="12"/>
  <c r="T78" i="12"/>
  <c r="U78" i="12"/>
  <c r="D79" i="12"/>
  <c r="C79" i="12" s="1"/>
  <c r="J79" i="12"/>
  <c r="K79" i="12"/>
  <c r="N79" i="12"/>
  <c r="T79" i="12"/>
  <c r="U79" i="12"/>
  <c r="X79" i="12" s="1"/>
  <c r="D80" i="12"/>
  <c r="C80" i="12" s="1"/>
  <c r="J80" i="12"/>
  <c r="K80" i="12"/>
  <c r="N80" i="12"/>
  <c r="T80" i="12"/>
  <c r="U80" i="12"/>
  <c r="X80" i="12" s="1"/>
  <c r="D81" i="12"/>
  <c r="C81" i="12" s="1"/>
  <c r="J81" i="12"/>
  <c r="K81" i="12"/>
  <c r="N81" i="12"/>
  <c r="T81" i="12"/>
  <c r="U81" i="12"/>
  <c r="D82" i="12"/>
  <c r="F82" i="12" s="1"/>
  <c r="J82" i="12"/>
  <c r="K82" i="12"/>
  <c r="N82" i="12"/>
  <c r="T82" i="12"/>
  <c r="U82" i="12"/>
  <c r="X82" i="12" s="1"/>
  <c r="D83" i="12"/>
  <c r="F83" i="12" s="1"/>
  <c r="J83" i="12"/>
  <c r="K83" i="12"/>
  <c r="N83" i="12"/>
  <c r="T83" i="12"/>
  <c r="U83" i="12"/>
  <c r="X83" i="12" s="1"/>
  <c r="D84" i="12"/>
  <c r="J84" i="12"/>
  <c r="K84" i="12"/>
  <c r="N84" i="12"/>
  <c r="T84" i="12"/>
  <c r="U84" i="12"/>
  <c r="X84" i="12" s="1"/>
  <c r="D85" i="12"/>
  <c r="F85" i="12" s="1"/>
  <c r="J85" i="12"/>
  <c r="K85" i="12"/>
  <c r="N85" i="12"/>
  <c r="T85" i="12"/>
  <c r="U85" i="12"/>
  <c r="D86" i="12"/>
  <c r="F86" i="12" s="1"/>
  <c r="J86" i="12"/>
  <c r="K86" i="12"/>
  <c r="N86" i="12"/>
  <c r="T86" i="12"/>
  <c r="U86" i="12"/>
  <c r="X86" i="12" s="1"/>
  <c r="D87" i="12"/>
  <c r="C87" i="12" s="1"/>
  <c r="J87" i="12"/>
  <c r="K87" i="12"/>
  <c r="N87" i="12"/>
  <c r="T87" i="12"/>
  <c r="U87" i="12"/>
  <c r="X87" i="12" s="1"/>
  <c r="D88" i="12"/>
  <c r="C88" i="12" s="1"/>
  <c r="J88" i="12"/>
  <c r="K88" i="12"/>
  <c r="N88" i="12"/>
  <c r="T88" i="12"/>
  <c r="U88" i="12"/>
  <c r="D89" i="12"/>
  <c r="F89" i="12" s="1"/>
  <c r="J89" i="12"/>
  <c r="K89" i="12"/>
  <c r="N89" i="12"/>
  <c r="T89" i="12"/>
  <c r="U89" i="12"/>
  <c r="X89" i="12" s="1"/>
  <c r="D90" i="12"/>
  <c r="J90" i="12"/>
  <c r="K90" i="12"/>
  <c r="N90" i="12"/>
  <c r="T90" i="12"/>
  <c r="U90" i="12"/>
  <c r="X90" i="12" s="1"/>
  <c r="D91" i="12"/>
  <c r="C91" i="12" s="1"/>
  <c r="J91" i="12"/>
  <c r="K91" i="12"/>
  <c r="N91" i="12"/>
  <c r="T91" i="12"/>
  <c r="U91" i="12"/>
  <c r="X91" i="12" s="1"/>
  <c r="D92" i="12"/>
  <c r="F92" i="12" s="1"/>
  <c r="J92" i="12"/>
  <c r="K92" i="12"/>
  <c r="N92" i="12"/>
  <c r="T92" i="12"/>
  <c r="U92" i="12"/>
  <c r="D93" i="12"/>
  <c r="J93" i="12"/>
  <c r="K93" i="12"/>
  <c r="N93" i="12"/>
  <c r="T93" i="12"/>
  <c r="U93" i="12"/>
  <c r="X93" i="12" s="1"/>
  <c r="D94" i="12"/>
  <c r="C94" i="12" s="1"/>
  <c r="J94" i="12"/>
  <c r="K94" i="12"/>
  <c r="N94" i="12"/>
  <c r="T94" i="12"/>
  <c r="U94" i="12"/>
  <c r="D95" i="12"/>
  <c r="C95" i="12" s="1"/>
  <c r="J95" i="12"/>
  <c r="K95" i="12"/>
  <c r="N95" i="12"/>
  <c r="T95" i="12"/>
  <c r="U95" i="12"/>
  <c r="D96" i="12"/>
  <c r="F96" i="12" s="1"/>
  <c r="J96" i="12"/>
  <c r="K96" i="12"/>
  <c r="N96" i="12"/>
  <c r="T96" i="12"/>
  <c r="U96" i="12"/>
  <c r="X96" i="12" s="1"/>
  <c r="D97" i="12"/>
  <c r="C97" i="12" s="1"/>
  <c r="J97" i="12"/>
  <c r="K97" i="12"/>
  <c r="N97" i="12"/>
  <c r="T97" i="12"/>
  <c r="U97" i="12"/>
  <c r="X97" i="12" s="1"/>
  <c r="D98" i="12"/>
  <c r="C98" i="12" s="1"/>
  <c r="K98" i="12"/>
  <c r="N98" i="12"/>
  <c r="T98" i="12"/>
  <c r="U98" i="12"/>
  <c r="D99" i="12"/>
  <c r="J99" i="12"/>
  <c r="K99" i="12"/>
  <c r="N99" i="12"/>
  <c r="T99" i="12"/>
  <c r="U99" i="12"/>
  <c r="X99" i="12" s="1"/>
  <c r="D100" i="12"/>
  <c r="C100" i="12" s="1"/>
  <c r="J100" i="12"/>
  <c r="K100" i="12"/>
  <c r="N100" i="12"/>
  <c r="T100" i="12"/>
  <c r="U100" i="12"/>
  <c r="D101" i="12"/>
  <c r="C101" i="12" s="1"/>
  <c r="J101" i="12"/>
  <c r="K101" i="12"/>
  <c r="N101" i="12"/>
  <c r="T101" i="12"/>
  <c r="U101" i="12"/>
  <c r="X101" i="12" s="1"/>
  <c r="D102" i="12"/>
  <c r="C102" i="12" s="1"/>
  <c r="J102" i="12"/>
  <c r="K102" i="12"/>
  <c r="N102" i="12"/>
  <c r="T102" i="12"/>
  <c r="U102" i="12"/>
  <c r="D103" i="12"/>
  <c r="C103" i="12" s="1"/>
  <c r="J103" i="12"/>
  <c r="K103" i="12"/>
  <c r="N103" i="12"/>
  <c r="T103" i="12"/>
  <c r="U103" i="12"/>
  <c r="X103" i="12" s="1"/>
  <c r="D104" i="12"/>
  <c r="J104" i="12"/>
  <c r="K104" i="12"/>
  <c r="N104" i="12"/>
  <c r="T104" i="12"/>
  <c r="U104" i="12"/>
  <c r="X104" i="12" s="1"/>
  <c r="D105" i="12"/>
  <c r="C105" i="12" s="1"/>
  <c r="J105" i="12"/>
  <c r="K105" i="12"/>
  <c r="N105" i="12"/>
  <c r="T105" i="12"/>
  <c r="U105" i="12"/>
  <c r="D106" i="12"/>
  <c r="J106" i="12"/>
  <c r="K106" i="12"/>
  <c r="N106" i="12"/>
  <c r="T106" i="12"/>
  <c r="U106" i="12"/>
  <c r="D107" i="12"/>
  <c r="C107" i="12" s="1"/>
  <c r="J107" i="12"/>
  <c r="K107" i="12"/>
  <c r="N107" i="12"/>
  <c r="T107" i="12"/>
  <c r="U107" i="12"/>
  <c r="X107" i="12" s="1"/>
  <c r="D108" i="12"/>
  <c r="C108" i="12" s="1"/>
  <c r="J108" i="12"/>
  <c r="K108" i="12"/>
  <c r="N108" i="12"/>
  <c r="T108" i="12"/>
  <c r="U108" i="12"/>
  <c r="X108" i="12" s="1"/>
  <c r="D109" i="12"/>
  <c r="J109" i="12"/>
  <c r="K109" i="12"/>
  <c r="N109" i="12"/>
  <c r="T109" i="12"/>
  <c r="U109" i="12"/>
  <c r="X109" i="12" s="1"/>
  <c r="Y109" i="12"/>
  <c r="Z109" i="12"/>
  <c r="D110" i="12"/>
  <c r="J110" i="12"/>
  <c r="K110" i="12"/>
  <c r="N110" i="12"/>
  <c r="T110" i="12"/>
  <c r="U110" i="12"/>
  <c r="X110" i="12" s="1"/>
  <c r="Y110" i="12"/>
  <c r="Z110" i="12"/>
  <c r="D111" i="12"/>
  <c r="J111" i="12"/>
  <c r="K111" i="12"/>
  <c r="N111" i="12"/>
  <c r="T111" i="12"/>
  <c r="U111" i="12"/>
  <c r="X111" i="12" s="1"/>
  <c r="D112" i="12"/>
  <c r="C112" i="12" s="1"/>
  <c r="J112" i="12"/>
  <c r="K112" i="12"/>
  <c r="N112" i="12"/>
  <c r="T112" i="12"/>
  <c r="U112" i="12"/>
  <c r="X112" i="12" s="1"/>
  <c r="D113" i="12"/>
  <c r="J113" i="12"/>
  <c r="K113" i="12"/>
  <c r="N113" i="12"/>
  <c r="T113" i="12"/>
  <c r="U113" i="12"/>
  <c r="D114" i="12"/>
  <c r="J114" i="12"/>
  <c r="K114" i="12"/>
  <c r="N114" i="12"/>
  <c r="T114" i="12"/>
  <c r="U114" i="12"/>
  <c r="X114" i="12" s="1"/>
  <c r="Y114" i="12"/>
  <c r="Z114" i="12"/>
  <c r="D115" i="12"/>
  <c r="J115" i="12"/>
  <c r="K115" i="12"/>
  <c r="N115" i="12"/>
  <c r="T115" i="12"/>
  <c r="U115" i="12"/>
  <c r="D116" i="12"/>
  <c r="J116" i="12"/>
  <c r="K116" i="12"/>
  <c r="N116" i="12"/>
  <c r="T116" i="12"/>
  <c r="U116" i="12"/>
  <c r="X116" i="12" s="1"/>
  <c r="D117" i="12"/>
  <c r="C117" i="12" s="1"/>
  <c r="J117" i="12"/>
  <c r="K117" i="12"/>
  <c r="N117" i="12"/>
  <c r="T117" i="12"/>
  <c r="U117" i="12"/>
  <c r="X117" i="12" s="1"/>
  <c r="D118" i="12"/>
  <c r="J118" i="12"/>
  <c r="K118" i="12"/>
  <c r="N118" i="12"/>
  <c r="T118" i="12"/>
  <c r="U118" i="12"/>
  <c r="X118" i="12" s="1"/>
  <c r="D119" i="12"/>
  <c r="C119" i="12" s="1"/>
  <c r="J119" i="12"/>
  <c r="K119" i="12"/>
  <c r="N119" i="12"/>
  <c r="T119" i="12"/>
  <c r="U119" i="12"/>
  <c r="X119" i="12" s="1"/>
  <c r="D120" i="12"/>
  <c r="J120" i="12"/>
  <c r="K120" i="12"/>
  <c r="N120" i="12"/>
  <c r="T120" i="12"/>
  <c r="U120" i="12"/>
  <c r="D121" i="12"/>
  <c r="C121" i="12" s="1"/>
  <c r="J121" i="12"/>
  <c r="K121" i="12"/>
  <c r="N121" i="12"/>
  <c r="T121" i="12"/>
  <c r="U121" i="12"/>
  <c r="X121" i="12" s="1"/>
  <c r="D122" i="12"/>
  <c r="C122" i="12" s="1"/>
  <c r="J122" i="12"/>
  <c r="K122" i="12"/>
  <c r="N122" i="12"/>
  <c r="T122" i="12"/>
  <c r="U122" i="12"/>
  <c r="D123" i="12"/>
  <c r="J123" i="12"/>
  <c r="K123" i="12"/>
  <c r="N123" i="12"/>
  <c r="T123" i="12"/>
  <c r="U123" i="12"/>
  <c r="D124" i="12"/>
  <c r="J124" i="12"/>
  <c r="K124" i="12"/>
  <c r="N124" i="12"/>
  <c r="T124" i="12"/>
  <c r="U124" i="12"/>
  <c r="X124" i="12" s="1"/>
  <c r="D125" i="12"/>
  <c r="J125" i="12"/>
  <c r="K125" i="12"/>
  <c r="N125" i="12"/>
  <c r="T125" i="12"/>
  <c r="U125" i="12"/>
  <c r="X125" i="12" s="1"/>
  <c r="D126" i="12"/>
  <c r="C126" i="12" s="1"/>
  <c r="J126" i="12"/>
  <c r="K126" i="12"/>
  <c r="N126" i="12"/>
  <c r="T126" i="12"/>
  <c r="U126" i="12"/>
  <c r="X126" i="12" s="1"/>
  <c r="D127" i="12"/>
  <c r="J127" i="12"/>
  <c r="K127" i="12"/>
  <c r="N127" i="12"/>
  <c r="T127" i="12"/>
  <c r="U127" i="12"/>
  <c r="D128" i="12"/>
  <c r="J128" i="12"/>
  <c r="K128" i="12"/>
  <c r="N128" i="12"/>
  <c r="T128" i="12"/>
  <c r="U128" i="12"/>
  <c r="X128" i="12" s="1"/>
  <c r="D129" i="12"/>
  <c r="J129" i="12"/>
  <c r="K129" i="12"/>
  <c r="N129" i="12"/>
  <c r="T129" i="12"/>
  <c r="U129" i="12"/>
  <c r="X129" i="12" s="1"/>
  <c r="D130" i="12"/>
  <c r="C130" i="12" s="1"/>
  <c r="J130" i="12"/>
  <c r="K130" i="12"/>
  <c r="N130" i="12"/>
  <c r="T130" i="12"/>
  <c r="U130" i="12"/>
  <c r="D131" i="12"/>
  <c r="J131" i="12"/>
  <c r="K131" i="12"/>
  <c r="N131" i="12"/>
  <c r="T131" i="12"/>
  <c r="U131" i="12"/>
  <c r="X131" i="12" s="1"/>
  <c r="D132" i="12"/>
  <c r="J132" i="12"/>
  <c r="K132" i="12"/>
  <c r="N132" i="12"/>
  <c r="T132" i="12"/>
  <c r="U132" i="12"/>
  <c r="X132" i="12" s="1"/>
  <c r="D133" i="12"/>
  <c r="C133" i="12" s="1"/>
  <c r="J133" i="12"/>
  <c r="K133" i="12"/>
  <c r="N133" i="12"/>
  <c r="Q133" i="12"/>
  <c r="U133" i="12"/>
  <c r="X133" i="12" s="1"/>
  <c r="D134" i="12"/>
  <c r="C134" i="12" s="1"/>
  <c r="J134" i="12"/>
  <c r="K134" i="12"/>
  <c r="N134" i="12"/>
  <c r="T134" i="12"/>
  <c r="U134" i="12"/>
  <c r="X134" i="12" s="1"/>
  <c r="D135" i="12"/>
  <c r="C135" i="12" s="1"/>
  <c r="J135" i="12"/>
  <c r="K135" i="12"/>
  <c r="N135" i="12"/>
  <c r="T135" i="12"/>
  <c r="U135" i="12"/>
  <c r="X135" i="12" s="1"/>
  <c r="D136" i="12"/>
  <c r="J136" i="12"/>
  <c r="K136" i="12"/>
  <c r="N136" i="12"/>
  <c r="T136" i="12"/>
  <c r="U136" i="12"/>
  <c r="X136" i="12" s="1"/>
  <c r="D137" i="12"/>
  <c r="J137" i="12"/>
  <c r="K137" i="12"/>
  <c r="N137" i="12"/>
  <c r="T137" i="12"/>
  <c r="U137" i="12"/>
  <c r="D138" i="12"/>
  <c r="C138" i="12" s="1"/>
  <c r="J138" i="12"/>
  <c r="K138" i="12"/>
  <c r="N138" i="12"/>
  <c r="T138" i="12"/>
  <c r="U138" i="12"/>
  <c r="X138" i="12" s="1"/>
  <c r="D139" i="12"/>
  <c r="C139" i="12" s="1"/>
  <c r="J139" i="12"/>
  <c r="K139" i="12"/>
  <c r="N139" i="12"/>
  <c r="T139" i="12"/>
  <c r="U139" i="12"/>
  <c r="X139" i="12" s="1"/>
  <c r="D140" i="12"/>
  <c r="J140" i="12"/>
  <c r="K140" i="12"/>
  <c r="N140" i="12"/>
  <c r="T140" i="12"/>
  <c r="U140" i="12"/>
  <c r="X140" i="12" s="1"/>
  <c r="D141" i="12"/>
  <c r="J141" i="12"/>
  <c r="K141" i="12"/>
  <c r="N141" i="12"/>
  <c r="T141" i="12"/>
  <c r="U141" i="12"/>
  <c r="X141" i="12" s="1"/>
  <c r="D142" i="12"/>
  <c r="J142" i="12"/>
  <c r="K142" i="12"/>
  <c r="N142" i="12"/>
  <c r="T142" i="12"/>
  <c r="U142" i="12"/>
  <c r="X142" i="12" s="1"/>
  <c r="D143" i="12"/>
  <c r="J143" i="12"/>
  <c r="K143" i="12"/>
  <c r="N143" i="12"/>
  <c r="T143" i="12"/>
  <c r="U143" i="12"/>
  <c r="D144" i="12"/>
  <c r="F144" i="12" s="1"/>
  <c r="J144" i="12"/>
  <c r="K144" i="12"/>
  <c r="N144" i="12"/>
  <c r="T144" i="12"/>
  <c r="U144" i="12"/>
  <c r="X144" i="12" s="1"/>
  <c r="D145" i="12"/>
  <c r="J145" i="12"/>
  <c r="K145" i="12"/>
  <c r="N145" i="12"/>
  <c r="T145" i="12"/>
  <c r="U145" i="12"/>
  <c r="X145" i="12" s="1"/>
  <c r="D146" i="12"/>
  <c r="J146" i="12"/>
  <c r="K146" i="12"/>
  <c r="N146" i="12"/>
  <c r="T146" i="12"/>
  <c r="U146" i="12"/>
  <c r="X146" i="12" s="1"/>
  <c r="D147" i="12"/>
  <c r="K147" i="12"/>
  <c r="N147" i="12"/>
  <c r="T147" i="12"/>
  <c r="U147" i="12"/>
  <c r="X147" i="12" s="1"/>
  <c r="D148" i="12"/>
  <c r="C148" i="12" s="1"/>
  <c r="K148" i="12"/>
  <c r="N148" i="12"/>
  <c r="T148" i="12"/>
  <c r="U148" i="12"/>
  <c r="D149" i="12"/>
  <c r="C149" i="12" s="1"/>
  <c r="K149" i="12"/>
  <c r="N149" i="12"/>
  <c r="T149" i="12"/>
  <c r="U149" i="12"/>
  <c r="D150" i="12"/>
  <c r="F150" i="12" s="1"/>
  <c r="K150" i="12"/>
  <c r="N150" i="12"/>
  <c r="T150" i="12"/>
  <c r="U150" i="12"/>
  <c r="X150" i="12" s="1"/>
  <c r="D151" i="12"/>
  <c r="K151" i="12"/>
  <c r="N151" i="12"/>
  <c r="T151" i="12"/>
  <c r="U151" i="12"/>
  <c r="X151" i="12" s="1"/>
  <c r="D152" i="12"/>
  <c r="C152" i="12" s="1"/>
  <c r="K152" i="12"/>
  <c r="N152" i="12"/>
  <c r="T152" i="12"/>
  <c r="U152" i="12"/>
  <c r="X152" i="12" s="1"/>
  <c r="D153" i="12"/>
  <c r="F153" i="12" s="1"/>
  <c r="J153" i="12"/>
  <c r="K153" i="12"/>
  <c r="N153" i="12"/>
  <c r="T153" i="12"/>
  <c r="U153" i="12"/>
  <c r="X153" i="12" s="1"/>
  <c r="D154" i="12"/>
  <c r="F154" i="12" s="1"/>
  <c r="J154" i="12"/>
  <c r="K154" i="12"/>
  <c r="N154" i="12"/>
  <c r="T154" i="12"/>
  <c r="U154" i="12"/>
  <c r="X154" i="12" s="1"/>
  <c r="D155" i="12"/>
  <c r="J155" i="12"/>
  <c r="K155" i="12"/>
  <c r="N155" i="12"/>
  <c r="T155" i="12"/>
  <c r="U155" i="12"/>
  <c r="D156" i="12"/>
  <c r="F156" i="12" s="1"/>
  <c r="J156" i="12"/>
  <c r="K156" i="12"/>
  <c r="N156" i="12"/>
  <c r="T156" i="12"/>
  <c r="U156" i="12"/>
  <c r="X156" i="12" s="1"/>
  <c r="D157" i="12"/>
  <c r="J157" i="12"/>
  <c r="K157" i="12"/>
  <c r="N157" i="12"/>
  <c r="T157" i="12"/>
  <c r="U157" i="12"/>
  <c r="D158" i="12"/>
  <c r="F158" i="12" s="1"/>
  <c r="J158" i="12"/>
  <c r="K158" i="12"/>
  <c r="N158" i="12"/>
  <c r="T158" i="12"/>
  <c r="U158" i="12"/>
  <c r="X158" i="12" s="1"/>
  <c r="D159" i="12"/>
  <c r="F159" i="12" s="1"/>
  <c r="J159" i="12"/>
  <c r="K159" i="12"/>
  <c r="N159" i="12"/>
  <c r="T159" i="12"/>
  <c r="U159" i="12"/>
  <c r="X159" i="12" s="1"/>
  <c r="D160" i="12"/>
  <c r="F160" i="12" s="1"/>
  <c r="J160" i="12"/>
  <c r="K160" i="12"/>
  <c r="N160" i="12"/>
  <c r="T160" i="12"/>
  <c r="U160" i="12"/>
  <c r="X160" i="12" s="1"/>
  <c r="D161" i="12"/>
  <c r="J161" i="12"/>
  <c r="K161" i="12"/>
  <c r="N161" i="12"/>
  <c r="T161" i="12"/>
  <c r="U161" i="12"/>
  <c r="X161" i="12" s="1"/>
  <c r="D162" i="12"/>
  <c r="J162" i="12"/>
  <c r="K162" i="12"/>
  <c r="N162" i="12"/>
  <c r="T162" i="12"/>
  <c r="U162" i="12"/>
  <c r="X162" i="12" s="1"/>
  <c r="D163" i="12"/>
  <c r="J163" i="12"/>
  <c r="K163" i="12"/>
  <c r="N163" i="12"/>
  <c r="T163" i="12"/>
  <c r="U163" i="12"/>
  <c r="D164" i="12"/>
  <c r="J164" i="12"/>
  <c r="K164" i="12"/>
  <c r="N164" i="12"/>
  <c r="T164" i="12"/>
  <c r="U164" i="12"/>
  <c r="X164" i="12" s="1"/>
  <c r="D165" i="12"/>
  <c r="F165" i="12" s="1"/>
  <c r="J165" i="12"/>
  <c r="K165" i="12"/>
  <c r="N165" i="12"/>
  <c r="T165" i="12"/>
  <c r="U165" i="12"/>
  <c r="X165" i="12" s="1"/>
  <c r="D166" i="12"/>
  <c r="J166" i="12"/>
  <c r="K166" i="12"/>
  <c r="N166" i="12"/>
  <c r="T166" i="12"/>
  <c r="U166" i="12"/>
  <c r="D167" i="12"/>
  <c r="F167" i="12" s="1"/>
  <c r="J167" i="12"/>
  <c r="K167" i="12"/>
  <c r="N167" i="12"/>
  <c r="T167" i="12"/>
  <c r="U167" i="12"/>
  <c r="D168" i="12"/>
  <c r="F168" i="12" s="1"/>
  <c r="J168" i="12"/>
  <c r="K168" i="12"/>
  <c r="N168" i="12"/>
  <c r="T168" i="12"/>
  <c r="U168" i="12"/>
  <c r="X168" i="12" s="1"/>
  <c r="D169" i="12"/>
  <c r="F169" i="12" s="1"/>
  <c r="J169" i="12"/>
  <c r="K169" i="12"/>
  <c r="N169" i="12"/>
  <c r="T169" i="12"/>
  <c r="U169" i="12"/>
  <c r="X169" i="12" s="1"/>
  <c r="D170" i="12"/>
  <c r="F170" i="12" s="1"/>
  <c r="J170" i="12"/>
  <c r="K170" i="12"/>
  <c r="N170" i="12"/>
  <c r="T170" i="12"/>
  <c r="U170" i="12"/>
  <c r="X170" i="12" s="1"/>
  <c r="D171" i="12"/>
  <c r="F171" i="12" s="1"/>
  <c r="J171" i="12"/>
  <c r="K171" i="12"/>
  <c r="N171" i="12"/>
  <c r="T171" i="12"/>
  <c r="U171" i="12"/>
  <c r="D172" i="12"/>
  <c r="J172" i="12"/>
  <c r="K172" i="12"/>
  <c r="N172" i="12"/>
  <c r="T172" i="12"/>
  <c r="X172" i="12"/>
  <c r="Y172" i="12"/>
  <c r="Z172" i="12"/>
  <c r="AA172" i="12" s="1"/>
  <c r="AB172" i="12" s="1"/>
  <c r="AC172" i="12" s="1"/>
  <c r="D173" i="12"/>
  <c r="F173" i="12" s="1"/>
  <c r="J173" i="12"/>
  <c r="K173" i="12"/>
  <c r="N173" i="12"/>
  <c r="T173" i="12"/>
  <c r="U173" i="12"/>
  <c r="Y173" i="12"/>
  <c r="Z173" i="12"/>
  <c r="D174" i="12"/>
  <c r="J174" i="12"/>
  <c r="K174" i="12"/>
  <c r="N174" i="12"/>
  <c r="T174" i="12"/>
  <c r="U174" i="12"/>
  <c r="D175" i="12"/>
  <c r="F175" i="12" s="1"/>
  <c r="J175" i="12"/>
  <c r="K175" i="12"/>
  <c r="N175" i="12"/>
  <c r="T175" i="12"/>
  <c r="U175" i="12"/>
  <c r="X175" i="12" s="1"/>
  <c r="Y175" i="12"/>
  <c r="Z175" i="12"/>
  <c r="D176" i="12"/>
  <c r="C176" i="12" s="1"/>
  <c r="J176" i="12"/>
  <c r="K176" i="12"/>
  <c r="N176" i="12"/>
  <c r="T176" i="12"/>
  <c r="U176" i="12"/>
  <c r="D177" i="12"/>
  <c r="C177" i="12" s="1"/>
  <c r="J177" i="12"/>
  <c r="K177" i="12"/>
  <c r="N177" i="12"/>
  <c r="T177" i="12"/>
  <c r="U177" i="12"/>
  <c r="D178" i="12"/>
  <c r="C178" i="12" s="1"/>
  <c r="J178" i="12"/>
  <c r="K178" i="12"/>
  <c r="N178" i="12"/>
  <c r="T178" i="12"/>
  <c r="U178" i="12"/>
  <c r="X178" i="12" s="1"/>
  <c r="D179" i="12"/>
  <c r="C179" i="12" s="1"/>
  <c r="J179" i="12"/>
  <c r="K179" i="12"/>
  <c r="N179" i="12"/>
  <c r="T179" i="12"/>
  <c r="U179" i="12"/>
  <c r="X179" i="12" s="1"/>
  <c r="D180" i="12"/>
  <c r="C180" i="12" s="1"/>
  <c r="J180" i="12"/>
  <c r="K180" i="12"/>
  <c r="N180" i="12"/>
  <c r="T180" i="12"/>
  <c r="U180" i="12"/>
  <c r="X180" i="12" s="1"/>
  <c r="D181" i="12"/>
  <c r="C181" i="12" s="1"/>
  <c r="J181" i="12"/>
  <c r="K181" i="12"/>
  <c r="N181" i="12"/>
  <c r="T181" i="12"/>
  <c r="U181" i="12"/>
  <c r="X181" i="12" s="1"/>
  <c r="D182" i="12"/>
  <c r="C182" i="12" s="1"/>
  <c r="K182" i="12"/>
  <c r="N182" i="12"/>
  <c r="T182" i="12"/>
  <c r="U182" i="12"/>
  <c r="X182" i="12" s="1"/>
  <c r="D183" i="12"/>
  <c r="K183" i="12"/>
  <c r="N183" i="12"/>
  <c r="T183" i="12"/>
  <c r="U183" i="12"/>
  <c r="X183" i="12" s="1"/>
  <c r="D184" i="12"/>
  <c r="C184" i="12" s="1"/>
  <c r="J184" i="12"/>
  <c r="K184" i="12"/>
  <c r="N184" i="12"/>
  <c r="T184" i="12"/>
  <c r="U184" i="12"/>
  <c r="D185" i="12"/>
  <c r="F185" i="12" s="1"/>
  <c r="J185" i="12"/>
  <c r="K185" i="12"/>
  <c r="N185" i="12"/>
  <c r="T185" i="12"/>
  <c r="U185" i="12"/>
  <c r="D186" i="12"/>
  <c r="F186" i="12" s="1"/>
  <c r="J186" i="12"/>
  <c r="K186" i="12"/>
  <c r="N186" i="12"/>
  <c r="T186" i="12"/>
  <c r="U186" i="12"/>
  <c r="X186" i="12" s="1"/>
  <c r="D187" i="12"/>
  <c r="J187" i="12"/>
  <c r="K187" i="12"/>
  <c r="N187" i="12"/>
  <c r="T187" i="12"/>
  <c r="U187" i="12"/>
  <c r="X187" i="12" s="1"/>
  <c r="D188" i="12"/>
  <c r="J188" i="12"/>
  <c r="K188" i="12"/>
  <c r="N188" i="12"/>
  <c r="T188" i="12"/>
  <c r="U188" i="12"/>
  <c r="X188" i="12" s="1"/>
  <c r="D189" i="12"/>
  <c r="C189" i="12" s="1"/>
  <c r="J189" i="12"/>
  <c r="K189" i="12"/>
  <c r="N189" i="12"/>
  <c r="T189" i="12"/>
  <c r="U189" i="12"/>
  <c r="X189" i="12" s="1"/>
  <c r="D190" i="12"/>
  <c r="J190" i="12"/>
  <c r="K190" i="12"/>
  <c r="N190" i="12"/>
  <c r="T190" i="12"/>
  <c r="U190" i="12"/>
  <c r="X190" i="12" s="1"/>
  <c r="D191" i="12"/>
  <c r="J191" i="12"/>
  <c r="K191" i="12"/>
  <c r="N191" i="12"/>
  <c r="T191" i="12"/>
  <c r="U191" i="12"/>
  <c r="X191" i="12" s="1"/>
  <c r="D192" i="12"/>
  <c r="C192" i="12" s="1"/>
  <c r="J192" i="12"/>
  <c r="K192" i="12"/>
  <c r="N192" i="12"/>
  <c r="T192" i="12"/>
  <c r="U192" i="12"/>
  <c r="D193" i="12"/>
  <c r="C193" i="12" s="1"/>
  <c r="J193" i="12"/>
  <c r="K193" i="12"/>
  <c r="N193" i="12"/>
  <c r="T193" i="12"/>
  <c r="U193" i="12"/>
  <c r="D194" i="12"/>
  <c r="C194" i="12" s="1"/>
  <c r="J194" i="12"/>
  <c r="K194" i="12"/>
  <c r="N194" i="12"/>
  <c r="T194" i="12"/>
  <c r="U194" i="12"/>
  <c r="D195" i="12"/>
  <c r="J195" i="12"/>
  <c r="K195" i="12"/>
  <c r="N195" i="12"/>
  <c r="T195" i="12"/>
  <c r="U195" i="12"/>
  <c r="D196" i="12"/>
  <c r="C196" i="12" s="1"/>
  <c r="J196" i="12"/>
  <c r="K196" i="12"/>
  <c r="N196" i="12"/>
  <c r="T196" i="12"/>
  <c r="U196" i="12"/>
  <c r="D197" i="12"/>
  <c r="C197" i="12" s="1"/>
  <c r="J197" i="12"/>
  <c r="K197" i="12"/>
  <c r="N197" i="12"/>
  <c r="T197" i="12"/>
  <c r="U197" i="12"/>
  <c r="D198" i="12"/>
  <c r="C198" i="12" s="1"/>
  <c r="J198" i="12"/>
  <c r="K198" i="12"/>
  <c r="N198" i="12"/>
  <c r="T198" i="12"/>
  <c r="U198" i="12"/>
  <c r="D199" i="12"/>
  <c r="J199" i="12"/>
  <c r="K199" i="12"/>
  <c r="N199" i="12"/>
  <c r="T199" i="12"/>
  <c r="U199" i="12"/>
  <c r="X199" i="12" s="1"/>
  <c r="D200" i="12"/>
  <c r="F200" i="12" s="1"/>
  <c r="J200" i="12"/>
  <c r="K200" i="12"/>
  <c r="N200" i="12"/>
  <c r="T200" i="12"/>
  <c r="U200" i="12"/>
  <c r="X200" i="12" s="1"/>
  <c r="D201" i="12"/>
  <c r="J201" i="12"/>
  <c r="K201" i="12"/>
  <c r="N201" i="12"/>
  <c r="T201" i="12"/>
  <c r="U201" i="12"/>
  <c r="X201" i="12" s="1"/>
  <c r="D202" i="12"/>
  <c r="C202" i="12" s="1"/>
  <c r="J202" i="12"/>
  <c r="K202" i="12"/>
  <c r="N202" i="12"/>
  <c r="T202" i="12"/>
  <c r="U202" i="12"/>
  <c r="X202" i="12" s="1"/>
  <c r="D203" i="12"/>
  <c r="C203" i="12" s="1"/>
  <c r="J203" i="12"/>
  <c r="K203" i="12"/>
  <c r="N203" i="12"/>
  <c r="T203" i="12"/>
  <c r="U203" i="12"/>
  <c r="D204" i="12"/>
  <c r="J204" i="12"/>
  <c r="K204" i="12"/>
  <c r="N204" i="12"/>
  <c r="T204" i="12"/>
  <c r="U204" i="12"/>
  <c r="X204" i="12" s="1"/>
  <c r="D205" i="12"/>
  <c r="F205" i="12" s="1"/>
  <c r="J205" i="12"/>
  <c r="K205" i="12"/>
  <c r="N205" i="12"/>
  <c r="T205" i="12"/>
  <c r="U205" i="12"/>
  <c r="X205" i="12" s="1"/>
  <c r="D206" i="12"/>
  <c r="C206" i="12" s="1"/>
  <c r="J206" i="12"/>
  <c r="K206" i="12"/>
  <c r="N206" i="12"/>
  <c r="T206" i="12"/>
  <c r="U206" i="12"/>
  <c r="D207" i="12"/>
  <c r="J207" i="12"/>
  <c r="K207" i="12"/>
  <c r="N207" i="12"/>
  <c r="T207" i="12"/>
  <c r="U207" i="12"/>
  <c r="X207" i="12" s="1"/>
  <c r="D208" i="12"/>
  <c r="F208" i="12" s="1"/>
  <c r="J208" i="12"/>
  <c r="K208" i="12"/>
  <c r="N208" i="12"/>
  <c r="T208" i="12"/>
  <c r="U208" i="12"/>
  <c r="D209" i="12"/>
  <c r="F209" i="12" s="1"/>
  <c r="J209" i="12"/>
  <c r="K209" i="12"/>
  <c r="N209" i="12"/>
  <c r="T209" i="12"/>
  <c r="U209" i="12"/>
  <c r="D210" i="12"/>
  <c r="F210" i="12" s="1"/>
  <c r="J210" i="12"/>
  <c r="K210" i="12"/>
  <c r="N210" i="12"/>
  <c r="T210" i="12"/>
  <c r="U210" i="12"/>
  <c r="D211" i="12"/>
  <c r="C211" i="12" s="1"/>
  <c r="J211" i="12"/>
  <c r="K211" i="12"/>
  <c r="N211" i="12"/>
  <c r="T211" i="12"/>
  <c r="U211" i="12"/>
  <c r="D212" i="12"/>
  <c r="C212" i="12" s="1"/>
  <c r="J212" i="12"/>
  <c r="K212" i="12"/>
  <c r="N212" i="12"/>
  <c r="T212" i="12"/>
  <c r="U212" i="12"/>
  <c r="D213" i="12"/>
  <c r="F213" i="12" s="1"/>
  <c r="J213" i="12"/>
  <c r="K213" i="12"/>
  <c r="N213" i="12"/>
  <c r="T213" i="12"/>
  <c r="U213" i="12"/>
  <c r="D214" i="12"/>
  <c r="F214" i="12" s="1"/>
  <c r="J214" i="12"/>
  <c r="K214" i="12"/>
  <c r="N214" i="12"/>
  <c r="T214" i="12"/>
  <c r="U214" i="12"/>
  <c r="X214" i="12" s="1"/>
  <c r="D215" i="12"/>
  <c r="F215" i="12" s="1"/>
  <c r="J215" i="12"/>
  <c r="K215" i="12"/>
  <c r="N215" i="12"/>
  <c r="T215" i="12"/>
  <c r="U215" i="12"/>
  <c r="X215" i="12" s="1"/>
  <c r="D216" i="12"/>
  <c r="F216" i="12" s="1"/>
  <c r="J216" i="12"/>
  <c r="K216" i="12"/>
  <c r="N216" i="12"/>
  <c r="T216" i="12"/>
  <c r="U216" i="12"/>
  <c r="X216" i="12" s="1"/>
  <c r="D217" i="12"/>
  <c r="C217" i="12" s="1"/>
  <c r="J217" i="12"/>
  <c r="K217" i="12"/>
  <c r="N217" i="12"/>
  <c r="T217" i="12"/>
  <c r="U217" i="12"/>
  <c r="X217" i="12" s="1"/>
  <c r="D218" i="12"/>
  <c r="C218" i="12" s="1"/>
  <c r="J218" i="12"/>
  <c r="K218" i="12"/>
  <c r="N218" i="12"/>
  <c r="T218" i="12"/>
  <c r="U218" i="12"/>
  <c r="D219" i="12"/>
  <c r="F219" i="12" s="1"/>
  <c r="J219" i="12"/>
  <c r="K219" i="12"/>
  <c r="N219" i="12"/>
  <c r="T219" i="12"/>
  <c r="U219" i="12"/>
  <c r="X219" i="12" s="1"/>
  <c r="D220" i="12"/>
  <c r="C220" i="12" s="1"/>
  <c r="J220" i="12"/>
  <c r="K220" i="12"/>
  <c r="N220" i="12"/>
  <c r="T220" i="12"/>
  <c r="U220" i="12"/>
  <c r="D221" i="12"/>
  <c r="J221" i="12"/>
  <c r="K221" i="12"/>
  <c r="N221" i="12"/>
  <c r="T221" i="12"/>
  <c r="U221" i="12"/>
  <c r="D222" i="12"/>
  <c r="C222" i="12" s="1"/>
  <c r="J222" i="12"/>
  <c r="K222" i="12"/>
  <c r="N222" i="12"/>
  <c r="T222" i="12"/>
  <c r="U222" i="12"/>
  <c r="X222" i="12" s="1"/>
  <c r="D223" i="12"/>
  <c r="F223" i="12" s="1"/>
  <c r="J223" i="12"/>
  <c r="K223" i="12"/>
  <c r="N223" i="12"/>
  <c r="T223" i="12"/>
  <c r="U223" i="12"/>
  <c r="D224" i="12"/>
  <c r="F224" i="12" s="1"/>
  <c r="J224" i="12"/>
  <c r="K224" i="12"/>
  <c r="N224" i="12"/>
  <c r="T224" i="12"/>
  <c r="U224" i="12"/>
  <c r="D225" i="12"/>
  <c r="C225" i="12" s="1"/>
  <c r="J225" i="12"/>
  <c r="K225" i="12"/>
  <c r="N225" i="12"/>
  <c r="T225" i="12"/>
  <c r="U225" i="12"/>
  <c r="X225" i="12" s="1"/>
  <c r="Y225" i="12"/>
  <c r="Z225" i="12"/>
  <c r="D226" i="12"/>
  <c r="C226" i="12" s="1"/>
  <c r="J226" i="12"/>
  <c r="K226" i="12"/>
  <c r="N226" i="12"/>
  <c r="T226" i="12"/>
  <c r="U226" i="12"/>
  <c r="Y226" i="12"/>
  <c r="Z226" i="12"/>
  <c r="D227" i="12"/>
  <c r="F227" i="12" s="1"/>
  <c r="J227" i="12"/>
  <c r="K227" i="12"/>
  <c r="N227" i="12"/>
  <c r="T227" i="12"/>
  <c r="U227" i="12"/>
  <c r="D228" i="12"/>
  <c r="F228" i="12" s="1"/>
  <c r="J228" i="12"/>
  <c r="K228" i="12"/>
  <c r="N228" i="12"/>
  <c r="T228" i="12"/>
  <c r="U228" i="12"/>
  <c r="X228" i="12" s="1"/>
  <c r="D229" i="12"/>
  <c r="J229" i="12"/>
  <c r="K229" i="12"/>
  <c r="N229" i="12"/>
  <c r="T229" i="12"/>
  <c r="U229" i="12"/>
  <c r="D230" i="12"/>
  <c r="C230" i="12" s="1"/>
  <c r="J230" i="12"/>
  <c r="K230" i="12"/>
  <c r="N230" i="12"/>
  <c r="T230" i="12"/>
  <c r="U230" i="12"/>
  <c r="D231" i="12"/>
  <c r="C231" i="12" s="1"/>
  <c r="J231" i="12"/>
  <c r="K231" i="12"/>
  <c r="N231" i="12"/>
  <c r="T231" i="12"/>
  <c r="U231" i="12"/>
  <c r="D232" i="12"/>
  <c r="J232" i="12"/>
  <c r="K232" i="12"/>
  <c r="N232" i="12"/>
  <c r="T232" i="12"/>
  <c r="U232" i="12"/>
  <c r="D233" i="12"/>
  <c r="F233" i="12" s="1"/>
  <c r="J233" i="12"/>
  <c r="K233" i="12"/>
  <c r="N233" i="12"/>
  <c r="T233" i="12"/>
  <c r="U233" i="12"/>
  <c r="X233" i="12" s="1"/>
  <c r="D234" i="12"/>
  <c r="C234" i="12" s="1"/>
  <c r="J234" i="12"/>
  <c r="K234" i="12"/>
  <c r="N234" i="12"/>
  <c r="T234" i="12"/>
  <c r="U234" i="12"/>
  <c r="X234" i="12" s="1"/>
  <c r="D235" i="12"/>
  <c r="C235" i="12" s="1"/>
  <c r="J235" i="12"/>
  <c r="K235" i="12"/>
  <c r="N235" i="12"/>
  <c r="T235" i="12"/>
  <c r="U235" i="12"/>
  <c r="D236" i="12"/>
  <c r="J236" i="12"/>
  <c r="K236" i="12"/>
  <c r="N236" i="12"/>
  <c r="T236" i="12"/>
  <c r="U236" i="12"/>
  <c r="D237" i="12"/>
  <c r="F237" i="12" s="1"/>
  <c r="J237" i="12"/>
  <c r="K237" i="12"/>
  <c r="N237" i="12"/>
  <c r="T237" i="12"/>
  <c r="U237" i="12"/>
  <c r="D238" i="12"/>
  <c r="C238" i="12" s="1"/>
  <c r="J238" i="12"/>
  <c r="K238" i="12"/>
  <c r="N238" i="12"/>
  <c r="T238" i="12"/>
  <c r="U238" i="12"/>
  <c r="D239" i="12"/>
  <c r="F239" i="12" s="1"/>
  <c r="J239" i="12"/>
  <c r="K239" i="12"/>
  <c r="N239" i="12"/>
  <c r="T239" i="12"/>
  <c r="U239" i="12"/>
  <c r="D240" i="12"/>
  <c r="C240" i="12" s="1"/>
  <c r="J240" i="12"/>
  <c r="K240" i="12"/>
  <c r="N240" i="12"/>
  <c r="T240" i="12"/>
  <c r="U240" i="12"/>
  <c r="X240" i="12" s="1"/>
  <c r="D241" i="12"/>
  <c r="C241" i="12" s="1"/>
  <c r="J241" i="12"/>
  <c r="K241" i="12"/>
  <c r="N241" i="12"/>
  <c r="T241" i="12"/>
  <c r="U241" i="12"/>
  <c r="D242" i="12"/>
  <c r="C242" i="12" s="1"/>
  <c r="J242" i="12"/>
  <c r="K242" i="12"/>
  <c r="N242" i="12"/>
  <c r="T242" i="12"/>
  <c r="U242" i="12"/>
  <c r="X242" i="12" s="1"/>
  <c r="D243" i="12"/>
  <c r="C243" i="12" s="1"/>
  <c r="J243" i="12"/>
  <c r="K243" i="12"/>
  <c r="N243" i="12"/>
  <c r="T243" i="12"/>
  <c r="U243" i="12"/>
  <c r="X243" i="12" s="1"/>
  <c r="D244" i="12"/>
  <c r="J244" i="12"/>
  <c r="K244" i="12"/>
  <c r="N244" i="12"/>
  <c r="T244" i="12"/>
  <c r="U244" i="12"/>
  <c r="D245" i="12"/>
  <c r="J245" i="12"/>
  <c r="K245" i="12"/>
  <c r="N245" i="12"/>
  <c r="T245" i="12"/>
  <c r="U245" i="12"/>
  <c r="D246" i="12"/>
  <c r="C246" i="12" s="1"/>
  <c r="J246" i="12"/>
  <c r="K246" i="12"/>
  <c r="N246" i="12"/>
  <c r="T246" i="12"/>
  <c r="U246" i="12"/>
  <c r="X246" i="12" s="1"/>
  <c r="D247" i="12"/>
  <c r="J247" i="12"/>
  <c r="K247" i="12"/>
  <c r="N247" i="12"/>
  <c r="T247" i="12"/>
  <c r="U247" i="12"/>
  <c r="D248" i="12"/>
  <c r="C248" i="12" s="1"/>
  <c r="J248" i="12"/>
  <c r="K248" i="12"/>
  <c r="N248" i="12"/>
  <c r="T248" i="12"/>
  <c r="U248" i="12"/>
  <c r="D249" i="12"/>
  <c r="J249" i="12"/>
  <c r="K249" i="12"/>
  <c r="N249" i="12"/>
  <c r="T249" i="12"/>
  <c r="U249" i="12"/>
  <c r="D250" i="12"/>
  <c r="J250" i="12"/>
  <c r="K250" i="12"/>
  <c r="N250" i="12"/>
  <c r="T250" i="12"/>
  <c r="U250" i="12"/>
  <c r="X250" i="12" s="1"/>
  <c r="D251" i="12"/>
  <c r="C251" i="12" s="1"/>
  <c r="J251" i="12"/>
  <c r="K251" i="12"/>
  <c r="N251" i="12"/>
  <c r="T251" i="12"/>
  <c r="U251" i="12"/>
  <c r="D252" i="12"/>
  <c r="J252" i="12"/>
  <c r="K252" i="12"/>
  <c r="N252" i="12"/>
  <c r="T252" i="12"/>
  <c r="U252" i="12"/>
  <c r="X252" i="12" s="1"/>
  <c r="D253" i="12"/>
  <c r="J253" i="12"/>
  <c r="K253" i="12"/>
  <c r="N253" i="12"/>
  <c r="T253" i="12"/>
  <c r="U253" i="12"/>
  <c r="D254" i="12"/>
  <c r="J254" i="12"/>
  <c r="K254" i="12"/>
  <c r="N254" i="12"/>
  <c r="T254" i="12"/>
  <c r="U254" i="12"/>
  <c r="X254" i="12" s="1"/>
  <c r="D255" i="12"/>
  <c r="C255" i="12" s="1"/>
  <c r="J255" i="12"/>
  <c r="K255" i="12"/>
  <c r="N255" i="12"/>
  <c r="T255" i="12"/>
  <c r="U255" i="12"/>
  <c r="X255" i="12" s="1"/>
  <c r="D256" i="12"/>
  <c r="C256" i="12" s="1"/>
  <c r="J256" i="12"/>
  <c r="K256" i="12"/>
  <c r="N256" i="12"/>
  <c r="R256" i="12"/>
  <c r="T256" i="12" s="1"/>
  <c r="U256" i="12"/>
  <c r="X256" i="12" s="1"/>
  <c r="C257" i="12"/>
  <c r="F257" i="12"/>
  <c r="J257" i="12"/>
  <c r="K257" i="12"/>
  <c r="N257" i="12"/>
  <c r="T257" i="12"/>
  <c r="U257" i="12"/>
  <c r="X257" i="12" s="1"/>
  <c r="C258" i="12"/>
  <c r="F258" i="12"/>
  <c r="J258" i="12"/>
  <c r="K258" i="12"/>
  <c r="N258" i="12"/>
  <c r="T258" i="12"/>
  <c r="U258" i="12"/>
  <c r="X258" i="12" s="1"/>
  <c r="D259" i="12"/>
  <c r="C259" i="12" s="1"/>
  <c r="J259" i="12"/>
  <c r="K259" i="12"/>
  <c r="N259" i="12"/>
  <c r="R259" i="12"/>
  <c r="T259" i="12"/>
  <c r="U259" i="12"/>
  <c r="X259" i="12" s="1"/>
  <c r="D260" i="12"/>
  <c r="C260" i="12" s="1"/>
  <c r="J260" i="12"/>
  <c r="K260" i="12"/>
  <c r="N260" i="12"/>
  <c r="R260" i="12"/>
  <c r="T260" i="12" s="1"/>
  <c r="U260" i="12"/>
  <c r="X260" i="12" s="1"/>
  <c r="D261" i="12"/>
  <c r="J261" i="12"/>
  <c r="K261" i="12"/>
  <c r="N261" i="12"/>
  <c r="R261" i="12"/>
  <c r="T261" i="12" s="1"/>
  <c r="U261" i="12"/>
  <c r="X261" i="12" s="1"/>
  <c r="D262" i="12"/>
  <c r="F262" i="12" s="1"/>
  <c r="J262" i="12"/>
  <c r="K262" i="12"/>
  <c r="N262" i="12"/>
  <c r="R262" i="12"/>
  <c r="T262" i="12" s="1"/>
  <c r="U262" i="12"/>
  <c r="X262" i="12" s="1"/>
  <c r="D263" i="12"/>
  <c r="J263" i="12"/>
  <c r="K263" i="12"/>
  <c r="N263" i="12"/>
  <c r="R263" i="12"/>
  <c r="T263" i="12" s="1"/>
  <c r="U263" i="12"/>
  <c r="X263" i="12" s="1"/>
  <c r="D264" i="12"/>
  <c r="C264" i="12" s="1"/>
  <c r="J264" i="12"/>
  <c r="K264" i="12"/>
  <c r="N264" i="12"/>
  <c r="T264" i="12"/>
  <c r="U264" i="12"/>
  <c r="D265" i="12"/>
  <c r="C265" i="12" s="1"/>
  <c r="J265" i="12"/>
  <c r="K265" i="12"/>
  <c r="N265" i="12"/>
  <c r="T265" i="12"/>
  <c r="U265" i="12"/>
  <c r="X265" i="12" s="1"/>
  <c r="D266" i="12"/>
  <c r="F266" i="12" s="1"/>
  <c r="J266" i="12"/>
  <c r="K266" i="12"/>
  <c r="N266" i="12"/>
  <c r="T266" i="12"/>
  <c r="U266" i="12"/>
  <c r="D267" i="12"/>
  <c r="C267" i="12" s="1"/>
  <c r="J267" i="12"/>
  <c r="K267" i="12"/>
  <c r="N267" i="12"/>
  <c r="T267" i="12"/>
  <c r="U267" i="12"/>
  <c r="X267" i="12" s="1"/>
  <c r="D268" i="12"/>
  <c r="F268" i="12" s="1"/>
  <c r="J268" i="12"/>
  <c r="K268" i="12"/>
  <c r="N268" i="12"/>
  <c r="T268" i="12"/>
  <c r="U268" i="12"/>
  <c r="X268" i="12" s="1"/>
  <c r="C269" i="12"/>
  <c r="F269" i="12"/>
  <c r="J269" i="12"/>
  <c r="K269" i="12"/>
  <c r="N269" i="12"/>
  <c r="T269" i="12"/>
  <c r="U269" i="12"/>
  <c r="X269" i="12" s="1"/>
  <c r="C270" i="12"/>
  <c r="F270" i="12"/>
  <c r="J270" i="12"/>
  <c r="K270" i="12"/>
  <c r="N270" i="12"/>
  <c r="R270" i="12"/>
  <c r="T270" i="12" s="1"/>
  <c r="U270" i="12"/>
  <c r="X270" i="12" s="1"/>
  <c r="D271" i="12"/>
  <c r="F271" i="12" s="1"/>
  <c r="J271" i="12"/>
  <c r="K271" i="12"/>
  <c r="N271" i="12"/>
  <c r="R271" i="12"/>
  <c r="T271" i="12" s="1"/>
  <c r="U271" i="12"/>
  <c r="D272" i="12"/>
  <c r="J272" i="12"/>
  <c r="K272" i="12"/>
  <c r="N272" i="12"/>
  <c r="R272" i="12"/>
  <c r="T272" i="12"/>
  <c r="U272" i="12"/>
  <c r="D273" i="12"/>
  <c r="C273" i="12" s="1"/>
  <c r="J273" i="12"/>
  <c r="K273" i="12"/>
  <c r="N273" i="12"/>
  <c r="R273" i="12"/>
  <c r="T273" i="12" s="1"/>
  <c r="U273" i="12"/>
  <c r="X273" i="12" s="1"/>
  <c r="D274" i="12"/>
  <c r="J274" i="12"/>
  <c r="K274" i="12"/>
  <c r="N274" i="12"/>
  <c r="R274" i="12"/>
  <c r="T274" i="12"/>
  <c r="U274" i="12"/>
  <c r="D275" i="12"/>
  <c r="C275" i="12" s="1"/>
  <c r="J275" i="12"/>
  <c r="K275" i="12"/>
  <c r="N275" i="12"/>
  <c r="R275" i="12"/>
  <c r="T275" i="12" s="1"/>
  <c r="U275" i="12"/>
  <c r="X275" i="12" s="1"/>
  <c r="D276" i="12"/>
  <c r="J276" i="12"/>
  <c r="K276" i="12"/>
  <c r="N276" i="12"/>
  <c r="R276" i="12"/>
  <c r="T276" i="12"/>
  <c r="U276" i="12"/>
  <c r="D277" i="12"/>
  <c r="F277" i="12" s="1"/>
  <c r="J277" i="12"/>
  <c r="K277" i="12"/>
  <c r="N277" i="12"/>
  <c r="R277" i="12"/>
  <c r="T277" i="12" s="1"/>
  <c r="U277" i="12"/>
  <c r="D278" i="12"/>
  <c r="F278" i="12" s="1"/>
  <c r="J278" i="12"/>
  <c r="K278" i="12"/>
  <c r="N278" i="12"/>
  <c r="T278" i="12"/>
  <c r="U278" i="12"/>
  <c r="X278" i="12" s="1"/>
  <c r="D279" i="12"/>
  <c r="J279" i="12"/>
  <c r="K279" i="12"/>
  <c r="N279" i="12"/>
  <c r="T279" i="12"/>
  <c r="U279" i="12"/>
  <c r="D280" i="12"/>
  <c r="J280" i="12"/>
  <c r="K280" i="12"/>
  <c r="N280" i="12"/>
  <c r="T280" i="12"/>
  <c r="U280" i="12"/>
  <c r="D281" i="12"/>
  <c r="J281" i="12"/>
  <c r="K281" i="12"/>
  <c r="N281" i="12"/>
  <c r="T281" i="12"/>
  <c r="U281" i="12"/>
  <c r="X281" i="12" s="1"/>
  <c r="D282" i="12"/>
  <c r="J282" i="12"/>
  <c r="K282" i="12"/>
  <c r="N282" i="12"/>
  <c r="R282" i="12"/>
  <c r="T282" i="12" s="1"/>
  <c r="U282" i="12"/>
  <c r="X282" i="12" s="1"/>
  <c r="D283" i="12"/>
  <c r="F283" i="12" s="1"/>
  <c r="J283" i="12"/>
  <c r="K283" i="12"/>
  <c r="N283" i="12"/>
  <c r="R283" i="12"/>
  <c r="T283" i="12" s="1"/>
  <c r="U283" i="12"/>
  <c r="X283" i="12" s="1"/>
  <c r="D284" i="12"/>
  <c r="F284" i="12" s="1"/>
  <c r="J284" i="12"/>
  <c r="K284" i="12"/>
  <c r="N284" i="12"/>
  <c r="R284" i="12"/>
  <c r="T284" i="12" s="1"/>
  <c r="U284" i="12"/>
  <c r="D285" i="12"/>
  <c r="F285" i="12" s="1"/>
  <c r="J285" i="12"/>
  <c r="K285" i="12"/>
  <c r="N285" i="12"/>
  <c r="R285" i="12"/>
  <c r="T285" i="12" s="1"/>
  <c r="U285" i="12"/>
  <c r="X285" i="12" s="1"/>
  <c r="D286" i="12"/>
  <c r="J286" i="12"/>
  <c r="K286" i="12"/>
  <c r="N286" i="12"/>
  <c r="R286" i="12"/>
  <c r="T286" i="12" s="1"/>
  <c r="U286" i="12"/>
  <c r="D287" i="12"/>
  <c r="J287" i="12"/>
  <c r="K287" i="12"/>
  <c r="N287" i="12"/>
  <c r="T287" i="12"/>
  <c r="U287" i="12"/>
  <c r="X287" i="12" s="1"/>
  <c r="D288" i="12"/>
  <c r="C288" i="12" s="1"/>
  <c r="J288" i="12"/>
  <c r="K288" i="12"/>
  <c r="N288" i="12"/>
  <c r="T288" i="12"/>
  <c r="U288" i="12"/>
  <c r="X288" i="12" s="1"/>
  <c r="D289" i="12"/>
  <c r="C289" i="12" s="1"/>
  <c r="J289" i="12"/>
  <c r="K289" i="12"/>
  <c r="N289" i="12"/>
  <c r="T289" i="12"/>
  <c r="U289" i="12"/>
  <c r="D290" i="12"/>
  <c r="C290" i="12" s="1"/>
  <c r="J290" i="12"/>
  <c r="K290" i="12"/>
  <c r="N290" i="12"/>
  <c r="T290" i="12"/>
  <c r="U290" i="12"/>
  <c r="X290" i="12" s="1"/>
  <c r="D291" i="12"/>
  <c r="C291" i="12" s="1"/>
  <c r="J291" i="12"/>
  <c r="K291" i="12"/>
  <c r="N291" i="12"/>
  <c r="T291" i="12"/>
  <c r="U291" i="12"/>
  <c r="D292" i="12"/>
  <c r="C292" i="12" s="1"/>
  <c r="J292" i="12"/>
  <c r="K292" i="12"/>
  <c r="N292" i="12"/>
  <c r="R292" i="12"/>
  <c r="T292" i="12" s="1"/>
  <c r="U292" i="12"/>
  <c r="D293" i="12"/>
  <c r="J293" i="12"/>
  <c r="K293" i="12"/>
  <c r="N293" i="12"/>
  <c r="T293" i="12"/>
  <c r="U293" i="12"/>
  <c r="X293" i="12" s="1"/>
  <c r="D294" i="12"/>
  <c r="F294" i="12" s="1"/>
  <c r="J294" i="12"/>
  <c r="K294" i="12"/>
  <c r="N294" i="12"/>
  <c r="T294" i="12"/>
  <c r="U294" i="12"/>
  <c r="X294" i="12" s="1"/>
  <c r="D295" i="12"/>
  <c r="F295" i="12" s="1"/>
  <c r="J295" i="12"/>
  <c r="K295" i="12"/>
  <c r="N295" i="12"/>
  <c r="T295" i="12"/>
  <c r="U295" i="12"/>
  <c r="X295" i="12" s="1"/>
  <c r="D296" i="12"/>
  <c r="C296" i="12" s="1"/>
  <c r="J296" i="12"/>
  <c r="K296" i="12"/>
  <c r="N296" i="12"/>
  <c r="T296" i="12"/>
  <c r="U296" i="12"/>
  <c r="X296" i="12" s="1"/>
  <c r="D297" i="12"/>
  <c r="F297" i="12" s="1"/>
  <c r="J297" i="12"/>
  <c r="K297" i="12"/>
  <c r="N297" i="12"/>
  <c r="T297" i="12"/>
  <c r="U297" i="12"/>
  <c r="X297" i="12" s="1"/>
  <c r="D298" i="12"/>
  <c r="C298" i="12" s="1"/>
  <c r="J298" i="12"/>
  <c r="K298" i="12"/>
  <c r="N298" i="12"/>
  <c r="T298" i="12"/>
  <c r="U298" i="12"/>
  <c r="D299" i="12"/>
  <c r="C299" i="12" s="1"/>
  <c r="J299" i="12"/>
  <c r="K299" i="12"/>
  <c r="N299" i="12"/>
  <c r="T299" i="12"/>
  <c r="U299" i="12"/>
  <c r="D300" i="12"/>
  <c r="F300" i="12" s="1"/>
  <c r="J300" i="12"/>
  <c r="K300" i="12"/>
  <c r="N300" i="12"/>
  <c r="T300" i="12"/>
  <c r="U300" i="12"/>
  <c r="X300" i="12" s="1"/>
  <c r="D301" i="12"/>
  <c r="F301" i="12" s="1"/>
  <c r="J301" i="12"/>
  <c r="K301" i="12"/>
  <c r="N301" i="12"/>
  <c r="T301" i="12"/>
  <c r="U301" i="12"/>
  <c r="D302" i="12"/>
  <c r="J302" i="12"/>
  <c r="K302" i="12"/>
  <c r="N302" i="12"/>
  <c r="T302" i="12"/>
  <c r="U302" i="12"/>
  <c r="X302" i="12" s="1"/>
  <c r="D303" i="12"/>
  <c r="C303" i="12" s="1"/>
  <c r="J303" i="12"/>
  <c r="K303" i="12"/>
  <c r="N303" i="12"/>
  <c r="T303" i="12"/>
  <c r="U303" i="12"/>
  <c r="D304" i="12"/>
  <c r="J304" i="12"/>
  <c r="K304" i="12"/>
  <c r="N304" i="12"/>
  <c r="T304" i="12"/>
  <c r="U304" i="12"/>
  <c r="X304" i="12" s="1"/>
  <c r="D305" i="12"/>
  <c r="F305" i="12" s="1"/>
  <c r="J305" i="12"/>
  <c r="K305" i="12"/>
  <c r="N305" i="12"/>
  <c r="T305" i="12"/>
  <c r="U305" i="12"/>
  <c r="X305" i="12" s="1"/>
  <c r="D306" i="12"/>
  <c r="C306" i="12" s="1"/>
  <c r="J306" i="12"/>
  <c r="K306" i="12"/>
  <c r="N306" i="12"/>
  <c r="T306" i="12"/>
  <c r="U306" i="12"/>
  <c r="D307" i="12"/>
  <c r="C307" i="12" s="1"/>
  <c r="J307" i="12"/>
  <c r="K307" i="12"/>
  <c r="N307" i="12"/>
  <c r="T307" i="12"/>
  <c r="U307" i="12"/>
  <c r="D308" i="12"/>
  <c r="F308" i="12" s="1"/>
  <c r="J308" i="12"/>
  <c r="K308" i="12"/>
  <c r="N308" i="12"/>
  <c r="T308" i="12"/>
  <c r="U308" i="12"/>
  <c r="X308" i="12" s="1"/>
  <c r="D309" i="12"/>
  <c r="F309" i="12" s="1"/>
  <c r="J309" i="12"/>
  <c r="K309" i="12"/>
  <c r="N309" i="12"/>
  <c r="T309" i="12"/>
  <c r="U309" i="12"/>
  <c r="X309" i="12" s="1"/>
  <c r="D310" i="12"/>
  <c r="C310" i="12" s="1"/>
  <c r="J310" i="12"/>
  <c r="K310" i="12"/>
  <c r="N310" i="12"/>
  <c r="T310" i="12"/>
  <c r="U310" i="12"/>
  <c r="X310" i="12" s="1"/>
  <c r="D311" i="12"/>
  <c r="J311" i="12"/>
  <c r="K311" i="12"/>
  <c r="N311" i="12"/>
  <c r="T311" i="12"/>
  <c r="U311" i="12"/>
  <c r="X311" i="12" s="1"/>
  <c r="D312" i="12"/>
  <c r="C312" i="12" s="1"/>
  <c r="J312" i="12"/>
  <c r="K312" i="12"/>
  <c r="N312" i="12"/>
  <c r="T312" i="12"/>
  <c r="U312" i="12"/>
  <c r="X312" i="12" s="1"/>
  <c r="D313" i="12"/>
  <c r="F313" i="12" s="1"/>
  <c r="J313" i="12"/>
  <c r="K313" i="12"/>
  <c r="N313" i="12"/>
  <c r="T313" i="12"/>
  <c r="U313" i="12"/>
  <c r="D314" i="12"/>
  <c r="F314" i="12" s="1"/>
  <c r="J314" i="12"/>
  <c r="K314" i="12"/>
  <c r="N314" i="12"/>
  <c r="T314" i="12"/>
  <c r="U314" i="12"/>
  <c r="X314" i="12" s="1"/>
  <c r="D315" i="12"/>
  <c r="F315" i="12" s="1"/>
  <c r="J315" i="12"/>
  <c r="K315" i="12"/>
  <c r="N315" i="12"/>
  <c r="T315" i="12"/>
  <c r="U315" i="12"/>
  <c r="D316" i="12"/>
  <c r="C316" i="12" s="1"/>
  <c r="J316" i="12"/>
  <c r="K316" i="12"/>
  <c r="N316" i="12"/>
  <c r="T316" i="12"/>
  <c r="U316" i="12"/>
  <c r="X316" i="12" s="1"/>
  <c r="D317" i="12"/>
  <c r="F317" i="12" s="1"/>
  <c r="J317" i="12"/>
  <c r="K317" i="12"/>
  <c r="N317" i="12"/>
  <c r="T317" i="12"/>
  <c r="U317" i="12"/>
  <c r="X317" i="12" s="1"/>
  <c r="D318" i="12"/>
  <c r="F318" i="12" s="1"/>
  <c r="J318" i="12"/>
  <c r="K318" i="12"/>
  <c r="N318" i="12"/>
  <c r="T318" i="12"/>
  <c r="U318" i="12"/>
  <c r="D319" i="12"/>
  <c r="C319" i="12" s="1"/>
  <c r="J319" i="12"/>
  <c r="K319" i="12"/>
  <c r="N319" i="12"/>
  <c r="R319" i="12"/>
  <c r="T319" i="12" s="1"/>
  <c r="U319" i="12"/>
  <c r="X319" i="12" s="1"/>
  <c r="D320" i="12"/>
  <c r="F320" i="12" s="1"/>
  <c r="J320" i="12"/>
  <c r="K320" i="12"/>
  <c r="N320" i="12"/>
  <c r="R320" i="12"/>
  <c r="T320" i="12" s="1"/>
  <c r="U320" i="12"/>
  <c r="X320" i="12" s="1"/>
  <c r="D321" i="12"/>
  <c r="C321" i="12" s="1"/>
  <c r="J321" i="12"/>
  <c r="K321" i="12"/>
  <c r="N321" i="12"/>
  <c r="R321" i="12"/>
  <c r="T321" i="12" s="1"/>
  <c r="U321" i="12"/>
  <c r="X321" i="12" s="1"/>
  <c r="D322" i="12"/>
  <c r="J322" i="12"/>
  <c r="K322" i="12"/>
  <c r="N322" i="12"/>
  <c r="R322" i="12"/>
  <c r="T322" i="12" s="1"/>
  <c r="U322" i="12"/>
  <c r="D323" i="12"/>
  <c r="J323" i="12"/>
  <c r="K323" i="12"/>
  <c r="N323" i="12"/>
  <c r="T323" i="12"/>
  <c r="U323" i="12"/>
  <c r="X323" i="12" s="1"/>
  <c r="D324" i="12"/>
  <c r="J324" i="12"/>
  <c r="K324" i="12"/>
  <c r="N324" i="12"/>
  <c r="T324" i="12"/>
  <c r="U324" i="12"/>
  <c r="X324" i="12" s="1"/>
  <c r="D325" i="12"/>
  <c r="J325" i="12"/>
  <c r="K325" i="12"/>
  <c r="N325" i="12"/>
  <c r="R325" i="12"/>
  <c r="T325" i="12" s="1"/>
  <c r="U325" i="12"/>
  <c r="D326" i="12"/>
  <c r="F326" i="12" s="1"/>
  <c r="J326" i="12"/>
  <c r="K326" i="12"/>
  <c r="N326" i="12"/>
  <c r="T326" i="12"/>
  <c r="U326" i="12"/>
  <c r="X326" i="12" s="1"/>
  <c r="D327" i="12"/>
  <c r="F327" i="12" s="1"/>
  <c r="J327" i="12"/>
  <c r="K327" i="12"/>
  <c r="N327" i="12"/>
  <c r="T327" i="12"/>
  <c r="U327" i="12"/>
  <c r="X327" i="12" s="1"/>
  <c r="D328" i="12"/>
  <c r="F328" i="12" s="1"/>
  <c r="J328" i="12"/>
  <c r="K328" i="12"/>
  <c r="N328" i="12"/>
  <c r="T328" i="12"/>
  <c r="U328" i="12"/>
  <c r="D329" i="12"/>
  <c r="K329" i="12"/>
  <c r="N329" i="12"/>
  <c r="R329" i="12"/>
  <c r="T329" i="12" s="1"/>
  <c r="U329" i="12"/>
  <c r="X329" i="12" s="1"/>
  <c r="D330" i="12"/>
  <c r="C330" i="12" s="1"/>
  <c r="K330" i="12"/>
  <c r="N330" i="12"/>
  <c r="T330" i="12"/>
  <c r="U330" i="12"/>
  <c r="D331" i="12"/>
  <c r="J331" i="12"/>
  <c r="K331" i="12"/>
  <c r="N331" i="12"/>
  <c r="T331" i="12"/>
  <c r="U331" i="12"/>
  <c r="X331" i="12" s="1"/>
  <c r="Y331" i="12"/>
  <c r="Z331" i="12"/>
  <c r="D332" i="12"/>
  <c r="C332" i="12" s="1"/>
  <c r="J332" i="12"/>
  <c r="K332" i="12"/>
  <c r="N332" i="12"/>
  <c r="T332" i="12"/>
  <c r="U332" i="12"/>
  <c r="Y332" i="12"/>
  <c r="Z332" i="12"/>
  <c r="D333" i="12"/>
  <c r="C333" i="12" s="1"/>
  <c r="J333" i="12"/>
  <c r="K333" i="12"/>
  <c r="L333" i="12" s="1"/>
  <c r="N333" i="12"/>
  <c r="R333" i="12"/>
  <c r="D334" i="12"/>
  <c r="C334" i="12" s="1"/>
  <c r="J334" i="12"/>
  <c r="K334" i="12"/>
  <c r="L334" i="12" s="1"/>
  <c r="N334" i="12"/>
  <c r="R334" i="12"/>
  <c r="D335" i="12"/>
  <c r="C335" i="12" s="1"/>
  <c r="J335" i="12"/>
  <c r="K335" i="12"/>
  <c r="L335" i="12" s="1"/>
  <c r="N335" i="12"/>
  <c r="D336" i="12"/>
  <c r="C336" i="12" s="1"/>
  <c r="J336" i="12"/>
  <c r="K336" i="12"/>
  <c r="L336" i="12" s="1"/>
  <c r="N336" i="12"/>
  <c r="D337" i="12"/>
  <c r="C337" i="12" s="1"/>
  <c r="J337" i="12"/>
  <c r="K337" i="12"/>
  <c r="N337" i="12"/>
  <c r="R337" i="12"/>
  <c r="T337" i="12"/>
  <c r="U337" i="12"/>
  <c r="X337" i="12" s="1"/>
  <c r="D338" i="12"/>
  <c r="C338" i="12" s="1"/>
  <c r="J338" i="12"/>
  <c r="K338" i="12"/>
  <c r="N338" i="12"/>
  <c r="R338" i="12"/>
  <c r="T338" i="12" s="1"/>
  <c r="U338" i="12"/>
  <c r="X338" i="12" s="1"/>
  <c r="D339" i="12"/>
  <c r="C339" i="12" s="1"/>
  <c r="J339" i="12"/>
  <c r="K339" i="12"/>
  <c r="N339" i="12"/>
  <c r="R339" i="12"/>
  <c r="T339" i="12" s="1"/>
  <c r="U339" i="12"/>
  <c r="X339" i="12" s="1"/>
  <c r="D340" i="12"/>
  <c r="C340" i="12" s="1"/>
  <c r="J340" i="12"/>
  <c r="K340" i="12"/>
  <c r="N340" i="12"/>
  <c r="R340" i="12"/>
  <c r="T340" i="12" s="1"/>
  <c r="U340" i="12"/>
  <c r="D341" i="12"/>
  <c r="F341" i="12" s="1"/>
  <c r="J341" i="12"/>
  <c r="K341" i="12"/>
  <c r="N341" i="12"/>
  <c r="R341" i="12"/>
  <c r="T341" i="12" s="1"/>
  <c r="U341" i="12"/>
  <c r="X341" i="12" s="1"/>
  <c r="D342" i="12"/>
  <c r="C342" i="12" s="1"/>
  <c r="J342" i="12"/>
  <c r="K342" i="12"/>
  <c r="N342" i="12"/>
  <c r="R342" i="12"/>
  <c r="T342" i="12" s="1"/>
  <c r="U342" i="12"/>
  <c r="X342" i="12" s="1"/>
  <c r="D343" i="12"/>
  <c r="F343" i="12" s="1"/>
  <c r="J343" i="12"/>
  <c r="K343" i="12"/>
  <c r="N343" i="12"/>
  <c r="R343" i="12"/>
  <c r="T343" i="12" s="1"/>
  <c r="U343" i="12"/>
  <c r="D344" i="12"/>
  <c r="F344" i="12" s="1"/>
  <c r="J344" i="12"/>
  <c r="K344" i="12"/>
  <c r="N344" i="12"/>
  <c r="R344" i="12"/>
  <c r="T344" i="12" s="1"/>
  <c r="U344" i="12"/>
  <c r="X344" i="12" s="1"/>
  <c r="D345" i="12"/>
  <c r="J345" i="12"/>
  <c r="K345" i="12"/>
  <c r="N345" i="12"/>
  <c r="T345" i="12"/>
  <c r="U345" i="12"/>
  <c r="D346" i="12"/>
  <c r="J346" i="12"/>
  <c r="K346" i="12"/>
  <c r="N346" i="12"/>
  <c r="T346" i="12"/>
  <c r="U346" i="12"/>
  <c r="X346" i="12" s="1"/>
  <c r="D347" i="12"/>
  <c r="C347" i="12" s="1"/>
  <c r="J347" i="12"/>
  <c r="K347" i="12"/>
  <c r="N347" i="12"/>
  <c r="T347" i="12"/>
  <c r="U347" i="12"/>
  <c r="X347" i="12" s="1"/>
  <c r="D348" i="12"/>
  <c r="J348" i="12"/>
  <c r="K348" i="12"/>
  <c r="N348" i="12"/>
  <c r="T348" i="12"/>
  <c r="U348" i="12"/>
  <c r="X348" i="12" s="1"/>
  <c r="D349" i="12"/>
  <c r="C349" i="12" s="1"/>
  <c r="J349" i="12"/>
  <c r="K349" i="12"/>
  <c r="N349" i="12"/>
  <c r="T349" i="12"/>
  <c r="U349" i="12"/>
  <c r="X349" i="12" s="1"/>
  <c r="D350" i="12"/>
  <c r="J350" i="12"/>
  <c r="K350" i="12"/>
  <c r="N350" i="12"/>
  <c r="T350" i="12"/>
  <c r="U350" i="12"/>
  <c r="X350" i="12" s="1"/>
  <c r="D351" i="12"/>
  <c r="C351" i="12" s="1"/>
  <c r="J351" i="12"/>
  <c r="K351" i="12"/>
  <c r="N351" i="12"/>
  <c r="T351" i="12"/>
  <c r="U351" i="12"/>
  <c r="X351" i="12" s="1"/>
  <c r="D352" i="12"/>
  <c r="C352" i="12" s="1"/>
  <c r="J352" i="12"/>
  <c r="K352" i="12"/>
  <c r="N352" i="12"/>
  <c r="T352" i="12"/>
  <c r="U352" i="12"/>
  <c r="D353" i="12"/>
  <c r="J353" i="12"/>
  <c r="K353" i="12"/>
  <c r="N353" i="12"/>
  <c r="T353" i="12"/>
  <c r="U353" i="12"/>
  <c r="X353" i="12" s="1"/>
  <c r="D354" i="12"/>
  <c r="J354" i="12"/>
  <c r="K354" i="12"/>
  <c r="N354" i="12"/>
  <c r="T354" i="12"/>
  <c r="U354" i="12"/>
  <c r="D355" i="12"/>
  <c r="C355" i="12" s="1"/>
  <c r="J355" i="12"/>
  <c r="K355" i="12"/>
  <c r="N355" i="12"/>
  <c r="T355" i="12"/>
  <c r="U355" i="12"/>
  <c r="X355" i="12" s="1"/>
  <c r="D356" i="12"/>
  <c r="C356" i="12" s="1"/>
  <c r="J356" i="12"/>
  <c r="K356" i="12"/>
  <c r="N356" i="12"/>
  <c r="T356" i="12"/>
  <c r="U356" i="12"/>
  <c r="D357" i="12"/>
  <c r="J357" i="12"/>
  <c r="K357" i="12"/>
  <c r="N357" i="12"/>
  <c r="T357" i="12"/>
  <c r="U357" i="12"/>
  <c r="D358" i="12"/>
  <c r="C358" i="12" s="1"/>
  <c r="J358" i="12"/>
  <c r="K358" i="12"/>
  <c r="N358" i="12"/>
  <c r="T358" i="12"/>
  <c r="U358" i="12"/>
  <c r="X358" i="12" s="1"/>
  <c r="D359" i="12"/>
  <c r="J359" i="12"/>
  <c r="K359" i="12"/>
  <c r="N359" i="12"/>
  <c r="R359" i="12"/>
  <c r="T359" i="12" s="1"/>
  <c r="U359" i="12"/>
  <c r="X359" i="12" s="1"/>
  <c r="D360" i="12"/>
  <c r="C360" i="12" s="1"/>
  <c r="J360" i="12"/>
  <c r="K360" i="12"/>
  <c r="N360" i="12"/>
  <c r="R360" i="12"/>
  <c r="T360" i="12"/>
  <c r="U360" i="12"/>
  <c r="X360" i="12" s="1"/>
  <c r="D361" i="12"/>
  <c r="F361" i="12" s="1"/>
  <c r="J361" i="12"/>
  <c r="K361" i="12"/>
  <c r="N361" i="12"/>
  <c r="R361" i="12"/>
  <c r="T361" i="12" s="1"/>
  <c r="U361" i="12"/>
  <c r="X361" i="12" s="1"/>
  <c r="D362" i="12"/>
  <c r="F362" i="12" s="1"/>
  <c r="J362" i="12"/>
  <c r="K362" i="12"/>
  <c r="N362" i="12"/>
  <c r="R362" i="12"/>
  <c r="T362" i="12" s="1"/>
  <c r="U362" i="12"/>
  <c r="X362" i="12" s="1"/>
  <c r="D363" i="12"/>
  <c r="F363" i="12" s="1"/>
  <c r="J363" i="12"/>
  <c r="K363" i="12"/>
  <c r="N363" i="12"/>
  <c r="R363" i="12"/>
  <c r="T363" i="12" s="1"/>
  <c r="U363" i="12"/>
  <c r="X363" i="12" s="1"/>
  <c r="D364" i="12"/>
  <c r="C364" i="12" s="1"/>
  <c r="J364" i="12"/>
  <c r="K364" i="12"/>
  <c r="N364" i="12"/>
  <c r="R364" i="12"/>
  <c r="T364" i="12" s="1"/>
  <c r="U364" i="12"/>
  <c r="X364" i="12" s="1"/>
  <c r="D365" i="12"/>
  <c r="J365" i="12"/>
  <c r="K365" i="12"/>
  <c r="N365" i="12"/>
  <c r="R365" i="12"/>
  <c r="T365" i="12" s="1"/>
  <c r="U365" i="12"/>
  <c r="D366" i="12"/>
  <c r="J366" i="12"/>
  <c r="K366" i="12"/>
  <c r="N366" i="12"/>
  <c r="R366" i="12"/>
  <c r="T366" i="12" s="1"/>
  <c r="U366" i="12"/>
  <c r="X366" i="12" s="1"/>
  <c r="D367" i="12"/>
  <c r="F367" i="12" s="1"/>
  <c r="J367" i="12"/>
  <c r="K367" i="12"/>
  <c r="N367" i="12"/>
  <c r="T367" i="12"/>
  <c r="U367" i="12"/>
  <c r="X367" i="12" s="1"/>
  <c r="D368" i="12"/>
  <c r="F368" i="12" s="1"/>
  <c r="J368" i="12"/>
  <c r="K368" i="12"/>
  <c r="N368" i="12"/>
  <c r="T368" i="12"/>
  <c r="U368" i="12"/>
  <c r="X368" i="12" s="1"/>
  <c r="D369" i="12"/>
  <c r="J369" i="12"/>
  <c r="K369" i="12"/>
  <c r="N369" i="12"/>
  <c r="R369" i="12"/>
  <c r="T369" i="12" s="1"/>
  <c r="U369" i="12"/>
  <c r="X369" i="12" s="1"/>
  <c r="D370" i="12"/>
  <c r="C370" i="12" s="1"/>
  <c r="J370" i="12"/>
  <c r="K370" i="12"/>
  <c r="N370" i="12"/>
  <c r="R370" i="12"/>
  <c r="T370" i="12" s="1"/>
  <c r="U370" i="12"/>
  <c r="X370" i="12" s="1"/>
  <c r="D371" i="12"/>
  <c r="C371" i="12" s="1"/>
  <c r="J371" i="12"/>
  <c r="K371" i="12"/>
  <c r="N371" i="12"/>
  <c r="R371" i="12"/>
  <c r="T371" i="12" s="1"/>
  <c r="U371" i="12"/>
  <c r="Y371" i="12"/>
  <c r="Z371" i="12"/>
  <c r="D372" i="12"/>
  <c r="J372" i="12"/>
  <c r="K372" i="12"/>
  <c r="N372" i="12"/>
  <c r="R372" i="12"/>
  <c r="T372" i="12" s="1"/>
  <c r="U372" i="12"/>
  <c r="X372" i="12" s="1"/>
  <c r="Y372" i="12"/>
  <c r="Z372" i="12"/>
  <c r="D373" i="12"/>
  <c r="J373" i="12"/>
  <c r="K373" i="12"/>
  <c r="N373" i="12"/>
  <c r="R373" i="12"/>
  <c r="T373" i="12" s="1"/>
  <c r="U373" i="12"/>
  <c r="X373" i="12" s="1"/>
  <c r="D374" i="12"/>
  <c r="J374" i="12"/>
  <c r="K374" i="12"/>
  <c r="N374" i="12"/>
  <c r="T374" i="12"/>
  <c r="U374" i="12"/>
  <c r="D375" i="12"/>
  <c r="F375" i="12" s="1"/>
  <c r="J375" i="12"/>
  <c r="K375" i="12"/>
  <c r="N375" i="12"/>
  <c r="T375" i="12"/>
  <c r="U375" i="12"/>
  <c r="X375" i="12" s="1"/>
  <c r="D376" i="12"/>
  <c r="C376" i="12" s="1"/>
  <c r="J376" i="12"/>
  <c r="K376" i="12"/>
  <c r="N376" i="12"/>
  <c r="R376" i="12"/>
  <c r="T376" i="12" s="1"/>
  <c r="U376" i="12"/>
  <c r="X376" i="12" s="1"/>
  <c r="Y376" i="12"/>
  <c r="Z376" i="12"/>
  <c r="D377" i="12"/>
  <c r="C377" i="12" s="1"/>
  <c r="J377" i="12"/>
  <c r="K377" i="12"/>
  <c r="L377" i="12" s="1"/>
  <c r="T377" i="12" s="1"/>
  <c r="N377" i="12"/>
  <c r="D378" i="12"/>
  <c r="F378" i="12" s="1"/>
  <c r="J378" i="12"/>
  <c r="K378" i="12"/>
  <c r="L378" i="12" s="1"/>
  <c r="N378" i="12"/>
  <c r="D379" i="12"/>
  <c r="C379" i="12" s="1"/>
  <c r="J379" i="12"/>
  <c r="K379" i="12"/>
  <c r="N379" i="12"/>
  <c r="T379" i="12"/>
  <c r="U379" i="12"/>
  <c r="X379" i="12" s="1"/>
  <c r="D380" i="12"/>
  <c r="J380" i="12"/>
  <c r="K380" i="12"/>
  <c r="N380" i="12"/>
  <c r="R380" i="12"/>
  <c r="T380" i="12"/>
  <c r="U380" i="12"/>
  <c r="D381" i="12"/>
  <c r="F381" i="12" s="1"/>
  <c r="J381" i="12"/>
  <c r="K381" i="12"/>
  <c r="N381" i="12"/>
  <c r="R381" i="12"/>
  <c r="T381" i="12" s="1"/>
  <c r="U381" i="12"/>
  <c r="X381" i="12" s="1"/>
  <c r="D382" i="12"/>
  <c r="F382" i="12" s="1"/>
  <c r="J382" i="12"/>
  <c r="K382" i="12"/>
  <c r="N382" i="12"/>
  <c r="R382" i="12"/>
  <c r="T382" i="12" s="1"/>
  <c r="U382" i="12"/>
  <c r="X382" i="12" s="1"/>
  <c r="D383" i="12"/>
  <c r="C383" i="12" s="1"/>
  <c r="J383" i="12"/>
  <c r="K383" i="12"/>
  <c r="N383" i="12"/>
  <c r="R383" i="12"/>
  <c r="T383" i="12"/>
  <c r="U383" i="12"/>
  <c r="X383" i="12" s="1"/>
  <c r="D384" i="12"/>
  <c r="J384" i="12"/>
  <c r="K384" i="12"/>
  <c r="N384" i="12"/>
  <c r="R384" i="12"/>
  <c r="T384" i="12" s="1"/>
  <c r="U384" i="12"/>
  <c r="X384" i="12" s="1"/>
  <c r="D385" i="12"/>
  <c r="J385" i="12"/>
  <c r="K385" i="12"/>
  <c r="N385" i="12"/>
  <c r="T385" i="12"/>
  <c r="U385" i="12"/>
  <c r="X385" i="12" s="1"/>
  <c r="D386" i="12"/>
  <c r="F386" i="12" s="1"/>
  <c r="J386" i="12"/>
  <c r="K386" i="12"/>
  <c r="N386" i="12"/>
  <c r="T386" i="12"/>
  <c r="U386" i="12"/>
  <c r="X386" i="12" s="1"/>
  <c r="D387" i="12"/>
  <c r="J387" i="12"/>
  <c r="K387" i="12"/>
  <c r="N387" i="12"/>
  <c r="R387" i="12"/>
  <c r="T387" i="12" s="1"/>
  <c r="U387" i="12"/>
  <c r="X387" i="12" s="1"/>
  <c r="D388" i="12"/>
  <c r="J388" i="12"/>
  <c r="K388" i="12"/>
  <c r="N388" i="12"/>
  <c r="R388" i="12"/>
  <c r="T388" i="12" s="1"/>
  <c r="U388" i="12"/>
  <c r="D389" i="12"/>
  <c r="C389" i="12" s="1"/>
  <c r="J389" i="12"/>
  <c r="K389" i="12"/>
  <c r="N389" i="12"/>
  <c r="R389" i="12"/>
  <c r="T389" i="12" s="1"/>
  <c r="U389" i="12"/>
  <c r="X389" i="12" s="1"/>
  <c r="D390" i="12"/>
  <c r="F390" i="12" s="1"/>
  <c r="J390" i="12"/>
  <c r="K390" i="12"/>
  <c r="N390" i="12"/>
  <c r="R390" i="12"/>
  <c r="T390" i="12" s="1"/>
  <c r="U390" i="12"/>
  <c r="X390" i="12" s="1"/>
  <c r="D391" i="12"/>
  <c r="C391" i="12" s="1"/>
  <c r="J391" i="12"/>
  <c r="K391" i="12"/>
  <c r="N391" i="12"/>
  <c r="R391" i="12"/>
  <c r="T391" i="12" s="1"/>
  <c r="U391" i="12"/>
  <c r="D392" i="12"/>
  <c r="J392" i="12"/>
  <c r="K392" i="12"/>
  <c r="N392" i="12"/>
  <c r="R392" i="12"/>
  <c r="T392" i="12" s="1"/>
  <c r="U392" i="12"/>
  <c r="D393" i="12"/>
  <c r="F393" i="12" s="1"/>
  <c r="J393" i="12"/>
  <c r="K393" i="12"/>
  <c r="N393" i="12"/>
  <c r="R393" i="12"/>
  <c r="T393" i="12" s="1"/>
  <c r="U393" i="12"/>
  <c r="X393" i="12" s="1"/>
  <c r="Y393" i="12"/>
  <c r="Z393" i="12"/>
  <c r="D394" i="12"/>
  <c r="C394" i="12" s="1"/>
  <c r="J394" i="12"/>
  <c r="K394" i="12"/>
  <c r="N394" i="12"/>
  <c r="R394" i="12"/>
  <c r="T394" i="12" s="1"/>
  <c r="U394" i="12"/>
  <c r="Y394" i="12"/>
  <c r="Z394" i="12"/>
  <c r="D395" i="12"/>
  <c r="J395" i="12"/>
  <c r="K395" i="12"/>
  <c r="N395" i="12"/>
  <c r="R395" i="12"/>
  <c r="T395" i="12" s="1"/>
  <c r="U395" i="12"/>
  <c r="D396" i="12"/>
  <c r="C396" i="12" s="1"/>
  <c r="J396" i="12"/>
  <c r="K396" i="12"/>
  <c r="N396" i="12"/>
  <c r="R396" i="12"/>
  <c r="T396" i="12"/>
  <c r="U396" i="12"/>
  <c r="D397" i="12"/>
  <c r="F397" i="12" s="1"/>
  <c r="J397" i="12"/>
  <c r="K397" i="12"/>
  <c r="N397" i="12"/>
  <c r="R397" i="12"/>
  <c r="T397" i="12" s="1"/>
  <c r="U397" i="12"/>
  <c r="D398" i="12"/>
  <c r="F398" i="12" s="1"/>
  <c r="J398" i="12"/>
  <c r="K398" i="12"/>
  <c r="N398" i="12"/>
  <c r="R398" i="12"/>
  <c r="T398" i="12" s="1"/>
  <c r="U398" i="12"/>
  <c r="X398" i="12" s="1"/>
  <c r="Y398" i="12"/>
  <c r="Z398" i="12"/>
  <c r="D399" i="12"/>
  <c r="J399" i="12"/>
  <c r="K399" i="12"/>
  <c r="N399" i="12"/>
  <c r="T399" i="12"/>
  <c r="U399" i="12"/>
  <c r="X399" i="12" s="1"/>
  <c r="D400" i="12"/>
  <c r="F400" i="12" s="1"/>
  <c r="J400" i="12"/>
  <c r="K400" i="12"/>
  <c r="N400" i="12"/>
  <c r="R400" i="12"/>
  <c r="T400" i="12" s="1"/>
  <c r="U400" i="12"/>
  <c r="C401" i="12"/>
  <c r="J401" i="12"/>
  <c r="K401" i="12"/>
  <c r="N401" i="12"/>
  <c r="R401" i="12"/>
  <c r="T401" i="12" s="1"/>
  <c r="U401" i="12"/>
  <c r="C402" i="12"/>
  <c r="J402" i="12"/>
  <c r="K402" i="12"/>
  <c r="N402" i="12"/>
  <c r="R402" i="12"/>
  <c r="T402" i="12" s="1"/>
  <c r="U402" i="12"/>
  <c r="C403" i="12"/>
  <c r="J403" i="12"/>
  <c r="K403" i="12"/>
  <c r="N403" i="12"/>
  <c r="R403" i="12"/>
  <c r="T403" i="12" s="1"/>
  <c r="U403" i="12"/>
  <c r="X403" i="12" s="1"/>
  <c r="C404" i="12"/>
  <c r="J404" i="12"/>
  <c r="K404" i="12"/>
  <c r="N404" i="12"/>
  <c r="T404" i="12"/>
  <c r="U404" i="12"/>
  <c r="C405" i="12"/>
  <c r="J405" i="12"/>
  <c r="K405" i="12"/>
  <c r="N405" i="12"/>
  <c r="T405" i="12"/>
  <c r="U405" i="12"/>
  <c r="X405" i="12" s="1"/>
  <c r="C406" i="12"/>
  <c r="J406" i="12"/>
  <c r="K406" i="12"/>
  <c r="N406" i="12"/>
  <c r="T406" i="12"/>
  <c r="U406" i="12"/>
  <c r="X406" i="12" s="1"/>
  <c r="C407" i="12"/>
  <c r="J407" i="12"/>
  <c r="K407" i="12"/>
  <c r="N407" i="12"/>
  <c r="T407" i="12"/>
  <c r="U407" i="12"/>
  <c r="D408" i="12"/>
  <c r="C408" i="12" s="1"/>
  <c r="J408" i="12"/>
  <c r="K408" i="12"/>
  <c r="N408" i="12"/>
  <c r="T408" i="12"/>
  <c r="U408" i="12"/>
  <c r="X408" i="12" s="1"/>
  <c r="D409" i="12"/>
  <c r="C409" i="12" s="1"/>
  <c r="J409" i="12"/>
  <c r="K409" i="12"/>
  <c r="N409" i="12"/>
  <c r="T409" i="12"/>
  <c r="U409" i="12"/>
  <c r="X409" i="12" s="1"/>
  <c r="D410" i="12"/>
  <c r="F410" i="12" s="1"/>
  <c r="J410" i="12"/>
  <c r="K410" i="12"/>
  <c r="N410" i="12"/>
  <c r="T410" i="12"/>
  <c r="U410" i="12"/>
  <c r="X410" i="12" s="1"/>
  <c r="D411" i="12"/>
  <c r="C411" i="12" s="1"/>
  <c r="J411" i="12"/>
  <c r="K411" i="12"/>
  <c r="N411" i="12"/>
  <c r="T411" i="12"/>
  <c r="U411" i="12"/>
  <c r="X411" i="12" s="1"/>
  <c r="D412" i="12"/>
  <c r="C412" i="12" s="1"/>
  <c r="J412" i="12"/>
  <c r="K412" i="12"/>
  <c r="N412" i="12"/>
  <c r="T412" i="12"/>
  <c r="U412" i="12"/>
  <c r="X412" i="12" s="1"/>
  <c r="D413" i="12"/>
  <c r="F413" i="12" s="1"/>
  <c r="J413" i="12"/>
  <c r="K413" i="12"/>
  <c r="N413" i="12"/>
  <c r="T413" i="12"/>
  <c r="U413" i="12"/>
  <c r="X413" i="12" s="1"/>
  <c r="D414" i="12"/>
  <c r="F414" i="12" s="1"/>
  <c r="J414" i="12"/>
  <c r="K414" i="12"/>
  <c r="N414" i="12"/>
  <c r="T414" i="12"/>
  <c r="U414" i="12"/>
  <c r="X414" i="12" s="1"/>
  <c r="D415" i="12"/>
  <c r="C415" i="12" s="1"/>
  <c r="J415" i="12"/>
  <c r="K415" i="12"/>
  <c r="N415" i="12"/>
  <c r="T415" i="12"/>
  <c r="U415" i="12"/>
  <c r="X415" i="12" s="1"/>
  <c r="C416" i="12"/>
  <c r="K416" i="12"/>
  <c r="N416" i="12"/>
  <c r="R416" i="12"/>
  <c r="T416" i="12" s="1"/>
  <c r="U416" i="12"/>
  <c r="X416" i="12" s="1"/>
  <c r="C417" i="12"/>
  <c r="J417" i="12"/>
  <c r="K417" i="12"/>
  <c r="N417" i="12"/>
  <c r="T417" i="12"/>
  <c r="U417" i="12"/>
  <c r="D418" i="12"/>
  <c r="J418" i="12"/>
  <c r="K418" i="12"/>
  <c r="N418" i="12"/>
  <c r="T418" i="12"/>
  <c r="U418" i="12"/>
  <c r="D419" i="12"/>
  <c r="F419" i="12" s="1"/>
  <c r="J419" i="12"/>
  <c r="K419" i="12"/>
  <c r="N419" i="12"/>
  <c r="T419" i="12"/>
  <c r="U419" i="12"/>
  <c r="X419" i="12" s="1"/>
  <c r="D420" i="12"/>
  <c r="J420" i="12"/>
  <c r="K420" i="12"/>
  <c r="N420" i="12"/>
  <c r="T420" i="12"/>
  <c r="U420" i="12"/>
  <c r="D421" i="12"/>
  <c r="J421" i="12"/>
  <c r="K421" i="12"/>
  <c r="N421" i="12"/>
  <c r="T421" i="12"/>
  <c r="U421" i="12"/>
  <c r="X421" i="12" s="1"/>
  <c r="D422" i="12"/>
  <c r="J422" i="12"/>
  <c r="K422" i="12"/>
  <c r="N422" i="12"/>
  <c r="T422" i="12"/>
  <c r="U422" i="12"/>
  <c r="X422" i="12" s="1"/>
  <c r="D423" i="12"/>
  <c r="J423" i="12"/>
  <c r="K423" i="12"/>
  <c r="N423" i="12"/>
  <c r="T423" i="12"/>
  <c r="U423" i="12"/>
  <c r="X423" i="12" s="1"/>
  <c r="D424" i="12"/>
  <c r="J424" i="12"/>
  <c r="K424" i="12"/>
  <c r="N424" i="12"/>
  <c r="T424" i="12"/>
  <c r="U424" i="12"/>
  <c r="X424" i="12" s="1"/>
  <c r="D425" i="12"/>
  <c r="J425" i="12"/>
  <c r="K425" i="12"/>
  <c r="N425" i="12"/>
  <c r="T425" i="12"/>
  <c r="U425" i="12"/>
  <c r="D426" i="12"/>
  <c r="C426" i="12" s="1"/>
  <c r="J426" i="12"/>
  <c r="K426" i="12"/>
  <c r="N426" i="12"/>
  <c r="T426" i="12"/>
  <c r="U426" i="12"/>
  <c r="D427" i="12"/>
  <c r="C427" i="12" s="1"/>
  <c r="J427" i="12"/>
  <c r="K427" i="12"/>
  <c r="N427" i="12"/>
  <c r="T427" i="12"/>
  <c r="U427" i="12"/>
  <c r="X427" i="12" s="1"/>
  <c r="D428" i="12"/>
  <c r="F428" i="12" s="1"/>
  <c r="J428" i="12"/>
  <c r="K428" i="12"/>
  <c r="N428" i="12"/>
  <c r="R428" i="12"/>
  <c r="T428" i="12" s="1"/>
  <c r="U428" i="12"/>
  <c r="X428" i="12" s="1"/>
  <c r="D429" i="12"/>
  <c r="F429" i="12" s="1"/>
  <c r="J429" i="12"/>
  <c r="K429" i="12"/>
  <c r="N429" i="12"/>
  <c r="R429" i="12"/>
  <c r="T429" i="12" s="1"/>
  <c r="U429" i="12"/>
  <c r="X429" i="12" s="1"/>
  <c r="D430" i="12"/>
  <c r="C430" i="12" s="1"/>
  <c r="J430" i="12"/>
  <c r="K430" i="12"/>
  <c r="N430" i="12"/>
  <c r="R430" i="12"/>
  <c r="T430" i="12" s="1"/>
  <c r="U430" i="12"/>
  <c r="X430" i="12" s="1"/>
  <c r="D431" i="12"/>
  <c r="J431" i="12"/>
  <c r="K431" i="12"/>
  <c r="N431" i="12"/>
  <c r="R431" i="12"/>
  <c r="T431" i="12" s="1"/>
  <c r="U431" i="12"/>
  <c r="X431" i="12" s="1"/>
  <c r="D432" i="12"/>
  <c r="C432" i="12" s="1"/>
  <c r="J432" i="12"/>
  <c r="K432" i="12"/>
  <c r="N432" i="12"/>
  <c r="R432" i="12"/>
  <c r="T432" i="12" s="1"/>
  <c r="U432" i="12"/>
  <c r="X432" i="12" s="1"/>
  <c r="D433" i="12"/>
  <c r="F433" i="12" s="1"/>
  <c r="J433" i="12"/>
  <c r="K433" i="12"/>
  <c r="N433" i="12"/>
  <c r="R433" i="12"/>
  <c r="T433" i="12" s="1"/>
  <c r="U433" i="12"/>
  <c r="D434" i="12"/>
  <c r="J434" i="12"/>
  <c r="K434" i="12"/>
  <c r="N434" i="12"/>
  <c r="R434" i="12"/>
  <c r="T434" i="12"/>
  <c r="U434" i="12"/>
  <c r="X434" i="12" s="1"/>
  <c r="D435" i="12"/>
  <c r="J435" i="12"/>
  <c r="K435" i="12"/>
  <c r="N435" i="12"/>
  <c r="R435" i="12"/>
  <c r="T435" i="12" s="1"/>
  <c r="U435" i="12"/>
  <c r="D436" i="12"/>
  <c r="F436" i="12" s="1"/>
  <c r="K436" i="12"/>
  <c r="N436" i="12"/>
  <c r="T436" i="12"/>
  <c r="U436" i="12"/>
  <c r="X436" i="12" s="1"/>
  <c r="D437" i="12"/>
  <c r="C437" i="12" s="1"/>
  <c r="J437" i="12"/>
  <c r="K437" i="12"/>
  <c r="N437" i="12"/>
  <c r="R437" i="12"/>
  <c r="T437" i="12" s="1"/>
  <c r="U437" i="12"/>
  <c r="X437" i="12" s="1"/>
  <c r="D438" i="12"/>
  <c r="F438" i="12" s="1"/>
  <c r="J438" i="12"/>
  <c r="K438" i="12"/>
  <c r="N438" i="12"/>
  <c r="T438" i="12"/>
  <c r="U438" i="12"/>
  <c r="X438" i="12" s="1"/>
  <c r="D439" i="12"/>
  <c r="F439" i="12" s="1"/>
  <c r="J439" i="12"/>
  <c r="K439" i="12"/>
  <c r="N439" i="12"/>
  <c r="R439" i="12"/>
  <c r="T439" i="12"/>
  <c r="U439" i="12"/>
  <c r="X439" i="12" s="1"/>
  <c r="D440" i="12"/>
  <c r="J440" i="12"/>
  <c r="K440" i="12"/>
  <c r="N440" i="12"/>
  <c r="T440" i="12"/>
  <c r="U440" i="12"/>
  <c r="X440" i="12" s="1"/>
  <c r="D441" i="12"/>
  <c r="J441" i="12"/>
  <c r="K441" i="12"/>
  <c r="N441" i="12"/>
  <c r="R441" i="12"/>
  <c r="T441" i="12" s="1"/>
  <c r="U441" i="12"/>
  <c r="D442" i="12"/>
  <c r="C442" i="12" s="1"/>
  <c r="J442" i="12"/>
  <c r="K442" i="12"/>
  <c r="N442" i="12"/>
  <c r="T442" i="12"/>
  <c r="U442" i="12"/>
  <c r="D443" i="12"/>
  <c r="C443" i="12" s="1"/>
  <c r="J443" i="12"/>
  <c r="K443" i="12"/>
  <c r="N443" i="12"/>
  <c r="T443" i="12"/>
  <c r="U443" i="12"/>
  <c r="X443" i="12" s="1"/>
  <c r="D444" i="12"/>
  <c r="C444" i="12" s="1"/>
  <c r="J444" i="12"/>
  <c r="K444" i="12"/>
  <c r="N444" i="12"/>
  <c r="T444" i="12"/>
  <c r="U444" i="12"/>
  <c r="D445" i="12"/>
  <c r="C445" i="12" s="1"/>
  <c r="J445" i="12"/>
  <c r="K445" i="12"/>
  <c r="N445" i="12"/>
  <c r="T445" i="12"/>
  <c r="U445" i="12"/>
  <c r="X445" i="12" s="1"/>
  <c r="D446" i="12"/>
  <c r="C446" i="12" s="1"/>
  <c r="J446" i="12"/>
  <c r="K446" i="12"/>
  <c r="N446" i="12"/>
  <c r="T446" i="12"/>
  <c r="U446" i="12"/>
  <c r="X446" i="12" s="1"/>
  <c r="D447" i="12"/>
  <c r="F447" i="12" s="1"/>
  <c r="J447" i="12"/>
  <c r="K447" i="12"/>
  <c r="N447" i="12"/>
  <c r="R447" i="12"/>
  <c r="T447" i="12" s="1"/>
  <c r="U447" i="12"/>
  <c r="X447" i="12" s="1"/>
  <c r="D448" i="12"/>
  <c r="J448" i="12"/>
  <c r="K448" i="12"/>
  <c r="N448" i="12"/>
  <c r="R448" i="12"/>
  <c r="T448" i="12" s="1"/>
  <c r="U448" i="12"/>
  <c r="D449" i="12"/>
  <c r="C449" i="12" s="1"/>
  <c r="J449" i="12"/>
  <c r="K449" i="12"/>
  <c r="N449" i="12"/>
  <c r="T449" i="12"/>
  <c r="U449" i="12"/>
  <c r="X449" i="12" s="1"/>
  <c r="D450" i="12"/>
  <c r="F450" i="12" s="1"/>
  <c r="J450" i="12"/>
  <c r="K450" i="12"/>
  <c r="N450" i="12"/>
  <c r="T450" i="12"/>
  <c r="U450" i="12"/>
  <c r="D451" i="12"/>
  <c r="C451" i="12" s="1"/>
  <c r="J451" i="12"/>
  <c r="K451" i="12"/>
  <c r="N451" i="12"/>
  <c r="T451" i="12"/>
  <c r="U451" i="12"/>
  <c r="X451" i="12" s="1"/>
  <c r="D452" i="12"/>
  <c r="F452" i="12" s="1"/>
  <c r="J452" i="12"/>
  <c r="K452" i="12"/>
  <c r="N452" i="12"/>
  <c r="T452" i="12"/>
  <c r="U452" i="12"/>
  <c r="X452" i="12" s="1"/>
  <c r="D453" i="12"/>
  <c r="C453" i="12" s="1"/>
  <c r="J453" i="12"/>
  <c r="K453" i="12"/>
  <c r="N453" i="12"/>
  <c r="T453" i="12"/>
  <c r="U453" i="12"/>
  <c r="X453" i="12" s="1"/>
  <c r="D454" i="12"/>
  <c r="C454" i="12" s="1"/>
  <c r="J454" i="12"/>
  <c r="K454" i="12"/>
  <c r="N454" i="12"/>
  <c r="T454" i="12"/>
  <c r="U454" i="12"/>
  <c r="X454" i="12" s="1"/>
  <c r="D455" i="12"/>
  <c r="F455" i="12" s="1"/>
  <c r="J455" i="12"/>
  <c r="K455" i="12"/>
  <c r="N455" i="12"/>
  <c r="T455" i="12"/>
  <c r="U455" i="12"/>
  <c r="D456" i="12"/>
  <c r="F456" i="12" s="1"/>
  <c r="J456" i="12"/>
  <c r="K456" i="12"/>
  <c r="N456" i="12"/>
  <c r="T456" i="12"/>
  <c r="U456" i="12"/>
  <c r="X456" i="12" s="1"/>
  <c r="D457" i="12"/>
  <c r="J457" i="12"/>
  <c r="K457" i="12"/>
  <c r="N457" i="12"/>
  <c r="T457" i="12"/>
  <c r="U457" i="12"/>
  <c r="X457" i="12" s="1"/>
  <c r="D458" i="12"/>
  <c r="F458" i="12" s="1"/>
  <c r="J458" i="12"/>
  <c r="K458" i="12"/>
  <c r="N458" i="12"/>
  <c r="T458" i="12"/>
  <c r="U458" i="12"/>
  <c r="X458" i="12" s="1"/>
  <c r="D459" i="12"/>
  <c r="F459" i="12" s="1"/>
  <c r="J459" i="12"/>
  <c r="K459" i="12"/>
  <c r="N459" i="12"/>
  <c r="R459" i="12"/>
  <c r="T459" i="12" s="1"/>
  <c r="U459" i="12"/>
  <c r="X459" i="12" s="1"/>
  <c r="D460" i="12"/>
  <c r="C460" i="12" s="1"/>
  <c r="J460" i="12"/>
  <c r="K460" i="12"/>
  <c r="N460" i="12"/>
  <c r="R460" i="12"/>
  <c r="T460" i="12" s="1"/>
  <c r="U460" i="12"/>
  <c r="D461" i="12"/>
  <c r="C461" i="12" s="1"/>
  <c r="J461" i="12"/>
  <c r="K461" i="12"/>
  <c r="N461" i="12"/>
  <c r="R461" i="12"/>
  <c r="T461" i="12" s="1"/>
  <c r="U461" i="12"/>
  <c r="D462" i="12"/>
  <c r="F462" i="12" s="1"/>
  <c r="J462" i="12"/>
  <c r="K462" i="12"/>
  <c r="N462" i="12"/>
  <c r="R462" i="12"/>
  <c r="T462" i="12" s="1"/>
  <c r="U462" i="12"/>
  <c r="X462" i="12" s="1"/>
  <c r="D463" i="12"/>
  <c r="F463" i="12" s="1"/>
  <c r="J463" i="12"/>
  <c r="K463" i="12"/>
  <c r="N463" i="12"/>
  <c r="R463" i="12"/>
  <c r="T463" i="12"/>
  <c r="U463" i="12"/>
  <c r="X463" i="12" s="1"/>
  <c r="D464" i="12"/>
  <c r="C464" i="12" s="1"/>
  <c r="J464" i="12"/>
  <c r="K464" i="12"/>
  <c r="N464" i="12"/>
  <c r="R464" i="12"/>
  <c r="T464" i="12" s="1"/>
  <c r="U464" i="12"/>
  <c r="X464" i="12" s="1"/>
  <c r="D465" i="12"/>
  <c r="C465" i="12" s="1"/>
  <c r="J465" i="12"/>
  <c r="K465" i="12"/>
  <c r="N465" i="12"/>
  <c r="R465" i="12"/>
  <c r="T465" i="12" s="1"/>
  <c r="U465" i="12"/>
  <c r="D466" i="12"/>
  <c r="C466" i="12" s="1"/>
  <c r="J466" i="12"/>
  <c r="K466" i="12"/>
  <c r="N466" i="12"/>
  <c r="R466" i="12"/>
  <c r="T466" i="12" s="1"/>
  <c r="U466" i="12"/>
  <c r="X466" i="12" s="1"/>
  <c r="D467" i="12"/>
  <c r="F467" i="12" s="1"/>
  <c r="J467" i="12"/>
  <c r="K467" i="12"/>
  <c r="N467" i="12"/>
  <c r="R467" i="12"/>
  <c r="T467" i="12" s="1"/>
  <c r="U467" i="12"/>
  <c r="X467" i="12" s="1"/>
  <c r="D468" i="12"/>
  <c r="J468" i="12"/>
  <c r="K468" i="12"/>
  <c r="N468" i="12"/>
  <c r="R468" i="12"/>
  <c r="T468" i="12" s="1"/>
  <c r="U468" i="12"/>
  <c r="X468" i="12" s="1"/>
  <c r="D469" i="12"/>
  <c r="C469" i="12" s="1"/>
  <c r="J469" i="12"/>
  <c r="K469" i="12"/>
  <c r="N469" i="12"/>
  <c r="T469" i="12"/>
  <c r="U469" i="12"/>
  <c r="X469" i="12" s="1"/>
  <c r="D470" i="12"/>
  <c r="C470" i="12" s="1"/>
  <c r="J470" i="12"/>
  <c r="K470" i="12"/>
  <c r="N470" i="12"/>
  <c r="T470" i="12"/>
  <c r="U470" i="12"/>
  <c r="D471" i="12"/>
  <c r="J471" i="12"/>
  <c r="K471" i="12"/>
  <c r="N471" i="12"/>
  <c r="T471" i="12"/>
  <c r="U471" i="12"/>
  <c r="X471" i="12" s="1"/>
  <c r="D472" i="12"/>
  <c r="C472" i="12" s="1"/>
  <c r="J472" i="12"/>
  <c r="K472" i="12"/>
  <c r="N472" i="12"/>
  <c r="T472" i="12"/>
  <c r="U472" i="12"/>
  <c r="X472" i="12" s="1"/>
  <c r="D473" i="12"/>
  <c r="C473" i="12" s="1"/>
  <c r="J473" i="12"/>
  <c r="K473" i="12"/>
  <c r="N473" i="12"/>
  <c r="T473" i="12"/>
  <c r="U473" i="12"/>
  <c r="D474" i="12"/>
  <c r="J474" i="12"/>
  <c r="K474" i="12"/>
  <c r="N474" i="12"/>
  <c r="R474" i="12"/>
  <c r="T474" i="12" s="1"/>
  <c r="U474" i="12"/>
  <c r="D475" i="12"/>
  <c r="C475" i="12" s="1"/>
  <c r="J475" i="12"/>
  <c r="K475" i="12"/>
  <c r="N475" i="12"/>
  <c r="R475" i="12"/>
  <c r="T475" i="12"/>
  <c r="U475" i="12"/>
  <c r="X475" i="12" s="1"/>
  <c r="D476" i="12"/>
  <c r="J476" i="12"/>
  <c r="K476" i="12"/>
  <c r="N476" i="12"/>
  <c r="R476" i="12"/>
  <c r="T476" i="12" s="1"/>
  <c r="U476" i="12"/>
  <c r="X476" i="12" s="1"/>
  <c r="D477" i="12"/>
  <c r="J477" i="12"/>
  <c r="K477" i="12"/>
  <c r="N477" i="12"/>
  <c r="R477" i="12"/>
  <c r="T477" i="12" s="1"/>
  <c r="U477" i="12"/>
  <c r="X477" i="12" s="1"/>
  <c r="D478" i="12"/>
  <c r="J478" i="12"/>
  <c r="K478" i="12"/>
  <c r="N478" i="12"/>
  <c r="R478" i="12"/>
  <c r="T478" i="12" s="1"/>
  <c r="U478" i="12"/>
  <c r="X478" i="12" s="1"/>
  <c r="D479" i="12"/>
  <c r="F479" i="12" s="1"/>
  <c r="J479" i="12"/>
  <c r="K479" i="12"/>
  <c r="N479" i="12"/>
  <c r="R479" i="12"/>
  <c r="T479" i="12" s="1"/>
  <c r="U479" i="12"/>
  <c r="X479" i="12" s="1"/>
  <c r="D480" i="12"/>
  <c r="F480" i="12" s="1"/>
  <c r="J480" i="12"/>
  <c r="K480" i="12"/>
  <c r="N480" i="12"/>
  <c r="R480" i="12"/>
  <c r="T480" i="12" s="1"/>
  <c r="U480" i="12"/>
  <c r="X480" i="12" s="1"/>
  <c r="D481" i="12"/>
  <c r="F481" i="12" s="1"/>
  <c r="J481" i="12"/>
  <c r="K481" i="12"/>
  <c r="N481" i="12"/>
  <c r="R481" i="12"/>
  <c r="T481" i="12" s="1"/>
  <c r="U481" i="12"/>
  <c r="X481" i="12" s="1"/>
  <c r="D482" i="12"/>
  <c r="J482" i="12"/>
  <c r="K482" i="12"/>
  <c r="N482" i="12"/>
  <c r="R482" i="12"/>
  <c r="T482" i="12" s="1"/>
  <c r="U482" i="12"/>
  <c r="X482" i="12" s="1"/>
  <c r="D483" i="12"/>
  <c r="J483" i="12"/>
  <c r="K483" i="12"/>
  <c r="N483" i="12"/>
  <c r="T483" i="12"/>
  <c r="U483" i="12"/>
  <c r="X483" i="12" s="1"/>
  <c r="D484" i="12"/>
  <c r="C484" i="12" s="1"/>
  <c r="J484" i="12"/>
  <c r="K484" i="12"/>
  <c r="N484" i="12"/>
  <c r="T484" i="12"/>
  <c r="U484" i="12"/>
  <c r="X484" i="12" s="1"/>
  <c r="D485" i="12"/>
  <c r="C485" i="12" s="1"/>
  <c r="J485" i="12"/>
  <c r="K485" i="12"/>
  <c r="N485" i="12"/>
  <c r="T485" i="12"/>
  <c r="U485" i="12"/>
  <c r="X485" i="12" s="1"/>
  <c r="D486" i="12"/>
  <c r="C486" i="12" s="1"/>
  <c r="J486" i="12"/>
  <c r="K486" i="12"/>
  <c r="N486" i="12"/>
  <c r="T486" i="12"/>
  <c r="U486" i="12"/>
  <c r="D487" i="12"/>
  <c r="C487" i="12" s="1"/>
  <c r="J487" i="12"/>
  <c r="K487" i="12"/>
  <c r="N487" i="12"/>
  <c r="T487" i="12"/>
  <c r="U487" i="12"/>
  <c r="X487" i="12" s="1"/>
  <c r="D488" i="12"/>
  <c r="J488" i="12"/>
  <c r="K488" i="12"/>
  <c r="N488" i="12"/>
  <c r="T488" i="12"/>
  <c r="U488" i="12"/>
  <c r="X488" i="12" s="1"/>
  <c r="D489" i="12"/>
  <c r="J489" i="12"/>
  <c r="K489" i="12"/>
  <c r="N489" i="12"/>
  <c r="T489" i="12"/>
  <c r="U489" i="12"/>
  <c r="D490" i="12"/>
  <c r="J490" i="12"/>
  <c r="K490" i="12"/>
  <c r="N490" i="12"/>
  <c r="T490" i="12"/>
  <c r="U490" i="12"/>
  <c r="X490" i="12" s="1"/>
  <c r="D491" i="12"/>
  <c r="C491" i="12" s="1"/>
  <c r="J491" i="12"/>
  <c r="K491" i="12"/>
  <c r="N491" i="12"/>
  <c r="T491" i="12"/>
  <c r="U491" i="12"/>
  <c r="D492" i="12"/>
  <c r="C492" i="12" s="1"/>
  <c r="J492" i="12"/>
  <c r="K492" i="12"/>
  <c r="N492" i="12"/>
  <c r="T492" i="12"/>
  <c r="U492" i="12"/>
  <c r="X492" i="12" s="1"/>
  <c r="D493" i="12"/>
  <c r="C493" i="12" s="1"/>
  <c r="J493" i="12"/>
  <c r="K493" i="12"/>
  <c r="N493" i="12"/>
  <c r="T493" i="12"/>
  <c r="U493" i="12"/>
  <c r="D494" i="12"/>
  <c r="J494" i="12"/>
  <c r="K494" i="12"/>
  <c r="N494" i="12"/>
  <c r="T494" i="12"/>
  <c r="U494" i="12"/>
  <c r="X494" i="12" s="1"/>
  <c r="D495" i="12"/>
  <c r="C495" i="12" s="1"/>
  <c r="J495" i="12"/>
  <c r="K495" i="12"/>
  <c r="N495" i="12"/>
  <c r="T495" i="12"/>
  <c r="U495" i="12"/>
  <c r="X495" i="12" s="1"/>
  <c r="D496" i="12"/>
  <c r="J496" i="12"/>
  <c r="K496" i="12"/>
  <c r="N496" i="12"/>
  <c r="R496" i="12"/>
  <c r="T496" i="12" s="1"/>
  <c r="U496" i="12"/>
  <c r="X496" i="12" s="1"/>
  <c r="D497" i="12"/>
  <c r="J497" i="12"/>
  <c r="K497" i="12"/>
  <c r="N497" i="12"/>
  <c r="R497" i="12"/>
  <c r="T497" i="12" s="1"/>
  <c r="U497" i="12"/>
  <c r="X497" i="12" s="1"/>
  <c r="D498" i="12"/>
  <c r="C498" i="12" s="1"/>
  <c r="J498" i="12"/>
  <c r="K498" i="12"/>
  <c r="N498" i="12"/>
  <c r="T498" i="12"/>
  <c r="U498" i="12"/>
  <c r="X498" i="12" s="1"/>
  <c r="D499" i="12"/>
  <c r="J499" i="12"/>
  <c r="K499" i="12"/>
  <c r="N499" i="12"/>
  <c r="T499" i="12"/>
  <c r="U499" i="12"/>
  <c r="X499" i="12" s="1"/>
  <c r="D500" i="12"/>
  <c r="F500" i="12" s="1"/>
  <c r="J500" i="12"/>
  <c r="K500" i="12"/>
  <c r="N500" i="12"/>
  <c r="T500" i="12"/>
  <c r="U500" i="12"/>
  <c r="D501" i="12"/>
  <c r="F501" i="12" s="1"/>
  <c r="J501" i="12"/>
  <c r="K501" i="12"/>
  <c r="N501" i="12"/>
  <c r="T501" i="12"/>
  <c r="U501" i="12"/>
  <c r="X501" i="12" s="1"/>
  <c r="D502" i="12"/>
  <c r="J502" i="12"/>
  <c r="K502" i="12"/>
  <c r="N502" i="12"/>
  <c r="T502" i="12"/>
  <c r="U502" i="12"/>
  <c r="D503" i="12"/>
  <c r="C503" i="12" s="1"/>
  <c r="J503" i="12"/>
  <c r="K503" i="12"/>
  <c r="N503" i="12"/>
  <c r="T503" i="12"/>
  <c r="U503" i="12"/>
  <c r="X503" i="12" s="1"/>
  <c r="D504" i="12"/>
  <c r="J504" i="12"/>
  <c r="K504" i="12"/>
  <c r="N504" i="12"/>
  <c r="T504" i="12"/>
  <c r="U504" i="12"/>
  <c r="X504" i="12" s="1"/>
  <c r="D505" i="12"/>
  <c r="F505" i="12" s="1"/>
  <c r="J505" i="12"/>
  <c r="K505" i="12"/>
  <c r="N505" i="12"/>
  <c r="T505" i="12"/>
  <c r="U505" i="12"/>
  <c r="D506" i="12"/>
  <c r="C506" i="12" s="1"/>
  <c r="J506" i="12"/>
  <c r="K506" i="12"/>
  <c r="N506" i="12"/>
  <c r="T506" i="12"/>
  <c r="U506" i="12"/>
  <c r="X506" i="12" s="1"/>
  <c r="D507" i="12"/>
  <c r="F507" i="12" s="1"/>
  <c r="K507" i="12"/>
  <c r="N507" i="12"/>
  <c r="T507" i="12"/>
  <c r="U507" i="12"/>
  <c r="X507" i="12" s="1"/>
  <c r="D508" i="12"/>
  <c r="J508" i="12"/>
  <c r="K508" i="12"/>
  <c r="N508" i="12"/>
  <c r="T508" i="12"/>
  <c r="U508" i="12"/>
  <c r="X508" i="12" s="1"/>
  <c r="D509" i="12"/>
  <c r="C509" i="12" s="1"/>
  <c r="J509" i="12"/>
  <c r="K509" i="12"/>
  <c r="N509" i="12"/>
  <c r="T509" i="12"/>
  <c r="U509" i="12"/>
  <c r="D510" i="12"/>
  <c r="J510" i="12"/>
  <c r="K510" i="12"/>
  <c r="N510" i="12"/>
  <c r="T510" i="12"/>
  <c r="U510" i="12"/>
  <c r="X510" i="12" s="1"/>
  <c r="D511" i="12"/>
  <c r="J511" i="12"/>
  <c r="K511" i="12"/>
  <c r="N511" i="12"/>
  <c r="T511" i="12"/>
  <c r="U511" i="12"/>
  <c r="X511" i="12" s="1"/>
  <c r="D512" i="12"/>
  <c r="C512" i="12" s="1"/>
  <c r="J512" i="12"/>
  <c r="K512" i="12"/>
  <c r="N512" i="12"/>
  <c r="T512" i="12"/>
  <c r="U512" i="12"/>
  <c r="X512" i="12" s="1"/>
  <c r="D513" i="12"/>
  <c r="J513" i="12"/>
  <c r="K513" i="12"/>
  <c r="N513" i="12"/>
  <c r="T513" i="12"/>
  <c r="U513" i="12"/>
  <c r="X513" i="12" s="1"/>
  <c r="D514" i="12"/>
  <c r="J514" i="12"/>
  <c r="K514" i="12"/>
  <c r="N514" i="12"/>
  <c r="T514" i="12"/>
  <c r="U514" i="12"/>
  <c r="D515" i="12"/>
  <c r="K515" i="12"/>
  <c r="N515" i="12"/>
  <c r="T515" i="12"/>
  <c r="U515" i="12"/>
  <c r="X515" i="12" s="1"/>
  <c r="D516" i="12"/>
  <c r="J516" i="12"/>
  <c r="K516" i="12"/>
  <c r="N516" i="12"/>
  <c r="T516" i="12"/>
  <c r="U516" i="12"/>
  <c r="D517" i="12"/>
  <c r="J517" i="12"/>
  <c r="K517" i="12"/>
  <c r="N517" i="12"/>
  <c r="T517" i="12"/>
  <c r="U517" i="12"/>
  <c r="X517" i="12" s="1"/>
  <c r="D518" i="12"/>
  <c r="J518" i="12"/>
  <c r="K518" i="12"/>
  <c r="N518" i="12"/>
  <c r="T518" i="12"/>
  <c r="U518" i="12"/>
  <c r="X518" i="12" s="1"/>
  <c r="D519" i="12"/>
  <c r="F519" i="12" s="1"/>
  <c r="J519" i="12"/>
  <c r="K519" i="12"/>
  <c r="N519" i="12"/>
  <c r="T519" i="12"/>
  <c r="U519" i="12"/>
  <c r="D520" i="12"/>
  <c r="J520" i="12"/>
  <c r="K520" i="12"/>
  <c r="N520" i="12"/>
  <c r="T520" i="12"/>
  <c r="U520" i="12"/>
  <c r="D521" i="12"/>
  <c r="C521" i="12" s="1"/>
  <c r="J521" i="12"/>
  <c r="K521" i="12"/>
  <c r="N521" i="12"/>
  <c r="T521" i="12"/>
  <c r="U521" i="12"/>
  <c r="X521" i="12" s="1"/>
  <c r="D522" i="12"/>
  <c r="J522" i="12"/>
  <c r="K522" i="12"/>
  <c r="N522" i="12"/>
  <c r="T522" i="12"/>
  <c r="U522" i="12"/>
  <c r="D523" i="12"/>
  <c r="C523" i="12" s="1"/>
  <c r="J523" i="12"/>
  <c r="K523" i="12"/>
  <c r="N523" i="12"/>
  <c r="T523" i="12"/>
  <c r="U523" i="12"/>
  <c r="X523" i="12" s="1"/>
  <c r="D524" i="12"/>
  <c r="J524" i="12"/>
  <c r="K524" i="12"/>
  <c r="N524" i="12"/>
  <c r="R524" i="12"/>
  <c r="T524" i="12" s="1"/>
  <c r="U524" i="12"/>
  <c r="X524" i="12" s="1"/>
  <c r="D525" i="12"/>
  <c r="J525" i="12"/>
  <c r="K525" i="12"/>
  <c r="N525" i="12"/>
  <c r="R525" i="12"/>
  <c r="T525" i="12" s="1"/>
  <c r="U525" i="12"/>
  <c r="D526" i="12"/>
  <c r="C526" i="12" s="1"/>
  <c r="J526" i="12"/>
  <c r="K526" i="12"/>
  <c r="N526" i="12"/>
  <c r="R526" i="12"/>
  <c r="T526" i="12" s="1"/>
  <c r="U526" i="12"/>
  <c r="D527" i="12"/>
  <c r="J527" i="12"/>
  <c r="K527" i="12"/>
  <c r="N527" i="12"/>
  <c r="R527" i="12"/>
  <c r="T527" i="12" s="1"/>
  <c r="U527" i="12"/>
  <c r="D528" i="12"/>
  <c r="C528" i="12" s="1"/>
  <c r="J528" i="12"/>
  <c r="K528" i="12"/>
  <c r="N528" i="12"/>
  <c r="R528" i="12"/>
  <c r="T528" i="12"/>
  <c r="U528" i="12"/>
  <c r="D529" i="12"/>
  <c r="C529" i="12" s="1"/>
  <c r="J529" i="12"/>
  <c r="K529" i="12"/>
  <c r="N529" i="12"/>
  <c r="R529" i="12"/>
  <c r="T529" i="12" s="1"/>
  <c r="U529" i="12"/>
  <c r="X529" i="12" s="1"/>
  <c r="D530" i="12"/>
  <c r="J530" i="12"/>
  <c r="K530" i="12"/>
  <c r="N530" i="12"/>
  <c r="R530" i="12"/>
  <c r="T530" i="12" s="1"/>
  <c r="U530" i="12"/>
  <c r="X530" i="12" s="1"/>
  <c r="D531" i="12"/>
  <c r="C531" i="12" s="1"/>
  <c r="J531" i="12"/>
  <c r="K531" i="12"/>
  <c r="N531" i="12"/>
  <c r="R531" i="12"/>
  <c r="T531" i="12" s="1"/>
  <c r="U531" i="12"/>
  <c r="D532" i="12"/>
  <c r="J532" i="12"/>
  <c r="K532" i="12"/>
  <c r="N532" i="12"/>
  <c r="T532" i="12"/>
  <c r="U532" i="12"/>
  <c r="X532" i="12" s="1"/>
  <c r="D533" i="12"/>
  <c r="J533" i="12"/>
  <c r="K533" i="12"/>
  <c r="N533" i="12"/>
  <c r="T533" i="12"/>
  <c r="U533" i="12"/>
  <c r="X533" i="12" s="1"/>
  <c r="D534" i="12"/>
  <c r="J534" i="12"/>
  <c r="K534" i="12"/>
  <c r="N534" i="12"/>
  <c r="T534" i="12"/>
  <c r="U534" i="12"/>
  <c r="D535" i="12"/>
  <c r="F535" i="12" s="1"/>
  <c r="J535" i="12"/>
  <c r="K535" i="12"/>
  <c r="N535" i="12"/>
  <c r="T535" i="12"/>
  <c r="U535" i="12"/>
  <c r="D536" i="12"/>
  <c r="J536" i="12"/>
  <c r="K536" i="12"/>
  <c r="N536" i="12"/>
  <c r="Q536" i="12"/>
  <c r="T536" i="12" s="1"/>
  <c r="R536" i="12"/>
  <c r="U536" i="12"/>
  <c r="X536" i="12" s="1"/>
  <c r="D537" i="12"/>
  <c r="J537" i="12"/>
  <c r="K537" i="12"/>
  <c r="N537" i="12"/>
  <c r="T537" i="12"/>
  <c r="U537" i="12"/>
  <c r="X537" i="12" s="1"/>
  <c r="D538" i="12"/>
  <c r="J538" i="12"/>
  <c r="K538" i="12"/>
  <c r="N538" i="12"/>
  <c r="T538" i="12"/>
  <c r="U538" i="12"/>
  <c r="X538" i="12" s="1"/>
  <c r="D539" i="12"/>
  <c r="J539" i="12"/>
  <c r="K539" i="12"/>
  <c r="N539" i="12"/>
  <c r="T539" i="12"/>
  <c r="U539" i="12"/>
  <c r="D540" i="12"/>
  <c r="J540" i="12"/>
  <c r="K540" i="12"/>
  <c r="N540" i="12"/>
  <c r="T540" i="12"/>
  <c r="U540" i="12"/>
  <c r="D541" i="12"/>
  <c r="F541" i="12" s="1"/>
  <c r="J541" i="12"/>
  <c r="K541" i="12"/>
  <c r="N541" i="12"/>
  <c r="T541" i="12"/>
  <c r="U541" i="12"/>
  <c r="X541" i="12" s="1"/>
  <c r="D542" i="12"/>
  <c r="J542" i="12"/>
  <c r="K542" i="12"/>
  <c r="N542" i="12"/>
  <c r="T542" i="12"/>
  <c r="U542" i="12"/>
  <c r="D543" i="12"/>
  <c r="F543" i="12" s="1"/>
  <c r="J543" i="12"/>
  <c r="K543" i="12"/>
  <c r="N543" i="12"/>
  <c r="T543" i="12"/>
  <c r="U543" i="12"/>
  <c r="X543" i="12" s="1"/>
  <c r="D544" i="12"/>
  <c r="J544" i="12"/>
  <c r="K544" i="12"/>
  <c r="N544" i="12"/>
  <c r="T544" i="12"/>
  <c r="U544" i="12"/>
  <c r="X544" i="12" s="1"/>
  <c r="D545" i="12"/>
  <c r="J545" i="12"/>
  <c r="K545" i="12"/>
  <c r="N545" i="12"/>
  <c r="T545" i="12"/>
  <c r="U545" i="12"/>
  <c r="D546" i="12"/>
  <c r="F546" i="12" s="1"/>
  <c r="K546" i="12"/>
  <c r="N546" i="12"/>
  <c r="T546" i="12"/>
  <c r="U546" i="12"/>
  <c r="X546" i="12" s="1"/>
  <c r="D547" i="12"/>
  <c r="F547" i="12" s="1"/>
  <c r="J547" i="12"/>
  <c r="K547" i="12"/>
  <c r="N547" i="12"/>
  <c r="T547" i="12"/>
  <c r="U547" i="12"/>
  <c r="D548" i="12"/>
  <c r="J548" i="12"/>
  <c r="K548" i="12"/>
  <c r="N548" i="12"/>
  <c r="T548" i="12"/>
  <c r="U548" i="12"/>
  <c r="X548" i="12" s="1"/>
  <c r="D549" i="12"/>
  <c r="J549" i="12"/>
  <c r="K549" i="12"/>
  <c r="N549" i="12"/>
  <c r="T549" i="12"/>
  <c r="U549" i="12"/>
  <c r="D550" i="12"/>
  <c r="J550" i="12"/>
  <c r="K550" i="12"/>
  <c r="N550" i="12"/>
  <c r="T550" i="12"/>
  <c r="U550" i="12"/>
  <c r="X550" i="12" s="1"/>
  <c r="D551" i="12"/>
  <c r="F551" i="12" s="1"/>
  <c r="J551" i="12"/>
  <c r="K551" i="12"/>
  <c r="N551" i="12"/>
  <c r="T551" i="12"/>
  <c r="U551" i="12"/>
  <c r="X551" i="12" s="1"/>
  <c r="D552" i="12"/>
  <c r="J552" i="12"/>
  <c r="K552" i="12"/>
  <c r="N552" i="12"/>
  <c r="T552" i="12"/>
  <c r="U552" i="12"/>
  <c r="D553" i="12"/>
  <c r="F553" i="12" s="1"/>
  <c r="J553" i="12"/>
  <c r="K553" i="12"/>
  <c r="N553" i="12"/>
  <c r="T553" i="12"/>
  <c r="U553" i="12"/>
  <c r="X553" i="12" s="1"/>
  <c r="D554" i="12"/>
  <c r="J554" i="12"/>
  <c r="K554" i="12"/>
  <c r="N554" i="12"/>
  <c r="R554" i="12"/>
  <c r="T554" i="12" s="1"/>
  <c r="U554" i="12"/>
  <c r="X554" i="12" s="1"/>
  <c r="D555" i="12"/>
  <c r="F555" i="12" s="1"/>
  <c r="J555" i="12"/>
  <c r="K555" i="12"/>
  <c r="N555" i="12"/>
  <c r="R555" i="12"/>
  <c r="T555" i="12" s="1"/>
  <c r="U555" i="12"/>
  <c r="D556" i="12"/>
  <c r="J556" i="12"/>
  <c r="K556" i="12"/>
  <c r="N556" i="12"/>
  <c r="R556" i="12"/>
  <c r="T556" i="12" s="1"/>
  <c r="U556" i="12"/>
  <c r="X556" i="12" s="1"/>
  <c r="D557" i="12"/>
  <c r="J557" i="12"/>
  <c r="K557" i="12"/>
  <c r="N557" i="12"/>
  <c r="T557" i="12"/>
  <c r="U557" i="12"/>
  <c r="D558" i="12"/>
  <c r="F558" i="12" s="1"/>
  <c r="J558" i="12"/>
  <c r="K558" i="12"/>
  <c r="N558" i="12"/>
  <c r="T558" i="12"/>
  <c r="U558" i="12"/>
  <c r="X558" i="12" s="1"/>
  <c r="D559" i="12"/>
  <c r="J559" i="12"/>
  <c r="K559" i="12"/>
  <c r="N559" i="12"/>
  <c r="T559" i="12"/>
  <c r="U559" i="12"/>
  <c r="X559" i="12" s="1"/>
  <c r="D560" i="12"/>
  <c r="C560" i="12" s="1"/>
  <c r="J560" i="12"/>
  <c r="K560" i="12"/>
  <c r="N560" i="12"/>
  <c r="T560" i="12"/>
  <c r="U560" i="12"/>
  <c r="D561" i="12"/>
  <c r="F561" i="12" s="1"/>
  <c r="K561" i="12"/>
  <c r="N561" i="12"/>
  <c r="T561" i="12"/>
  <c r="U561" i="12"/>
  <c r="X561" i="12" s="1"/>
  <c r="D562" i="12"/>
  <c r="J562" i="12"/>
  <c r="K562" i="12"/>
  <c r="N562" i="12"/>
  <c r="T562" i="12"/>
  <c r="U562" i="12"/>
  <c r="X562" i="12" s="1"/>
  <c r="D563" i="12"/>
  <c r="J563" i="12"/>
  <c r="K563" i="12"/>
  <c r="N563" i="12"/>
  <c r="T563" i="12"/>
  <c r="U563" i="12"/>
  <c r="X563" i="12" s="1"/>
  <c r="D564" i="12"/>
  <c r="F564" i="12" s="1"/>
  <c r="J564" i="12"/>
  <c r="K564" i="12"/>
  <c r="N564" i="12"/>
  <c r="T564" i="12"/>
  <c r="U564" i="12"/>
  <c r="X564" i="12" s="1"/>
  <c r="D565" i="12"/>
  <c r="F565" i="12" s="1"/>
  <c r="J565" i="12"/>
  <c r="K565" i="12"/>
  <c r="N565" i="12"/>
  <c r="T565" i="12"/>
  <c r="U565" i="12"/>
  <c r="Y565" i="12"/>
  <c r="Z565" i="12"/>
  <c r="D566" i="12"/>
  <c r="J566" i="12"/>
  <c r="K566" i="12"/>
  <c r="N566" i="12"/>
  <c r="T566" i="12"/>
  <c r="U566" i="12"/>
  <c r="X566" i="12" s="1"/>
  <c r="D567" i="12"/>
  <c r="C567" i="12" s="1"/>
  <c r="K567" i="12"/>
  <c r="N567" i="12"/>
  <c r="R567" i="12"/>
  <c r="T567" i="12" s="1"/>
  <c r="U567" i="12"/>
  <c r="X567" i="12" s="1"/>
  <c r="D568" i="12"/>
  <c r="J568" i="12"/>
  <c r="K568" i="12"/>
  <c r="N568" i="12"/>
  <c r="T568" i="12"/>
  <c r="U568" i="12"/>
  <c r="Y568" i="12"/>
  <c r="Z568" i="12"/>
  <c r="D569" i="12"/>
  <c r="F569" i="12" s="1"/>
  <c r="J569" i="12"/>
  <c r="K569" i="12"/>
  <c r="N569" i="12"/>
  <c r="T569" i="12"/>
  <c r="U569" i="12"/>
  <c r="X569" i="12" s="1"/>
  <c r="Y569" i="12"/>
  <c r="Z569" i="12"/>
  <c r="D570" i="12"/>
  <c r="F570" i="12" s="1"/>
  <c r="J570" i="12"/>
  <c r="K570" i="12"/>
  <c r="N570" i="12"/>
  <c r="T570" i="12"/>
  <c r="U570" i="12"/>
  <c r="X570" i="12" s="1"/>
  <c r="D571" i="12"/>
  <c r="C571" i="12" s="1"/>
  <c r="J571" i="12"/>
  <c r="K571" i="12"/>
  <c r="N571" i="12"/>
  <c r="T571" i="12"/>
  <c r="U571" i="12"/>
  <c r="X571" i="12" s="1"/>
  <c r="D572" i="12"/>
  <c r="J572" i="12"/>
  <c r="K572" i="12"/>
  <c r="N572" i="12"/>
  <c r="T572" i="12"/>
  <c r="U572" i="12"/>
  <c r="D573" i="12"/>
  <c r="C573" i="12" s="1"/>
  <c r="J573" i="12"/>
  <c r="K573" i="12"/>
  <c r="N573" i="12"/>
  <c r="T573" i="12"/>
  <c r="U573" i="12"/>
  <c r="D574" i="12"/>
  <c r="J574" i="12"/>
  <c r="K574" i="12"/>
  <c r="N574" i="12"/>
  <c r="T574" i="12"/>
  <c r="U574" i="12"/>
  <c r="X574" i="12" s="1"/>
  <c r="D575" i="12"/>
  <c r="C575" i="12" s="1"/>
  <c r="J575" i="12"/>
  <c r="K575" i="12"/>
  <c r="N575" i="12"/>
  <c r="T575" i="12"/>
  <c r="U575" i="12"/>
  <c r="D576" i="12"/>
  <c r="J576" i="12"/>
  <c r="K576" i="12"/>
  <c r="N576" i="12"/>
  <c r="T576" i="12"/>
  <c r="U576" i="12"/>
  <c r="D577" i="12"/>
  <c r="J577" i="12"/>
  <c r="K577" i="12"/>
  <c r="N577" i="12"/>
  <c r="T577" i="12"/>
  <c r="U577" i="12"/>
  <c r="X577" i="12" s="1"/>
  <c r="D578" i="12"/>
  <c r="F578" i="12" s="1"/>
  <c r="J578" i="12"/>
  <c r="K578" i="12"/>
  <c r="N578" i="12"/>
  <c r="T578" i="12"/>
  <c r="U578" i="12"/>
  <c r="D579" i="12"/>
  <c r="F579" i="12" s="1"/>
  <c r="J579" i="12"/>
  <c r="K579" i="12"/>
  <c r="N579" i="12"/>
  <c r="T579" i="12"/>
  <c r="U579" i="12"/>
  <c r="X579" i="12" s="1"/>
  <c r="D580" i="12"/>
  <c r="J580" i="12"/>
  <c r="K580" i="12"/>
  <c r="N580" i="12"/>
  <c r="T580" i="12"/>
  <c r="U580" i="12"/>
  <c r="D581" i="12"/>
  <c r="J581" i="12"/>
  <c r="K581" i="12"/>
  <c r="N581" i="12"/>
  <c r="T581" i="12"/>
  <c r="U581" i="12"/>
  <c r="X581" i="12" s="1"/>
  <c r="D582" i="12"/>
  <c r="C582" i="12" s="1"/>
  <c r="J582" i="12"/>
  <c r="K582" i="12"/>
  <c r="N582" i="12"/>
  <c r="T582" i="12"/>
  <c r="U582" i="12"/>
  <c r="X582" i="12" s="1"/>
  <c r="D583" i="12"/>
  <c r="F583" i="12" s="1"/>
  <c r="J583" i="12"/>
  <c r="K583" i="12"/>
  <c r="N583" i="12"/>
  <c r="T583" i="12"/>
  <c r="U583" i="12"/>
  <c r="D584" i="12"/>
  <c r="J584" i="12"/>
  <c r="K584" i="12"/>
  <c r="N584" i="12"/>
  <c r="T584" i="12"/>
  <c r="U584" i="12"/>
  <c r="D585" i="12"/>
  <c r="C585" i="12" s="1"/>
  <c r="J585" i="12"/>
  <c r="K585" i="12"/>
  <c r="N585" i="12"/>
  <c r="T585" i="12"/>
  <c r="U585" i="12"/>
  <c r="X585" i="12" s="1"/>
  <c r="D586" i="12"/>
  <c r="J586" i="12"/>
  <c r="K586" i="12"/>
  <c r="N586" i="12"/>
  <c r="T586" i="12"/>
  <c r="U586" i="12"/>
  <c r="D587" i="12"/>
  <c r="C587" i="12" s="1"/>
  <c r="J587" i="12"/>
  <c r="K587" i="12"/>
  <c r="N587" i="12"/>
  <c r="R587" i="12"/>
  <c r="T587" i="12"/>
  <c r="U587" i="12"/>
  <c r="D588" i="12"/>
  <c r="F588" i="12" s="1"/>
  <c r="J588" i="12"/>
  <c r="K588" i="12"/>
  <c r="N588" i="12"/>
  <c r="R588" i="12"/>
  <c r="T588" i="12" s="1"/>
  <c r="U588" i="12"/>
  <c r="X588" i="12" s="1"/>
  <c r="D589" i="12"/>
  <c r="C589" i="12" s="1"/>
  <c r="J589" i="12"/>
  <c r="K589" i="12"/>
  <c r="N589" i="12"/>
  <c r="R589" i="12"/>
  <c r="T589" i="12" s="1"/>
  <c r="U589" i="12"/>
  <c r="X589" i="12" s="1"/>
  <c r="D590" i="12"/>
  <c r="F590" i="12" s="1"/>
  <c r="J590" i="12"/>
  <c r="K590" i="12"/>
  <c r="N590" i="12"/>
  <c r="R590" i="12"/>
  <c r="T590" i="12" s="1"/>
  <c r="U590" i="12"/>
  <c r="D591" i="12"/>
  <c r="J591" i="12"/>
  <c r="K591" i="12"/>
  <c r="N591" i="12"/>
  <c r="T591" i="12"/>
  <c r="U591" i="12"/>
  <c r="X591" i="12" s="1"/>
  <c r="D592" i="12"/>
  <c r="J592" i="12"/>
  <c r="K592" i="12"/>
  <c r="N592" i="12"/>
  <c r="T592" i="12"/>
  <c r="U592" i="12"/>
  <c r="X592" i="12" s="1"/>
  <c r="D593" i="12"/>
  <c r="F593" i="12" s="1"/>
  <c r="J593" i="12"/>
  <c r="K593" i="12"/>
  <c r="N593" i="12"/>
  <c r="T593" i="12"/>
  <c r="U593" i="12"/>
  <c r="D594" i="12"/>
  <c r="J594" i="12"/>
  <c r="K594" i="12"/>
  <c r="N594" i="12"/>
  <c r="T594" i="12"/>
  <c r="U594" i="12"/>
  <c r="X594" i="12" s="1"/>
  <c r="D595" i="12"/>
  <c r="C595" i="12" s="1"/>
  <c r="J595" i="12"/>
  <c r="K595" i="12"/>
  <c r="N595" i="12"/>
  <c r="T595" i="12"/>
  <c r="U595" i="12"/>
  <c r="Y595" i="12"/>
  <c r="Z595" i="12"/>
  <c r="D596" i="12"/>
  <c r="J596" i="12"/>
  <c r="K596" i="12"/>
  <c r="N596" i="12"/>
  <c r="T596" i="12"/>
  <c r="U596" i="12"/>
  <c r="Y596" i="12"/>
  <c r="Z596" i="12"/>
  <c r="D597" i="12"/>
  <c r="J597" i="12"/>
  <c r="K597" i="12"/>
  <c r="N597" i="12"/>
  <c r="T597" i="12"/>
  <c r="U597" i="12"/>
  <c r="X597" i="12" s="1"/>
  <c r="D598" i="12"/>
  <c r="C598" i="12" s="1"/>
  <c r="J598" i="12"/>
  <c r="K598" i="12"/>
  <c r="N598" i="12"/>
  <c r="T598" i="12"/>
  <c r="U598" i="12"/>
  <c r="D599" i="12"/>
  <c r="C599" i="12" s="1"/>
  <c r="J599" i="12"/>
  <c r="K599" i="12"/>
  <c r="N599" i="12"/>
  <c r="T599" i="12"/>
  <c r="U599" i="12"/>
  <c r="X599" i="12" s="1"/>
  <c r="D600" i="12"/>
  <c r="C600" i="12" s="1"/>
  <c r="J600" i="12"/>
  <c r="K600" i="12"/>
  <c r="N600" i="12"/>
  <c r="T600" i="12"/>
  <c r="U600" i="12"/>
  <c r="X600" i="12" s="1"/>
  <c r="D601" i="12"/>
  <c r="K601" i="12"/>
  <c r="N601" i="12"/>
  <c r="T601" i="12"/>
  <c r="U601" i="12"/>
  <c r="D602" i="12"/>
  <c r="J602" i="12"/>
  <c r="K602" i="12"/>
  <c r="N602" i="12"/>
  <c r="T602" i="12"/>
  <c r="U602" i="12"/>
  <c r="D603" i="12"/>
  <c r="F603" i="12" s="1"/>
  <c r="J603" i="12"/>
  <c r="K603" i="12"/>
  <c r="N603" i="12"/>
  <c r="T603" i="12"/>
  <c r="U603" i="12"/>
  <c r="D604" i="12"/>
  <c r="J604" i="12"/>
  <c r="K604" i="12"/>
  <c r="N604" i="12"/>
  <c r="T604" i="12"/>
  <c r="U604" i="12"/>
  <c r="D605" i="12"/>
  <c r="J605" i="12"/>
  <c r="K605" i="12"/>
  <c r="N605" i="12"/>
  <c r="T605" i="12"/>
  <c r="U605" i="12"/>
  <c r="X605" i="12" s="1"/>
  <c r="D606" i="12"/>
  <c r="C606" i="12" s="1"/>
  <c r="J606" i="12"/>
  <c r="K606" i="12"/>
  <c r="N606" i="12"/>
  <c r="T606" i="12"/>
  <c r="U606" i="12"/>
  <c r="D607" i="12"/>
  <c r="C607" i="12" s="1"/>
  <c r="J607" i="12"/>
  <c r="K607" i="12"/>
  <c r="N607" i="12"/>
  <c r="T607" i="12"/>
  <c r="U607" i="12"/>
  <c r="X607" i="12" s="1"/>
  <c r="D608" i="12"/>
  <c r="J608" i="12"/>
  <c r="K608" i="12"/>
  <c r="N608" i="12"/>
  <c r="T608" i="12"/>
  <c r="U608" i="12"/>
  <c r="X608" i="12" s="1"/>
  <c r="D609" i="12"/>
  <c r="J609" i="12"/>
  <c r="K609" i="12"/>
  <c r="N609" i="12"/>
  <c r="T609" i="12"/>
  <c r="U609" i="12"/>
  <c r="D610" i="12"/>
  <c r="J610" i="12"/>
  <c r="K610" i="12"/>
  <c r="N610" i="12"/>
  <c r="T610" i="12"/>
  <c r="U610" i="12"/>
  <c r="D611" i="12"/>
  <c r="C611" i="12" s="1"/>
  <c r="J611" i="12"/>
  <c r="K611" i="12"/>
  <c r="N611" i="12"/>
  <c r="T611" i="12"/>
  <c r="U611" i="12"/>
  <c r="X611" i="12" s="1"/>
  <c r="D612" i="12"/>
  <c r="J612" i="12"/>
  <c r="K612" i="12"/>
  <c r="N612" i="12"/>
  <c r="T612" i="12"/>
  <c r="U612" i="12"/>
  <c r="D613" i="12"/>
  <c r="J613" i="12"/>
  <c r="K613" i="12"/>
  <c r="N613" i="12"/>
  <c r="T613" i="12"/>
  <c r="U613" i="12"/>
  <c r="X613" i="12" s="1"/>
  <c r="D614" i="12"/>
  <c r="J614" i="12"/>
  <c r="K614" i="12"/>
  <c r="N614" i="12"/>
  <c r="T614" i="12"/>
  <c r="U614" i="12"/>
  <c r="X614" i="12" s="1"/>
  <c r="D615" i="12"/>
  <c r="C615" i="12" s="1"/>
  <c r="J615" i="12"/>
  <c r="K615" i="12"/>
  <c r="N615" i="12"/>
  <c r="T615" i="12"/>
  <c r="U615" i="12"/>
  <c r="D616" i="12"/>
  <c r="C616" i="12" s="1"/>
  <c r="J616" i="12"/>
  <c r="K616" i="12"/>
  <c r="N616" i="12"/>
  <c r="T616" i="12"/>
  <c r="U616" i="12"/>
  <c r="D617" i="12"/>
  <c r="F617" i="12" s="1"/>
  <c r="K617" i="12"/>
  <c r="N617" i="12"/>
  <c r="T617" i="12"/>
  <c r="U617" i="12"/>
  <c r="D618" i="12"/>
  <c r="F618" i="12" s="1"/>
  <c r="J618" i="12"/>
  <c r="K618" i="12"/>
  <c r="N618" i="12"/>
  <c r="T618" i="12"/>
  <c r="U618" i="12"/>
  <c r="D619" i="12"/>
  <c r="C619" i="12" s="1"/>
  <c r="J619" i="12"/>
  <c r="K619" i="12"/>
  <c r="N619" i="12"/>
  <c r="T619" i="12"/>
  <c r="U619" i="12"/>
  <c r="X619" i="12" s="1"/>
  <c r="D620" i="12"/>
  <c r="J620" i="12"/>
  <c r="K620" i="12"/>
  <c r="N620" i="12"/>
  <c r="T620" i="12"/>
  <c r="U620" i="12"/>
  <c r="X620" i="12" s="1"/>
  <c r="D621" i="12"/>
  <c r="J621" i="12"/>
  <c r="K621" i="12"/>
  <c r="N621" i="12"/>
  <c r="T621" i="12"/>
  <c r="U621" i="12"/>
  <c r="D622" i="12"/>
  <c r="J622" i="12"/>
  <c r="K622" i="12"/>
  <c r="N622" i="12"/>
  <c r="T622" i="12"/>
  <c r="U622" i="12"/>
  <c r="X622" i="12" s="1"/>
  <c r="D623" i="12"/>
  <c r="F623" i="12" s="1"/>
  <c r="J623" i="12"/>
  <c r="K623" i="12"/>
  <c r="N623" i="12"/>
  <c r="T623" i="12"/>
  <c r="U623" i="12"/>
  <c r="D624" i="12"/>
  <c r="J624" i="12"/>
  <c r="K624" i="12"/>
  <c r="N624" i="12"/>
  <c r="T624" i="12"/>
  <c r="U624" i="12"/>
  <c r="D625" i="12"/>
  <c r="J625" i="12"/>
  <c r="K625" i="12"/>
  <c r="N625" i="12"/>
  <c r="T625" i="12"/>
  <c r="U625" i="12"/>
  <c r="X625" i="12" s="1"/>
  <c r="D626" i="12"/>
  <c r="J626" i="12"/>
  <c r="K626" i="12"/>
  <c r="N626" i="12"/>
  <c r="T626" i="12"/>
  <c r="U626" i="12"/>
  <c r="D627" i="12"/>
  <c r="C627" i="12" s="1"/>
  <c r="J627" i="12"/>
  <c r="K627" i="12"/>
  <c r="N627" i="12"/>
  <c r="T627" i="12"/>
  <c r="U627" i="12"/>
  <c r="X627" i="12" s="1"/>
  <c r="D628" i="12"/>
  <c r="C628" i="12" s="1"/>
  <c r="J628" i="12"/>
  <c r="K628" i="12"/>
  <c r="N628" i="12"/>
  <c r="T628" i="12"/>
  <c r="U628" i="12"/>
  <c r="D629" i="12"/>
  <c r="J629" i="12"/>
  <c r="K629" i="12"/>
  <c r="N629" i="12"/>
  <c r="T629" i="12"/>
  <c r="U629" i="12"/>
  <c r="D630" i="12"/>
  <c r="J630" i="12"/>
  <c r="K630" i="12"/>
  <c r="N630" i="12"/>
  <c r="T630" i="12"/>
  <c r="U630" i="12"/>
  <c r="X630" i="12" s="1"/>
  <c r="D631" i="12"/>
  <c r="J631" i="12"/>
  <c r="K631" i="12"/>
  <c r="N631" i="12"/>
  <c r="T631" i="12"/>
  <c r="U631" i="12"/>
  <c r="D632" i="12"/>
  <c r="J632" i="12"/>
  <c r="K632" i="12"/>
  <c r="N632" i="12"/>
  <c r="T632" i="12"/>
  <c r="U632" i="12"/>
  <c r="D633" i="12"/>
  <c r="J633" i="12"/>
  <c r="K633" i="12"/>
  <c r="N633" i="12"/>
  <c r="T633" i="12"/>
  <c r="U633" i="12"/>
  <c r="D634" i="12"/>
  <c r="J634" i="12"/>
  <c r="K634" i="12"/>
  <c r="N634" i="12"/>
  <c r="T634" i="12"/>
  <c r="U634" i="12"/>
  <c r="D635" i="12"/>
  <c r="J635" i="12"/>
  <c r="K635" i="12"/>
  <c r="N635" i="12"/>
  <c r="T635" i="12"/>
  <c r="U635" i="12"/>
  <c r="D636" i="12"/>
  <c r="J636" i="12"/>
  <c r="K636" i="12"/>
  <c r="N636" i="12"/>
  <c r="T636" i="12"/>
  <c r="U636" i="12"/>
  <c r="X636" i="12" s="1"/>
  <c r="D637" i="12"/>
  <c r="F637" i="12" s="1"/>
  <c r="J637" i="12"/>
  <c r="K637" i="12"/>
  <c r="N637" i="12"/>
  <c r="T637" i="12"/>
  <c r="U637" i="12"/>
  <c r="X637" i="12" s="1"/>
  <c r="D638" i="12"/>
  <c r="F638" i="12" s="1"/>
  <c r="J638" i="12"/>
  <c r="K638" i="12"/>
  <c r="N638" i="12"/>
  <c r="T638" i="12"/>
  <c r="U638" i="12"/>
  <c r="D639" i="12"/>
  <c r="C639" i="12" s="1"/>
  <c r="J639" i="12"/>
  <c r="K639" i="12"/>
  <c r="N639" i="12"/>
  <c r="T639" i="12"/>
  <c r="U639" i="12"/>
  <c r="D640" i="12"/>
  <c r="J640" i="12"/>
  <c r="K640" i="12"/>
  <c r="N640" i="12"/>
  <c r="T640" i="12"/>
  <c r="U640" i="12"/>
  <c r="D641" i="12"/>
  <c r="C641" i="12" s="1"/>
  <c r="J641" i="12"/>
  <c r="K641" i="12"/>
  <c r="N641" i="12"/>
  <c r="T641" i="12"/>
  <c r="U641" i="12"/>
  <c r="X641" i="12" s="1"/>
  <c r="D642" i="12"/>
  <c r="J642" i="12"/>
  <c r="K642" i="12"/>
  <c r="N642" i="12"/>
  <c r="T642" i="12"/>
  <c r="U642" i="12"/>
  <c r="D643" i="12"/>
  <c r="C643" i="12" s="1"/>
  <c r="K643" i="12"/>
  <c r="N643" i="12"/>
  <c r="T643" i="12"/>
  <c r="U643" i="12"/>
  <c r="D644" i="12"/>
  <c r="C644" i="12" s="1"/>
  <c r="J644" i="12"/>
  <c r="K644" i="12"/>
  <c r="N644" i="12"/>
  <c r="T644" i="12"/>
  <c r="U644" i="12"/>
  <c r="X644" i="12" s="1"/>
  <c r="D645" i="12"/>
  <c r="J645" i="12"/>
  <c r="K645" i="12"/>
  <c r="N645" i="12"/>
  <c r="T645" i="12"/>
  <c r="U645" i="12"/>
  <c r="D646" i="12"/>
  <c r="C646" i="12" s="1"/>
  <c r="J646" i="12"/>
  <c r="K646" i="12"/>
  <c r="N646" i="12"/>
  <c r="T646" i="12"/>
  <c r="U646" i="12"/>
  <c r="D647" i="12"/>
  <c r="F647" i="12" s="1"/>
  <c r="J647" i="12"/>
  <c r="K647" i="12"/>
  <c r="N647" i="12"/>
  <c r="T647" i="12"/>
  <c r="U647" i="12"/>
  <c r="D648" i="12"/>
  <c r="J648" i="12"/>
  <c r="K648" i="12"/>
  <c r="N648" i="12"/>
  <c r="T648" i="12"/>
  <c r="U648" i="12"/>
  <c r="D649" i="12"/>
  <c r="F649" i="12" s="1"/>
  <c r="J649" i="12"/>
  <c r="K649" i="12"/>
  <c r="N649" i="12"/>
  <c r="T649" i="12"/>
  <c r="U649" i="12"/>
  <c r="X649" i="12" s="1"/>
  <c r="D650" i="12"/>
  <c r="J650" i="12"/>
  <c r="K650" i="12"/>
  <c r="N650" i="12"/>
  <c r="T650" i="12"/>
  <c r="U650" i="12"/>
  <c r="D651" i="12"/>
  <c r="K651" i="12"/>
  <c r="N651" i="12"/>
  <c r="T651" i="12"/>
  <c r="U651" i="12"/>
  <c r="D652" i="12"/>
  <c r="C652" i="12" s="1"/>
  <c r="J652" i="12"/>
  <c r="K652" i="12"/>
  <c r="N652" i="12"/>
  <c r="T652" i="12"/>
  <c r="U652" i="12"/>
  <c r="D653" i="12"/>
  <c r="C653" i="12" s="1"/>
  <c r="J653" i="12"/>
  <c r="K653" i="12"/>
  <c r="N653" i="12"/>
  <c r="T653" i="12"/>
  <c r="U653" i="12"/>
  <c r="X653" i="12" s="1"/>
  <c r="D654" i="12"/>
  <c r="J654" i="12"/>
  <c r="K654" i="12"/>
  <c r="N654" i="12"/>
  <c r="T654" i="12"/>
  <c r="U654" i="12"/>
  <c r="D655" i="12"/>
  <c r="J655" i="12"/>
  <c r="K655" i="12"/>
  <c r="N655" i="12"/>
  <c r="T655" i="12"/>
  <c r="U655" i="12"/>
  <c r="X655" i="12" s="1"/>
  <c r="D656" i="12"/>
  <c r="C656" i="12" s="1"/>
  <c r="J656" i="12"/>
  <c r="K656" i="12"/>
  <c r="N656" i="12"/>
  <c r="T656" i="12"/>
  <c r="U656" i="12"/>
  <c r="D657" i="12"/>
  <c r="C657" i="12" s="1"/>
  <c r="J657" i="12"/>
  <c r="K657" i="12"/>
  <c r="N657" i="12"/>
  <c r="T657" i="12"/>
  <c r="U657" i="12"/>
  <c r="X657" i="12" s="1"/>
  <c r="D658" i="12"/>
  <c r="J658" i="12"/>
  <c r="K658" i="12"/>
  <c r="N658" i="12"/>
  <c r="T658" i="12"/>
  <c r="U658" i="12"/>
  <c r="D659" i="12"/>
  <c r="F659" i="12" s="1"/>
  <c r="K659" i="12"/>
  <c r="N659" i="12"/>
  <c r="T659" i="12"/>
  <c r="U659" i="12"/>
  <c r="D660" i="12"/>
  <c r="C660" i="12" s="1"/>
  <c r="J660" i="12"/>
  <c r="K660" i="12"/>
  <c r="N660" i="12"/>
  <c r="T660" i="12"/>
  <c r="U660" i="12"/>
  <c r="D661" i="12"/>
  <c r="F661" i="12" s="1"/>
  <c r="J661" i="12"/>
  <c r="K661" i="12"/>
  <c r="N661" i="12"/>
  <c r="T661" i="12"/>
  <c r="U661" i="12"/>
  <c r="D662" i="12"/>
  <c r="C662" i="12" s="1"/>
  <c r="J662" i="12"/>
  <c r="K662" i="12"/>
  <c r="N662" i="12"/>
  <c r="T662" i="12"/>
  <c r="U662" i="12"/>
  <c r="D663" i="12"/>
  <c r="C663" i="12" s="1"/>
  <c r="K663" i="12"/>
  <c r="N663" i="12"/>
  <c r="T663" i="12"/>
  <c r="U663" i="12"/>
  <c r="D664" i="12"/>
  <c r="J664" i="12"/>
  <c r="K664" i="12"/>
  <c r="N664" i="12"/>
  <c r="T664" i="12"/>
  <c r="U664" i="12"/>
  <c r="X664" i="12" s="1"/>
  <c r="D665" i="12"/>
  <c r="F665" i="12" s="1"/>
  <c r="J665" i="12"/>
  <c r="K665" i="12"/>
  <c r="N665" i="12"/>
  <c r="T665" i="12"/>
  <c r="U665" i="12"/>
  <c r="X665" i="12" s="1"/>
  <c r="D666" i="12"/>
  <c r="C666" i="12" s="1"/>
  <c r="J666" i="12"/>
  <c r="K666" i="12"/>
  <c r="N666" i="12"/>
  <c r="T666" i="12"/>
  <c r="U666" i="12"/>
  <c r="X666" i="12" s="1"/>
  <c r="D667" i="12"/>
  <c r="C667" i="12" s="1"/>
  <c r="J667" i="12"/>
  <c r="K667" i="12"/>
  <c r="N667" i="12"/>
  <c r="T667" i="12"/>
  <c r="U667" i="12"/>
  <c r="X667" i="12" s="1"/>
  <c r="D668" i="12"/>
  <c r="J668" i="12"/>
  <c r="K668" i="12"/>
  <c r="N668" i="12"/>
  <c r="T668" i="12"/>
  <c r="U668" i="12"/>
  <c r="D669" i="12"/>
  <c r="J669" i="12"/>
  <c r="K669" i="12"/>
  <c r="N669" i="12"/>
  <c r="T669" i="12"/>
  <c r="U669" i="12"/>
  <c r="D670" i="12"/>
  <c r="C670" i="12" s="1"/>
  <c r="J670" i="12"/>
  <c r="K670" i="12"/>
  <c r="N670" i="12"/>
  <c r="T670" i="12"/>
  <c r="U670" i="12"/>
  <c r="X670" i="12" s="1"/>
  <c r="D671" i="12"/>
  <c r="J671" i="12"/>
  <c r="K671" i="12"/>
  <c r="N671" i="12"/>
  <c r="T671" i="12"/>
  <c r="U671" i="12"/>
  <c r="X671" i="12" s="1"/>
  <c r="D672" i="12"/>
  <c r="C672" i="12" s="1"/>
  <c r="J672" i="12"/>
  <c r="K672" i="12"/>
  <c r="N672" i="12"/>
  <c r="T672" i="12"/>
  <c r="U672" i="12"/>
  <c r="X672" i="12" s="1"/>
  <c r="D673" i="12"/>
  <c r="J673" i="12"/>
  <c r="K673" i="12"/>
  <c r="N673" i="12"/>
  <c r="T673" i="12"/>
  <c r="U673" i="12"/>
  <c r="D674" i="12"/>
  <c r="C674" i="12" s="1"/>
  <c r="J674" i="12"/>
  <c r="K674" i="12"/>
  <c r="N674" i="12"/>
  <c r="T674" i="12"/>
  <c r="U674" i="12"/>
  <c r="D675" i="12"/>
  <c r="C675" i="12" s="1"/>
  <c r="J675" i="12"/>
  <c r="K675" i="12"/>
  <c r="N675" i="12"/>
  <c r="T675" i="12"/>
  <c r="U675" i="12"/>
  <c r="X675" i="12" s="1"/>
  <c r="D676" i="12"/>
  <c r="J676" i="12"/>
  <c r="K676" i="12"/>
  <c r="N676" i="12"/>
  <c r="T676" i="12"/>
  <c r="U676" i="12"/>
  <c r="X676" i="12" s="1"/>
  <c r="D677" i="12"/>
  <c r="J677" i="12"/>
  <c r="K677" i="12"/>
  <c r="N677" i="12"/>
  <c r="T677" i="12"/>
  <c r="U677" i="12"/>
  <c r="D678" i="12"/>
  <c r="C678" i="12" s="1"/>
  <c r="J678" i="12"/>
  <c r="K678" i="12"/>
  <c r="N678" i="12"/>
  <c r="T678" i="12"/>
  <c r="U678" i="12"/>
  <c r="X678" i="12" s="1"/>
  <c r="D679" i="12"/>
  <c r="F679" i="12" s="1"/>
  <c r="J679" i="12"/>
  <c r="K679" i="12"/>
  <c r="N679" i="12"/>
  <c r="T679" i="12"/>
  <c r="U679" i="12"/>
  <c r="D680" i="12"/>
  <c r="C680" i="12" s="1"/>
  <c r="J680" i="12"/>
  <c r="K680" i="12"/>
  <c r="N680" i="12"/>
  <c r="T680" i="12"/>
  <c r="U680" i="12"/>
  <c r="X680" i="12" s="1"/>
  <c r="D681" i="12"/>
  <c r="J681" i="12"/>
  <c r="K681" i="12"/>
  <c r="N681" i="12"/>
  <c r="T681" i="12"/>
  <c r="U681" i="12"/>
  <c r="X681" i="12" s="1"/>
  <c r="D682" i="12"/>
  <c r="F682" i="12" s="1"/>
  <c r="J682" i="12"/>
  <c r="K682" i="12"/>
  <c r="N682" i="12"/>
  <c r="T682" i="12"/>
  <c r="U682" i="12"/>
  <c r="D683" i="12"/>
  <c r="F683" i="12" s="1"/>
  <c r="J683" i="12"/>
  <c r="K683" i="12"/>
  <c r="N683" i="12"/>
  <c r="T683" i="12"/>
  <c r="U683" i="12"/>
  <c r="D684" i="12"/>
  <c r="C684" i="12" s="1"/>
  <c r="J684" i="12"/>
  <c r="K684" i="12"/>
  <c r="N684" i="12"/>
  <c r="T684" i="12"/>
  <c r="U684" i="12"/>
  <c r="D685" i="12"/>
  <c r="C685" i="12" s="1"/>
  <c r="J685" i="12"/>
  <c r="K685" i="12"/>
  <c r="N685" i="12"/>
  <c r="T685" i="12"/>
  <c r="U685" i="12"/>
  <c r="X685" i="12" s="1"/>
  <c r="D686" i="12"/>
  <c r="C686" i="12" s="1"/>
  <c r="J686" i="12"/>
  <c r="K686" i="12"/>
  <c r="N686" i="12"/>
  <c r="T686" i="12"/>
  <c r="U686" i="12"/>
  <c r="D687" i="12"/>
  <c r="F687" i="12" s="1"/>
  <c r="J687" i="12"/>
  <c r="K687" i="12"/>
  <c r="N687" i="12"/>
  <c r="T687" i="12"/>
  <c r="U687" i="12"/>
  <c r="D688" i="12"/>
  <c r="J688" i="12"/>
  <c r="K688" i="12"/>
  <c r="N688" i="12"/>
  <c r="T688" i="12"/>
  <c r="U688" i="12"/>
  <c r="X688" i="12" s="1"/>
  <c r="D689" i="12"/>
  <c r="F689" i="12" s="1"/>
  <c r="J689" i="12"/>
  <c r="K689" i="12"/>
  <c r="N689" i="12"/>
  <c r="T689" i="12"/>
  <c r="U689" i="12"/>
  <c r="D690" i="12"/>
  <c r="F690" i="12" s="1"/>
  <c r="J690" i="12"/>
  <c r="K690" i="12"/>
  <c r="N690" i="12"/>
  <c r="T690" i="12"/>
  <c r="U690" i="12"/>
  <c r="X690" i="12" s="1"/>
  <c r="D691" i="12"/>
  <c r="J691" i="12"/>
  <c r="K691" i="12"/>
  <c r="N691" i="12"/>
  <c r="T691" i="12"/>
  <c r="U691" i="12"/>
  <c r="X691" i="12" s="1"/>
  <c r="D692" i="12"/>
  <c r="F692" i="12" s="1"/>
  <c r="J692" i="12"/>
  <c r="K692" i="12"/>
  <c r="N692" i="12"/>
  <c r="T692" i="12"/>
  <c r="U692" i="12"/>
  <c r="X692" i="12" s="1"/>
  <c r="D693" i="12"/>
  <c r="F693" i="12" s="1"/>
  <c r="J693" i="12"/>
  <c r="K693" i="12"/>
  <c r="N693" i="12"/>
  <c r="T693" i="12"/>
  <c r="U693" i="12"/>
  <c r="D694" i="12"/>
  <c r="J694" i="12"/>
  <c r="K694" i="12"/>
  <c r="N694" i="12"/>
  <c r="T694" i="12"/>
  <c r="U694" i="12"/>
  <c r="D695" i="12"/>
  <c r="F695" i="12" s="1"/>
  <c r="J695" i="12"/>
  <c r="K695" i="12"/>
  <c r="N695" i="12"/>
  <c r="T695" i="12"/>
  <c r="U695" i="12"/>
  <c r="D696" i="12"/>
  <c r="F696" i="12" s="1"/>
  <c r="J696" i="12"/>
  <c r="K696" i="12"/>
  <c r="N696" i="12"/>
  <c r="T696" i="12"/>
  <c r="U696" i="12"/>
  <c r="D697" i="12"/>
  <c r="C697" i="12" s="1"/>
  <c r="J697" i="12"/>
  <c r="K697" i="12"/>
  <c r="N697" i="12"/>
  <c r="T697" i="12"/>
  <c r="U697" i="12"/>
  <c r="X697" i="12" s="1"/>
  <c r="D698" i="12"/>
  <c r="J698" i="12"/>
  <c r="K698" i="12"/>
  <c r="N698" i="12"/>
  <c r="T698" i="12"/>
  <c r="U698" i="12"/>
  <c r="X698" i="12" s="1"/>
  <c r="D699" i="12"/>
  <c r="J699" i="12"/>
  <c r="K699" i="12"/>
  <c r="N699" i="12"/>
  <c r="T699" i="12"/>
  <c r="U699" i="12"/>
  <c r="X699" i="12" s="1"/>
  <c r="D700" i="12"/>
  <c r="C700" i="12" s="1"/>
  <c r="J700" i="12"/>
  <c r="K700" i="12"/>
  <c r="N700" i="12"/>
  <c r="T700" i="12"/>
  <c r="U700" i="12"/>
  <c r="D701" i="12"/>
  <c r="C701" i="12" s="1"/>
  <c r="J701" i="12"/>
  <c r="K701" i="12"/>
  <c r="N701" i="12"/>
  <c r="T701" i="12"/>
  <c r="U701" i="12"/>
  <c r="D702" i="12"/>
  <c r="F702" i="12" s="1"/>
  <c r="J702" i="12"/>
  <c r="K702" i="12"/>
  <c r="N702" i="12"/>
  <c r="T702" i="12"/>
  <c r="U702" i="12"/>
  <c r="D703" i="12"/>
  <c r="C703" i="12" s="1"/>
  <c r="J703" i="12"/>
  <c r="K703" i="12"/>
  <c r="N703" i="12"/>
  <c r="T703" i="12"/>
  <c r="U703" i="12"/>
  <c r="D704" i="12"/>
  <c r="K704" i="12"/>
  <c r="N704" i="12"/>
  <c r="T704" i="12"/>
  <c r="U704" i="12"/>
  <c r="X704" i="12" s="1"/>
  <c r="D705" i="12"/>
  <c r="J705" i="12"/>
  <c r="K705" i="12"/>
  <c r="N705" i="12"/>
  <c r="T705" i="12"/>
  <c r="U705" i="12"/>
  <c r="D706" i="12"/>
  <c r="F706" i="12" s="1"/>
  <c r="J706" i="12"/>
  <c r="K706" i="12"/>
  <c r="N706" i="12"/>
  <c r="T706" i="12"/>
  <c r="U706" i="12"/>
  <c r="D707" i="12"/>
  <c r="J707" i="12"/>
  <c r="K707" i="12"/>
  <c r="N707" i="12"/>
  <c r="T707" i="12"/>
  <c r="U707" i="12"/>
  <c r="X707" i="12" s="1"/>
  <c r="D708" i="12"/>
  <c r="J708" i="12"/>
  <c r="K708" i="12"/>
  <c r="N708" i="12"/>
  <c r="T708" i="12"/>
  <c r="U708" i="12"/>
  <c r="D709" i="12"/>
  <c r="F709" i="12" s="1"/>
  <c r="J709" i="12"/>
  <c r="K709" i="12"/>
  <c r="N709" i="12"/>
  <c r="T709" i="12"/>
  <c r="U709" i="12"/>
  <c r="D710" i="12"/>
  <c r="C710" i="12" s="1"/>
  <c r="J710" i="12"/>
  <c r="K710" i="12"/>
  <c r="N710" i="12"/>
  <c r="T710" i="12"/>
  <c r="U710" i="12"/>
  <c r="X710" i="12" s="1"/>
  <c r="D711" i="12"/>
  <c r="J711" i="12"/>
  <c r="K711" i="12"/>
  <c r="N711" i="12"/>
  <c r="T711" i="12"/>
  <c r="U711" i="12"/>
  <c r="X711" i="12" s="1"/>
  <c r="D712" i="12"/>
  <c r="C712" i="12" s="1"/>
  <c r="J712" i="12"/>
  <c r="K712" i="12"/>
  <c r="N712" i="12"/>
  <c r="T712" i="12"/>
  <c r="U712" i="12"/>
  <c r="D713" i="12"/>
  <c r="F713" i="12" s="1"/>
  <c r="J713" i="12"/>
  <c r="K713" i="12"/>
  <c r="N713" i="12"/>
  <c r="T713" i="12"/>
  <c r="U713" i="12"/>
  <c r="D714" i="12"/>
  <c r="F714" i="12" s="1"/>
  <c r="J714" i="12"/>
  <c r="K714" i="12"/>
  <c r="N714" i="12"/>
  <c r="T714" i="12"/>
  <c r="U714" i="12"/>
  <c r="D715" i="12"/>
  <c r="J715" i="12"/>
  <c r="K715" i="12"/>
  <c r="N715" i="12"/>
  <c r="T715" i="12"/>
  <c r="U715" i="12"/>
  <c r="D716" i="12"/>
  <c r="C716" i="12" s="1"/>
  <c r="J716" i="12"/>
  <c r="K716" i="12"/>
  <c r="N716" i="12"/>
  <c r="T716" i="12"/>
  <c r="U716" i="12"/>
  <c r="D717" i="12"/>
  <c r="C717" i="12" s="1"/>
  <c r="J717" i="12"/>
  <c r="K717" i="12"/>
  <c r="N717" i="12"/>
  <c r="T717" i="12"/>
  <c r="U717" i="12"/>
  <c r="D718" i="12"/>
  <c r="J718" i="12"/>
  <c r="K718" i="12"/>
  <c r="N718" i="12"/>
  <c r="T718" i="12"/>
  <c r="U718" i="12"/>
  <c r="X718" i="12" s="1"/>
  <c r="D719" i="12"/>
  <c r="F719" i="12" s="1"/>
  <c r="J719" i="12"/>
  <c r="K719" i="12"/>
  <c r="N719" i="12"/>
  <c r="T719" i="12"/>
  <c r="U719" i="12"/>
  <c r="D720" i="12"/>
  <c r="C720" i="12" s="1"/>
  <c r="J720" i="12"/>
  <c r="K720" i="12"/>
  <c r="N720" i="12"/>
  <c r="T720" i="12"/>
  <c r="U720" i="12"/>
  <c r="D721" i="12"/>
  <c r="F721" i="12" s="1"/>
  <c r="J721" i="12"/>
  <c r="K721" i="12"/>
  <c r="N721" i="12"/>
  <c r="T721" i="12"/>
  <c r="U721" i="12"/>
  <c r="D722" i="12"/>
  <c r="F722" i="12" s="1"/>
  <c r="J722" i="12"/>
  <c r="K722" i="12"/>
  <c r="N722" i="12"/>
  <c r="T722" i="12"/>
  <c r="U722" i="12"/>
  <c r="D723" i="12"/>
  <c r="F723" i="12" s="1"/>
  <c r="J723" i="12"/>
  <c r="K723" i="12"/>
  <c r="N723" i="12"/>
  <c r="T723" i="12"/>
  <c r="U723" i="12"/>
  <c r="D724" i="12"/>
  <c r="F724" i="12" s="1"/>
  <c r="J724" i="12"/>
  <c r="K724" i="12"/>
  <c r="N724" i="12"/>
  <c r="T724" i="12"/>
  <c r="U724" i="12"/>
  <c r="X724" i="12" s="1"/>
  <c r="D725" i="12"/>
  <c r="C725" i="12" s="1"/>
  <c r="J725" i="12"/>
  <c r="K725" i="12"/>
  <c r="N725" i="12"/>
  <c r="T725" i="12"/>
  <c r="U725" i="12"/>
  <c r="D726" i="12"/>
  <c r="C726" i="12" s="1"/>
  <c r="J726" i="12"/>
  <c r="K726" i="12"/>
  <c r="N726" i="12"/>
  <c r="T726" i="12"/>
  <c r="U726" i="12"/>
  <c r="D727" i="12"/>
  <c r="J727" i="12"/>
  <c r="K727" i="12"/>
  <c r="N727" i="12"/>
  <c r="T727" i="12"/>
  <c r="U727" i="12"/>
  <c r="D728" i="12"/>
  <c r="C728" i="12" s="1"/>
  <c r="J728" i="12"/>
  <c r="K728" i="12"/>
  <c r="N728" i="12"/>
  <c r="T728" i="12"/>
  <c r="U728" i="12"/>
  <c r="D729" i="12"/>
  <c r="J729" i="12"/>
  <c r="K729" i="12"/>
  <c r="N729" i="12"/>
  <c r="T729" i="12"/>
  <c r="U729" i="12"/>
  <c r="D730" i="12"/>
  <c r="C730" i="12" s="1"/>
  <c r="J730" i="12"/>
  <c r="K730" i="12"/>
  <c r="N730" i="12"/>
  <c r="T730" i="12"/>
  <c r="U730" i="12"/>
  <c r="X730" i="12" s="1"/>
  <c r="D731" i="12"/>
  <c r="J731" i="12"/>
  <c r="K731" i="12"/>
  <c r="N731" i="12"/>
  <c r="T731" i="12"/>
  <c r="U731" i="12"/>
  <c r="D732" i="12"/>
  <c r="J732" i="12"/>
  <c r="K732" i="12"/>
  <c r="N732" i="12"/>
  <c r="T732" i="12"/>
  <c r="U732" i="12"/>
  <c r="X732" i="12" s="1"/>
  <c r="D733" i="12"/>
  <c r="J733" i="12"/>
  <c r="K733" i="12"/>
  <c r="N733" i="12"/>
  <c r="T733" i="12"/>
  <c r="U733" i="12"/>
  <c r="D734" i="12"/>
  <c r="C734" i="12" s="1"/>
  <c r="J734" i="12"/>
  <c r="K734" i="12"/>
  <c r="N734" i="12"/>
  <c r="T734" i="12"/>
  <c r="U734" i="12"/>
  <c r="D735" i="12"/>
  <c r="C735" i="12" s="1"/>
  <c r="J735" i="12"/>
  <c r="K735" i="12"/>
  <c r="N735" i="12"/>
  <c r="T735" i="12"/>
  <c r="U735" i="12"/>
  <c r="X735" i="12" s="1"/>
  <c r="D736" i="12"/>
  <c r="F736" i="12" s="1"/>
  <c r="J736" i="12"/>
  <c r="K736" i="12"/>
  <c r="N736" i="12"/>
  <c r="T736" i="12"/>
  <c r="U736" i="12"/>
  <c r="D737" i="12"/>
  <c r="J737" i="12"/>
  <c r="K737" i="12"/>
  <c r="N737" i="12"/>
  <c r="T737" i="12"/>
  <c r="U737" i="12"/>
  <c r="D738" i="12"/>
  <c r="J738" i="12"/>
  <c r="K738" i="12"/>
  <c r="N738" i="12"/>
  <c r="T738" i="12"/>
  <c r="U738" i="12"/>
  <c r="D739" i="12"/>
  <c r="C739" i="12" s="1"/>
  <c r="J739" i="12"/>
  <c r="K739" i="12"/>
  <c r="N739" i="12"/>
  <c r="T739" i="12"/>
  <c r="U739" i="12"/>
  <c r="X739" i="12" s="1"/>
  <c r="D740" i="12"/>
  <c r="J740" i="12"/>
  <c r="K740" i="12"/>
  <c r="N740" i="12"/>
  <c r="T740" i="12"/>
  <c r="U740" i="12"/>
  <c r="X740" i="12" s="1"/>
  <c r="D741" i="12"/>
  <c r="F741" i="12" s="1"/>
  <c r="J741" i="12"/>
  <c r="K741" i="12"/>
  <c r="N741" i="12"/>
  <c r="T741" i="12"/>
  <c r="U741" i="12"/>
  <c r="X741" i="12" s="1"/>
  <c r="D742" i="12"/>
  <c r="C742" i="12" s="1"/>
  <c r="J742" i="12"/>
  <c r="K742" i="12"/>
  <c r="N742" i="12"/>
  <c r="T742" i="12"/>
  <c r="U742" i="12"/>
  <c r="D743" i="12"/>
  <c r="C743" i="12" s="1"/>
  <c r="J743" i="12"/>
  <c r="K743" i="12"/>
  <c r="N743" i="12"/>
  <c r="T743" i="12"/>
  <c r="U743" i="12"/>
  <c r="D744" i="12"/>
  <c r="C744" i="12" s="1"/>
  <c r="J744" i="12"/>
  <c r="K744" i="12"/>
  <c r="N744" i="12"/>
  <c r="T744" i="12"/>
  <c r="U744" i="12"/>
  <c r="X744" i="12" s="1"/>
  <c r="D745" i="12"/>
  <c r="C745" i="12" s="1"/>
  <c r="J745" i="12"/>
  <c r="K745" i="12"/>
  <c r="N745" i="12"/>
  <c r="T745" i="12"/>
  <c r="U745" i="12"/>
  <c r="D746" i="12"/>
  <c r="F746" i="12" s="1"/>
  <c r="J746" i="12"/>
  <c r="K746" i="12"/>
  <c r="N746" i="12"/>
  <c r="T746" i="12"/>
  <c r="U746" i="12"/>
  <c r="D747" i="12"/>
  <c r="J747" i="12"/>
  <c r="K747" i="12"/>
  <c r="N747" i="12"/>
  <c r="T747" i="12"/>
  <c r="U747" i="12"/>
  <c r="X747" i="12" s="1"/>
  <c r="D748" i="12"/>
  <c r="J748" i="12"/>
  <c r="K748" i="12"/>
  <c r="N748" i="12"/>
  <c r="T748" i="12"/>
  <c r="U748" i="12"/>
  <c r="X748" i="12" s="1"/>
  <c r="D749" i="12"/>
  <c r="F749" i="12" s="1"/>
  <c r="J749" i="12"/>
  <c r="K749" i="12"/>
  <c r="N749" i="12"/>
  <c r="T749" i="12"/>
  <c r="U749" i="12"/>
  <c r="D750" i="12"/>
  <c r="J750" i="12"/>
  <c r="K750" i="12"/>
  <c r="N750" i="12"/>
  <c r="T750" i="12"/>
  <c r="U750" i="12"/>
  <c r="X750" i="12" s="1"/>
  <c r="D751" i="12"/>
  <c r="F751" i="12" s="1"/>
  <c r="J751" i="12"/>
  <c r="K751" i="12"/>
  <c r="N751" i="12"/>
  <c r="T751" i="12"/>
  <c r="U751" i="12"/>
  <c r="D752" i="12"/>
  <c r="F752" i="12" s="1"/>
  <c r="J752" i="12"/>
  <c r="K752" i="12"/>
  <c r="N752" i="12"/>
  <c r="T752" i="12"/>
  <c r="U752" i="12"/>
  <c r="D753" i="12"/>
  <c r="F753" i="12" s="1"/>
  <c r="J753" i="12"/>
  <c r="K753" i="12"/>
  <c r="N753" i="12"/>
  <c r="T753" i="12"/>
  <c r="U753" i="12"/>
  <c r="D754" i="12"/>
  <c r="J754" i="12"/>
  <c r="K754" i="12"/>
  <c r="N754" i="12"/>
  <c r="T754" i="12"/>
  <c r="U754" i="12"/>
  <c r="D755" i="12"/>
  <c r="F755" i="12" s="1"/>
  <c r="J755" i="12"/>
  <c r="K755" i="12"/>
  <c r="N755" i="12"/>
  <c r="T755" i="12"/>
  <c r="U755" i="12"/>
  <c r="X755" i="12" s="1"/>
  <c r="D756" i="12"/>
  <c r="J756" i="12"/>
  <c r="K756" i="12"/>
  <c r="N756" i="12"/>
  <c r="T756" i="12"/>
  <c r="U756" i="12"/>
  <c r="D757" i="12"/>
  <c r="F757" i="12" s="1"/>
  <c r="J757" i="12"/>
  <c r="K757" i="12"/>
  <c r="N757" i="12"/>
  <c r="T757" i="12"/>
  <c r="U757" i="12"/>
  <c r="X757" i="12" s="1"/>
  <c r="D758" i="12"/>
  <c r="F758" i="12" s="1"/>
  <c r="J758" i="12"/>
  <c r="K758" i="12"/>
  <c r="N758" i="12"/>
  <c r="T758" i="12"/>
  <c r="U758" i="12"/>
  <c r="D759" i="12"/>
  <c r="J759" i="12"/>
  <c r="K759" i="12"/>
  <c r="N759" i="12"/>
  <c r="T759" i="12"/>
  <c r="U759" i="12"/>
  <c r="D760" i="12"/>
  <c r="F760" i="12" s="1"/>
  <c r="J760" i="12"/>
  <c r="K760" i="12"/>
  <c r="N760" i="12"/>
  <c r="T760" i="12"/>
  <c r="U760" i="12"/>
  <c r="D761" i="12"/>
  <c r="J761" i="12"/>
  <c r="K761" i="12"/>
  <c r="N761" i="12"/>
  <c r="T761" i="12"/>
  <c r="U761" i="12"/>
  <c r="X761" i="12" s="1"/>
  <c r="D762" i="12"/>
  <c r="J762" i="12"/>
  <c r="K762" i="12"/>
  <c r="N762" i="12"/>
  <c r="T762" i="12"/>
  <c r="U762" i="12"/>
  <c r="X762" i="12" s="1"/>
  <c r="D763" i="12"/>
  <c r="F763" i="12" s="1"/>
  <c r="J763" i="12"/>
  <c r="K763" i="12"/>
  <c r="N763" i="12"/>
  <c r="T763" i="12"/>
  <c r="U763" i="12"/>
  <c r="D764" i="12"/>
  <c r="J764" i="12"/>
  <c r="K764" i="12"/>
  <c r="N764" i="12"/>
  <c r="T764" i="12"/>
  <c r="U764" i="12"/>
  <c r="X764" i="12" s="1"/>
  <c r="D765" i="12"/>
  <c r="J765" i="12"/>
  <c r="K765" i="12"/>
  <c r="N765" i="12"/>
  <c r="T765" i="12"/>
  <c r="U765" i="12"/>
  <c r="D766" i="12"/>
  <c r="J766" i="12"/>
  <c r="K766" i="12"/>
  <c r="N766" i="12"/>
  <c r="T766" i="12"/>
  <c r="U766" i="12"/>
  <c r="D767" i="12"/>
  <c r="F767" i="12" s="1"/>
  <c r="J767" i="12"/>
  <c r="K767" i="12"/>
  <c r="N767" i="12"/>
  <c r="T767" i="12"/>
  <c r="U767" i="12"/>
  <c r="D768" i="12"/>
  <c r="J768" i="12"/>
  <c r="K768" i="12"/>
  <c r="N768" i="12"/>
  <c r="T768" i="12"/>
  <c r="U768" i="12"/>
  <c r="D769" i="12"/>
  <c r="J769" i="12"/>
  <c r="K769" i="12"/>
  <c r="N769" i="12"/>
  <c r="T769" i="12"/>
  <c r="U769" i="12"/>
  <c r="X769" i="12" s="1"/>
  <c r="D770" i="12"/>
  <c r="F770" i="12" s="1"/>
  <c r="J770" i="12"/>
  <c r="K770" i="12"/>
  <c r="N770" i="12"/>
  <c r="T770" i="12"/>
  <c r="U770" i="12"/>
  <c r="D771" i="12"/>
  <c r="J771" i="12"/>
  <c r="K771" i="12"/>
  <c r="N771" i="12"/>
  <c r="T771" i="12"/>
  <c r="U771" i="12"/>
  <c r="X771" i="12" s="1"/>
  <c r="Y771" i="12"/>
  <c r="Z771" i="12"/>
  <c r="D772" i="12"/>
  <c r="F772" i="12" s="1"/>
  <c r="J772" i="12"/>
  <c r="K772" i="12"/>
  <c r="N772" i="12"/>
  <c r="T772" i="12"/>
  <c r="U772" i="12"/>
  <c r="D773" i="12"/>
  <c r="J773" i="12"/>
  <c r="K773" i="12"/>
  <c r="N773" i="12"/>
  <c r="T773" i="12"/>
  <c r="U773" i="12"/>
  <c r="D774" i="12"/>
  <c r="F774" i="12" s="1"/>
  <c r="J774" i="12"/>
  <c r="K774" i="12"/>
  <c r="N774" i="12"/>
  <c r="T774" i="12"/>
  <c r="U774" i="12"/>
  <c r="X774" i="12" s="1"/>
  <c r="D775" i="12"/>
  <c r="J775" i="12"/>
  <c r="K775" i="12"/>
  <c r="N775" i="12"/>
  <c r="T775" i="12"/>
  <c r="U775" i="12"/>
  <c r="X775" i="12" s="1"/>
  <c r="D776" i="12"/>
  <c r="J776" i="12"/>
  <c r="K776" i="12"/>
  <c r="N776" i="12"/>
  <c r="T776" i="12"/>
  <c r="U776" i="12"/>
  <c r="X776" i="12" s="1"/>
  <c r="D777" i="12"/>
  <c r="F777" i="12" s="1"/>
  <c r="J777" i="12"/>
  <c r="K777" i="12"/>
  <c r="N777" i="12"/>
  <c r="T777" i="12"/>
  <c r="U777" i="12"/>
  <c r="D778" i="12"/>
  <c r="J778" i="12"/>
  <c r="K778" i="12"/>
  <c r="N778" i="12"/>
  <c r="T778" i="12"/>
  <c r="U778" i="12"/>
  <c r="X778" i="12" s="1"/>
  <c r="D779" i="12"/>
  <c r="F779" i="12" s="1"/>
  <c r="J779" i="12"/>
  <c r="K779" i="12"/>
  <c r="N779" i="12"/>
  <c r="T779" i="12"/>
  <c r="U779" i="12"/>
  <c r="D780" i="12"/>
  <c r="J780" i="12"/>
  <c r="K780" i="12"/>
  <c r="N780" i="12"/>
  <c r="T780" i="12"/>
  <c r="U780" i="12"/>
  <c r="D781" i="12"/>
  <c r="F781" i="12" s="1"/>
  <c r="J781" i="12"/>
  <c r="K781" i="12"/>
  <c r="N781" i="12"/>
  <c r="T781" i="12"/>
  <c r="U781" i="12"/>
  <c r="D782" i="12"/>
  <c r="J782" i="12"/>
  <c r="K782" i="12"/>
  <c r="N782" i="12"/>
  <c r="T782" i="12"/>
  <c r="U782" i="12"/>
  <c r="X782" i="12" s="1"/>
  <c r="D783" i="12"/>
  <c r="F783" i="12" s="1"/>
  <c r="J783" i="12"/>
  <c r="K783" i="12"/>
  <c r="N783" i="12"/>
  <c r="T783" i="12"/>
  <c r="U783" i="12"/>
  <c r="X783" i="12" s="1"/>
  <c r="D784" i="12"/>
  <c r="F784" i="12" s="1"/>
  <c r="J784" i="12"/>
  <c r="K784" i="12"/>
  <c r="N784" i="12"/>
  <c r="T784" i="12"/>
  <c r="U784" i="12"/>
  <c r="D785" i="12"/>
  <c r="J785" i="12"/>
  <c r="K785" i="12"/>
  <c r="N785" i="12"/>
  <c r="T785" i="12"/>
  <c r="U785" i="12"/>
  <c r="X785" i="12" s="1"/>
  <c r="D786" i="12"/>
  <c r="J786" i="12"/>
  <c r="K786" i="12"/>
  <c r="N786" i="12"/>
  <c r="T786" i="12"/>
  <c r="U786" i="12"/>
  <c r="D787" i="12"/>
  <c r="J787" i="12"/>
  <c r="K787" i="12"/>
  <c r="N787" i="12"/>
  <c r="T787" i="12"/>
  <c r="U787" i="12"/>
  <c r="D788" i="12"/>
  <c r="J788" i="12"/>
  <c r="K788" i="12"/>
  <c r="N788" i="12"/>
  <c r="T788" i="12"/>
  <c r="U788" i="12"/>
  <c r="X788" i="12" s="1"/>
  <c r="D789" i="12"/>
  <c r="J789" i="12"/>
  <c r="K789" i="12"/>
  <c r="N789" i="12"/>
  <c r="T789" i="12"/>
  <c r="U789" i="12"/>
  <c r="X789" i="12" s="1"/>
  <c r="D790" i="12"/>
  <c r="J790" i="12"/>
  <c r="K790" i="12"/>
  <c r="N790" i="12"/>
  <c r="T790" i="12"/>
  <c r="U790" i="12"/>
  <c r="D791" i="12"/>
  <c r="F791" i="12" s="1"/>
  <c r="J791" i="12"/>
  <c r="K791" i="12"/>
  <c r="N791" i="12"/>
  <c r="T791" i="12"/>
  <c r="U791" i="12"/>
  <c r="D792" i="12"/>
  <c r="J792" i="12"/>
  <c r="K792" i="12"/>
  <c r="N792" i="12"/>
  <c r="T792" i="12"/>
  <c r="U792" i="12"/>
  <c r="X792" i="12" s="1"/>
  <c r="D793" i="12"/>
  <c r="J793" i="12"/>
  <c r="K793" i="12"/>
  <c r="N793" i="12"/>
  <c r="T793" i="12"/>
  <c r="U793" i="12"/>
  <c r="D794" i="12"/>
  <c r="J794" i="12"/>
  <c r="K794" i="12"/>
  <c r="N794" i="12"/>
  <c r="T794" i="12"/>
  <c r="U794" i="12"/>
  <c r="D795" i="12"/>
  <c r="F795" i="12" s="1"/>
  <c r="J795" i="12"/>
  <c r="K795" i="12"/>
  <c r="N795" i="12"/>
  <c r="T795" i="12"/>
  <c r="U795" i="12"/>
  <c r="D796" i="12"/>
  <c r="J796" i="12"/>
  <c r="K796" i="12"/>
  <c r="N796" i="12"/>
  <c r="T796" i="12"/>
  <c r="U796" i="12"/>
  <c r="X796" i="12" s="1"/>
  <c r="D797" i="12"/>
  <c r="F797" i="12" s="1"/>
  <c r="J797" i="12"/>
  <c r="K797" i="12"/>
  <c r="N797" i="12"/>
  <c r="T797" i="12"/>
  <c r="U797" i="12"/>
  <c r="X797" i="12" s="1"/>
  <c r="D798" i="12"/>
  <c r="J798" i="12"/>
  <c r="K798" i="12"/>
  <c r="N798" i="12"/>
  <c r="T798" i="12"/>
  <c r="U798" i="12"/>
  <c r="D799" i="12"/>
  <c r="J799" i="12"/>
  <c r="K799" i="12"/>
  <c r="N799" i="12"/>
  <c r="T799" i="12"/>
  <c r="U799" i="12"/>
  <c r="X799" i="12" s="1"/>
  <c r="D800" i="12"/>
  <c r="F800" i="12" s="1"/>
  <c r="J800" i="12"/>
  <c r="K800" i="12"/>
  <c r="N800" i="12"/>
  <c r="T800" i="12"/>
  <c r="U800" i="12"/>
  <c r="D801" i="12"/>
  <c r="K801" i="12"/>
  <c r="N801" i="12"/>
  <c r="T801" i="12"/>
  <c r="U801" i="12"/>
  <c r="D802" i="12"/>
  <c r="J802" i="12"/>
  <c r="K802" i="12"/>
  <c r="N802" i="12"/>
  <c r="T802" i="12"/>
  <c r="U802" i="12"/>
  <c r="X802" i="12" s="1"/>
  <c r="D803" i="12"/>
  <c r="J803" i="12"/>
  <c r="K803" i="12"/>
  <c r="N803" i="12"/>
  <c r="T803" i="12"/>
  <c r="U803" i="12"/>
  <c r="X803" i="12" s="1"/>
  <c r="D804" i="12"/>
  <c r="J804" i="12"/>
  <c r="K804" i="12"/>
  <c r="N804" i="12"/>
  <c r="T804" i="12"/>
  <c r="U804" i="12"/>
  <c r="X804" i="12" s="1"/>
  <c r="D805" i="12"/>
  <c r="J805" i="12"/>
  <c r="K805" i="12"/>
  <c r="N805" i="12"/>
  <c r="T805" i="12"/>
  <c r="U805" i="12"/>
  <c r="D806" i="12"/>
  <c r="F806" i="12" s="1"/>
  <c r="J806" i="12"/>
  <c r="K806" i="12"/>
  <c r="N806" i="12"/>
  <c r="T806" i="12"/>
  <c r="U806" i="12"/>
  <c r="X806" i="12" s="1"/>
  <c r="D807" i="12"/>
  <c r="F807" i="12" s="1"/>
  <c r="J807" i="12"/>
  <c r="K807" i="12"/>
  <c r="N807" i="12"/>
  <c r="T807" i="12"/>
  <c r="U807" i="12"/>
  <c r="D808" i="12"/>
  <c r="F808" i="12" s="1"/>
  <c r="J808" i="12"/>
  <c r="K808" i="12"/>
  <c r="N808" i="12"/>
  <c r="T808" i="12"/>
  <c r="U808" i="12"/>
  <c r="D809" i="12"/>
  <c r="F809" i="12" s="1"/>
  <c r="J809" i="12"/>
  <c r="K809" i="12"/>
  <c r="N809" i="12"/>
  <c r="T809" i="12"/>
  <c r="U809" i="12"/>
  <c r="D810" i="12"/>
  <c r="J810" i="12"/>
  <c r="K810" i="12"/>
  <c r="N810" i="12"/>
  <c r="T810" i="12"/>
  <c r="U810" i="12"/>
  <c r="X810" i="12" s="1"/>
  <c r="D811" i="12"/>
  <c r="J811" i="12"/>
  <c r="K811" i="12"/>
  <c r="N811" i="12"/>
  <c r="T811" i="12"/>
  <c r="U811" i="12"/>
  <c r="X811" i="12" s="1"/>
  <c r="D812" i="12"/>
  <c r="F812" i="12" s="1"/>
  <c r="J812" i="12"/>
  <c r="K812" i="12"/>
  <c r="N812" i="12"/>
  <c r="T812" i="12"/>
  <c r="U812" i="12"/>
  <c r="D813" i="12"/>
  <c r="F813" i="12" s="1"/>
  <c r="J813" i="12"/>
  <c r="K813" i="12"/>
  <c r="N813" i="12"/>
  <c r="T813" i="12"/>
  <c r="U813" i="12"/>
  <c r="X813" i="12" s="1"/>
  <c r="D814" i="12"/>
  <c r="F814" i="12" s="1"/>
  <c r="J814" i="12"/>
  <c r="K814" i="12"/>
  <c r="N814" i="12"/>
  <c r="T814" i="12"/>
  <c r="U814" i="12"/>
  <c r="D815" i="12"/>
  <c r="J815" i="12"/>
  <c r="K815" i="12"/>
  <c r="N815" i="12"/>
  <c r="T815" i="12"/>
  <c r="U815" i="12"/>
  <c r="D816" i="12"/>
  <c r="F816" i="12" s="1"/>
  <c r="J816" i="12"/>
  <c r="K816" i="12"/>
  <c r="N816" i="12"/>
  <c r="T816" i="12"/>
  <c r="U816" i="12"/>
  <c r="X816" i="12" s="1"/>
  <c r="D817" i="12"/>
  <c r="J817" i="12"/>
  <c r="K817" i="12"/>
  <c r="N817" i="12"/>
  <c r="T817" i="12"/>
  <c r="U817" i="12"/>
  <c r="D818" i="12"/>
  <c r="F818" i="12" s="1"/>
  <c r="J818" i="12"/>
  <c r="K818" i="12"/>
  <c r="N818" i="12"/>
  <c r="T818" i="12"/>
  <c r="U818" i="12"/>
  <c r="D819" i="12"/>
  <c r="J819" i="12"/>
  <c r="K819" i="12"/>
  <c r="N819" i="12"/>
  <c r="T819" i="12"/>
  <c r="U819" i="12"/>
  <c r="D820" i="12"/>
  <c r="J820" i="12"/>
  <c r="K820" i="12"/>
  <c r="N820" i="12"/>
  <c r="T820" i="12"/>
  <c r="U820" i="12"/>
  <c r="X820" i="12" s="1"/>
  <c r="D821" i="12"/>
  <c r="J821" i="12"/>
  <c r="K821" i="12"/>
  <c r="N821" i="12"/>
  <c r="T821" i="12"/>
  <c r="U821" i="12"/>
  <c r="X821" i="12" s="1"/>
  <c r="D822" i="12"/>
  <c r="J822" i="12"/>
  <c r="K822" i="12"/>
  <c r="N822" i="12"/>
  <c r="T822" i="12"/>
  <c r="U822" i="12"/>
  <c r="D823" i="12"/>
  <c r="F823" i="12" s="1"/>
  <c r="J823" i="12"/>
  <c r="K823" i="12"/>
  <c r="N823" i="12"/>
  <c r="T823" i="12"/>
  <c r="U823" i="12"/>
  <c r="D824" i="12"/>
  <c r="J824" i="12"/>
  <c r="K824" i="12"/>
  <c r="N824" i="12"/>
  <c r="T824" i="12"/>
  <c r="U824" i="12"/>
  <c r="X824" i="12" s="1"/>
  <c r="D825" i="12"/>
  <c r="F825" i="12" s="1"/>
  <c r="J825" i="12"/>
  <c r="K825" i="12"/>
  <c r="N825" i="12"/>
  <c r="T825" i="12"/>
  <c r="U825" i="12"/>
  <c r="X825" i="12" s="1"/>
  <c r="D826" i="12"/>
  <c r="F826" i="12" s="1"/>
  <c r="J826" i="12"/>
  <c r="K826" i="12"/>
  <c r="N826" i="12"/>
  <c r="T826" i="12"/>
  <c r="U826" i="12"/>
  <c r="D827" i="12"/>
  <c r="F827" i="12" s="1"/>
  <c r="J827" i="12"/>
  <c r="K827" i="12"/>
  <c r="N827" i="12"/>
  <c r="T827" i="12"/>
  <c r="U827" i="12"/>
  <c r="X827" i="12" s="1"/>
  <c r="D828" i="12"/>
  <c r="J828" i="12"/>
  <c r="K828" i="12"/>
  <c r="N828" i="12"/>
  <c r="T828" i="12"/>
  <c r="U828" i="12"/>
  <c r="D829" i="12"/>
  <c r="F829" i="12" s="1"/>
  <c r="J829" i="12"/>
  <c r="K829" i="12"/>
  <c r="N829" i="12"/>
  <c r="T829" i="12"/>
  <c r="U829" i="12"/>
  <c r="D830" i="12"/>
  <c r="F830" i="12" s="1"/>
  <c r="J830" i="12"/>
  <c r="K830" i="12"/>
  <c r="N830" i="12"/>
  <c r="T830" i="12"/>
  <c r="U830" i="12"/>
  <c r="X830" i="12" s="1"/>
  <c r="D831" i="12"/>
  <c r="J831" i="12"/>
  <c r="K831" i="12"/>
  <c r="N831" i="12"/>
  <c r="T831" i="12"/>
  <c r="U831" i="12"/>
  <c r="X831" i="12" s="1"/>
  <c r="D832" i="12"/>
  <c r="F832" i="12" s="1"/>
  <c r="J832" i="12"/>
  <c r="K832" i="12"/>
  <c r="N832" i="12"/>
  <c r="T832" i="12"/>
  <c r="U832" i="12"/>
  <c r="X832" i="12" s="1"/>
  <c r="D833" i="12"/>
  <c r="F833" i="12" s="1"/>
  <c r="J833" i="12"/>
  <c r="K833" i="12"/>
  <c r="N833" i="12"/>
  <c r="T833" i="12"/>
  <c r="U833" i="12"/>
  <c r="D834" i="12"/>
  <c r="J834" i="12"/>
  <c r="K834" i="12"/>
  <c r="N834" i="12"/>
  <c r="T834" i="12"/>
  <c r="U834" i="12"/>
  <c r="X834" i="12" s="1"/>
  <c r="D835" i="12"/>
  <c r="F835" i="12" s="1"/>
  <c r="J835" i="12"/>
  <c r="K835" i="12"/>
  <c r="N835" i="12"/>
  <c r="T835" i="12"/>
  <c r="U835" i="12"/>
  <c r="D836" i="12"/>
  <c r="J836" i="12"/>
  <c r="K836" i="12"/>
  <c r="N836" i="12"/>
  <c r="T836" i="12"/>
  <c r="U836" i="12"/>
  <c r="D837" i="12"/>
  <c r="C837" i="12" s="1"/>
  <c r="J837" i="12"/>
  <c r="K837" i="12"/>
  <c r="N837" i="12"/>
  <c r="T837" i="12"/>
  <c r="U837" i="12"/>
  <c r="D838" i="12"/>
  <c r="C838" i="12" s="1"/>
  <c r="J838" i="12"/>
  <c r="K838" i="12"/>
  <c r="N838" i="12"/>
  <c r="T838" i="12"/>
  <c r="U838" i="12"/>
  <c r="D839" i="12"/>
  <c r="C839" i="12" s="1"/>
  <c r="J839" i="12"/>
  <c r="K839" i="12"/>
  <c r="N839" i="12"/>
  <c r="T839" i="12"/>
  <c r="U839" i="12"/>
  <c r="D840" i="12"/>
  <c r="C840" i="12" s="1"/>
  <c r="J840" i="12"/>
  <c r="K840" i="12"/>
  <c r="N840" i="12"/>
  <c r="T840" i="12"/>
  <c r="U840" i="12"/>
  <c r="X840" i="12" s="1"/>
  <c r="D841" i="12"/>
  <c r="F841" i="12" s="1"/>
  <c r="J841" i="12"/>
  <c r="K841" i="12"/>
  <c r="N841" i="12"/>
  <c r="T841" i="12"/>
  <c r="U841" i="12"/>
  <c r="X841" i="12" s="1"/>
  <c r="D842" i="12"/>
  <c r="F842" i="12" s="1"/>
  <c r="J842" i="12"/>
  <c r="K842" i="12"/>
  <c r="N842" i="12"/>
  <c r="T842" i="12"/>
  <c r="U842" i="12"/>
  <c r="X842" i="12" s="1"/>
  <c r="D843" i="12"/>
  <c r="F843" i="12" s="1"/>
  <c r="J843" i="12"/>
  <c r="K843" i="12"/>
  <c r="N843" i="12"/>
  <c r="T843" i="12"/>
  <c r="U843" i="12"/>
  <c r="X843" i="12" s="1"/>
  <c r="D844" i="12"/>
  <c r="C844" i="12" s="1"/>
  <c r="J844" i="12"/>
  <c r="K844" i="12"/>
  <c r="N844" i="12"/>
  <c r="T844" i="12"/>
  <c r="U844" i="12"/>
  <c r="D845" i="12"/>
  <c r="C845" i="12" s="1"/>
  <c r="J845" i="12"/>
  <c r="K845" i="12"/>
  <c r="N845" i="12"/>
  <c r="T845" i="12"/>
  <c r="U845" i="12"/>
  <c r="D846" i="12"/>
  <c r="J846" i="12"/>
  <c r="K846" i="12"/>
  <c r="N846" i="12"/>
  <c r="T846" i="12"/>
  <c r="U846" i="12"/>
  <c r="D847" i="12"/>
  <c r="C847" i="12" s="1"/>
  <c r="J847" i="12"/>
  <c r="K847" i="12"/>
  <c r="N847" i="12"/>
  <c r="T847" i="12"/>
  <c r="U847" i="12"/>
  <c r="X847" i="12" s="1"/>
  <c r="D848" i="12"/>
  <c r="F848" i="12" s="1"/>
  <c r="J848" i="12"/>
  <c r="K848" i="12"/>
  <c r="N848" i="12"/>
  <c r="T848" i="12"/>
  <c r="U848" i="12"/>
  <c r="X848" i="12" s="1"/>
  <c r="D849" i="12"/>
  <c r="F849" i="12" s="1"/>
  <c r="J849" i="12"/>
  <c r="K849" i="12"/>
  <c r="N849" i="12"/>
  <c r="T849" i="12"/>
  <c r="U849" i="12"/>
  <c r="X849" i="12" s="1"/>
  <c r="D850" i="12"/>
  <c r="F850" i="12" s="1"/>
  <c r="J850" i="12"/>
  <c r="K850" i="12"/>
  <c r="N850" i="12"/>
  <c r="T850" i="12"/>
  <c r="U850" i="12"/>
  <c r="D851" i="12"/>
  <c r="C851" i="12" s="1"/>
  <c r="J851" i="12"/>
  <c r="K851" i="12"/>
  <c r="N851" i="12"/>
  <c r="T851" i="12"/>
  <c r="U851" i="12"/>
  <c r="D852" i="12"/>
  <c r="C852" i="12" s="1"/>
  <c r="J852" i="12"/>
  <c r="K852" i="12"/>
  <c r="N852" i="12"/>
  <c r="T852" i="12"/>
  <c r="U852" i="12"/>
  <c r="D853" i="12"/>
  <c r="C853" i="12" s="1"/>
  <c r="J853" i="12"/>
  <c r="K853" i="12"/>
  <c r="N853" i="12"/>
  <c r="T853" i="12"/>
  <c r="U853" i="12"/>
  <c r="D854" i="12"/>
  <c r="C854" i="12" s="1"/>
  <c r="J854" i="12"/>
  <c r="K854" i="12"/>
  <c r="N854" i="12"/>
  <c r="T854" i="12"/>
  <c r="U854" i="12"/>
  <c r="X854" i="12" s="1"/>
  <c r="D855" i="12"/>
  <c r="F855" i="12" s="1"/>
  <c r="J855" i="12"/>
  <c r="K855" i="12"/>
  <c r="N855" i="12"/>
  <c r="T855" i="12"/>
  <c r="U855" i="12"/>
  <c r="X855" i="12" s="1"/>
  <c r="D856" i="12"/>
  <c r="F856" i="12" s="1"/>
  <c r="J856" i="12"/>
  <c r="K856" i="12"/>
  <c r="N856" i="12"/>
  <c r="T856" i="12"/>
  <c r="U856" i="12"/>
  <c r="D857" i="12"/>
  <c r="F857" i="12" s="1"/>
  <c r="J857" i="12"/>
  <c r="K857" i="12"/>
  <c r="N857" i="12"/>
  <c r="T857" i="12"/>
  <c r="U857" i="12"/>
  <c r="D858" i="12"/>
  <c r="F858" i="12" s="1"/>
  <c r="J858" i="12"/>
  <c r="K858" i="12"/>
  <c r="N858" i="12"/>
  <c r="T858" i="12"/>
  <c r="U858" i="12"/>
  <c r="D859" i="12"/>
  <c r="J859" i="12"/>
  <c r="K859" i="12"/>
  <c r="N859" i="12"/>
  <c r="T859" i="12"/>
  <c r="U859" i="12"/>
  <c r="D860" i="12"/>
  <c r="C860" i="12" s="1"/>
  <c r="J860" i="12"/>
  <c r="K860" i="12"/>
  <c r="N860" i="12"/>
  <c r="T860" i="12"/>
  <c r="U860" i="12"/>
  <c r="D861" i="12"/>
  <c r="C861" i="12" s="1"/>
  <c r="J861" i="12"/>
  <c r="K861" i="12"/>
  <c r="N861" i="12"/>
  <c r="T861" i="12"/>
  <c r="U861" i="12"/>
  <c r="X861" i="12" s="1"/>
  <c r="D862" i="12"/>
  <c r="F862" i="12" s="1"/>
  <c r="J862" i="12"/>
  <c r="K862" i="12"/>
  <c r="N862" i="12"/>
  <c r="T862" i="12"/>
  <c r="U862" i="12"/>
  <c r="X862" i="12" s="1"/>
  <c r="D863" i="12"/>
  <c r="F863" i="12" s="1"/>
  <c r="J863" i="12"/>
  <c r="K863" i="12"/>
  <c r="N863" i="12"/>
  <c r="T863" i="12"/>
  <c r="U863" i="12"/>
  <c r="X863" i="12" s="1"/>
  <c r="D864" i="12"/>
  <c r="F864" i="12" s="1"/>
  <c r="J864" i="12"/>
  <c r="K864" i="12"/>
  <c r="N864" i="12"/>
  <c r="T864" i="12"/>
  <c r="U864" i="12"/>
  <c r="D865" i="12"/>
  <c r="C865" i="12" s="1"/>
  <c r="J865" i="12"/>
  <c r="K865" i="12"/>
  <c r="N865" i="12"/>
  <c r="T865" i="12"/>
  <c r="U865" i="12"/>
  <c r="D866" i="12"/>
  <c r="C866" i="12" s="1"/>
  <c r="J866" i="12"/>
  <c r="K866" i="12"/>
  <c r="N866" i="12"/>
  <c r="T866" i="12"/>
  <c r="U866" i="12"/>
  <c r="D867" i="12"/>
  <c r="F867" i="12" s="1"/>
  <c r="J867" i="12"/>
  <c r="K867" i="12"/>
  <c r="N867" i="12"/>
  <c r="T867" i="12"/>
  <c r="U867" i="12"/>
  <c r="D868" i="12"/>
  <c r="C868" i="12" s="1"/>
  <c r="J868" i="12"/>
  <c r="K868" i="12"/>
  <c r="N868" i="12"/>
  <c r="T868" i="12"/>
  <c r="U868" i="12"/>
  <c r="X868" i="12" s="1"/>
  <c r="D869" i="12"/>
  <c r="F869" i="12" s="1"/>
  <c r="J869" i="12"/>
  <c r="K869" i="12"/>
  <c r="N869" i="12"/>
  <c r="T869" i="12"/>
  <c r="U869" i="12"/>
  <c r="X869" i="12" s="1"/>
  <c r="D870" i="12"/>
  <c r="F870" i="12" s="1"/>
  <c r="J870" i="12"/>
  <c r="K870" i="12"/>
  <c r="N870" i="12"/>
  <c r="T870" i="12"/>
  <c r="U870" i="12"/>
  <c r="X870" i="12" s="1"/>
  <c r="D871" i="12"/>
  <c r="J871" i="12"/>
  <c r="K871" i="12"/>
  <c r="N871" i="12"/>
  <c r="T871" i="12"/>
  <c r="U871" i="12"/>
  <c r="X871" i="12" s="1"/>
  <c r="D872" i="12"/>
  <c r="C872" i="12" s="1"/>
  <c r="J872" i="12"/>
  <c r="K872" i="12"/>
  <c r="N872" i="12"/>
  <c r="T872" i="12"/>
  <c r="U872" i="12"/>
  <c r="D873" i="12"/>
  <c r="C873" i="12" s="1"/>
  <c r="J873" i="12"/>
  <c r="K873" i="12"/>
  <c r="N873" i="12"/>
  <c r="T873" i="12"/>
  <c r="U873" i="12"/>
  <c r="D874" i="12"/>
  <c r="C874" i="12" s="1"/>
  <c r="J874" i="12"/>
  <c r="K874" i="12"/>
  <c r="N874" i="12"/>
  <c r="T874" i="12"/>
  <c r="U874" i="12"/>
  <c r="D875" i="12"/>
  <c r="C875" i="12" s="1"/>
  <c r="J875" i="12"/>
  <c r="K875" i="12"/>
  <c r="N875" i="12"/>
  <c r="T875" i="12"/>
  <c r="U875" i="12"/>
  <c r="X875" i="12" s="1"/>
  <c r="D876" i="12"/>
  <c r="F876" i="12" s="1"/>
  <c r="J876" i="12"/>
  <c r="K876" i="12"/>
  <c r="N876" i="12"/>
  <c r="T876" i="12"/>
  <c r="U876" i="12"/>
  <c r="X876" i="12" s="1"/>
  <c r="D877" i="12"/>
  <c r="F877" i="12" s="1"/>
  <c r="J877" i="12"/>
  <c r="K877" i="12"/>
  <c r="N877" i="12"/>
  <c r="T877" i="12"/>
  <c r="U877" i="12"/>
  <c r="D878" i="12"/>
  <c r="F878" i="12" s="1"/>
  <c r="J878" i="12"/>
  <c r="K878" i="12"/>
  <c r="N878" i="12"/>
  <c r="T878" i="12"/>
  <c r="U878" i="12"/>
  <c r="D879" i="12"/>
  <c r="C879" i="12" s="1"/>
  <c r="J879" i="12"/>
  <c r="K879" i="12"/>
  <c r="N879" i="12"/>
  <c r="T879" i="12"/>
  <c r="U879" i="12"/>
  <c r="D880" i="12"/>
  <c r="F880" i="12" s="1"/>
  <c r="J880" i="12"/>
  <c r="K880" i="12"/>
  <c r="N880" i="12"/>
  <c r="T880" i="12"/>
  <c r="U880" i="12"/>
  <c r="D881" i="12"/>
  <c r="C881" i="12" s="1"/>
  <c r="J881" i="12"/>
  <c r="K881" i="12"/>
  <c r="N881" i="12"/>
  <c r="T881" i="12"/>
  <c r="U881" i="12"/>
  <c r="D882" i="12"/>
  <c r="C882" i="12" s="1"/>
  <c r="J882" i="12"/>
  <c r="K882" i="12"/>
  <c r="N882" i="12"/>
  <c r="T882" i="12"/>
  <c r="U882" i="12"/>
  <c r="X882" i="12" s="1"/>
  <c r="D883" i="12"/>
  <c r="C883" i="12" s="1"/>
  <c r="J883" i="12"/>
  <c r="K883" i="12"/>
  <c r="N883" i="12"/>
  <c r="T883" i="12"/>
  <c r="U883" i="12"/>
  <c r="X883" i="12" s="1"/>
  <c r="D884" i="12"/>
  <c r="C884" i="12" s="1"/>
  <c r="J884" i="12"/>
  <c r="K884" i="12"/>
  <c r="N884" i="12"/>
  <c r="T884" i="12"/>
  <c r="U884" i="12"/>
  <c r="X884" i="12" s="1"/>
  <c r="D885" i="12"/>
  <c r="C885" i="12" s="1"/>
  <c r="J885" i="12"/>
  <c r="K885" i="12"/>
  <c r="N885" i="12"/>
  <c r="T885" i="12"/>
  <c r="U885" i="12"/>
  <c r="X885" i="12" s="1"/>
  <c r="D886" i="12"/>
  <c r="J886" i="12"/>
  <c r="K886" i="12"/>
  <c r="N886" i="12"/>
  <c r="T886" i="12"/>
  <c r="U886" i="12"/>
  <c r="X886" i="12" s="1"/>
  <c r="D887" i="12"/>
  <c r="J887" i="12"/>
  <c r="K887" i="12"/>
  <c r="N887" i="12"/>
  <c r="T887" i="12"/>
  <c r="U887" i="12"/>
  <c r="X887" i="12" s="1"/>
  <c r="D888" i="12"/>
  <c r="C888" i="12" s="1"/>
  <c r="J888" i="12"/>
  <c r="K888" i="12"/>
  <c r="N888" i="12"/>
  <c r="T888" i="12"/>
  <c r="U888" i="12"/>
  <c r="X888" i="12" s="1"/>
  <c r="D889" i="12"/>
  <c r="C889" i="12" s="1"/>
  <c r="J889" i="12"/>
  <c r="K889" i="12"/>
  <c r="N889" i="12"/>
  <c r="T889" i="12"/>
  <c r="U889" i="12"/>
  <c r="X889" i="12" s="1"/>
  <c r="D890" i="12"/>
  <c r="C890" i="12" s="1"/>
  <c r="J890" i="12"/>
  <c r="K890" i="12"/>
  <c r="N890" i="12"/>
  <c r="T890" i="12"/>
  <c r="U890" i="12"/>
  <c r="X890" i="12" s="1"/>
  <c r="D891" i="12"/>
  <c r="C891" i="12" s="1"/>
  <c r="J891" i="12"/>
  <c r="K891" i="12"/>
  <c r="N891" i="12"/>
  <c r="T891" i="12"/>
  <c r="U891" i="12"/>
  <c r="X891" i="12" s="1"/>
  <c r="D892" i="12"/>
  <c r="C892" i="12" s="1"/>
  <c r="J892" i="12"/>
  <c r="K892" i="12"/>
  <c r="N892" i="12"/>
  <c r="T892" i="12"/>
  <c r="U892" i="12"/>
  <c r="X892" i="12" s="1"/>
  <c r="D893" i="12"/>
  <c r="J893" i="12"/>
  <c r="K893" i="12"/>
  <c r="N893" i="12"/>
  <c r="T893" i="12"/>
  <c r="U893" i="12"/>
  <c r="X893" i="12" s="1"/>
  <c r="D894" i="12"/>
  <c r="C894" i="12" s="1"/>
  <c r="J894" i="12"/>
  <c r="K894" i="12"/>
  <c r="N894" i="12"/>
  <c r="T894" i="12"/>
  <c r="U894" i="12"/>
  <c r="X894" i="12" s="1"/>
  <c r="D895" i="12"/>
  <c r="C895" i="12" s="1"/>
  <c r="J895" i="12"/>
  <c r="K895" i="12"/>
  <c r="N895" i="12"/>
  <c r="T895" i="12"/>
  <c r="U895" i="12"/>
  <c r="X895" i="12" s="1"/>
  <c r="D896" i="12"/>
  <c r="C896" i="12" s="1"/>
  <c r="J896" i="12"/>
  <c r="K896" i="12"/>
  <c r="N896" i="12"/>
  <c r="T896" i="12"/>
  <c r="U896" i="12"/>
  <c r="X896" i="12" s="1"/>
  <c r="D897" i="12"/>
  <c r="C897" i="12" s="1"/>
  <c r="J897" i="12"/>
  <c r="K897" i="12"/>
  <c r="N897" i="12"/>
  <c r="T897" i="12"/>
  <c r="U897" i="12"/>
  <c r="X897" i="12" s="1"/>
  <c r="D898" i="12"/>
  <c r="C898" i="12" s="1"/>
  <c r="J898" i="12"/>
  <c r="K898" i="12"/>
  <c r="N898" i="12"/>
  <c r="T898" i="12"/>
  <c r="U898" i="12"/>
  <c r="X898" i="12" s="1"/>
  <c r="D899" i="12"/>
  <c r="J899" i="12"/>
  <c r="K899" i="12"/>
  <c r="N899" i="12"/>
  <c r="T899" i="12"/>
  <c r="U899" i="12"/>
  <c r="X899" i="12" s="1"/>
  <c r="D900" i="12"/>
  <c r="J900" i="12"/>
  <c r="K900" i="12"/>
  <c r="N900" i="12"/>
  <c r="T900" i="12"/>
  <c r="U900" i="12"/>
  <c r="X900" i="12" s="1"/>
  <c r="D901" i="12"/>
  <c r="C901" i="12" s="1"/>
  <c r="J901" i="12"/>
  <c r="K901" i="12"/>
  <c r="N901" i="12"/>
  <c r="T901" i="12"/>
  <c r="U901" i="12"/>
  <c r="X901" i="12" s="1"/>
  <c r="D902" i="12"/>
  <c r="C902" i="12" s="1"/>
  <c r="J902" i="12"/>
  <c r="K902" i="12"/>
  <c r="N902" i="12"/>
  <c r="T902" i="12"/>
  <c r="U902" i="12"/>
  <c r="D903" i="12"/>
  <c r="C903" i="12" s="1"/>
  <c r="J903" i="12"/>
  <c r="K903" i="12"/>
  <c r="N903" i="12"/>
  <c r="T903" i="12"/>
  <c r="U903" i="12"/>
  <c r="X903" i="12" s="1"/>
  <c r="D904" i="12"/>
  <c r="C904" i="12" s="1"/>
  <c r="J904" i="12"/>
  <c r="K904" i="12"/>
  <c r="N904" i="12"/>
  <c r="T904" i="12"/>
  <c r="U904" i="12"/>
  <c r="X904" i="12" s="1"/>
  <c r="D905" i="12"/>
  <c r="C905" i="12" s="1"/>
  <c r="J905" i="12"/>
  <c r="K905" i="12"/>
  <c r="N905" i="12"/>
  <c r="T905" i="12"/>
  <c r="U905" i="12"/>
  <c r="X905" i="12" s="1"/>
  <c r="D906" i="12"/>
  <c r="J906" i="12"/>
  <c r="K906" i="12"/>
  <c r="N906" i="12"/>
  <c r="T906" i="12"/>
  <c r="U906" i="12"/>
  <c r="X906" i="12" s="1"/>
  <c r="D907" i="12"/>
  <c r="J907" i="12"/>
  <c r="K907" i="12"/>
  <c r="N907" i="12"/>
  <c r="T907" i="12"/>
  <c r="U907" i="12"/>
  <c r="D908" i="12"/>
  <c r="C908" i="12" s="1"/>
  <c r="J908" i="12"/>
  <c r="K908" i="12"/>
  <c r="N908" i="12"/>
  <c r="T908" i="12"/>
  <c r="U908" i="12"/>
  <c r="X908" i="12" s="1"/>
  <c r="D909" i="12"/>
  <c r="J909" i="12"/>
  <c r="K909" i="12"/>
  <c r="N909" i="12"/>
  <c r="T909" i="12"/>
  <c r="U909" i="12"/>
  <c r="D910" i="12"/>
  <c r="C910" i="12" s="1"/>
  <c r="J910" i="12"/>
  <c r="K910" i="12"/>
  <c r="N910" i="12"/>
  <c r="T910" i="12"/>
  <c r="U910" i="12"/>
  <c r="X910" i="12" s="1"/>
  <c r="D911" i="12"/>
  <c r="J911" i="12"/>
  <c r="K911" i="12"/>
  <c r="N911" i="12"/>
  <c r="T911" i="12"/>
  <c r="U911" i="12"/>
  <c r="X911" i="12" s="1"/>
  <c r="D912" i="12"/>
  <c r="C912" i="12" s="1"/>
  <c r="J912" i="12"/>
  <c r="K912" i="12"/>
  <c r="N912" i="12"/>
  <c r="T912" i="12"/>
  <c r="U912" i="12"/>
  <c r="X912" i="12" s="1"/>
  <c r="D913" i="12"/>
  <c r="C913" i="12" s="1"/>
  <c r="J913" i="12"/>
  <c r="K913" i="12"/>
  <c r="N913" i="12"/>
  <c r="T913" i="12"/>
  <c r="U913" i="12"/>
  <c r="D914" i="12"/>
  <c r="J914" i="12"/>
  <c r="K914" i="12"/>
  <c r="N914" i="12"/>
  <c r="T914" i="12"/>
  <c r="U914" i="12"/>
  <c r="X914" i="12" s="1"/>
  <c r="D915" i="12"/>
  <c r="C915" i="12" s="1"/>
  <c r="J915" i="12"/>
  <c r="K915" i="12"/>
  <c r="N915" i="12"/>
  <c r="T915" i="12"/>
  <c r="U915" i="12"/>
  <c r="X915" i="12" s="1"/>
  <c r="D916" i="12"/>
  <c r="C916" i="12" s="1"/>
  <c r="J916" i="12"/>
  <c r="K916" i="12"/>
  <c r="N916" i="12"/>
  <c r="T916" i="12"/>
  <c r="U916" i="12"/>
  <c r="X916" i="12" s="1"/>
  <c r="D917" i="12"/>
  <c r="C917" i="12" s="1"/>
  <c r="J917" i="12"/>
  <c r="K917" i="12"/>
  <c r="N917" i="12"/>
  <c r="T917" i="12"/>
  <c r="U917" i="12"/>
  <c r="X917" i="12" s="1"/>
  <c r="D918" i="12"/>
  <c r="C918" i="12" s="1"/>
  <c r="J918" i="12"/>
  <c r="K918" i="12"/>
  <c r="N918" i="12"/>
  <c r="T918" i="12"/>
  <c r="U918" i="12"/>
  <c r="X918" i="12" s="1"/>
  <c r="D919" i="12"/>
  <c r="C919" i="12" s="1"/>
  <c r="J919" i="12"/>
  <c r="K919" i="12"/>
  <c r="N919" i="12"/>
  <c r="T919" i="12"/>
  <c r="U919" i="12"/>
  <c r="X919" i="12" s="1"/>
  <c r="D920" i="12"/>
  <c r="J920" i="12"/>
  <c r="K920" i="12"/>
  <c r="N920" i="12"/>
  <c r="T920" i="12"/>
  <c r="U920" i="12"/>
  <c r="X920" i="12" s="1"/>
  <c r="D921" i="12"/>
  <c r="J921" i="12"/>
  <c r="K921" i="12"/>
  <c r="N921" i="12"/>
  <c r="T921" i="12"/>
  <c r="U921" i="12"/>
  <c r="X921" i="12" s="1"/>
  <c r="D922" i="12"/>
  <c r="C922" i="12" s="1"/>
  <c r="J922" i="12"/>
  <c r="K922" i="12"/>
  <c r="N922" i="12"/>
  <c r="T922" i="12"/>
  <c r="U922" i="12"/>
  <c r="X922" i="12" s="1"/>
  <c r="D923" i="12"/>
  <c r="C923" i="12" s="1"/>
  <c r="J923" i="12"/>
  <c r="K923" i="12"/>
  <c r="N923" i="12"/>
  <c r="T923" i="12"/>
  <c r="U923" i="12"/>
  <c r="X923" i="12" s="1"/>
  <c r="D924" i="12"/>
  <c r="C924" i="12" s="1"/>
  <c r="J924" i="12"/>
  <c r="K924" i="12"/>
  <c r="N924" i="12"/>
  <c r="T924" i="12"/>
  <c r="U924" i="12"/>
  <c r="X924" i="12" s="1"/>
  <c r="D925" i="12"/>
  <c r="C925" i="12" s="1"/>
  <c r="J925" i="12"/>
  <c r="K925" i="12"/>
  <c r="N925" i="12"/>
  <c r="T925" i="12"/>
  <c r="U925" i="12"/>
  <c r="X925" i="12" s="1"/>
  <c r="D926" i="12"/>
  <c r="J926" i="12"/>
  <c r="K926" i="12"/>
  <c r="N926" i="12"/>
  <c r="T926" i="12"/>
  <c r="U926" i="12"/>
  <c r="X926" i="12" s="1"/>
  <c r="D927" i="12"/>
  <c r="C927" i="12" s="1"/>
  <c r="J927" i="12"/>
  <c r="K927" i="12"/>
  <c r="N927" i="12"/>
  <c r="T927" i="12"/>
  <c r="U927" i="12"/>
  <c r="X927" i="12" s="1"/>
  <c r="D928" i="12"/>
  <c r="J928" i="12"/>
  <c r="K928" i="12"/>
  <c r="N928" i="12"/>
  <c r="T928" i="12"/>
  <c r="U928" i="12"/>
  <c r="X928" i="12" s="1"/>
  <c r="D929" i="12"/>
  <c r="C929" i="12" s="1"/>
  <c r="J929" i="12"/>
  <c r="K929" i="12"/>
  <c r="N929" i="12"/>
  <c r="T929" i="12"/>
  <c r="U929" i="12"/>
  <c r="X929" i="12" s="1"/>
  <c r="D930" i="12"/>
  <c r="C930" i="12" s="1"/>
  <c r="J930" i="12"/>
  <c r="K930" i="12"/>
  <c r="N930" i="12"/>
  <c r="T930" i="12"/>
  <c r="U930" i="12"/>
  <c r="X930" i="12" s="1"/>
  <c r="D931" i="12"/>
  <c r="C931" i="12" s="1"/>
  <c r="J931" i="12"/>
  <c r="K931" i="12"/>
  <c r="N931" i="12"/>
  <c r="T931" i="12"/>
  <c r="U931" i="12"/>
  <c r="X931" i="12" s="1"/>
  <c r="D932" i="12"/>
  <c r="C932" i="12" s="1"/>
  <c r="J932" i="12"/>
  <c r="K932" i="12"/>
  <c r="N932" i="12"/>
  <c r="T932" i="12"/>
  <c r="U932" i="12"/>
  <c r="X932" i="12" s="1"/>
  <c r="D933" i="12"/>
  <c r="C933" i="12" s="1"/>
  <c r="J933" i="12"/>
  <c r="K933" i="12"/>
  <c r="N933" i="12"/>
  <c r="T933" i="12"/>
  <c r="U933" i="12"/>
  <c r="X933" i="12" s="1"/>
  <c r="D934" i="12"/>
  <c r="J934" i="12"/>
  <c r="K934" i="12"/>
  <c r="N934" i="12"/>
  <c r="T934" i="12"/>
  <c r="U934" i="12"/>
  <c r="X934" i="12" s="1"/>
  <c r="D935" i="12"/>
  <c r="J935" i="12"/>
  <c r="K935" i="12"/>
  <c r="N935" i="12"/>
  <c r="T935" i="12"/>
  <c r="U935" i="12"/>
  <c r="X935" i="12" s="1"/>
  <c r="D936" i="12"/>
  <c r="C936" i="12" s="1"/>
  <c r="J936" i="12"/>
  <c r="K936" i="12"/>
  <c r="N936" i="12"/>
  <c r="T936" i="12"/>
  <c r="U936" i="12"/>
  <c r="X936" i="12" s="1"/>
  <c r="D937" i="12"/>
  <c r="J937" i="12"/>
  <c r="K937" i="12"/>
  <c r="N937" i="12"/>
  <c r="T937" i="12"/>
  <c r="U937" i="12"/>
  <c r="X937" i="12" s="1"/>
  <c r="D938" i="12"/>
  <c r="C938" i="12" s="1"/>
  <c r="J938" i="12"/>
  <c r="K938" i="12"/>
  <c r="N938" i="12"/>
  <c r="T938" i="12"/>
  <c r="U938" i="12"/>
  <c r="X938" i="12" s="1"/>
  <c r="D939" i="12"/>
  <c r="C939" i="12" s="1"/>
  <c r="J939" i="12"/>
  <c r="K939" i="12"/>
  <c r="N939" i="12"/>
  <c r="T939" i="12"/>
  <c r="U939" i="12"/>
  <c r="X939" i="12" s="1"/>
  <c r="D940" i="12"/>
  <c r="C940" i="12" s="1"/>
  <c r="J940" i="12"/>
  <c r="K940" i="12"/>
  <c r="N940" i="12"/>
  <c r="T940" i="12"/>
  <c r="U940" i="12"/>
  <c r="D941" i="12"/>
  <c r="C941" i="12" s="1"/>
  <c r="J941" i="12"/>
  <c r="K941" i="12"/>
  <c r="N941" i="12"/>
  <c r="T941" i="12"/>
  <c r="U941" i="12"/>
  <c r="X941" i="12" s="1"/>
  <c r="D942" i="12"/>
  <c r="J942" i="12"/>
  <c r="K942" i="12"/>
  <c r="N942" i="12"/>
  <c r="T942" i="12"/>
  <c r="U942" i="12"/>
  <c r="X942" i="12" s="1"/>
  <c r="D943" i="12"/>
  <c r="C943" i="12" s="1"/>
  <c r="J943" i="12"/>
  <c r="K943" i="12"/>
  <c r="N943" i="12"/>
  <c r="T943" i="12"/>
  <c r="U943" i="12"/>
  <c r="X943" i="12" s="1"/>
  <c r="D944" i="12"/>
  <c r="J944" i="12"/>
  <c r="K944" i="12"/>
  <c r="N944" i="12"/>
  <c r="T944" i="12"/>
  <c r="U944" i="12"/>
  <c r="X944" i="12" s="1"/>
  <c r="D945" i="12"/>
  <c r="J945" i="12"/>
  <c r="K945" i="12"/>
  <c r="N945" i="12"/>
  <c r="T945" i="12"/>
  <c r="U945" i="12"/>
  <c r="X945" i="12" s="1"/>
  <c r="D946" i="12"/>
  <c r="C946" i="12" s="1"/>
  <c r="J946" i="12"/>
  <c r="K946" i="12"/>
  <c r="N946" i="12"/>
  <c r="T946" i="12"/>
  <c r="U946" i="12"/>
  <c r="X946" i="12" s="1"/>
  <c r="D947" i="12"/>
  <c r="C947" i="12" s="1"/>
  <c r="J947" i="12"/>
  <c r="K947" i="12"/>
  <c r="N947" i="12"/>
  <c r="T947" i="12"/>
  <c r="U947" i="12"/>
  <c r="X947" i="12" s="1"/>
  <c r="D948" i="12"/>
  <c r="C948" i="12" s="1"/>
  <c r="J948" i="12"/>
  <c r="K948" i="12"/>
  <c r="N948" i="12"/>
  <c r="T948" i="12"/>
  <c r="U948" i="12"/>
  <c r="X948" i="12" s="1"/>
  <c r="D949" i="12"/>
  <c r="J949" i="12"/>
  <c r="K949" i="12"/>
  <c r="N949" i="12"/>
  <c r="T949" i="12"/>
  <c r="U949" i="12"/>
  <c r="D950" i="12"/>
  <c r="C950" i="12" s="1"/>
  <c r="J950" i="12"/>
  <c r="K950" i="12"/>
  <c r="N950" i="12"/>
  <c r="T950" i="12"/>
  <c r="U950" i="12"/>
  <c r="X950" i="12" s="1"/>
  <c r="D951" i="12"/>
  <c r="J951" i="12"/>
  <c r="K951" i="12"/>
  <c r="N951" i="12"/>
  <c r="T951" i="12"/>
  <c r="U951" i="12"/>
  <c r="X951" i="12" s="1"/>
  <c r="D952" i="12"/>
  <c r="J952" i="12"/>
  <c r="K952" i="12"/>
  <c r="N952" i="12"/>
  <c r="T952" i="12"/>
  <c r="U952" i="12"/>
  <c r="X952" i="12" s="1"/>
  <c r="D953" i="12"/>
  <c r="J953" i="12"/>
  <c r="K953" i="12"/>
  <c r="N953" i="12"/>
  <c r="T953" i="12"/>
  <c r="U953" i="12"/>
  <c r="X953" i="12" s="1"/>
  <c r="D954" i="12"/>
  <c r="C954" i="12" s="1"/>
  <c r="J954" i="12"/>
  <c r="K954" i="12"/>
  <c r="N954" i="12"/>
  <c r="T954" i="12"/>
  <c r="U954" i="12"/>
  <c r="X954" i="12" s="1"/>
  <c r="D955" i="12"/>
  <c r="C955" i="12" s="1"/>
  <c r="J955" i="12"/>
  <c r="K955" i="12"/>
  <c r="N955" i="12"/>
  <c r="T955" i="12"/>
  <c r="U955" i="12"/>
  <c r="X955" i="12" s="1"/>
  <c r="D956" i="12"/>
  <c r="F956" i="12" s="1"/>
  <c r="J956" i="12"/>
  <c r="K956" i="12"/>
  <c r="N956" i="12"/>
  <c r="T956" i="12"/>
  <c r="U956" i="12"/>
  <c r="D957" i="12"/>
  <c r="F957" i="12" s="1"/>
  <c r="J957" i="12"/>
  <c r="K957" i="12"/>
  <c r="N957" i="12"/>
  <c r="T957" i="12"/>
  <c r="U957" i="12"/>
  <c r="X957" i="12" s="1"/>
  <c r="D958" i="12"/>
  <c r="F958" i="12" s="1"/>
  <c r="J958" i="12"/>
  <c r="K958" i="12"/>
  <c r="N958" i="12"/>
  <c r="T958" i="12"/>
  <c r="U958" i="12"/>
  <c r="X958" i="12" s="1"/>
  <c r="D959" i="12"/>
  <c r="J959" i="12"/>
  <c r="K959" i="12"/>
  <c r="N959" i="12"/>
  <c r="T959" i="12"/>
  <c r="U959" i="12"/>
  <c r="D960" i="12"/>
  <c r="F960" i="12" s="1"/>
  <c r="J960" i="12"/>
  <c r="K960" i="12"/>
  <c r="N960" i="12"/>
  <c r="T960" i="12"/>
  <c r="U960" i="12"/>
  <c r="D961" i="12"/>
  <c r="J961" i="12"/>
  <c r="K961" i="12"/>
  <c r="N961" i="12"/>
  <c r="T961" i="12"/>
  <c r="U961" i="12"/>
  <c r="D962" i="12"/>
  <c r="F962" i="12" s="1"/>
  <c r="J962" i="12"/>
  <c r="K962" i="12"/>
  <c r="N962" i="12"/>
  <c r="T962" i="12"/>
  <c r="U962" i="12"/>
  <c r="X962" i="12" s="1"/>
  <c r="D963" i="12"/>
  <c r="F963" i="12" s="1"/>
  <c r="J963" i="12"/>
  <c r="K963" i="12"/>
  <c r="N963" i="12"/>
  <c r="T963" i="12"/>
  <c r="U963" i="12"/>
  <c r="D964" i="12"/>
  <c r="F964" i="12" s="1"/>
  <c r="J964" i="12"/>
  <c r="K964" i="12"/>
  <c r="N964" i="12"/>
  <c r="T964" i="12"/>
  <c r="U964" i="12"/>
  <c r="X964" i="12" s="1"/>
  <c r="D965" i="12"/>
  <c r="F965" i="12" s="1"/>
  <c r="J965" i="12"/>
  <c r="K965" i="12"/>
  <c r="N965" i="12"/>
  <c r="T965" i="12"/>
  <c r="U965" i="12"/>
  <c r="X965" i="12" s="1"/>
  <c r="D966" i="12"/>
  <c r="F966" i="12" s="1"/>
  <c r="J966" i="12"/>
  <c r="K966" i="12"/>
  <c r="N966" i="12"/>
  <c r="T966" i="12"/>
  <c r="U966" i="12"/>
  <c r="D967" i="12"/>
  <c r="F967" i="12" s="1"/>
  <c r="J967" i="12"/>
  <c r="K967" i="12"/>
  <c r="N967" i="12"/>
  <c r="T967" i="12"/>
  <c r="U967" i="12"/>
  <c r="D968" i="12"/>
  <c r="J968" i="12"/>
  <c r="K968" i="12"/>
  <c r="N968" i="12"/>
  <c r="T968" i="12"/>
  <c r="U968" i="12"/>
  <c r="D969" i="12"/>
  <c r="F969" i="12" s="1"/>
  <c r="J969" i="12"/>
  <c r="K969" i="12"/>
  <c r="N969" i="12"/>
  <c r="T969" i="12"/>
  <c r="U969" i="12"/>
  <c r="X969" i="12" s="1"/>
  <c r="D970" i="12"/>
  <c r="F970" i="12" s="1"/>
  <c r="J970" i="12"/>
  <c r="K970" i="12"/>
  <c r="N970" i="12"/>
  <c r="T970" i="12"/>
  <c r="U970" i="12"/>
  <c r="D971" i="12"/>
  <c r="F971" i="12" s="1"/>
  <c r="J971" i="12"/>
  <c r="K971" i="12"/>
  <c r="N971" i="12"/>
  <c r="T971" i="12"/>
  <c r="U971" i="12"/>
  <c r="X971" i="12" s="1"/>
  <c r="D972" i="12"/>
  <c r="F972" i="12" s="1"/>
  <c r="J972" i="12"/>
  <c r="K972" i="12"/>
  <c r="N972" i="12"/>
  <c r="T972" i="12"/>
  <c r="U972" i="12"/>
  <c r="D973" i="12"/>
  <c r="F973" i="12" s="1"/>
  <c r="J973" i="12"/>
  <c r="K973" i="12"/>
  <c r="N973" i="12"/>
  <c r="T973" i="12"/>
  <c r="U973" i="12"/>
  <c r="D974" i="12"/>
  <c r="F974" i="12" s="1"/>
  <c r="J974" i="12"/>
  <c r="K974" i="12"/>
  <c r="N974" i="12"/>
  <c r="T974" i="12"/>
  <c r="U974" i="12"/>
  <c r="D975" i="12"/>
  <c r="J975" i="12"/>
  <c r="K975" i="12"/>
  <c r="N975" i="12"/>
  <c r="T975" i="12"/>
  <c r="U975" i="12"/>
  <c r="X975" i="12" s="1"/>
  <c r="D976" i="12"/>
  <c r="J976" i="12"/>
  <c r="K976" i="12"/>
  <c r="N976" i="12"/>
  <c r="T976" i="12"/>
  <c r="U976" i="12"/>
  <c r="X976" i="12" s="1"/>
  <c r="D977" i="12"/>
  <c r="F977" i="12" s="1"/>
  <c r="J977" i="12"/>
  <c r="K977" i="12"/>
  <c r="N977" i="12"/>
  <c r="T977" i="12"/>
  <c r="U977" i="12"/>
  <c r="D978" i="12"/>
  <c r="F978" i="12" s="1"/>
  <c r="J978" i="12"/>
  <c r="K978" i="12"/>
  <c r="N978" i="12"/>
  <c r="T978" i="12"/>
  <c r="U978" i="12"/>
  <c r="X978" i="12" s="1"/>
  <c r="D979" i="12"/>
  <c r="F979" i="12" s="1"/>
  <c r="J979" i="12"/>
  <c r="K979" i="12"/>
  <c r="N979" i="12"/>
  <c r="T979" i="12"/>
  <c r="U979" i="12"/>
  <c r="X979" i="12" s="1"/>
  <c r="D980" i="12"/>
  <c r="F980" i="12" s="1"/>
  <c r="J980" i="12"/>
  <c r="K980" i="12"/>
  <c r="N980" i="12"/>
  <c r="T980" i="12"/>
  <c r="U980" i="12"/>
  <c r="D981" i="12"/>
  <c r="F981" i="12" s="1"/>
  <c r="J981" i="12"/>
  <c r="K981" i="12"/>
  <c r="N981" i="12"/>
  <c r="T981" i="12"/>
  <c r="U981" i="12"/>
  <c r="X981" i="12" s="1"/>
  <c r="D982" i="12"/>
  <c r="F982" i="12" s="1"/>
  <c r="J982" i="12"/>
  <c r="K982" i="12"/>
  <c r="N982" i="12"/>
  <c r="T982" i="12"/>
  <c r="U982" i="12"/>
  <c r="X982" i="12" s="1"/>
  <c r="D983" i="12"/>
  <c r="J983" i="12"/>
  <c r="K983" i="12"/>
  <c r="N983" i="12"/>
  <c r="T983" i="12"/>
  <c r="U983" i="12"/>
  <c r="D984" i="12"/>
  <c r="F984" i="12" s="1"/>
  <c r="J984" i="12"/>
  <c r="K984" i="12"/>
  <c r="N984" i="12"/>
  <c r="T984" i="12"/>
  <c r="U984" i="12"/>
  <c r="X984" i="12" s="1"/>
  <c r="D985" i="12"/>
  <c r="F985" i="12" s="1"/>
  <c r="J985" i="12"/>
  <c r="K985" i="12"/>
  <c r="N985" i="12"/>
  <c r="T985" i="12"/>
  <c r="U985" i="12"/>
  <c r="X985" i="12" s="1"/>
  <c r="D986" i="12"/>
  <c r="F986" i="12" s="1"/>
  <c r="J986" i="12"/>
  <c r="K986" i="12"/>
  <c r="N986" i="12"/>
  <c r="T986" i="12"/>
  <c r="U986" i="12"/>
  <c r="D987" i="12"/>
  <c r="F987" i="12" s="1"/>
  <c r="J987" i="12"/>
  <c r="K987" i="12"/>
  <c r="N987" i="12"/>
  <c r="T987" i="12"/>
  <c r="U987" i="12"/>
  <c r="X987" i="12" s="1"/>
  <c r="D988" i="12"/>
  <c r="F988" i="12" s="1"/>
  <c r="J988" i="12"/>
  <c r="K988" i="12"/>
  <c r="N988" i="12"/>
  <c r="T988" i="12"/>
  <c r="U988" i="12"/>
  <c r="X988" i="12" s="1"/>
  <c r="D989" i="12"/>
  <c r="F989" i="12" s="1"/>
  <c r="J989" i="12"/>
  <c r="K989" i="12"/>
  <c r="N989" i="12"/>
  <c r="T989" i="12"/>
  <c r="U989" i="12"/>
  <c r="X989" i="12" s="1"/>
  <c r="D990" i="12"/>
  <c r="J990" i="12"/>
  <c r="K990" i="12"/>
  <c r="N990" i="12"/>
  <c r="T990" i="12"/>
  <c r="U990" i="12"/>
  <c r="X990" i="12" s="1"/>
  <c r="D991" i="12"/>
  <c r="F991" i="12" s="1"/>
  <c r="J991" i="12"/>
  <c r="K991" i="12"/>
  <c r="N991" i="12"/>
  <c r="T991" i="12"/>
  <c r="U991" i="12"/>
  <c r="D992" i="12"/>
  <c r="F992" i="12" s="1"/>
  <c r="J992" i="12"/>
  <c r="K992" i="12"/>
  <c r="N992" i="12"/>
  <c r="T992" i="12"/>
  <c r="U992" i="12"/>
  <c r="X992" i="12" s="1"/>
  <c r="D993" i="12"/>
  <c r="F993" i="12" s="1"/>
  <c r="J993" i="12"/>
  <c r="K993" i="12"/>
  <c r="N993" i="12"/>
  <c r="T993" i="12"/>
  <c r="U993" i="12"/>
  <c r="X993" i="12" s="1"/>
  <c r="D994" i="12"/>
  <c r="F994" i="12" s="1"/>
  <c r="J994" i="12"/>
  <c r="K994" i="12"/>
  <c r="N994" i="12"/>
  <c r="T994" i="12"/>
  <c r="U994" i="12"/>
  <c r="X994" i="12" s="1"/>
  <c r="D995" i="12"/>
  <c r="F995" i="12" s="1"/>
  <c r="J995" i="12"/>
  <c r="K995" i="12"/>
  <c r="N995" i="12"/>
  <c r="T995" i="12"/>
  <c r="U995" i="12"/>
  <c r="X995" i="12" s="1"/>
  <c r="D996" i="12"/>
  <c r="F996" i="12" s="1"/>
  <c r="J996" i="12"/>
  <c r="K996" i="12"/>
  <c r="N996" i="12"/>
  <c r="T996" i="12"/>
  <c r="U996" i="12"/>
  <c r="X996" i="12" s="1"/>
  <c r="D997" i="12"/>
  <c r="F997" i="12" s="1"/>
  <c r="J997" i="12"/>
  <c r="K997" i="12"/>
  <c r="N997" i="12"/>
  <c r="T997" i="12"/>
  <c r="U997" i="12"/>
  <c r="X997" i="12" s="1"/>
  <c r="D998" i="12"/>
  <c r="C998" i="12" s="1"/>
  <c r="J998" i="12"/>
  <c r="K998" i="12"/>
  <c r="N998" i="12"/>
  <c r="T998" i="12"/>
  <c r="U998" i="12"/>
  <c r="D999" i="12"/>
  <c r="C999" i="12" s="1"/>
  <c r="J999" i="12"/>
  <c r="K999" i="12"/>
  <c r="N999" i="12"/>
  <c r="T999" i="12"/>
  <c r="U999" i="12"/>
  <c r="X999" i="12" s="1"/>
  <c r="D1000" i="12"/>
  <c r="C1000" i="12" s="1"/>
  <c r="J1000" i="12"/>
  <c r="K1000" i="12"/>
  <c r="N1000" i="12"/>
  <c r="T1000" i="12"/>
  <c r="U1000" i="12"/>
  <c r="X1000" i="12" s="1"/>
  <c r="Y1000" i="12"/>
  <c r="Z1000" i="12"/>
  <c r="D1001" i="12"/>
  <c r="C1001" i="12" s="1"/>
  <c r="J1001" i="12"/>
  <c r="K1001" i="12"/>
  <c r="N1001" i="12"/>
  <c r="T1001" i="12"/>
  <c r="U1001" i="12"/>
  <c r="X1001" i="12" s="1"/>
  <c r="D1002" i="12"/>
  <c r="C1002" i="12" s="1"/>
  <c r="J1002" i="12"/>
  <c r="K1002" i="12"/>
  <c r="N1002" i="12"/>
  <c r="T1002" i="12"/>
  <c r="U1002" i="12"/>
  <c r="X1002" i="12" s="1"/>
  <c r="D1003" i="12"/>
  <c r="C1003" i="12" s="1"/>
  <c r="J1003" i="12"/>
  <c r="K1003" i="12"/>
  <c r="N1003" i="12"/>
  <c r="T1003" i="12"/>
  <c r="U1003" i="12"/>
  <c r="D1004" i="12"/>
  <c r="C1004" i="12" s="1"/>
  <c r="J1004" i="12"/>
  <c r="K1004" i="12"/>
  <c r="N1004" i="12"/>
  <c r="T1004" i="12"/>
  <c r="U1004" i="12"/>
  <c r="X1004" i="12" s="1"/>
  <c r="D1005" i="12"/>
  <c r="F1005" i="12" s="1"/>
  <c r="J1005" i="12"/>
  <c r="K1005" i="12"/>
  <c r="N1005" i="12"/>
  <c r="T1005" i="12"/>
  <c r="U1005" i="12"/>
  <c r="X1005" i="12" s="1"/>
  <c r="D1006" i="12"/>
  <c r="C1006" i="12" s="1"/>
  <c r="J1006" i="12"/>
  <c r="K1006" i="12"/>
  <c r="N1006" i="12"/>
  <c r="T1006" i="12"/>
  <c r="U1006" i="12"/>
  <c r="X1006" i="12" s="1"/>
  <c r="D1007" i="12"/>
  <c r="J1007" i="12"/>
  <c r="K1007" i="12"/>
  <c r="N1007" i="12"/>
  <c r="T1007" i="12"/>
  <c r="U1007" i="12"/>
  <c r="X1007" i="12" s="1"/>
  <c r="Y1007" i="12"/>
  <c r="Z1007" i="12"/>
  <c r="D1008" i="12"/>
  <c r="C1008" i="12" s="1"/>
  <c r="J1008" i="12"/>
  <c r="K1008" i="12"/>
  <c r="N1008" i="12"/>
  <c r="T1008" i="12"/>
  <c r="U1008" i="12"/>
  <c r="X1008" i="12" s="1"/>
  <c r="D1009" i="12"/>
  <c r="C1009" i="12" s="1"/>
  <c r="J1009" i="12"/>
  <c r="K1009" i="12"/>
  <c r="N1009" i="12"/>
  <c r="T1009" i="12"/>
  <c r="U1009" i="12"/>
  <c r="X1009" i="12" s="1"/>
  <c r="D1010" i="12"/>
  <c r="F1010" i="12" s="1"/>
  <c r="J1010" i="12"/>
  <c r="K1010" i="12"/>
  <c r="N1010" i="12"/>
  <c r="T1010" i="12"/>
  <c r="U1010" i="12"/>
  <c r="X1010" i="12" s="1"/>
  <c r="D1011" i="12"/>
  <c r="F1011" i="12" s="1"/>
  <c r="J1011" i="12"/>
  <c r="K1011" i="12"/>
  <c r="N1011" i="12"/>
  <c r="T1011" i="12"/>
  <c r="U1011" i="12"/>
  <c r="X1011" i="12" s="1"/>
  <c r="D1012" i="12"/>
  <c r="C1012" i="12" s="1"/>
  <c r="J1012" i="12"/>
  <c r="K1012" i="12"/>
  <c r="L1012" i="12" s="1"/>
  <c r="N1012" i="12"/>
  <c r="Z1012" i="12"/>
  <c r="D1013" i="12"/>
  <c r="F1013" i="12" s="1"/>
  <c r="J1013" i="12"/>
  <c r="K1013" i="12"/>
  <c r="L1013" i="12" s="1"/>
  <c r="T1013" i="12" s="1"/>
  <c r="N1013" i="12"/>
  <c r="D1014" i="12"/>
  <c r="C1014" i="12" s="1"/>
  <c r="J1014" i="12"/>
  <c r="K1014" i="12"/>
  <c r="N1014" i="12"/>
  <c r="T1014" i="12"/>
  <c r="U1014" i="12"/>
  <c r="X1014" i="12" s="1"/>
  <c r="D1015" i="12"/>
  <c r="C1015" i="12" s="1"/>
  <c r="J1015" i="12"/>
  <c r="K1015" i="12"/>
  <c r="N1015" i="12"/>
  <c r="T1015" i="12"/>
  <c r="U1015" i="12"/>
  <c r="X1015" i="12" s="1"/>
  <c r="D1016" i="12"/>
  <c r="C1016" i="12" s="1"/>
  <c r="J1016" i="12"/>
  <c r="K1016" i="12"/>
  <c r="N1016" i="12"/>
  <c r="T1016" i="12"/>
  <c r="U1016" i="12"/>
  <c r="X1016" i="12" s="1"/>
  <c r="D1017" i="12"/>
  <c r="C1017" i="12" s="1"/>
  <c r="J1017" i="12"/>
  <c r="K1017" i="12"/>
  <c r="N1017" i="12"/>
  <c r="T1017" i="12"/>
  <c r="U1017" i="12"/>
  <c r="D1018" i="12"/>
  <c r="C1018" i="12" s="1"/>
  <c r="J1018" i="12"/>
  <c r="K1018" i="12"/>
  <c r="N1018" i="12"/>
  <c r="T1018" i="12"/>
  <c r="U1018" i="12"/>
  <c r="D1019" i="12"/>
  <c r="F1019" i="12" s="1"/>
  <c r="J1019" i="12"/>
  <c r="K1019" i="12"/>
  <c r="N1019" i="12"/>
  <c r="T1019" i="12"/>
  <c r="U1019" i="12"/>
  <c r="X1019" i="12" s="1"/>
  <c r="D1020" i="12"/>
  <c r="C1020" i="12" s="1"/>
  <c r="J1020" i="12"/>
  <c r="K1020" i="12"/>
  <c r="N1020" i="12"/>
  <c r="T1020" i="12"/>
  <c r="U1020" i="12"/>
  <c r="X1020" i="12" s="1"/>
  <c r="D1021" i="12"/>
  <c r="J1021" i="12"/>
  <c r="K1021" i="12"/>
  <c r="N1021" i="12"/>
  <c r="T1021" i="12"/>
  <c r="U1021" i="12"/>
  <c r="X1021" i="12" s="1"/>
  <c r="D1022" i="12"/>
  <c r="C1022" i="12" s="1"/>
  <c r="J1022" i="12"/>
  <c r="K1022" i="12"/>
  <c r="N1022" i="12"/>
  <c r="T1022" i="12"/>
  <c r="U1022" i="12"/>
  <c r="X1022" i="12" s="1"/>
  <c r="D1023" i="12"/>
  <c r="C1023" i="12" s="1"/>
  <c r="J1023" i="12"/>
  <c r="K1023" i="12"/>
  <c r="N1023" i="12"/>
  <c r="T1023" i="12"/>
  <c r="U1023" i="12"/>
  <c r="X1023" i="12" s="1"/>
  <c r="D1024" i="12"/>
  <c r="C1024" i="12" s="1"/>
  <c r="J1024" i="12"/>
  <c r="K1024" i="12"/>
  <c r="N1024" i="12"/>
  <c r="T1024" i="12"/>
  <c r="U1024" i="12"/>
  <c r="X1024" i="12" s="1"/>
  <c r="D1025" i="12"/>
  <c r="F1025" i="12" s="1"/>
  <c r="J1025" i="12"/>
  <c r="K1025" i="12"/>
  <c r="N1025" i="12"/>
  <c r="T1025" i="12"/>
  <c r="U1025" i="12"/>
  <c r="X1025" i="12" s="1"/>
  <c r="D1026" i="12"/>
  <c r="F1026" i="12" s="1"/>
  <c r="J1026" i="12"/>
  <c r="K1026" i="12"/>
  <c r="N1026" i="12"/>
  <c r="T1026" i="12"/>
  <c r="U1026" i="12"/>
  <c r="X1026" i="12" s="1"/>
  <c r="D1027" i="12"/>
  <c r="C1027" i="12" s="1"/>
  <c r="J1027" i="12"/>
  <c r="K1027" i="12"/>
  <c r="N1027" i="12"/>
  <c r="T1027" i="12"/>
  <c r="U1027" i="12"/>
  <c r="X1027" i="12" s="1"/>
  <c r="D1028" i="12"/>
  <c r="C1028" i="12" s="1"/>
  <c r="J1028" i="12"/>
  <c r="K1028" i="12"/>
  <c r="N1028" i="12"/>
  <c r="T1028" i="12"/>
  <c r="U1028" i="12"/>
  <c r="X1028" i="12" s="1"/>
  <c r="D1029" i="12"/>
  <c r="C1029" i="12" s="1"/>
  <c r="J1029" i="12"/>
  <c r="K1029" i="12"/>
  <c r="N1029" i="12"/>
  <c r="T1029" i="12"/>
  <c r="U1029" i="12"/>
  <c r="X1029" i="12" s="1"/>
  <c r="D1030" i="12"/>
  <c r="C1030" i="12" s="1"/>
  <c r="J1030" i="12"/>
  <c r="K1030" i="12"/>
  <c r="N1030" i="12"/>
  <c r="T1030" i="12"/>
  <c r="U1030" i="12"/>
  <c r="X1030" i="12" s="1"/>
  <c r="D1031" i="12"/>
  <c r="C1031" i="12" s="1"/>
  <c r="J1031" i="12"/>
  <c r="K1031" i="12"/>
  <c r="N1031" i="12"/>
  <c r="T1031" i="12"/>
  <c r="U1031" i="12"/>
  <c r="D1032" i="12"/>
  <c r="F1032" i="12" s="1"/>
  <c r="J1032" i="12"/>
  <c r="K1032" i="12"/>
  <c r="N1032" i="12"/>
  <c r="T1032" i="12"/>
  <c r="U1032" i="12"/>
  <c r="D1033" i="12"/>
  <c r="F1033" i="12" s="1"/>
  <c r="J1033" i="12"/>
  <c r="K1033" i="12"/>
  <c r="N1033" i="12"/>
  <c r="T1033" i="12"/>
  <c r="U1033" i="12"/>
  <c r="X1033" i="12" s="1"/>
  <c r="D1034" i="12"/>
  <c r="C1034" i="12" s="1"/>
  <c r="J1034" i="12"/>
  <c r="K1034" i="12"/>
  <c r="N1034" i="12"/>
  <c r="T1034" i="12"/>
  <c r="U1034" i="12"/>
  <c r="X1034" i="12" s="1"/>
  <c r="Y1034" i="12"/>
  <c r="Z1034" i="12"/>
  <c r="D1035" i="12"/>
  <c r="J1035" i="12"/>
  <c r="K1035" i="12"/>
  <c r="N1035" i="12"/>
  <c r="T1035" i="12"/>
  <c r="U1035" i="12"/>
  <c r="X1035" i="12" s="1"/>
  <c r="D1036" i="12"/>
  <c r="C1036" i="12" s="1"/>
  <c r="J1036" i="12"/>
  <c r="K1036" i="12"/>
  <c r="N1036" i="12"/>
  <c r="T1036" i="12"/>
  <c r="U1036" i="12"/>
  <c r="X1036" i="12" s="1"/>
  <c r="D1037" i="12"/>
  <c r="C1037" i="12" s="1"/>
  <c r="J1037" i="12"/>
  <c r="K1037" i="12"/>
  <c r="N1037" i="12"/>
  <c r="T1037" i="12"/>
  <c r="U1037" i="12"/>
  <c r="D1038" i="12"/>
  <c r="C1038" i="12" s="1"/>
  <c r="J1038" i="12"/>
  <c r="K1038" i="12"/>
  <c r="N1038" i="12"/>
  <c r="T1038" i="12"/>
  <c r="U1038" i="12"/>
  <c r="D1039" i="12"/>
  <c r="C1039" i="12" s="1"/>
  <c r="J1039" i="12"/>
  <c r="K1039" i="12"/>
  <c r="N1039" i="12"/>
  <c r="T1039" i="12"/>
  <c r="U1039" i="12"/>
  <c r="X1039" i="12" s="1"/>
  <c r="D1040" i="12"/>
  <c r="F1040" i="12" s="1"/>
  <c r="J1040" i="12"/>
  <c r="K1040" i="12"/>
  <c r="N1040" i="12"/>
  <c r="T1040" i="12"/>
  <c r="U1040" i="12"/>
  <c r="X1040" i="12" s="1"/>
  <c r="D1041" i="12"/>
  <c r="C1041" i="12" s="1"/>
  <c r="J1041" i="12"/>
  <c r="K1041" i="12"/>
  <c r="N1041" i="12"/>
  <c r="T1041" i="12"/>
  <c r="U1041" i="12"/>
  <c r="X1041" i="12" s="1"/>
  <c r="D1042" i="12"/>
  <c r="C1042" i="12" s="1"/>
  <c r="J1042" i="12"/>
  <c r="K1042" i="12"/>
  <c r="N1042" i="12"/>
  <c r="T1042" i="12"/>
  <c r="U1042" i="12"/>
  <c r="X1042" i="12" s="1"/>
  <c r="D1043" i="12"/>
  <c r="C1043" i="12" s="1"/>
  <c r="J1043" i="12"/>
  <c r="K1043" i="12"/>
  <c r="N1043" i="12"/>
  <c r="T1043" i="12"/>
  <c r="U1043" i="12"/>
  <c r="X1043" i="12" s="1"/>
  <c r="D1044" i="12"/>
  <c r="C1044" i="12" s="1"/>
  <c r="J1044" i="12"/>
  <c r="K1044" i="12"/>
  <c r="N1044" i="12"/>
  <c r="T1044" i="12"/>
  <c r="U1044" i="12"/>
  <c r="X1044" i="12" s="1"/>
  <c r="D1045" i="12"/>
  <c r="C1045" i="12" s="1"/>
  <c r="J1045" i="12"/>
  <c r="K1045" i="12"/>
  <c r="N1045" i="12"/>
  <c r="T1045" i="12"/>
  <c r="U1045" i="12"/>
  <c r="X1045" i="12" s="1"/>
  <c r="D1046" i="12"/>
  <c r="C1046" i="12" s="1"/>
  <c r="J1046" i="12"/>
  <c r="K1046" i="12"/>
  <c r="N1046" i="12"/>
  <c r="T1046" i="12"/>
  <c r="U1046" i="12"/>
  <c r="D1047" i="12"/>
  <c r="F1047" i="12" s="1"/>
  <c r="J1047" i="12"/>
  <c r="K1047" i="12"/>
  <c r="N1047" i="12"/>
  <c r="T1047" i="12"/>
  <c r="U1047" i="12"/>
  <c r="X1047" i="12" s="1"/>
  <c r="D1048" i="12"/>
  <c r="C1048" i="12" s="1"/>
  <c r="J1048" i="12"/>
  <c r="K1048" i="12"/>
  <c r="N1048" i="12"/>
  <c r="T1048" i="12"/>
  <c r="U1048" i="12"/>
  <c r="X1048" i="12" s="1"/>
  <c r="D1049" i="12"/>
  <c r="J1049" i="12"/>
  <c r="K1049" i="12"/>
  <c r="N1049" i="12"/>
  <c r="T1049" i="12"/>
  <c r="U1049" i="12"/>
  <c r="X1049" i="12" s="1"/>
  <c r="D1050" i="12"/>
  <c r="F1050" i="12" s="1"/>
  <c r="J1050" i="12"/>
  <c r="K1050" i="12"/>
  <c r="N1050" i="12"/>
  <c r="T1050" i="12"/>
  <c r="U1050" i="12"/>
  <c r="X1050" i="12" s="1"/>
  <c r="D1051" i="12"/>
  <c r="C1051" i="12" s="1"/>
  <c r="J1051" i="12"/>
  <c r="K1051" i="12"/>
  <c r="N1051" i="12"/>
  <c r="T1051" i="12"/>
  <c r="U1051" i="12"/>
  <c r="X1051" i="12" s="1"/>
  <c r="D1052" i="12"/>
  <c r="C1052" i="12" s="1"/>
  <c r="J1052" i="12"/>
  <c r="K1052" i="12"/>
  <c r="N1052" i="12"/>
  <c r="T1052" i="12"/>
  <c r="U1052" i="12"/>
  <c r="X1052" i="12" s="1"/>
  <c r="D1053" i="12"/>
  <c r="F1053" i="12" s="1"/>
  <c r="J1053" i="12"/>
  <c r="K1053" i="12"/>
  <c r="L1053" i="12" s="1"/>
  <c r="N1053" i="12"/>
  <c r="D1054" i="12"/>
  <c r="C1054" i="12" s="1"/>
  <c r="J1054" i="12"/>
  <c r="K1054" i="12"/>
  <c r="N1054" i="12"/>
  <c r="T1054" i="12"/>
  <c r="U1054" i="12"/>
  <c r="X1054" i="12" s="1"/>
  <c r="D1055" i="12"/>
  <c r="C1055" i="12" s="1"/>
  <c r="J1055" i="12"/>
  <c r="K1055" i="12"/>
  <c r="N1055" i="12"/>
  <c r="T1055" i="12"/>
  <c r="U1055" i="12"/>
  <c r="X1055" i="12" s="1"/>
  <c r="D1056" i="12"/>
  <c r="C1056" i="12" s="1"/>
  <c r="J1056" i="12"/>
  <c r="K1056" i="12"/>
  <c r="N1056" i="12"/>
  <c r="T1056" i="12"/>
  <c r="U1056" i="12"/>
  <c r="X1056" i="12" s="1"/>
  <c r="D1057" i="12"/>
  <c r="C1057" i="12" s="1"/>
  <c r="J1057" i="12"/>
  <c r="K1057" i="12"/>
  <c r="N1057" i="12"/>
  <c r="T1057" i="12"/>
  <c r="U1057" i="12"/>
  <c r="D1058" i="12"/>
  <c r="C1058" i="12" s="1"/>
  <c r="J1058" i="12"/>
  <c r="K1058" i="12"/>
  <c r="N1058" i="12"/>
  <c r="U1058" i="12"/>
  <c r="X1058" i="12" s="1"/>
  <c r="D1059" i="12"/>
  <c r="F1059" i="12" s="1"/>
  <c r="J1059" i="12"/>
  <c r="K1059" i="12"/>
  <c r="N1059" i="12"/>
  <c r="T1059" i="12"/>
  <c r="U1059" i="12"/>
  <c r="X1059" i="12" s="1"/>
  <c r="D1060" i="12"/>
  <c r="C1060" i="12" s="1"/>
  <c r="J1060" i="12"/>
  <c r="K1060" i="12"/>
  <c r="N1060" i="12"/>
  <c r="T1060" i="12"/>
  <c r="U1060" i="12"/>
  <c r="X1060" i="12" s="1"/>
  <c r="D1061" i="12"/>
  <c r="C1061" i="12" s="1"/>
  <c r="J1061" i="12"/>
  <c r="K1061" i="12"/>
  <c r="N1061" i="12"/>
  <c r="T1061" i="12"/>
  <c r="U1061" i="12"/>
  <c r="X1061" i="12" s="1"/>
  <c r="D1062" i="12"/>
  <c r="C1062" i="12" s="1"/>
  <c r="J1062" i="12"/>
  <c r="K1062" i="12"/>
  <c r="N1062" i="12"/>
  <c r="T1062" i="12"/>
  <c r="U1062" i="12"/>
  <c r="X1062" i="12" s="1"/>
  <c r="D1063" i="12"/>
  <c r="C1063" i="12" s="1"/>
  <c r="J1063" i="12"/>
  <c r="K1063" i="12"/>
  <c r="N1063" i="12"/>
  <c r="T1063" i="12"/>
  <c r="U1063" i="12"/>
  <c r="X1063" i="12" s="1"/>
  <c r="D1064" i="12"/>
  <c r="C1064" i="12" s="1"/>
  <c r="J1064" i="12"/>
  <c r="K1064" i="12"/>
  <c r="N1064" i="12"/>
  <c r="T1064" i="12"/>
  <c r="U1064" i="12"/>
  <c r="X1064" i="12" s="1"/>
  <c r="D1065" i="12"/>
  <c r="C1065" i="12" s="1"/>
  <c r="J1065" i="12"/>
  <c r="K1065" i="12"/>
  <c r="N1065" i="12"/>
  <c r="T1065" i="12"/>
  <c r="U1065" i="12"/>
  <c r="D1066" i="12"/>
  <c r="F1066" i="12" s="1"/>
  <c r="J1066" i="12"/>
  <c r="K1066" i="12"/>
  <c r="N1066" i="12"/>
  <c r="T1066" i="12"/>
  <c r="U1066" i="12"/>
  <c r="X1066" i="12" s="1"/>
  <c r="Y1066" i="12"/>
  <c r="Z1066" i="12"/>
  <c r="D1067" i="12"/>
  <c r="C1067" i="12" s="1"/>
  <c r="J1067" i="12"/>
  <c r="K1067" i="12"/>
  <c r="N1067" i="12"/>
  <c r="T1067" i="12"/>
  <c r="U1067" i="12"/>
  <c r="X1067" i="12" s="1"/>
  <c r="D1068" i="12"/>
  <c r="C1068" i="12" s="1"/>
  <c r="J1068" i="12"/>
  <c r="K1068" i="12"/>
  <c r="N1068" i="12"/>
  <c r="T1068" i="12"/>
  <c r="U1068" i="12"/>
  <c r="X1068" i="12" s="1"/>
  <c r="D1069" i="12"/>
  <c r="F1069" i="12" s="1"/>
  <c r="J1069" i="12"/>
  <c r="K1069" i="12"/>
  <c r="N1069" i="12"/>
  <c r="T1069" i="12"/>
  <c r="U1069" i="12"/>
  <c r="X1069" i="12" s="1"/>
  <c r="D1070" i="12"/>
  <c r="C1070" i="12" s="1"/>
  <c r="J1070" i="12"/>
  <c r="K1070" i="12"/>
  <c r="N1070" i="12"/>
  <c r="T1070" i="12"/>
  <c r="U1070" i="12"/>
  <c r="X1070" i="12" s="1"/>
  <c r="D1071" i="12"/>
  <c r="C1071" i="12" s="1"/>
  <c r="J1071" i="12"/>
  <c r="K1071" i="12"/>
  <c r="N1071" i="12"/>
  <c r="T1071" i="12"/>
  <c r="U1071" i="12"/>
  <c r="X1071" i="12" s="1"/>
  <c r="D1072" i="12"/>
  <c r="F1072" i="12" s="1"/>
  <c r="J1072" i="12"/>
  <c r="K1072" i="12"/>
  <c r="N1072" i="12"/>
  <c r="T1072" i="12"/>
  <c r="U1072" i="12"/>
  <c r="X1072" i="12" s="1"/>
  <c r="D1073" i="12"/>
  <c r="F1073" i="12" s="1"/>
  <c r="J1073" i="12"/>
  <c r="K1073" i="12"/>
  <c r="N1073" i="12"/>
  <c r="T1073" i="12"/>
  <c r="U1073" i="12"/>
  <c r="X1073" i="12" s="1"/>
  <c r="D1074" i="12"/>
  <c r="F1074" i="12" s="1"/>
  <c r="J1074" i="12"/>
  <c r="K1074" i="12"/>
  <c r="N1074" i="12"/>
  <c r="T1074" i="12"/>
  <c r="U1074" i="12"/>
  <c r="X1074" i="12" s="1"/>
  <c r="D1075" i="12"/>
  <c r="C1075" i="12" s="1"/>
  <c r="J1075" i="12"/>
  <c r="K1075" i="12"/>
  <c r="N1075" i="12"/>
  <c r="T1075" i="12"/>
  <c r="U1075" i="12"/>
  <c r="X1075" i="12" s="1"/>
  <c r="D1076" i="12"/>
  <c r="J1076" i="12"/>
  <c r="K1076" i="12"/>
  <c r="N1076" i="12"/>
  <c r="T1076" i="12"/>
  <c r="U1076" i="12"/>
  <c r="X1076" i="12" s="1"/>
  <c r="D1077" i="12"/>
  <c r="C1077" i="12" s="1"/>
  <c r="J1077" i="12"/>
  <c r="K1077" i="12"/>
  <c r="N1077" i="12"/>
  <c r="T1077" i="12"/>
  <c r="U1077" i="12"/>
  <c r="X1077" i="12" s="1"/>
  <c r="D1078" i="12"/>
  <c r="C1078" i="12" s="1"/>
  <c r="J1078" i="12"/>
  <c r="K1078" i="12"/>
  <c r="N1078" i="12"/>
  <c r="T1078" i="12"/>
  <c r="U1078" i="12"/>
  <c r="X1078" i="12" s="1"/>
  <c r="D1079" i="12"/>
  <c r="C1079" i="12" s="1"/>
  <c r="J1079" i="12"/>
  <c r="K1079" i="12"/>
  <c r="N1079" i="12"/>
  <c r="T1079" i="12"/>
  <c r="U1079" i="12"/>
  <c r="D1080" i="12"/>
  <c r="F1080" i="12" s="1"/>
  <c r="J1080" i="12"/>
  <c r="K1080" i="12"/>
  <c r="N1080" i="12"/>
  <c r="T1080" i="12"/>
  <c r="U1080" i="12"/>
  <c r="D1081" i="12"/>
  <c r="C1081" i="12" s="1"/>
  <c r="J1081" i="12"/>
  <c r="K1081" i="12"/>
  <c r="N1081" i="12"/>
  <c r="T1081" i="12"/>
  <c r="U1081" i="12"/>
  <c r="X1081" i="12" s="1"/>
  <c r="D1082" i="12"/>
  <c r="C1082" i="12" s="1"/>
  <c r="J1082" i="12"/>
  <c r="K1082" i="12"/>
  <c r="N1082" i="12"/>
  <c r="T1082" i="12"/>
  <c r="U1082" i="12"/>
  <c r="X1082" i="12" s="1"/>
  <c r="D1083" i="12"/>
  <c r="F1083" i="12" s="1"/>
  <c r="J1083" i="12"/>
  <c r="K1083" i="12"/>
  <c r="N1083" i="12"/>
  <c r="T1083" i="12"/>
  <c r="U1083" i="12"/>
  <c r="X1083" i="12" s="1"/>
  <c r="D1084" i="12"/>
  <c r="C1084" i="12" s="1"/>
  <c r="J1084" i="12"/>
  <c r="K1084" i="12"/>
  <c r="L1084" i="12" s="1"/>
  <c r="N1084" i="12"/>
  <c r="D1085" i="12"/>
  <c r="C1085" i="12" s="1"/>
  <c r="J1085" i="12"/>
  <c r="K1085" i="12"/>
  <c r="L1085" i="12" s="1"/>
  <c r="N1085" i="12"/>
  <c r="D1086" i="12"/>
  <c r="F1086" i="12" s="1"/>
  <c r="J1086" i="12"/>
  <c r="K1086" i="12"/>
  <c r="N1086" i="12"/>
  <c r="T1086" i="12"/>
  <c r="U1086" i="12"/>
  <c r="X1086" i="12" s="1"/>
  <c r="D1087" i="12"/>
  <c r="C1087" i="12" s="1"/>
  <c r="J1087" i="12"/>
  <c r="K1087" i="12"/>
  <c r="N1087" i="12"/>
  <c r="T1087" i="12"/>
  <c r="U1087" i="12"/>
  <c r="D1088" i="12"/>
  <c r="C1088" i="12" s="1"/>
  <c r="J1088" i="12"/>
  <c r="K1088" i="12"/>
  <c r="N1088" i="12"/>
  <c r="T1088" i="12"/>
  <c r="U1088" i="12"/>
  <c r="X1088" i="12" s="1"/>
  <c r="D1089" i="12"/>
  <c r="C1089" i="12" s="1"/>
  <c r="J1089" i="12"/>
  <c r="K1089" i="12"/>
  <c r="N1089" i="12"/>
  <c r="T1089" i="12"/>
  <c r="U1089" i="12"/>
  <c r="X1089" i="12" s="1"/>
  <c r="D1090" i="12"/>
  <c r="C1090" i="12" s="1"/>
  <c r="J1090" i="12"/>
  <c r="K1090" i="12"/>
  <c r="N1090" i="12"/>
  <c r="T1090" i="12"/>
  <c r="U1090" i="12"/>
  <c r="X1090" i="12" s="1"/>
  <c r="D1091" i="12"/>
  <c r="F1091" i="12" s="1"/>
  <c r="J1091" i="12"/>
  <c r="K1091" i="12"/>
  <c r="N1091" i="12"/>
  <c r="T1091" i="12"/>
  <c r="U1091" i="12"/>
  <c r="X1091" i="12" s="1"/>
  <c r="D1092" i="12"/>
  <c r="C1092" i="12" s="1"/>
  <c r="J1092" i="12"/>
  <c r="K1092" i="12"/>
  <c r="N1092" i="12"/>
  <c r="T1092" i="12"/>
  <c r="U1092" i="12"/>
  <c r="X1092" i="12" s="1"/>
  <c r="D1093" i="12"/>
  <c r="C1093" i="12" s="1"/>
  <c r="J1093" i="12"/>
  <c r="K1093" i="12"/>
  <c r="N1093" i="12"/>
  <c r="T1093" i="12"/>
  <c r="U1093" i="12"/>
  <c r="D1094" i="12"/>
  <c r="F1094" i="12" s="1"/>
  <c r="J1094" i="12"/>
  <c r="K1094" i="12"/>
  <c r="L1094" i="12" s="1"/>
  <c r="N1094" i="12"/>
  <c r="D1095" i="12"/>
  <c r="F1095" i="12" s="1"/>
  <c r="J1095" i="12"/>
  <c r="K1095" i="12"/>
  <c r="N1095" i="12"/>
  <c r="T1095" i="12"/>
  <c r="U1095" i="12"/>
  <c r="X1095" i="12" s="1"/>
  <c r="D1096" i="12"/>
  <c r="C1096" i="12" s="1"/>
  <c r="J1096" i="12"/>
  <c r="K1096" i="12"/>
  <c r="N1096" i="12"/>
  <c r="T1096" i="12"/>
  <c r="U1096" i="12"/>
  <c r="D1097" i="12"/>
  <c r="C1097" i="12" s="1"/>
  <c r="J1097" i="12"/>
  <c r="K1097" i="12"/>
  <c r="N1097" i="12"/>
  <c r="T1097" i="12"/>
  <c r="U1097" i="12"/>
  <c r="X1097" i="12" s="1"/>
  <c r="D1098" i="12"/>
  <c r="F1098" i="12" s="1"/>
  <c r="J1098" i="12"/>
  <c r="K1098" i="12"/>
  <c r="N1098" i="12"/>
  <c r="T1098" i="12"/>
  <c r="U1098" i="12"/>
  <c r="X1098" i="12" s="1"/>
  <c r="D1099" i="12"/>
  <c r="F1099" i="12" s="1"/>
  <c r="J1099" i="12"/>
  <c r="K1099" i="12"/>
  <c r="N1099" i="12"/>
  <c r="T1099" i="12"/>
  <c r="U1099" i="12"/>
  <c r="X1099" i="12" s="1"/>
  <c r="D1100" i="12"/>
  <c r="F1100" i="12" s="1"/>
  <c r="J1100" i="12"/>
  <c r="K1100" i="12"/>
  <c r="N1100" i="12"/>
  <c r="T1100" i="12"/>
  <c r="U1100" i="12"/>
  <c r="X1100" i="12" s="1"/>
  <c r="D1101" i="12"/>
  <c r="C1101" i="12" s="1"/>
  <c r="J1101" i="12"/>
  <c r="K1101" i="12"/>
  <c r="N1101" i="12"/>
  <c r="T1101" i="12"/>
  <c r="U1101" i="12"/>
  <c r="X1101" i="12" s="1"/>
  <c r="Y1101" i="12"/>
  <c r="Z1101" i="12"/>
  <c r="D1102" i="12"/>
  <c r="C1102" i="12" s="1"/>
  <c r="J1102" i="12"/>
  <c r="K1102" i="12"/>
  <c r="N1102" i="12"/>
  <c r="T1102" i="12"/>
  <c r="U1102" i="12"/>
  <c r="X1102" i="12" s="1"/>
  <c r="D1103" i="12"/>
  <c r="C1103" i="12" s="1"/>
  <c r="J1103" i="12"/>
  <c r="K1103" i="12"/>
  <c r="N1103" i="12"/>
  <c r="T1103" i="12"/>
  <c r="U1103" i="12"/>
  <c r="D1104" i="12"/>
  <c r="C1104" i="12" s="1"/>
  <c r="J1104" i="12"/>
  <c r="K1104" i="12"/>
  <c r="N1104" i="12"/>
  <c r="T1104" i="12"/>
  <c r="U1104" i="12"/>
  <c r="X1104" i="12" s="1"/>
  <c r="D1105" i="12"/>
  <c r="C1105" i="12" s="1"/>
  <c r="J1105" i="12"/>
  <c r="K1105" i="12"/>
  <c r="N1105" i="12"/>
  <c r="T1105" i="12"/>
  <c r="U1105" i="12"/>
  <c r="D1106" i="12"/>
  <c r="F1106" i="12" s="1"/>
  <c r="J1106" i="12"/>
  <c r="K1106" i="12"/>
  <c r="N1106" i="12"/>
  <c r="T1106" i="12"/>
  <c r="U1106" i="12"/>
  <c r="D1107" i="12"/>
  <c r="C1107" i="12" s="1"/>
  <c r="J1107" i="12"/>
  <c r="K1107" i="12"/>
  <c r="L1107" i="12" s="1"/>
  <c r="U1107" i="12" s="1"/>
  <c r="X1107" i="12" s="1"/>
  <c r="N1107" i="12"/>
  <c r="D1108" i="12"/>
  <c r="C1108" i="12" s="1"/>
  <c r="J1108" i="12"/>
  <c r="K1108" i="12"/>
  <c r="N1108" i="12"/>
  <c r="T1108" i="12"/>
  <c r="U1108" i="12"/>
  <c r="X1108" i="12" s="1"/>
  <c r="D1109" i="12"/>
  <c r="C1109" i="12" s="1"/>
  <c r="J1109" i="12"/>
  <c r="K1109" i="12"/>
  <c r="N1109" i="12"/>
  <c r="T1109" i="12"/>
  <c r="U1109" i="12"/>
  <c r="X1109" i="12" s="1"/>
  <c r="D1110" i="12"/>
  <c r="C1110" i="12" s="1"/>
  <c r="J1110" i="12"/>
  <c r="K1110" i="12"/>
  <c r="N1110" i="12"/>
  <c r="T1110" i="12"/>
  <c r="U1110" i="12"/>
  <c r="X1110" i="12" s="1"/>
  <c r="D1111" i="12"/>
  <c r="C1111" i="12" s="1"/>
  <c r="J1111" i="12"/>
  <c r="K1111" i="12"/>
  <c r="N1111" i="12"/>
  <c r="T1111" i="12"/>
  <c r="U1111" i="12"/>
  <c r="X1111" i="12" s="1"/>
  <c r="D1112" i="12"/>
  <c r="C1112" i="12" s="1"/>
  <c r="J1112" i="12"/>
  <c r="K1112" i="12"/>
  <c r="N1112" i="12"/>
  <c r="T1112" i="12"/>
  <c r="U1112" i="12"/>
  <c r="X1112" i="12" s="1"/>
  <c r="D1113" i="12"/>
  <c r="C1113" i="12" s="1"/>
  <c r="J1113" i="12"/>
  <c r="K1113" i="12"/>
  <c r="N1113" i="12"/>
  <c r="T1113" i="12"/>
  <c r="U1113" i="12"/>
  <c r="D1114" i="12"/>
  <c r="C1114" i="12" s="1"/>
  <c r="J1114" i="12"/>
  <c r="K1114" i="12"/>
  <c r="N1114" i="12"/>
  <c r="T1114" i="12"/>
  <c r="U1114" i="12"/>
  <c r="X1114" i="12" s="1"/>
  <c r="D1115" i="12"/>
  <c r="C1115" i="12" s="1"/>
  <c r="J1115" i="12"/>
  <c r="K1115" i="12"/>
  <c r="N1115" i="12"/>
  <c r="T1115" i="12"/>
  <c r="U1115" i="12"/>
  <c r="X1115" i="12" s="1"/>
  <c r="D1116" i="12"/>
  <c r="C1116" i="12" s="1"/>
  <c r="J1116" i="12"/>
  <c r="K1116" i="12"/>
  <c r="N1116" i="12"/>
  <c r="T1116" i="12"/>
  <c r="U1116" i="12"/>
  <c r="D1117" i="12"/>
  <c r="C1117" i="12" s="1"/>
  <c r="J1117" i="12"/>
  <c r="K1117" i="12"/>
  <c r="N1117" i="12"/>
  <c r="T1117" i="12"/>
  <c r="U1117" i="12"/>
  <c r="X1117" i="12" s="1"/>
  <c r="D1118" i="12"/>
  <c r="C1118" i="12" s="1"/>
  <c r="J1118" i="12"/>
  <c r="K1118" i="12"/>
  <c r="N1118" i="12"/>
  <c r="T1118" i="12"/>
  <c r="U1118" i="12"/>
  <c r="X1118" i="12" s="1"/>
  <c r="Y1118" i="12"/>
  <c r="Z1118" i="12"/>
  <c r="D1119" i="12"/>
  <c r="C1119" i="12" s="1"/>
  <c r="J1119" i="12"/>
  <c r="K1119" i="12"/>
  <c r="N1119" i="12"/>
  <c r="T1119" i="12"/>
  <c r="U1119" i="12"/>
  <c r="X1119" i="12" s="1"/>
  <c r="D1120" i="12"/>
  <c r="C1120" i="12" s="1"/>
  <c r="J1120" i="12"/>
  <c r="K1120" i="12"/>
  <c r="N1120" i="12"/>
  <c r="T1120" i="12"/>
  <c r="U1120" i="12"/>
  <c r="X1120" i="12" s="1"/>
  <c r="D1121" i="12"/>
  <c r="C1121" i="12" s="1"/>
  <c r="J1121" i="12"/>
  <c r="K1121" i="12"/>
  <c r="N1121" i="12"/>
  <c r="T1121" i="12"/>
  <c r="U1121" i="12"/>
  <c r="X1121" i="12" s="1"/>
  <c r="D1122" i="12"/>
  <c r="C1122" i="12" s="1"/>
  <c r="J1122" i="12"/>
  <c r="K1122" i="12"/>
  <c r="N1122" i="12"/>
  <c r="T1122" i="12"/>
  <c r="U1122" i="12"/>
  <c r="X1122" i="12" s="1"/>
  <c r="D1123" i="12"/>
  <c r="C1123" i="12" s="1"/>
  <c r="J1123" i="12"/>
  <c r="K1123" i="12"/>
  <c r="N1123" i="12"/>
  <c r="T1123" i="12"/>
  <c r="U1123" i="12"/>
  <c r="X1123" i="12" s="1"/>
  <c r="D1124" i="12"/>
  <c r="C1124" i="12" s="1"/>
  <c r="J1124" i="12"/>
  <c r="K1124" i="12"/>
  <c r="N1124" i="12"/>
  <c r="T1124" i="12"/>
  <c r="U1124" i="12"/>
  <c r="X1124" i="12" s="1"/>
  <c r="D1125" i="12"/>
  <c r="C1125" i="12" s="1"/>
  <c r="J1125" i="12"/>
  <c r="K1125" i="12"/>
  <c r="N1125" i="12"/>
  <c r="T1125" i="12"/>
  <c r="U1125" i="12"/>
  <c r="X1125" i="12" s="1"/>
  <c r="D1126" i="12"/>
  <c r="C1126" i="12" s="1"/>
  <c r="J1126" i="12"/>
  <c r="K1126" i="12"/>
  <c r="N1126" i="12"/>
  <c r="T1126" i="12"/>
  <c r="U1126" i="12"/>
  <c r="X1126" i="12" s="1"/>
  <c r="D1127" i="12"/>
  <c r="C1127" i="12" s="1"/>
  <c r="J1127" i="12"/>
  <c r="K1127" i="12"/>
  <c r="N1127" i="12"/>
  <c r="T1127" i="12"/>
  <c r="U1127" i="12"/>
  <c r="X1127" i="12" s="1"/>
  <c r="D1128" i="12"/>
  <c r="C1128" i="12" s="1"/>
  <c r="J1128" i="12"/>
  <c r="K1128" i="12"/>
  <c r="N1128" i="12"/>
  <c r="T1128" i="12"/>
  <c r="U1128" i="12"/>
  <c r="X1128" i="12" s="1"/>
  <c r="D1129" i="12"/>
  <c r="C1129" i="12" s="1"/>
  <c r="J1129" i="12"/>
  <c r="K1129" i="12"/>
  <c r="N1129" i="12"/>
  <c r="T1129" i="12"/>
  <c r="U1129" i="12"/>
  <c r="D1130" i="12"/>
  <c r="C1130" i="12" s="1"/>
  <c r="J1130" i="12"/>
  <c r="K1130" i="12"/>
  <c r="N1130" i="12"/>
  <c r="T1130" i="12"/>
  <c r="U1130" i="12"/>
  <c r="X1130" i="12" s="1"/>
  <c r="D1131" i="12"/>
  <c r="C1131" i="12" s="1"/>
  <c r="J1131" i="12"/>
  <c r="K1131" i="12"/>
  <c r="N1131" i="12"/>
  <c r="T1131" i="12"/>
  <c r="U1131" i="12"/>
  <c r="X1131" i="12" s="1"/>
  <c r="D1132" i="12"/>
  <c r="C1132" i="12" s="1"/>
  <c r="J1132" i="12"/>
  <c r="K1132" i="12"/>
  <c r="N1132" i="12"/>
  <c r="T1132" i="12"/>
  <c r="U1132" i="12"/>
  <c r="X1132" i="12" s="1"/>
  <c r="D1133" i="12"/>
  <c r="C1133" i="12" s="1"/>
  <c r="J1133" i="12"/>
  <c r="K1133" i="12"/>
  <c r="N1133" i="12"/>
  <c r="T1133" i="12"/>
  <c r="U1133" i="12"/>
  <c r="X1133" i="12" s="1"/>
  <c r="D1134" i="12"/>
  <c r="C1134" i="12" s="1"/>
  <c r="J1134" i="12"/>
  <c r="K1134" i="12"/>
  <c r="N1134" i="12"/>
  <c r="T1134" i="12"/>
  <c r="U1134" i="12"/>
  <c r="X1134" i="12" s="1"/>
  <c r="D1135" i="12"/>
  <c r="C1135" i="12" s="1"/>
  <c r="J1135" i="12"/>
  <c r="K1135" i="12"/>
  <c r="N1135" i="12"/>
  <c r="T1135" i="12"/>
  <c r="U1135" i="12"/>
  <c r="X1135" i="12" s="1"/>
  <c r="D1136" i="12"/>
  <c r="C1136" i="12" s="1"/>
  <c r="J1136" i="12"/>
  <c r="K1136" i="12"/>
  <c r="N1136" i="12"/>
  <c r="T1136" i="12"/>
  <c r="U1136" i="12"/>
  <c r="X1136" i="12" s="1"/>
  <c r="D1137" i="12"/>
  <c r="C1137" i="12" s="1"/>
  <c r="J1137" i="12"/>
  <c r="K1137" i="12"/>
  <c r="N1137" i="12"/>
  <c r="T1137" i="12"/>
  <c r="U1137" i="12"/>
  <c r="X1137" i="12" s="1"/>
  <c r="D1138" i="12"/>
  <c r="C1138" i="12" s="1"/>
  <c r="J1138" i="12"/>
  <c r="K1138" i="12"/>
  <c r="N1138" i="12"/>
  <c r="T1138" i="12"/>
  <c r="U1138" i="12"/>
  <c r="D1139" i="12"/>
  <c r="C1139" i="12" s="1"/>
  <c r="J1139" i="12"/>
  <c r="K1139" i="12"/>
  <c r="N1139" i="12"/>
  <c r="T1139" i="12"/>
  <c r="U1139" i="12"/>
  <c r="X1139" i="12" s="1"/>
  <c r="D1140" i="12"/>
  <c r="C1140" i="12" s="1"/>
  <c r="J1140" i="12"/>
  <c r="K1140" i="12"/>
  <c r="N1140" i="12"/>
  <c r="T1140" i="12"/>
  <c r="U1140" i="12"/>
  <c r="X1140" i="12" s="1"/>
  <c r="D1141" i="12"/>
  <c r="C1141" i="12" s="1"/>
  <c r="J1141" i="12"/>
  <c r="K1141" i="12"/>
  <c r="N1141" i="12"/>
  <c r="T1141" i="12"/>
  <c r="U1141" i="12"/>
  <c r="X1141" i="12" s="1"/>
  <c r="D1142" i="12"/>
  <c r="C1142" i="12" s="1"/>
  <c r="J1142" i="12"/>
  <c r="K1142" i="12"/>
  <c r="N1142" i="12"/>
  <c r="T1142" i="12"/>
  <c r="U1142" i="12"/>
  <c r="X1142" i="12" s="1"/>
  <c r="D1143" i="12"/>
  <c r="C1143" i="12" s="1"/>
  <c r="J1143" i="12"/>
  <c r="K1143" i="12"/>
  <c r="N1143" i="12"/>
  <c r="T1143" i="12"/>
  <c r="U1143" i="12"/>
  <c r="X1143" i="12" s="1"/>
  <c r="D1144" i="12"/>
  <c r="C1144" i="12" s="1"/>
  <c r="J1144" i="12"/>
  <c r="K1144" i="12"/>
  <c r="N1144" i="12"/>
  <c r="T1144" i="12"/>
  <c r="U1144" i="12"/>
  <c r="X1144" i="12" s="1"/>
  <c r="D1145" i="12"/>
  <c r="C1145" i="12" s="1"/>
  <c r="J1145" i="12"/>
  <c r="K1145" i="12"/>
  <c r="N1145" i="12"/>
  <c r="T1145" i="12"/>
  <c r="U1145" i="12"/>
  <c r="X1145" i="12" s="1"/>
  <c r="Y1145" i="12"/>
  <c r="Z1145" i="12"/>
  <c r="D1146" i="12"/>
  <c r="C1146" i="12" s="1"/>
  <c r="J1146" i="12"/>
  <c r="K1146" i="12"/>
  <c r="N1146" i="12"/>
  <c r="T1146" i="12"/>
  <c r="U1146" i="12"/>
  <c r="X1146" i="12" s="1"/>
  <c r="D1147" i="12"/>
  <c r="C1147" i="12" s="1"/>
  <c r="J1147" i="12"/>
  <c r="K1147" i="12"/>
  <c r="N1147" i="12"/>
  <c r="T1147" i="12"/>
  <c r="U1147" i="12"/>
  <c r="X1147" i="12" s="1"/>
  <c r="D1148" i="12"/>
  <c r="C1148" i="12" s="1"/>
  <c r="J1148" i="12"/>
  <c r="K1148" i="12"/>
  <c r="N1148" i="12"/>
  <c r="T1148" i="12"/>
  <c r="U1148" i="12"/>
  <c r="X1148" i="12" s="1"/>
  <c r="D1149" i="12"/>
  <c r="C1149" i="12" s="1"/>
  <c r="J1149" i="12"/>
  <c r="K1149" i="12"/>
  <c r="N1149" i="12"/>
  <c r="T1149" i="12"/>
  <c r="U1149" i="12"/>
  <c r="X1149" i="12" s="1"/>
  <c r="D1150" i="12"/>
  <c r="C1150" i="12" s="1"/>
  <c r="J1150" i="12"/>
  <c r="K1150" i="12"/>
  <c r="N1150" i="12"/>
  <c r="T1150" i="12"/>
  <c r="U1150" i="12"/>
  <c r="X1150" i="12" s="1"/>
  <c r="D1155" i="12"/>
  <c r="J1155" i="12"/>
  <c r="K1155" i="12"/>
  <c r="N1155" i="12"/>
  <c r="T1155" i="12"/>
  <c r="U1155" i="12"/>
  <c r="X1155" i="12" s="1"/>
  <c r="D1156" i="12"/>
  <c r="F1156" i="12" s="1"/>
  <c r="J1156" i="12"/>
  <c r="K1156" i="12"/>
  <c r="N1156" i="12"/>
  <c r="T1156" i="12"/>
  <c r="U1156" i="12"/>
  <c r="X1156" i="12" s="1"/>
  <c r="Y1156" i="12"/>
  <c r="Z1156" i="12"/>
  <c r="D1157" i="12"/>
  <c r="J1157" i="12"/>
  <c r="K1157" i="12"/>
  <c r="N1157" i="12"/>
  <c r="T1157" i="12"/>
  <c r="U1157" i="12"/>
  <c r="X1157" i="12" s="1"/>
  <c r="D1158" i="12"/>
  <c r="F1158" i="12" s="1"/>
  <c r="J1158" i="12"/>
  <c r="K1158" i="12"/>
  <c r="N1158" i="12"/>
  <c r="T1158" i="12"/>
  <c r="U1158" i="12"/>
  <c r="X1158" i="12" s="1"/>
  <c r="D1159" i="12"/>
  <c r="F1159" i="12" s="1"/>
  <c r="J1159" i="12"/>
  <c r="K1159" i="12"/>
  <c r="N1159" i="12"/>
  <c r="T1159" i="12"/>
  <c r="U1159" i="12"/>
  <c r="X1159" i="12" s="1"/>
  <c r="D1160" i="12"/>
  <c r="F1160" i="12" s="1"/>
  <c r="J1160" i="12"/>
  <c r="K1160" i="12"/>
  <c r="N1160" i="12"/>
  <c r="T1160" i="12"/>
  <c r="U1160" i="12"/>
  <c r="X1160" i="12" s="1"/>
  <c r="D1162" i="12"/>
  <c r="F1162" i="12" s="1"/>
  <c r="J1162" i="12"/>
  <c r="K1162" i="12"/>
  <c r="N1162" i="12"/>
  <c r="T1162" i="12"/>
  <c r="U1162" i="12"/>
  <c r="X1162" i="12" s="1"/>
  <c r="D1163" i="12"/>
  <c r="J1163" i="12"/>
  <c r="K1163" i="12"/>
  <c r="N1163" i="12"/>
  <c r="T1163" i="12"/>
  <c r="U1163" i="12"/>
  <c r="X1163" i="12" s="1"/>
  <c r="D1164" i="12"/>
  <c r="J1164" i="12"/>
  <c r="K1164" i="12"/>
  <c r="N1164" i="12"/>
  <c r="T1164" i="12"/>
  <c r="U1164" i="12"/>
  <c r="X1164" i="12" s="1"/>
  <c r="D1165" i="12"/>
  <c r="F1165" i="12" s="1"/>
  <c r="J1165" i="12"/>
  <c r="K1165" i="12"/>
  <c r="N1165" i="12"/>
  <c r="T1165" i="12"/>
  <c r="U1165" i="12"/>
  <c r="X1165" i="12" s="1"/>
  <c r="D1166" i="12"/>
  <c r="F1166" i="12" s="1"/>
  <c r="J1166" i="12"/>
  <c r="K1166" i="12"/>
  <c r="N1166" i="12"/>
  <c r="T1166" i="12"/>
  <c r="U1166" i="12"/>
  <c r="D1167" i="12"/>
  <c r="F1167" i="12" s="1"/>
  <c r="J1167" i="12"/>
  <c r="K1167" i="12"/>
  <c r="N1167" i="12"/>
  <c r="T1167" i="12"/>
  <c r="U1167" i="12"/>
  <c r="X1167" i="12" s="1"/>
  <c r="D1168" i="12"/>
  <c r="F1168" i="12" s="1"/>
  <c r="J1168" i="12"/>
  <c r="K1168" i="12"/>
  <c r="N1168" i="12"/>
  <c r="T1168" i="12"/>
  <c r="U1168" i="12"/>
  <c r="D1169" i="12"/>
  <c r="F1169" i="12" s="1"/>
  <c r="J1169" i="12"/>
  <c r="K1169" i="12"/>
  <c r="N1169" i="12"/>
  <c r="T1169" i="12"/>
  <c r="U1169" i="12"/>
  <c r="X1169" i="12" s="1"/>
  <c r="D1170" i="12"/>
  <c r="F1170" i="12" s="1"/>
  <c r="J1170" i="12"/>
  <c r="K1170" i="12"/>
  <c r="N1170" i="12"/>
  <c r="T1170" i="12"/>
  <c r="U1170" i="12"/>
  <c r="X1170" i="12" s="1"/>
  <c r="D1171" i="12"/>
  <c r="J1171" i="12"/>
  <c r="K1171" i="12"/>
  <c r="N1171" i="12"/>
  <c r="T1171" i="12"/>
  <c r="U1171" i="12"/>
  <c r="X1171" i="12" s="1"/>
  <c r="D1172" i="12"/>
  <c r="F1172" i="12" s="1"/>
  <c r="J1172" i="12"/>
  <c r="K1172" i="12"/>
  <c r="N1172" i="12"/>
  <c r="T1172" i="12"/>
  <c r="U1172" i="12"/>
  <c r="X1172" i="12" s="1"/>
  <c r="D1173" i="12"/>
  <c r="F1173" i="12" s="1"/>
  <c r="J1173" i="12"/>
  <c r="K1173" i="12"/>
  <c r="N1173" i="12"/>
  <c r="T1173" i="12"/>
  <c r="U1173" i="12"/>
  <c r="D1174" i="12"/>
  <c r="F1174" i="12" s="1"/>
  <c r="J1174" i="12"/>
  <c r="K1174" i="12"/>
  <c r="N1174" i="12"/>
  <c r="T1174" i="12"/>
  <c r="U1174" i="12"/>
  <c r="X1174" i="12" s="1"/>
  <c r="D1175" i="12"/>
  <c r="J1175" i="12"/>
  <c r="K1175" i="12"/>
  <c r="N1175" i="12"/>
  <c r="T1175" i="12"/>
  <c r="U1175" i="12"/>
  <c r="D1176" i="12"/>
  <c r="F1176" i="12" s="1"/>
  <c r="J1176" i="12"/>
  <c r="K1176" i="12"/>
  <c r="N1176" i="12"/>
  <c r="T1176" i="12"/>
  <c r="U1176" i="12"/>
  <c r="X1176" i="12" s="1"/>
  <c r="D1177" i="12"/>
  <c r="F1177" i="12" s="1"/>
  <c r="J1177" i="12"/>
  <c r="K1177" i="12"/>
  <c r="N1177" i="12"/>
  <c r="T1177" i="12"/>
  <c r="U1177" i="12"/>
  <c r="X1177" i="12" s="1"/>
  <c r="D1178" i="12"/>
  <c r="J1178" i="12"/>
  <c r="K1178" i="12"/>
  <c r="N1178" i="12"/>
  <c r="T1178" i="12"/>
  <c r="U1178" i="12"/>
  <c r="D1179" i="12"/>
  <c r="F1179" i="12" s="1"/>
  <c r="J1179" i="12"/>
  <c r="K1179" i="12"/>
  <c r="N1179" i="12"/>
  <c r="T1179" i="12"/>
  <c r="U1179" i="12"/>
  <c r="D1180" i="12"/>
  <c r="F1180" i="12" s="1"/>
  <c r="J1180" i="12"/>
  <c r="K1180" i="12"/>
  <c r="N1180" i="12"/>
  <c r="T1180" i="12"/>
  <c r="U1180" i="12"/>
  <c r="D1181" i="12"/>
  <c r="F1181" i="12" s="1"/>
  <c r="J1181" i="12"/>
  <c r="K1181" i="12"/>
  <c r="N1181" i="12"/>
  <c r="T1181" i="12"/>
  <c r="U1181" i="12"/>
  <c r="X1181" i="12" s="1"/>
  <c r="D1182" i="12"/>
  <c r="J1182" i="12"/>
  <c r="K1182" i="12"/>
  <c r="N1182" i="12"/>
  <c r="T1182" i="12"/>
  <c r="U1182" i="12"/>
  <c r="D1183" i="12"/>
  <c r="J1183" i="12"/>
  <c r="K1183" i="12"/>
  <c r="N1183" i="12"/>
  <c r="T1183" i="12"/>
  <c r="U1183" i="12"/>
  <c r="X1183" i="12" s="1"/>
  <c r="D1184" i="12"/>
  <c r="F1184" i="12" s="1"/>
  <c r="J1184" i="12"/>
  <c r="K1184" i="12"/>
  <c r="N1184" i="12"/>
  <c r="T1184" i="12"/>
  <c r="U1184" i="12"/>
  <c r="X1184" i="12" s="1"/>
  <c r="D1185" i="12"/>
  <c r="F1185" i="12" s="1"/>
  <c r="J1185" i="12"/>
  <c r="K1185" i="12"/>
  <c r="N1185" i="12"/>
  <c r="T1185" i="12"/>
  <c r="U1185" i="12"/>
  <c r="X1185" i="12" s="1"/>
  <c r="D1186" i="12"/>
  <c r="F1186" i="12" s="1"/>
  <c r="J1186" i="12"/>
  <c r="K1186" i="12"/>
  <c r="N1186" i="12"/>
  <c r="T1186" i="12"/>
  <c r="U1186" i="12"/>
  <c r="D1187" i="12"/>
  <c r="J1187" i="12"/>
  <c r="K1187" i="12"/>
  <c r="N1187" i="12"/>
  <c r="T1187" i="12"/>
  <c r="U1187" i="12"/>
  <c r="X1187" i="12" s="1"/>
  <c r="D1188" i="12"/>
  <c r="F1188" i="12" s="1"/>
  <c r="J1188" i="12"/>
  <c r="K1188" i="12"/>
  <c r="N1188" i="12"/>
  <c r="T1188" i="12"/>
  <c r="U1188" i="12"/>
  <c r="X1188" i="12" s="1"/>
  <c r="D1189" i="12"/>
  <c r="F1189" i="12" s="1"/>
  <c r="J1189" i="12"/>
  <c r="K1189" i="12"/>
  <c r="N1189" i="12"/>
  <c r="T1189" i="12"/>
  <c r="U1189" i="12"/>
  <c r="D1190" i="12"/>
  <c r="F1190" i="12" s="1"/>
  <c r="J1190" i="12"/>
  <c r="K1190" i="12"/>
  <c r="N1190" i="12"/>
  <c r="T1190" i="12"/>
  <c r="U1190" i="12"/>
  <c r="X1190" i="12" s="1"/>
  <c r="D1191" i="12"/>
  <c r="F1191" i="12" s="1"/>
  <c r="J1191" i="12"/>
  <c r="K1191" i="12"/>
  <c r="N1191" i="12"/>
  <c r="T1191" i="12"/>
  <c r="U1191" i="12"/>
  <c r="X1191" i="12" s="1"/>
  <c r="D1192" i="12"/>
  <c r="J1192" i="12"/>
  <c r="K1192" i="12"/>
  <c r="N1192" i="12"/>
  <c r="T1192" i="12"/>
  <c r="U1192" i="12"/>
  <c r="D1193" i="12"/>
  <c r="F1193" i="12" s="1"/>
  <c r="J1193" i="12"/>
  <c r="K1193" i="12"/>
  <c r="N1193" i="12"/>
  <c r="T1193" i="12"/>
  <c r="U1193" i="12"/>
  <c r="X1193" i="12" s="1"/>
  <c r="D1194" i="12"/>
  <c r="F1194" i="12" s="1"/>
  <c r="J1194" i="12"/>
  <c r="K1194" i="12"/>
  <c r="L1194" i="12" s="1"/>
  <c r="T1194" i="12" s="1"/>
  <c r="N1194" i="12"/>
  <c r="D1195" i="12"/>
  <c r="J1195" i="12"/>
  <c r="K1195" i="12"/>
  <c r="N1195" i="12"/>
  <c r="T1195" i="12"/>
  <c r="U1195" i="12"/>
  <c r="D1196" i="12"/>
  <c r="F1196" i="12" s="1"/>
  <c r="J1196" i="12"/>
  <c r="K1196" i="12"/>
  <c r="N1196" i="12"/>
  <c r="T1196" i="12"/>
  <c r="U1196" i="12"/>
  <c r="D1197" i="12"/>
  <c r="F1197" i="12" s="1"/>
  <c r="J1197" i="12"/>
  <c r="K1197" i="12"/>
  <c r="N1197" i="12"/>
  <c r="T1197" i="12"/>
  <c r="U1197" i="12"/>
  <c r="D1198" i="12"/>
  <c r="J1198" i="12"/>
  <c r="K1198" i="12"/>
  <c r="N1198" i="12"/>
  <c r="T1198" i="12"/>
  <c r="U1198" i="12"/>
  <c r="D1199" i="12"/>
  <c r="F1199" i="12" s="1"/>
  <c r="J1199" i="12"/>
  <c r="K1199" i="12"/>
  <c r="N1199" i="12"/>
  <c r="T1199" i="12"/>
  <c r="U1199" i="12"/>
  <c r="D1200" i="12"/>
  <c r="F1200" i="12" s="1"/>
  <c r="J1200" i="12"/>
  <c r="K1200" i="12"/>
  <c r="N1200" i="12"/>
  <c r="T1200" i="12"/>
  <c r="U1200" i="12"/>
  <c r="X1200" i="12" s="1"/>
  <c r="D1201" i="12"/>
  <c r="J1201" i="12"/>
  <c r="K1201" i="12"/>
  <c r="N1201" i="12"/>
  <c r="T1201" i="12"/>
  <c r="U1201" i="12"/>
  <c r="D1202" i="12"/>
  <c r="J1202" i="12"/>
  <c r="K1202" i="12"/>
  <c r="N1202" i="12"/>
  <c r="T1202" i="12"/>
  <c r="U1202" i="12"/>
  <c r="X1202" i="12" s="1"/>
  <c r="D1203" i="12"/>
  <c r="F1203" i="12" s="1"/>
  <c r="J1203" i="12"/>
  <c r="K1203" i="12"/>
  <c r="N1203" i="12"/>
  <c r="T1203" i="12"/>
  <c r="U1203" i="12"/>
  <c r="D1204" i="12"/>
  <c r="F1204" i="12" s="1"/>
  <c r="J1204" i="12"/>
  <c r="K1204" i="12"/>
  <c r="N1204" i="12"/>
  <c r="T1204" i="12"/>
  <c r="U1204" i="12"/>
  <c r="D1205" i="12"/>
  <c r="J1205" i="12"/>
  <c r="K1205" i="12"/>
  <c r="N1205" i="12"/>
  <c r="T1205" i="12"/>
  <c r="U1205" i="12"/>
  <c r="X1205" i="12" s="1"/>
  <c r="D1206" i="12"/>
  <c r="J1206" i="12"/>
  <c r="K1206" i="12"/>
  <c r="N1206" i="12"/>
  <c r="T1206" i="12"/>
  <c r="U1206" i="12"/>
  <c r="X1206" i="12" s="1"/>
  <c r="D1207" i="12"/>
  <c r="F1207" i="12" s="1"/>
  <c r="J1207" i="12"/>
  <c r="K1207" i="12"/>
  <c r="N1207" i="12"/>
  <c r="T1207" i="12"/>
  <c r="U1207" i="12"/>
  <c r="D1208" i="12"/>
  <c r="F1208" i="12" s="1"/>
  <c r="J1208" i="12"/>
  <c r="K1208" i="12"/>
  <c r="N1208" i="12"/>
  <c r="T1208" i="12"/>
  <c r="U1208" i="12"/>
  <c r="D1209" i="12"/>
  <c r="F1209" i="12" s="1"/>
  <c r="J1209" i="12"/>
  <c r="K1209" i="12"/>
  <c r="N1209" i="12"/>
  <c r="T1209" i="12"/>
  <c r="U1209" i="12"/>
  <c r="X1209" i="12" s="1"/>
  <c r="D1210" i="12"/>
  <c r="J1210" i="12"/>
  <c r="K1210" i="12"/>
  <c r="N1210" i="12"/>
  <c r="T1210" i="12"/>
  <c r="U1210" i="12"/>
  <c r="D1211" i="12"/>
  <c r="F1211" i="12" s="1"/>
  <c r="J1211" i="12"/>
  <c r="K1211" i="12"/>
  <c r="N1211" i="12"/>
  <c r="T1211" i="12"/>
  <c r="U1211" i="12"/>
  <c r="X1211" i="12" s="1"/>
  <c r="D1212" i="12"/>
  <c r="J1212" i="12"/>
  <c r="K1212" i="12"/>
  <c r="N1212" i="12"/>
  <c r="T1212" i="12"/>
  <c r="U1212" i="12"/>
  <c r="X1212" i="12" s="1"/>
  <c r="D1213" i="12"/>
  <c r="J1213" i="12"/>
  <c r="K1213" i="12"/>
  <c r="N1213" i="12"/>
  <c r="T1213" i="12"/>
  <c r="U1213" i="12"/>
  <c r="X1213" i="12" s="1"/>
  <c r="D1214" i="12"/>
  <c r="F1214" i="12" s="1"/>
  <c r="J1214" i="12"/>
  <c r="K1214" i="12"/>
  <c r="N1214" i="12"/>
  <c r="T1214" i="12"/>
  <c r="U1214" i="12"/>
  <c r="X1214" i="12" s="1"/>
  <c r="D1215" i="12"/>
  <c r="J1215" i="12"/>
  <c r="K1215" i="12"/>
  <c r="N1215" i="12"/>
  <c r="T1215" i="12"/>
  <c r="U1215" i="12"/>
  <c r="X1215" i="12" s="1"/>
  <c r="D1216" i="12"/>
  <c r="J1216" i="12"/>
  <c r="K1216" i="12"/>
  <c r="N1216" i="12"/>
  <c r="T1216" i="12"/>
  <c r="U1216" i="12"/>
  <c r="X1216" i="12" s="1"/>
  <c r="D1217" i="12"/>
  <c r="F1217" i="12" s="1"/>
  <c r="J1217" i="12"/>
  <c r="K1217" i="12"/>
  <c r="L1217" i="12" s="1"/>
  <c r="N1217" i="12"/>
  <c r="D1218" i="12"/>
  <c r="F1218" i="12" s="1"/>
  <c r="J1218" i="12"/>
  <c r="K1218" i="12"/>
  <c r="N1218" i="12"/>
  <c r="T1218" i="12"/>
  <c r="U1218" i="12"/>
  <c r="X1218" i="12" s="1"/>
  <c r="D1219" i="12"/>
  <c r="J1219" i="12"/>
  <c r="K1219" i="12"/>
  <c r="N1219" i="12"/>
  <c r="T1219" i="12"/>
  <c r="U1219" i="12"/>
  <c r="D1220" i="12"/>
  <c r="J1220" i="12"/>
  <c r="K1220" i="12"/>
  <c r="N1220" i="12"/>
  <c r="T1220" i="12"/>
  <c r="U1220" i="12"/>
  <c r="Y1220" i="12"/>
  <c r="Z1220" i="12"/>
  <c r="D1221" i="12"/>
  <c r="F1221" i="12" s="1"/>
  <c r="J1221" i="12"/>
  <c r="K1221" i="12"/>
  <c r="N1221" i="12"/>
  <c r="T1221" i="12"/>
  <c r="U1221" i="12"/>
  <c r="D1222" i="12"/>
  <c r="J1222" i="12"/>
  <c r="K1222" i="12"/>
  <c r="N1222" i="12"/>
  <c r="T1222" i="12"/>
  <c r="U1222" i="12"/>
  <c r="D1223" i="12"/>
  <c r="F1223" i="12" s="1"/>
  <c r="J1223" i="12"/>
  <c r="K1223" i="12"/>
  <c r="N1223" i="12"/>
  <c r="T1223" i="12"/>
  <c r="U1223" i="12"/>
  <c r="X1223" i="12" s="1"/>
  <c r="D1224" i="12"/>
  <c r="F1224" i="12" s="1"/>
  <c r="J1224" i="12"/>
  <c r="K1224" i="12"/>
  <c r="N1224" i="12"/>
  <c r="T1224" i="12"/>
  <c r="U1224" i="12"/>
  <c r="X1224" i="12" s="1"/>
  <c r="D1225" i="12"/>
  <c r="F1225" i="12" s="1"/>
  <c r="J1225" i="12"/>
  <c r="K1225" i="12"/>
  <c r="N1225" i="12"/>
  <c r="T1225" i="12"/>
  <c r="U1225" i="12"/>
  <c r="X1225" i="12" s="1"/>
  <c r="Y1225" i="12"/>
  <c r="Z1225" i="12"/>
  <c r="D1226" i="12"/>
  <c r="F1226" i="12" s="1"/>
  <c r="J1226" i="12"/>
  <c r="K1226" i="12"/>
  <c r="N1226" i="12"/>
  <c r="T1226" i="12"/>
  <c r="U1226" i="12"/>
  <c r="D1227" i="12"/>
  <c r="J1227" i="12"/>
  <c r="K1227" i="12"/>
  <c r="N1227" i="12"/>
  <c r="T1227" i="12"/>
  <c r="U1227" i="12"/>
  <c r="X1227" i="12" s="1"/>
  <c r="D1228" i="12"/>
  <c r="F1228" i="12" s="1"/>
  <c r="J1228" i="12"/>
  <c r="K1228" i="12"/>
  <c r="N1228" i="12"/>
  <c r="T1228" i="12"/>
  <c r="U1228" i="12"/>
  <c r="X1228" i="12" s="1"/>
  <c r="D1229" i="12"/>
  <c r="J1229" i="12"/>
  <c r="K1229" i="12"/>
  <c r="N1229" i="12"/>
  <c r="T1229" i="12"/>
  <c r="U1229" i="12"/>
  <c r="Y1229" i="12"/>
  <c r="Z1229" i="12"/>
  <c r="D1230" i="12"/>
  <c r="F1230" i="12" s="1"/>
  <c r="J1230" i="12"/>
  <c r="K1230" i="12"/>
  <c r="N1230" i="12"/>
  <c r="T1230" i="12"/>
  <c r="U1230" i="12"/>
  <c r="D1231" i="12"/>
  <c r="J1231" i="12"/>
  <c r="K1231" i="12"/>
  <c r="N1231" i="12"/>
  <c r="T1231" i="12"/>
  <c r="U1231" i="12"/>
  <c r="D1232" i="12"/>
  <c r="F1232" i="12" s="1"/>
  <c r="J1232" i="12"/>
  <c r="K1232" i="12"/>
  <c r="N1232" i="12"/>
  <c r="T1232" i="12"/>
  <c r="U1232" i="12"/>
  <c r="X1232" i="12" s="1"/>
  <c r="D1233" i="12"/>
  <c r="F1233" i="12" s="1"/>
  <c r="J1233" i="12"/>
  <c r="K1233" i="12"/>
  <c r="N1233" i="12"/>
  <c r="T1233" i="12"/>
  <c r="U1233" i="12"/>
  <c r="Y1233" i="12"/>
  <c r="Z1233" i="12"/>
  <c r="D1234" i="12"/>
  <c r="J1234" i="12"/>
  <c r="K1234" i="12"/>
  <c r="N1234" i="12"/>
  <c r="T1234" i="12"/>
  <c r="U1234" i="12"/>
  <c r="X1234" i="12" s="1"/>
  <c r="D1235" i="12"/>
  <c r="J1235" i="12"/>
  <c r="K1235" i="12"/>
  <c r="N1235" i="12"/>
  <c r="T1235" i="12"/>
  <c r="U1235" i="12"/>
  <c r="D1236" i="12"/>
  <c r="J1236" i="12"/>
  <c r="K1236" i="12"/>
  <c r="N1236" i="12"/>
  <c r="T1236" i="12"/>
  <c r="U1236" i="12"/>
  <c r="D1237" i="12"/>
  <c r="F1237" i="12" s="1"/>
  <c r="J1237" i="12"/>
  <c r="K1237" i="12"/>
  <c r="N1237" i="12"/>
  <c r="T1237" i="12"/>
  <c r="U1237" i="12"/>
  <c r="X1237" i="12" s="1"/>
  <c r="Y1237" i="12"/>
  <c r="Z1237" i="12"/>
  <c r="D1238" i="12"/>
  <c r="F1238" i="12" s="1"/>
  <c r="J1238" i="12"/>
  <c r="K1238" i="12"/>
  <c r="N1238" i="12"/>
  <c r="T1238" i="12"/>
  <c r="U1238" i="12"/>
  <c r="D1239" i="12"/>
  <c r="F1239" i="12" s="1"/>
  <c r="J1239" i="12"/>
  <c r="K1239" i="12"/>
  <c r="N1239" i="12"/>
  <c r="T1239" i="12"/>
  <c r="U1239" i="12"/>
  <c r="X1239" i="12" s="1"/>
  <c r="D1240" i="12"/>
  <c r="J1240" i="12"/>
  <c r="K1240" i="12"/>
  <c r="N1240" i="12"/>
  <c r="T1240" i="12"/>
  <c r="U1240" i="12"/>
  <c r="X1240" i="12" s="1"/>
  <c r="D1241" i="12"/>
  <c r="F1241" i="12" s="1"/>
  <c r="J1241" i="12"/>
  <c r="K1241" i="12"/>
  <c r="N1241" i="12"/>
  <c r="T1241" i="12"/>
  <c r="U1241" i="12"/>
  <c r="D1242" i="12"/>
  <c r="J1242" i="12"/>
  <c r="K1242" i="12"/>
  <c r="N1242" i="12"/>
  <c r="T1242" i="12"/>
  <c r="U1242" i="12"/>
  <c r="X1242" i="12" s="1"/>
  <c r="D1243" i="12"/>
  <c r="J1243" i="12"/>
  <c r="K1243" i="12"/>
  <c r="N1243" i="12"/>
  <c r="T1243" i="12"/>
  <c r="U1243" i="12"/>
  <c r="X1243" i="12" s="1"/>
  <c r="D1244" i="12"/>
  <c r="F1244" i="12" s="1"/>
  <c r="J1244" i="12"/>
  <c r="K1244" i="12"/>
  <c r="N1244" i="12"/>
  <c r="T1244" i="12"/>
  <c r="U1244" i="12"/>
  <c r="X1244" i="12" s="1"/>
  <c r="D1245" i="12"/>
  <c r="J1245" i="12"/>
  <c r="K1245" i="12"/>
  <c r="N1245" i="12"/>
  <c r="T1245" i="12"/>
  <c r="U1245" i="12"/>
  <c r="D1246" i="12"/>
  <c r="F1246" i="12" s="1"/>
  <c r="J1246" i="12"/>
  <c r="K1246" i="12"/>
  <c r="N1246" i="12"/>
  <c r="T1246" i="12"/>
  <c r="U1246" i="12"/>
  <c r="X1246" i="12" s="1"/>
  <c r="D1247" i="12"/>
  <c r="F1247" i="12" s="1"/>
  <c r="J1247" i="12"/>
  <c r="K1247" i="12"/>
  <c r="N1247" i="12"/>
  <c r="T1247" i="12"/>
  <c r="U1247" i="12"/>
  <c r="X1247" i="12" s="1"/>
  <c r="D1248" i="12"/>
  <c r="F1248" i="12" s="1"/>
  <c r="J1248" i="12"/>
  <c r="K1248" i="12"/>
  <c r="N1248" i="12"/>
  <c r="T1248" i="12"/>
  <c r="U1248" i="12"/>
  <c r="D1249" i="12"/>
  <c r="J1249" i="12"/>
  <c r="K1249" i="12"/>
  <c r="N1249" i="12"/>
  <c r="T1249" i="12"/>
  <c r="U1249" i="12"/>
  <c r="D1250" i="12"/>
  <c r="J1250" i="12"/>
  <c r="K1250" i="12"/>
  <c r="N1250" i="12"/>
  <c r="T1250" i="12"/>
  <c r="U1250" i="12"/>
  <c r="X1250" i="12" s="1"/>
  <c r="D1251" i="12"/>
  <c r="J1251" i="12"/>
  <c r="K1251" i="12"/>
  <c r="N1251" i="12"/>
  <c r="T1251" i="12"/>
  <c r="U1251" i="12"/>
  <c r="X1251" i="12" s="1"/>
  <c r="D1252" i="12"/>
  <c r="F1252" i="12" s="1"/>
  <c r="J1252" i="12"/>
  <c r="K1252" i="12"/>
  <c r="N1252" i="12"/>
  <c r="T1252" i="12"/>
  <c r="U1252" i="12"/>
  <c r="X1252" i="12" s="1"/>
  <c r="Y1252" i="12"/>
  <c r="Z1252" i="12"/>
  <c r="D1253" i="12"/>
  <c r="F1253" i="12" s="1"/>
  <c r="J1253" i="12"/>
  <c r="K1253" i="12"/>
  <c r="N1253" i="12"/>
  <c r="T1253" i="12"/>
  <c r="U1253" i="12"/>
  <c r="X1253" i="12" s="1"/>
  <c r="Y1253" i="12"/>
  <c r="Z1253" i="12"/>
  <c r="D1254" i="12"/>
  <c r="F1254" i="12" s="1"/>
  <c r="J1254" i="12"/>
  <c r="K1254" i="12"/>
  <c r="N1254" i="12"/>
  <c r="T1254" i="12"/>
  <c r="U1254" i="12"/>
  <c r="X1254" i="12" s="1"/>
  <c r="Y1254" i="12"/>
  <c r="Z1254" i="12"/>
  <c r="D1255" i="12"/>
  <c r="F1255" i="12" s="1"/>
  <c r="J1255" i="12"/>
  <c r="K1255" i="12"/>
  <c r="N1255" i="12"/>
  <c r="T1255" i="12"/>
  <c r="U1255" i="12"/>
  <c r="Y1255" i="12"/>
  <c r="Z1255" i="12"/>
  <c r="D1256" i="12"/>
  <c r="J1256" i="12"/>
  <c r="K1256" i="12"/>
  <c r="N1256" i="12"/>
  <c r="T1256" i="12"/>
  <c r="U1256" i="12"/>
  <c r="X1256" i="12" s="1"/>
  <c r="D1257" i="12"/>
  <c r="J1257" i="12"/>
  <c r="K1257" i="12"/>
  <c r="N1257" i="12"/>
  <c r="T1257" i="12"/>
  <c r="U1257" i="12"/>
  <c r="D1258" i="12"/>
  <c r="F1258" i="12" s="1"/>
  <c r="J1258" i="12"/>
  <c r="K1258" i="12"/>
  <c r="N1258" i="12"/>
  <c r="T1258" i="12"/>
  <c r="U1258" i="12"/>
  <c r="X1258" i="12" s="1"/>
  <c r="D1259" i="12"/>
  <c r="F1259" i="12" s="1"/>
  <c r="J1259" i="12"/>
  <c r="K1259" i="12"/>
  <c r="N1259" i="12"/>
  <c r="T1259" i="12"/>
  <c r="U1259" i="12"/>
  <c r="X1259" i="12" s="1"/>
  <c r="D1260" i="12"/>
  <c r="F1260" i="12" s="1"/>
  <c r="J1260" i="12"/>
  <c r="K1260" i="12"/>
  <c r="N1260" i="12"/>
  <c r="T1260" i="12"/>
  <c r="U1260" i="12"/>
  <c r="X1260" i="12" s="1"/>
  <c r="Y1260" i="12"/>
  <c r="Z1260" i="12"/>
  <c r="D1261" i="12"/>
  <c r="F1261" i="12" s="1"/>
  <c r="J1261" i="12"/>
  <c r="K1261" i="12"/>
  <c r="N1261" i="12"/>
  <c r="T1261" i="12"/>
  <c r="U1261" i="12"/>
  <c r="D1262" i="12"/>
  <c r="F1262" i="12" s="1"/>
  <c r="J1262" i="12"/>
  <c r="K1262" i="12"/>
  <c r="N1262" i="12"/>
  <c r="T1262" i="12"/>
  <c r="U1262" i="12"/>
  <c r="X1262" i="12" s="1"/>
  <c r="Y1262" i="12"/>
  <c r="Z1262" i="12"/>
  <c r="D1263" i="12"/>
  <c r="J1263" i="12"/>
  <c r="K1263" i="12"/>
  <c r="N1263" i="12"/>
  <c r="T1263" i="12"/>
  <c r="U1263" i="12"/>
  <c r="X1263" i="12" s="1"/>
  <c r="D1264" i="12"/>
  <c r="J1264" i="12"/>
  <c r="K1264" i="12"/>
  <c r="N1264" i="12"/>
  <c r="T1264" i="12"/>
  <c r="U1264" i="12"/>
  <c r="X1264" i="12" s="1"/>
  <c r="Y1264" i="12"/>
  <c r="Z1264" i="12"/>
  <c r="D1265" i="12"/>
  <c r="J1265" i="12"/>
  <c r="K1265" i="12"/>
  <c r="N1265" i="12"/>
  <c r="T1265" i="12"/>
  <c r="U1265" i="12"/>
  <c r="X1265" i="12" s="1"/>
  <c r="D1266" i="12"/>
  <c r="F1266" i="12" s="1"/>
  <c r="J1266" i="12"/>
  <c r="K1266" i="12"/>
  <c r="T1266" i="12" s="1"/>
  <c r="N1266" i="12"/>
  <c r="U1266" i="12"/>
  <c r="D1267" i="12"/>
  <c r="J1267" i="12"/>
  <c r="K1267" i="12"/>
  <c r="T1267" i="12" s="1"/>
  <c r="N1267" i="12"/>
  <c r="U1267" i="12"/>
  <c r="X1267" i="12" s="1"/>
  <c r="Y1267" i="12"/>
  <c r="Z1267" i="12"/>
  <c r="D1268" i="12"/>
  <c r="J1268" i="12"/>
  <c r="K1268" i="12"/>
  <c r="T1268" i="12" s="1"/>
  <c r="N1268" i="12"/>
  <c r="U1268" i="12"/>
  <c r="X1268" i="12" s="1"/>
  <c r="D1269" i="12"/>
  <c r="F1269" i="12" s="1"/>
  <c r="J1269" i="12"/>
  <c r="K1269" i="12"/>
  <c r="T1269" i="12" s="1"/>
  <c r="N1269" i="12"/>
  <c r="U1269" i="12"/>
  <c r="X1269" i="12" s="1"/>
  <c r="Y1269" i="12"/>
  <c r="Z1269" i="12"/>
  <c r="D1270" i="12"/>
  <c r="J1270" i="12"/>
  <c r="K1270" i="12"/>
  <c r="T1270" i="12" s="1"/>
  <c r="N1270" i="12"/>
  <c r="U1270" i="12"/>
  <c r="Y1270" i="12"/>
  <c r="Z1270" i="12"/>
  <c r="D1271" i="12"/>
  <c r="F1271" i="12" s="1"/>
  <c r="J1271" i="12"/>
  <c r="K1271" i="12"/>
  <c r="N1271" i="12"/>
  <c r="T1271" i="12"/>
  <c r="U1271" i="12"/>
  <c r="X1271" i="12" s="1"/>
  <c r="Y1271" i="12"/>
  <c r="Z1271" i="12"/>
  <c r="D1272" i="12"/>
  <c r="F1272" i="12" s="1"/>
  <c r="J1272" i="12"/>
  <c r="K1272" i="12"/>
  <c r="N1272" i="12"/>
  <c r="T1272" i="12"/>
  <c r="U1272" i="12"/>
  <c r="X1272" i="12" s="1"/>
  <c r="D1273" i="12"/>
  <c r="F1273" i="12" s="1"/>
  <c r="J1273" i="12"/>
  <c r="K1273" i="12"/>
  <c r="N1273" i="12"/>
  <c r="T1273" i="12"/>
  <c r="U1273" i="12"/>
  <c r="X1273" i="12" s="1"/>
  <c r="D1274" i="12"/>
  <c r="F1274" i="12" s="1"/>
  <c r="J1274" i="12"/>
  <c r="K1274" i="12"/>
  <c r="N1274" i="12"/>
  <c r="T1274" i="12"/>
  <c r="U1274" i="12"/>
  <c r="X1274" i="12" s="1"/>
  <c r="D1275" i="12"/>
  <c r="F1275" i="12" s="1"/>
  <c r="J1275" i="12"/>
  <c r="K1275" i="12"/>
  <c r="N1275" i="12"/>
  <c r="T1275" i="12"/>
  <c r="U1275" i="12"/>
  <c r="D1276" i="12"/>
  <c r="J1276" i="12"/>
  <c r="K1276" i="12"/>
  <c r="N1276" i="12"/>
  <c r="T1276" i="12"/>
  <c r="U1276" i="12"/>
  <c r="X1276" i="12" s="1"/>
  <c r="D1277" i="12"/>
  <c r="F1277" i="12" s="1"/>
  <c r="J1277" i="12"/>
  <c r="K1277" i="12"/>
  <c r="N1277" i="12"/>
  <c r="T1277" i="12"/>
  <c r="U1277" i="12"/>
  <c r="X1277" i="12" s="1"/>
  <c r="D1278" i="12"/>
  <c r="K1278" i="12"/>
  <c r="N1278" i="12"/>
  <c r="T1278" i="12"/>
  <c r="U1278" i="12"/>
  <c r="X1278" i="12" s="1"/>
  <c r="D1279" i="12"/>
  <c r="J1279" i="12"/>
  <c r="K1279" i="12"/>
  <c r="N1279" i="12"/>
  <c r="T1279" i="12"/>
  <c r="U1279" i="12"/>
  <c r="X1279" i="12" s="1"/>
  <c r="D1280" i="12"/>
  <c r="F1280" i="12" s="1"/>
  <c r="J1280" i="12"/>
  <c r="K1280" i="12"/>
  <c r="N1280" i="12"/>
  <c r="T1280" i="12"/>
  <c r="U1280" i="12"/>
  <c r="D1281" i="12"/>
  <c r="F1281" i="12" s="1"/>
  <c r="J1281" i="12"/>
  <c r="K1281" i="12"/>
  <c r="N1281" i="12"/>
  <c r="T1281" i="12"/>
  <c r="U1281" i="12"/>
  <c r="X1281" i="12" s="1"/>
  <c r="D1282" i="12"/>
  <c r="J1282" i="12"/>
  <c r="K1282" i="12"/>
  <c r="N1282" i="12"/>
  <c r="T1282" i="12"/>
  <c r="U1282" i="12"/>
  <c r="Y1282" i="12"/>
  <c r="Z1282" i="12"/>
  <c r="D1283" i="12"/>
  <c r="F1283" i="12" s="1"/>
  <c r="J1283" i="12"/>
  <c r="K1283" i="12"/>
  <c r="N1283" i="12"/>
  <c r="T1283" i="12"/>
  <c r="U1283" i="12"/>
  <c r="X1283" i="12" s="1"/>
  <c r="D1284" i="12"/>
  <c r="J1284" i="12"/>
  <c r="K1284" i="12"/>
  <c r="N1284" i="12"/>
  <c r="T1284" i="12"/>
  <c r="U1284" i="12"/>
  <c r="X1284" i="12" s="1"/>
  <c r="D1285" i="12"/>
  <c r="F1285" i="12" s="1"/>
  <c r="J1285" i="12"/>
  <c r="K1285" i="12"/>
  <c r="N1285" i="12"/>
  <c r="T1285" i="12"/>
  <c r="U1285" i="12"/>
  <c r="X1285" i="12" s="1"/>
  <c r="D1286" i="12"/>
  <c r="F1286" i="12" s="1"/>
  <c r="J1286" i="12"/>
  <c r="K1286" i="12"/>
  <c r="N1286" i="12"/>
  <c r="T1286" i="12"/>
  <c r="U1286" i="12"/>
  <c r="X1286" i="12" s="1"/>
  <c r="D1287" i="12"/>
  <c r="F1287" i="12" s="1"/>
  <c r="J1287" i="12"/>
  <c r="K1287" i="12"/>
  <c r="N1287" i="12"/>
  <c r="T1287" i="12"/>
  <c r="U1287" i="12"/>
  <c r="D1288" i="12"/>
  <c r="J1288" i="12"/>
  <c r="K1288" i="12"/>
  <c r="N1288" i="12"/>
  <c r="T1288" i="12"/>
  <c r="U1288" i="12"/>
  <c r="D1289" i="12"/>
  <c r="J1289" i="12"/>
  <c r="K1289" i="12"/>
  <c r="N1289" i="12"/>
  <c r="T1289" i="12"/>
  <c r="U1289" i="12"/>
  <c r="Y1289" i="12"/>
  <c r="Z1289" i="12"/>
  <c r="D1290" i="12"/>
  <c r="F1290" i="12" s="1"/>
  <c r="J1290" i="12"/>
  <c r="K1290" i="12"/>
  <c r="N1290" i="12"/>
  <c r="T1290" i="12"/>
  <c r="U1290" i="12"/>
  <c r="X1290" i="12" s="1"/>
  <c r="Y1290" i="12"/>
  <c r="Z1290" i="12"/>
  <c r="D1291" i="12"/>
  <c r="F1291" i="12" s="1"/>
  <c r="J1291" i="12"/>
  <c r="K1291" i="12"/>
  <c r="N1291" i="12"/>
  <c r="T1291" i="12"/>
  <c r="U1291" i="12"/>
  <c r="D1292" i="12"/>
  <c r="F1292" i="12" s="1"/>
  <c r="J1292" i="12"/>
  <c r="K1292" i="12"/>
  <c r="N1292" i="12"/>
  <c r="T1292" i="12"/>
  <c r="U1292" i="12"/>
  <c r="D1293" i="12"/>
  <c r="J1293" i="12"/>
  <c r="K1293" i="12"/>
  <c r="N1293" i="12"/>
  <c r="T1293" i="12"/>
  <c r="U1293" i="12"/>
  <c r="X1293" i="12" s="1"/>
  <c r="Y1293" i="12"/>
  <c r="Z1293" i="12"/>
  <c r="D1294" i="12"/>
  <c r="F1294" i="12" s="1"/>
  <c r="J1294" i="12"/>
  <c r="K1294" i="12"/>
  <c r="N1294" i="12"/>
  <c r="D1295" i="12"/>
  <c r="F1295" i="12" s="1"/>
  <c r="J1295" i="12"/>
  <c r="K1295" i="12"/>
  <c r="N1295" i="12"/>
  <c r="X1295" i="12"/>
  <c r="D1296" i="12"/>
  <c r="J1296" i="12"/>
  <c r="K1296" i="12"/>
  <c r="N1296" i="12"/>
  <c r="D1297" i="12"/>
  <c r="F1297" i="12" s="1"/>
  <c r="J1297" i="12"/>
  <c r="K1297" i="12"/>
  <c r="N1297" i="12"/>
  <c r="D1298" i="12"/>
  <c r="J1298" i="12"/>
  <c r="K1298" i="12"/>
  <c r="N1298" i="12"/>
  <c r="D1299" i="12"/>
  <c r="F1299" i="12" s="1"/>
  <c r="J1299" i="12"/>
  <c r="K1299" i="12"/>
  <c r="N1299" i="12"/>
  <c r="T1299" i="12"/>
  <c r="U1299" i="12"/>
  <c r="D1300" i="12"/>
  <c r="J1300" i="12"/>
  <c r="K1300" i="12"/>
  <c r="N1300" i="12"/>
  <c r="T1300" i="12"/>
  <c r="U1300" i="12"/>
  <c r="X1300" i="12" s="1"/>
  <c r="D1301" i="12"/>
  <c r="F1301" i="12" s="1"/>
  <c r="J1301" i="12"/>
  <c r="K1301" i="12"/>
  <c r="N1301" i="12"/>
  <c r="T1301" i="12"/>
  <c r="U1301" i="12"/>
  <c r="X1301" i="12" s="1"/>
  <c r="D1302" i="12"/>
  <c r="C1302" i="12" s="1"/>
  <c r="J1302" i="12"/>
  <c r="K1302" i="12"/>
  <c r="N1302" i="12"/>
  <c r="T1302" i="12"/>
  <c r="U1302" i="12"/>
  <c r="D1303" i="12"/>
  <c r="C1303" i="12" s="1"/>
  <c r="J1303" i="12"/>
  <c r="K1303" i="12"/>
  <c r="N1303" i="12"/>
  <c r="T1303" i="12"/>
  <c r="U1303" i="12"/>
  <c r="X1303" i="12" s="1"/>
  <c r="D1304" i="12"/>
  <c r="C1304" i="12" s="1"/>
  <c r="J1304" i="12"/>
  <c r="K1304" i="12"/>
  <c r="N1304" i="12"/>
  <c r="T1304" i="12"/>
  <c r="U1304" i="12"/>
  <c r="X1304" i="12" s="1"/>
  <c r="D1305" i="12"/>
  <c r="C1305" i="12" s="1"/>
  <c r="J1305" i="12"/>
  <c r="K1305" i="12"/>
  <c r="N1305" i="12"/>
  <c r="T1305" i="12"/>
  <c r="U1305" i="12"/>
  <c r="X1305" i="12" s="1"/>
  <c r="D1306" i="12"/>
  <c r="F1306" i="12" s="1"/>
  <c r="J1306" i="12"/>
  <c r="K1306" i="12"/>
  <c r="N1306" i="12"/>
  <c r="T1306" i="12"/>
  <c r="U1306" i="12"/>
  <c r="X1306" i="12" s="1"/>
  <c r="D1307" i="12"/>
  <c r="C1307" i="12" s="1"/>
  <c r="J1307" i="12"/>
  <c r="K1307" i="12"/>
  <c r="N1307" i="12"/>
  <c r="T1307" i="12"/>
  <c r="U1307" i="12"/>
  <c r="X1307" i="12" s="1"/>
  <c r="Y1307" i="12"/>
  <c r="Z1307" i="12"/>
  <c r="D1308" i="12"/>
  <c r="C1308" i="12" s="1"/>
  <c r="J1308" i="12"/>
  <c r="K1308" i="12"/>
  <c r="N1308" i="12"/>
  <c r="T1308" i="12"/>
  <c r="U1308" i="12"/>
  <c r="X1308" i="12" s="1"/>
  <c r="D1309" i="12"/>
  <c r="C1309" i="12" s="1"/>
  <c r="J1309" i="12"/>
  <c r="K1309" i="12"/>
  <c r="N1309" i="12"/>
  <c r="T1309" i="12"/>
  <c r="U1309" i="12"/>
  <c r="X1309" i="12" s="1"/>
  <c r="Y1309" i="12"/>
  <c r="Z1309" i="12"/>
  <c r="D1310" i="12"/>
  <c r="C1310" i="12" s="1"/>
  <c r="J1310" i="12"/>
  <c r="K1310" i="12"/>
  <c r="N1310" i="12"/>
  <c r="T1310" i="12"/>
  <c r="U1310" i="12"/>
  <c r="X1310" i="12" s="1"/>
  <c r="D1311" i="12"/>
  <c r="C1311" i="12" s="1"/>
  <c r="J1311" i="12"/>
  <c r="K1311" i="12"/>
  <c r="N1311" i="12"/>
  <c r="T1311" i="12"/>
  <c r="U1311" i="12"/>
  <c r="X1311" i="12" s="1"/>
  <c r="D1312" i="12"/>
  <c r="C1312" i="12" s="1"/>
  <c r="J1312" i="12"/>
  <c r="K1312" i="12"/>
  <c r="N1312" i="12"/>
  <c r="T1312" i="12"/>
  <c r="U1312" i="12"/>
  <c r="X1312" i="12" s="1"/>
  <c r="D1313" i="12"/>
  <c r="C1313" i="12" s="1"/>
  <c r="J1313" i="12"/>
  <c r="K1313" i="12"/>
  <c r="N1313" i="12"/>
  <c r="T1313" i="12"/>
  <c r="U1313" i="12"/>
  <c r="X1313" i="12" s="1"/>
  <c r="D1314" i="12"/>
  <c r="J1314" i="12"/>
  <c r="K1314" i="12"/>
  <c r="N1314" i="12"/>
  <c r="T1314" i="12"/>
  <c r="U1314" i="12"/>
  <c r="X1314" i="12" s="1"/>
  <c r="D1315" i="12"/>
  <c r="C1315" i="12" s="1"/>
  <c r="J1315" i="12"/>
  <c r="K1315" i="12"/>
  <c r="N1315" i="12"/>
  <c r="T1315" i="12"/>
  <c r="U1315" i="12"/>
  <c r="X1315" i="12" s="1"/>
  <c r="D1316" i="12"/>
  <c r="C1316" i="12" s="1"/>
  <c r="J1316" i="12"/>
  <c r="K1316" i="12"/>
  <c r="N1316" i="12"/>
  <c r="T1316" i="12"/>
  <c r="U1316" i="12"/>
  <c r="X1316" i="12" s="1"/>
  <c r="D1317" i="12"/>
  <c r="C1317" i="12" s="1"/>
  <c r="J1317" i="12"/>
  <c r="K1317" i="12"/>
  <c r="N1317" i="12"/>
  <c r="T1317" i="12"/>
  <c r="U1317" i="12"/>
  <c r="X1317" i="12" s="1"/>
  <c r="D1318" i="12"/>
  <c r="C1318" i="12" s="1"/>
  <c r="J1318" i="12"/>
  <c r="K1318" i="12"/>
  <c r="N1318" i="12"/>
  <c r="T1318" i="12"/>
  <c r="U1318" i="12"/>
  <c r="X1318" i="12" s="1"/>
  <c r="D1319" i="12"/>
  <c r="J1319" i="12"/>
  <c r="K1319" i="12"/>
  <c r="N1319" i="12"/>
  <c r="T1319" i="12"/>
  <c r="U1319" i="12"/>
  <c r="X1319" i="12" s="1"/>
  <c r="D1320" i="12"/>
  <c r="J1320" i="12"/>
  <c r="K1320" i="12"/>
  <c r="N1320" i="12"/>
  <c r="T1320" i="12"/>
  <c r="U1320" i="12"/>
  <c r="X1320" i="12" s="1"/>
  <c r="D1321" i="12"/>
  <c r="C1321" i="12" s="1"/>
  <c r="J1321" i="12"/>
  <c r="K1321" i="12"/>
  <c r="N1321" i="12"/>
  <c r="T1321" i="12"/>
  <c r="U1321" i="12"/>
  <c r="X1321" i="12" s="1"/>
  <c r="D1322" i="12"/>
  <c r="C1322" i="12" s="1"/>
  <c r="J1322" i="12"/>
  <c r="K1322" i="12"/>
  <c r="N1322" i="12"/>
  <c r="T1322" i="12"/>
  <c r="U1322" i="12"/>
  <c r="X1322" i="12" s="1"/>
  <c r="Y1322" i="12"/>
  <c r="Z1322" i="12"/>
  <c r="D1323" i="12"/>
  <c r="C1323" i="12" s="1"/>
  <c r="J1323" i="12"/>
  <c r="K1323" i="12"/>
  <c r="N1323" i="12"/>
  <c r="U1323" i="12"/>
  <c r="X1323" i="12" s="1"/>
  <c r="D1324" i="12"/>
  <c r="C1324" i="12" s="1"/>
  <c r="J1324" i="12"/>
  <c r="K1324" i="12"/>
  <c r="L1324" i="12" s="1"/>
  <c r="U1324" i="12" s="1"/>
  <c r="X1324" i="12" s="1"/>
  <c r="N1324" i="12"/>
  <c r="Z1324" i="12"/>
  <c r="D1325" i="12"/>
  <c r="J1325" i="12"/>
  <c r="K1325" i="12"/>
  <c r="N1325" i="12"/>
  <c r="T1325" i="12"/>
  <c r="U1325" i="12"/>
  <c r="X1325" i="12" s="1"/>
  <c r="Y1325" i="12"/>
  <c r="Z1325" i="12"/>
  <c r="D1326" i="12"/>
  <c r="C1326" i="12" s="1"/>
  <c r="J1326" i="12"/>
  <c r="K1326" i="12"/>
  <c r="N1326" i="12"/>
  <c r="T1326" i="12"/>
  <c r="U1326" i="12"/>
  <c r="X1326" i="12" s="1"/>
  <c r="D1327" i="12"/>
  <c r="C1327" i="12" s="1"/>
  <c r="J1327" i="12"/>
  <c r="K1327" i="12"/>
  <c r="N1327" i="12"/>
  <c r="T1327" i="12"/>
  <c r="U1327" i="12"/>
  <c r="X1327" i="12" s="1"/>
  <c r="D1328" i="12"/>
  <c r="J1328" i="12"/>
  <c r="K1328" i="12"/>
  <c r="N1328" i="12"/>
  <c r="T1328" i="12"/>
  <c r="U1328" i="12"/>
  <c r="X1328" i="12" s="1"/>
  <c r="Y1328" i="12"/>
  <c r="Z1328" i="12"/>
  <c r="D1329" i="12"/>
  <c r="C1329" i="12" s="1"/>
  <c r="J1329" i="12"/>
  <c r="K1329" i="12"/>
  <c r="N1329" i="12"/>
  <c r="T1329" i="12"/>
  <c r="U1329" i="12"/>
  <c r="X1329" i="12" s="1"/>
  <c r="D1330" i="12"/>
  <c r="C1330" i="12" s="1"/>
  <c r="J1330" i="12"/>
  <c r="K1330" i="12"/>
  <c r="N1330" i="12"/>
  <c r="T1330" i="12"/>
  <c r="U1330" i="12"/>
  <c r="X1330" i="12" s="1"/>
  <c r="D1331" i="12"/>
  <c r="C1331" i="12" s="1"/>
  <c r="J1331" i="12"/>
  <c r="K1331" i="12"/>
  <c r="N1331" i="12"/>
  <c r="T1331" i="12"/>
  <c r="U1331" i="12"/>
  <c r="X1331" i="12" s="1"/>
  <c r="D1332" i="12"/>
  <c r="C1332" i="12" s="1"/>
  <c r="J1332" i="12"/>
  <c r="K1332" i="12"/>
  <c r="N1332" i="12"/>
  <c r="T1332" i="12"/>
  <c r="U1332" i="12"/>
  <c r="X1332" i="12" s="1"/>
  <c r="Y1332" i="12"/>
  <c r="Z1332" i="12"/>
  <c r="D1333" i="12"/>
  <c r="J1333" i="12"/>
  <c r="K1333" i="12"/>
  <c r="N1333" i="12"/>
  <c r="T1333" i="12"/>
  <c r="U1333" i="12"/>
  <c r="X1333" i="12" s="1"/>
  <c r="D1334" i="12"/>
  <c r="C1334" i="12" s="1"/>
  <c r="J1334" i="12"/>
  <c r="K1334" i="12"/>
  <c r="L1334" i="12" s="1"/>
  <c r="U1334" i="12" s="1"/>
  <c r="X1334" i="12" s="1"/>
  <c r="N1334" i="12"/>
  <c r="D1335" i="12"/>
  <c r="C1335" i="12" s="1"/>
  <c r="J1335" i="12"/>
  <c r="K1335" i="12"/>
  <c r="L1335" i="12" s="1"/>
  <c r="T1335" i="12" s="1"/>
  <c r="N1335" i="12"/>
  <c r="D1336" i="12"/>
  <c r="C1336" i="12" s="1"/>
  <c r="J1336" i="12"/>
  <c r="K1336" i="12"/>
  <c r="L1336" i="12" s="1"/>
  <c r="N1336" i="12"/>
  <c r="D1337" i="12"/>
  <c r="C1337" i="12" s="1"/>
  <c r="J1337" i="12"/>
  <c r="K1337" i="12"/>
  <c r="L1337" i="12" s="1"/>
  <c r="N1337" i="12"/>
  <c r="D1338" i="12"/>
  <c r="C1338" i="12" s="1"/>
  <c r="J1338" i="12"/>
  <c r="K1338" i="12"/>
  <c r="N1338" i="12"/>
  <c r="T1338" i="12"/>
  <c r="U1338" i="12"/>
  <c r="X1338" i="12" s="1"/>
  <c r="D1339" i="12"/>
  <c r="C1339" i="12" s="1"/>
  <c r="J1339" i="12"/>
  <c r="K1339" i="12"/>
  <c r="N1339" i="12"/>
  <c r="T1339" i="12"/>
  <c r="U1339" i="12"/>
  <c r="X1339" i="12" s="1"/>
  <c r="D1340" i="12"/>
  <c r="C1340" i="12" s="1"/>
  <c r="J1340" i="12"/>
  <c r="K1340" i="12"/>
  <c r="N1340" i="12"/>
  <c r="T1340" i="12"/>
  <c r="U1340" i="12"/>
  <c r="X1340" i="12" s="1"/>
  <c r="D1341" i="12"/>
  <c r="J1341" i="12"/>
  <c r="K1341" i="12"/>
  <c r="N1341" i="12"/>
  <c r="T1341" i="12"/>
  <c r="U1341" i="12"/>
  <c r="X1341" i="12" s="1"/>
  <c r="D1342" i="12"/>
  <c r="J1342" i="12"/>
  <c r="K1342" i="12"/>
  <c r="N1342" i="12"/>
  <c r="T1342" i="12"/>
  <c r="U1342" i="12"/>
  <c r="X1342" i="12" s="1"/>
  <c r="D1343" i="12"/>
  <c r="C1343" i="12" s="1"/>
  <c r="J1343" i="12"/>
  <c r="K1343" i="12"/>
  <c r="N1343" i="12"/>
  <c r="T1343" i="12"/>
  <c r="U1343" i="12"/>
  <c r="X1343" i="12" s="1"/>
  <c r="D1344" i="12"/>
  <c r="C1344" i="12" s="1"/>
  <c r="J1344" i="12"/>
  <c r="K1344" i="12"/>
  <c r="N1344" i="12"/>
  <c r="T1344" i="12"/>
  <c r="U1344" i="12"/>
  <c r="X1344" i="12" s="1"/>
  <c r="D1345" i="12"/>
  <c r="C1345" i="12" s="1"/>
  <c r="J1345" i="12"/>
  <c r="K1345" i="12"/>
  <c r="N1345" i="12"/>
  <c r="T1345" i="12"/>
  <c r="U1345" i="12"/>
  <c r="X1345" i="12" s="1"/>
  <c r="D1346" i="12"/>
  <c r="C1346" i="12" s="1"/>
  <c r="J1346" i="12"/>
  <c r="K1346" i="12"/>
  <c r="N1346" i="12"/>
  <c r="T1346" i="12"/>
  <c r="U1346" i="12"/>
  <c r="D1347" i="12"/>
  <c r="C1347" i="12" s="1"/>
  <c r="J1347" i="12"/>
  <c r="K1347" i="12"/>
  <c r="N1347" i="12"/>
  <c r="T1347" i="12"/>
  <c r="U1347" i="12"/>
  <c r="X1347" i="12" s="1"/>
  <c r="D1348" i="12"/>
  <c r="C1348" i="12" s="1"/>
  <c r="J1348" i="12"/>
  <c r="K1348" i="12"/>
  <c r="N1348" i="12"/>
  <c r="T1348" i="12"/>
  <c r="U1348" i="12"/>
  <c r="X1348" i="12" s="1"/>
  <c r="D1349" i="12"/>
  <c r="C1349" i="12" s="1"/>
  <c r="J1349" i="12"/>
  <c r="N1349" i="12"/>
  <c r="T1349" i="12"/>
  <c r="U1349" i="12"/>
  <c r="X1349" i="12" s="1"/>
  <c r="D1350" i="12"/>
  <c r="C1350" i="12" s="1"/>
  <c r="N1350" i="12"/>
  <c r="T1350" i="12"/>
  <c r="U1350" i="12"/>
  <c r="D1351" i="12"/>
  <c r="C1351" i="12" s="1"/>
  <c r="N1351" i="12"/>
  <c r="T1351" i="12"/>
  <c r="U1351" i="12"/>
  <c r="X1351" i="12" s="1"/>
  <c r="D1352" i="12"/>
  <c r="C1352" i="12" s="1"/>
  <c r="N1352" i="12"/>
  <c r="T1352" i="12"/>
  <c r="U1352" i="12"/>
  <c r="X1352" i="12" s="1"/>
  <c r="D1353" i="12"/>
  <c r="C1353" i="12" s="1"/>
  <c r="N1353" i="12"/>
  <c r="T1353" i="12"/>
  <c r="U1353" i="12"/>
  <c r="D1354" i="12"/>
  <c r="C1354" i="12" s="1"/>
  <c r="N1354" i="12"/>
  <c r="T1354" i="12"/>
  <c r="U1354" i="12"/>
  <c r="D1355" i="12"/>
  <c r="C1355" i="12" s="1"/>
  <c r="N1355" i="12"/>
  <c r="T1355" i="12"/>
  <c r="U1355" i="12"/>
  <c r="D1356" i="12"/>
  <c r="N1356" i="12"/>
  <c r="T1356" i="12"/>
  <c r="U1356" i="12"/>
  <c r="X1356" i="12" s="1"/>
  <c r="Z1356" i="12"/>
  <c r="D1357" i="12"/>
  <c r="J1357" i="12"/>
  <c r="L1357" i="12"/>
  <c r="N1357" i="12"/>
  <c r="D1358" i="12"/>
  <c r="J1358" i="12"/>
  <c r="K1358" i="12"/>
  <c r="L1358" i="12" s="1"/>
  <c r="T1358" i="12" s="1"/>
  <c r="N1358" i="12"/>
  <c r="D1359" i="12"/>
  <c r="F1359" i="12" s="1"/>
  <c r="J1359" i="12"/>
  <c r="K1359" i="12"/>
  <c r="L1359" i="12" s="1"/>
  <c r="N1359" i="12"/>
  <c r="D1360" i="12"/>
  <c r="F1360" i="12" s="1"/>
  <c r="J1360" i="12"/>
  <c r="K1360" i="12"/>
  <c r="L1360" i="12" s="1"/>
  <c r="U1360" i="12" s="1"/>
  <c r="X1360" i="12" s="1"/>
  <c r="N1360" i="12"/>
  <c r="D1361" i="12"/>
  <c r="J1361" i="12"/>
  <c r="K1361" i="12"/>
  <c r="L1361" i="12" s="1"/>
  <c r="Y1361" i="12" s="1"/>
  <c r="N1361" i="12"/>
  <c r="Z1361" i="12"/>
  <c r="D1362" i="12"/>
  <c r="F1362" i="12" s="1"/>
  <c r="J1362" i="12"/>
  <c r="K1362" i="12"/>
  <c r="L1362" i="12" s="1"/>
  <c r="U1362" i="12" s="1"/>
  <c r="X1362" i="12" s="1"/>
  <c r="N1362" i="12"/>
  <c r="D1363" i="12"/>
  <c r="F1363" i="12" s="1"/>
  <c r="J1363" i="12"/>
  <c r="K1363" i="12"/>
  <c r="L1363" i="12" s="1"/>
  <c r="N1363" i="12"/>
  <c r="D1364" i="12"/>
  <c r="F1364" i="12" s="1"/>
  <c r="J1364" i="12"/>
  <c r="K1364" i="12"/>
  <c r="L1364" i="12" s="1"/>
  <c r="T1364" i="12" s="1"/>
  <c r="N1364" i="12"/>
  <c r="D1365" i="12"/>
  <c r="F1365" i="12" s="1"/>
  <c r="J1365" i="12"/>
  <c r="K1365" i="12"/>
  <c r="L1365" i="12" s="1"/>
  <c r="T1365" i="12" s="1"/>
  <c r="N1365" i="12"/>
  <c r="Z1365" i="12"/>
  <c r="D1366" i="12"/>
  <c r="F1366" i="12" s="1"/>
  <c r="J1366" i="12"/>
  <c r="K1366" i="12"/>
  <c r="N1366" i="12"/>
  <c r="T1366" i="12"/>
  <c r="U1366" i="12"/>
  <c r="X1366" i="12" s="1"/>
  <c r="D1367" i="12"/>
  <c r="F1367" i="12" s="1"/>
  <c r="J1367" i="12"/>
  <c r="K1367" i="12"/>
  <c r="N1367" i="12"/>
  <c r="T1367" i="12"/>
  <c r="U1367" i="12"/>
  <c r="X1367" i="12" s="1"/>
  <c r="D1368" i="12"/>
  <c r="F1368" i="12" s="1"/>
  <c r="J1368" i="12"/>
  <c r="K1368" i="12"/>
  <c r="N1368" i="12"/>
  <c r="T1368" i="12"/>
  <c r="U1368" i="12"/>
  <c r="X1368" i="12" s="1"/>
  <c r="D1369" i="12"/>
  <c r="F1369" i="12" s="1"/>
  <c r="J1369" i="12"/>
  <c r="K1369" i="12"/>
  <c r="N1369" i="12"/>
  <c r="T1369" i="12"/>
  <c r="U1369" i="12"/>
  <c r="X1369" i="12" s="1"/>
  <c r="D1370" i="12"/>
  <c r="F1370" i="12" s="1"/>
  <c r="J1370" i="12"/>
  <c r="K1370" i="12"/>
  <c r="N1370" i="12"/>
  <c r="T1370" i="12"/>
  <c r="U1370" i="12"/>
  <c r="X1370" i="12" s="1"/>
  <c r="D1371" i="12"/>
  <c r="F1371" i="12" s="1"/>
  <c r="J1371" i="12"/>
  <c r="K1371" i="12"/>
  <c r="N1371" i="12"/>
  <c r="T1371" i="12"/>
  <c r="U1371" i="12"/>
  <c r="X1371" i="12" s="1"/>
  <c r="D1372" i="12"/>
  <c r="F1372" i="12" s="1"/>
  <c r="J1372" i="12"/>
  <c r="K1372" i="12"/>
  <c r="N1372" i="12"/>
  <c r="T1372" i="12"/>
  <c r="U1372" i="12"/>
  <c r="X1372" i="12" s="1"/>
  <c r="D1373" i="12"/>
  <c r="J1373" i="12"/>
  <c r="K1373" i="12"/>
  <c r="N1373" i="12"/>
  <c r="T1373" i="12"/>
  <c r="U1373" i="12"/>
  <c r="X1373" i="12" s="1"/>
  <c r="D1374" i="12"/>
  <c r="F1374" i="12" s="1"/>
  <c r="J1374" i="12"/>
  <c r="K1374" i="12"/>
  <c r="N1374" i="12"/>
  <c r="T1374" i="12"/>
  <c r="U1374" i="12"/>
  <c r="X1374" i="12" s="1"/>
  <c r="D1375" i="12"/>
  <c r="F1375" i="12" s="1"/>
  <c r="J1375" i="12"/>
  <c r="K1375" i="12"/>
  <c r="N1375" i="12"/>
  <c r="T1375" i="12"/>
  <c r="U1375" i="12"/>
  <c r="X1375" i="12" s="1"/>
  <c r="D1376" i="12"/>
  <c r="F1376" i="12" s="1"/>
  <c r="J1376" i="12"/>
  <c r="K1376" i="12"/>
  <c r="N1376" i="12"/>
  <c r="T1376" i="12"/>
  <c r="U1376" i="12"/>
  <c r="X1376" i="12" s="1"/>
  <c r="Y1376" i="12"/>
  <c r="Z1376" i="12"/>
  <c r="D1377" i="12"/>
  <c r="F1377" i="12" s="1"/>
  <c r="J1377" i="12"/>
  <c r="K1377" i="12"/>
  <c r="N1377" i="12"/>
  <c r="T1377" i="12"/>
  <c r="U1377" i="12"/>
  <c r="X1377" i="12" s="1"/>
  <c r="D1378" i="12"/>
  <c r="F1378" i="12" s="1"/>
  <c r="J1378" i="12"/>
  <c r="K1378" i="12"/>
  <c r="N1378" i="12"/>
  <c r="T1378" i="12"/>
  <c r="U1378" i="12"/>
  <c r="D1379" i="12"/>
  <c r="F1379" i="12" s="1"/>
  <c r="J1379" i="12"/>
  <c r="K1379" i="12"/>
  <c r="N1379" i="12"/>
  <c r="T1379" i="12"/>
  <c r="U1379" i="12"/>
  <c r="D1380" i="12"/>
  <c r="F1380" i="12" s="1"/>
  <c r="J1380" i="12"/>
  <c r="K1380" i="12"/>
  <c r="N1380" i="12"/>
  <c r="T1380" i="12"/>
  <c r="U1380" i="12"/>
  <c r="Y1380" i="12"/>
  <c r="Z1380" i="12"/>
  <c r="D1381" i="12"/>
  <c r="F1381" i="12" s="1"/>
  <c r="J1381" i="12"/>
  <c r="K1381" i="12"/>
  <c r="N1381" i="12"/>
  <c r="T1381" i="12"/>
  <c r="U1381" i="12"/>
  <c r="X1381" i="12" s="1"/>
  <c r="Y1381" i="12"/>
  <c r="Z1381" i="12"/>
  <c r="D1382" i="12"/>
  <c r="F1382" i="12" s="1"/>
  <c r="J1382" i="12"/>
  <c r="K1382" i="12"/>
  <c r="N1382" i="12"/>
  <c r="T1382" i="12"/>
  <c r="U1382" i="12"/>
  <c r="X1382" i="12" s="1"/>
  <c r="D1383" i="12"/>
  <c r="F1383" i="12" s="1"/>
  <c r="J1383" i="12"/>
  <c r="K1383" i="12"/>
  <c r="N1383" i="12"/>
  <c r="T1383" i="12"/>
  <c r="U1383" i="12"/>
  <c r="X1383" i="12" s="1"/>
  <c r="D1384" i="12"/>
  <c r="F1384" i="12" s="1"/>
  <c r="J1384" i="12"/>
  <c r="K1384" i="12"/>
  <c r="N1384" i="12"/>
  <c r="T1384" i="12"/>
  <c r="U1384" i="12"/>
  <c r="X1384" i="12" s="1"/>
  <c r="D1385" i="12"/>
  <c r="F1385" i="12" s="1"/>
  <c r="J1385" i="12"/>
  <c r="K1385" i="12"/>
  <c r="N1385" i="12"/>
  <c r="T1385" i="12"/>
  <c r="U1385" i="12"/>
  <c r="X1385" i="12" s="1"/>
  <c r="Z1385" i="12"/>
  <c r="D1386" i="12"/>
  <c r="F1386" i="12" s="1"/>
  <c r="J1386" i="12"/>
  <c r="K1386" i="12"/>
  <c r="N1386" i="12"/>
  <c r="T1386" i="12"/>
  <c r="U1386" i="12"/>
  <c r="X1386" i="12" s="1"/>
  <c r="Z1386" i="12"/>
  <c r="D1388" i="12"/>
  <c r="F1388" i="12" s="1"/>
  <c r="J1388" i="12"/>
  <c r="K1388" i="12"/>
  <c r="N1388" i="12"/>
  <c r="T1388" i="12"/>
  <c r="U1388" i="12"/>
  <c r="X1388" i="12" s="1"/>
  <c r="D1389" i="12"/>
  <c r="F1389" i="12" s="1"/>
  <c r="J1389" i="12"/>
  <c r="K1389" i="12"/>
  <c r="N1389" i="12"/>
  <c r="T1389" i="12"/>
  <c r="U1389" i="12"/>
  <c r="X1389" i="12" s="1"/>
  <c r="D1390" i="12"/>
  <c r="F1390" i="12" s="1"/>
  <c r="J1390" i="12"/>
  <c r="K1390" i="12"/>
  <c r="N1390" i="12"/>
  <c r="T1390" i="12"/>
  <c r="U1390" i="12"/>
  <c r="X1390" i="12" s="1"/>
  <c r="Y1390" i="12"/>
  <c r="Z1390" i="12"/>
  <c r="D1391" i="12"/>
  <c r="F1391" i="12" s="1"/>
  <c r="J1391" i="12"/>
  <c r="K1391" i="12"/>
  <c r="N1391" i="12"/>
  <c r="T1391" i="12"/>
  <c r="U1391" i="12"/>
  <c r="Y1391" i="12"/>
  <c r="Z1391" i="12"/>
  <c r="D1392" i="12"/>
  <c r="F1392" i="12" s="1"/>
  <c r="J1392" i="12"/>
  <c r="K1392" i="12"/>
  <c r="N1392" i="12"/>
  <c r="T1392" i="12"/>
  <c r="U1392" i="12"/>
  <c r="X1392" i="12" s="1"/>
  <c r="Y1392" i="12"/>
  <c r="Z1392" i="12"/>
  <c r="D1393" i="12"/>
  <c r="F1393" i="12" s="1"/>
  <c r="J1393" i="12"/>
  <c r="K1393" i="12"/>
  <c r="N1393" i="12"/>
  <c r="T1393" i="12"/>
  <c r="U1393" i="12"/>
  <c r="X1393" i="12" s="1"/>
  <c r="Y1393" i="12"/>
  <c r="Z1393" i="12"/>
  <c r="D1394" i="12"/>
  <c r="F1394" i="12" s="1"/>
  <c r="J1394" i="12"/>
  <c r="K1394" i="12"/>
  <c r="N1394" i="12"/>
  <c r="T1394" i="12"/>
  <c r="U1394" i="12"/>
  <c r="X1394" i="12" s="1"/>
  <c r="Y1394" i="12"/>
  <c r="Z1394" i="12"/>
  <c r="D1395" i="12"/>
  <c r="F1395" i="12" s="1"/>
  <c r="J1395" i="12"/>
  <c r="K1395" i="12"/>
  <c r="L1395" i="12" s="1"/>
  <c r="T1395" i="12" s="1"/>
  <c r="N1395" i="12"/>
  <c r="Z1395" i="12"/>
  <c r="D1396" i="12"/>
  <c r="F1396" i="12" s="1"/>
  <c r="J1396" i="12"/>
  <c r="K1396" i="12"/>
  <c r="N1396" i="12"/>
  <c r="T1396" i="12"/>
  <c r="U1396" i="12"/>
  <c r="X1396" i="12" s="1"/>
  <c r="D1397" i="12"/>
  <c r="F1397" i="12" s="1"/>
  <c r="J1397" i="12"/>
  <c r="K1397" i="12"/>
  <c r="N1397" i="12"/>
  <c r="T1397" i="12"/>
  <c r="U1397" i="12"/>
  <c r="X1397" i="12" s="1"/>
  <c r="D1398" i="12"/>
  <c r="F1398" i="12" s="1"/>
  <c r="J1398" i="12"/>
  <c r="K1398" i="12"/>
  <c r="N1398" i="12"/>
  <c r="T1398" i="12"/>
  <c r="U1398" i="12"/>
  <c r="X1398" i="12" s="1"/>
  <c r="Y1398" i="12"/>
  <c r="Z1398" i="12"/>
  <c r="D1399" i="12"/>
  <c r="F1399" i="12" s="1"/>
  <c r="J1399" i="12"/>
  <c r="K1399" i="12"/>
  <c r="N1399" i="12"/>
  <c r="T1399" i="12"/>
  <c r="U1399" i="12"/>
  <c r="X1399" i="12" s="1"/>
  <c r="D1400" i="12"/>
  <c r="F1400" i="12" s="1"/>
  <c r="J1400" i="12"/>
  <c r="K1400" i="12"/>
  <c r="N1400" i="12"/>
  <c r="T1400" i="12"/>
  <c r="U1400" i="12"/>
  <c r="X1400" i="12" s="1"/>
  <c r="Y1400" i="12"/>
  <c r="Z1400" i="12"/>
  <c r="D1401" i="12"/>
  <c r="F1401" i="12" s="1"/>
  <c r="J1401" i="12"/>
  <c r="K1401" i="12"/>
  <c r="N1401" i="12"/>
  <c r="T1401" i="12"/>
  <c r="U1401" i="12"/>
  <c r="X1401" i="12" s="1"/>
  <c r="D1402" i="12"/>
  <c r="F1402" i="12" s="1"/>
  <c r="J1402" i="12"/>
  <c r="K1402" i="12"/>
  <c r="N1402" i="12"/>
  <c r="T1402" i="12"/>
  <c r="U1402" i="12"/>
  <c r="X1402" i="12" s="1"/>
  <c r="D1403" i="12"/>
  <c r="F1403" i="12" s="1"/>
  <c r="J1403" i="12"/>
  <c r="K1403" i="12"/>
  <c r="N1403" i="12"/>
  <c r="T1403" i="12"/>
  <c r="U1403" i="12"/>
  <c r="X1403" i="12" s="1"/>
  <c r="D1404" i="12"/>
  <c r="F1404" i="12" s="1"/>
  <c r="J1404" i="12"/>
  <c r="K1404" i="12"/>
  <c r="N1404" i="12"/>
  <c r="T1404" i="12"/>
  <c r="U1404" i="12"/>
  <c r="X1404" i="12" s="1"/>
  <c r="D1405" i="12"/>
  <c r="F1405" i="12" s="1"/>
  <c r="J1405" i="12"/>
  <c r="K1405" i="12"/>
  <c r="N1405" i="12"/>
  <c r="T1405" i="12"/>
  <c r="U1405" i="12"/>
  <c r="X1405" i="12" s="1"/>
  <c r="D1406" i="12"/>
  <c r="F1406" i="12" s="1"/>
  <c r="J1406" i="12"/>
  <c r="K1406" i="12"/>
  <c r="N1406" i="12"/>
  <c r="T1406" i="12"/>
  <c r="U1406" i="12"/>
  <c r="X1406" i="12" s="1"/>
  <c r="D1407" i="12"/>
  <c r="F1407" i="12" s="1"/>
  <c r="J1407" i="12"/>
  <c r="K1407" i="12"/>
  <c r="N1407" i="12"/>
  <c r="T1407" i="12"/>
  <c r="U1407" i="12"/>
  <c r="X1407" i="12" s="1"/>
  <c r="D1408" i="12"/>
  <c r="F1408" i="12" s="1"/>
  <c r="J1408" i="12"/>
  <c r="K1408" i="12"/>
  <c r="N1408" i="12"/>
  <c r="T1408" i="12"/>
  <c r="U1408" i="12"/>
  <c r="X1408" i="12" s="1"/>
  <c r="D1409" i="12"/>
  <c r="F1409" i="12" s="1"/>
  <c r="J1409" i="12"/>
  <c r="K1409" i="12"/>
  <c r="N1409" i="12"/>
  <c r="T1409" i="12"/>
  <c r="U1409" i="12"/>
  <c r="X1409" i="12" s="1"/>
  <c r="D1410" i="12"/>
  <c r="F1410" i="12" s="1"/>
  <c r="J1410" i="12"/>
  <c r="K1410" i="12"/>
  <c r="N1410" i="12"/>
  <c r="T1410" i="12"/>
  <c r="U1410" i="12"/>
  <c r="X1410" i="12" s="1"/>
  <c r="D1411" i="12"/>
  <c r="F1411" i="12" s="1"/>
  <c r="J1411" i="12"/>
  <c r="K1411" i="12"/>
  <c r="L1411" i="12" s="1"/>
  <c r="T1411" i="12" s="1"/>
  <c r="N1411" i="12"/>
  <c r="D1412" i="12"/>
  <c r="F1412" i="12" s="1"/>
  <c r="J1412" i="12"/>
  <c r="K1412" i="12"/>
  <c r="L1412" i="12" s="1"/>
  <c r="T1412" i="12" s="1"/>
  <c r="N1412" i="12"/>
  <c r="D1413" i="12"/>
  <c r="F1413" i="12" s="1"/>
  <c r="J1413" i="12"/>
  <c r="K1413" i="12"/>
  <c r="L1413" i="12" s="1"/>
  <c r="T1413" i="12" s="1"/>
  <c r="N1413" i="12"/>
  <c r="Z1413" i="12"/>
  <c r="D1414" i="12"/>
  <c r="F1414" i="12" s="1"/>
  <c r="J1414" i="12"/>
  <c r="K1414" i="12"/>
  <c r="L1414" i="12" s="1"/>
  <c r="Y1414" i="12" s="1"/>
  <c r="N1414" i="12"/>
  <c r="Z1414" i="12"/>
  <c r="D1415" i="12"/>
  <c r="F1415" i="12" s="1"/>
  <c r="J1415" i="12"/>
  <c r="K1415" i="12"/>
  <c r="N1415" i="12"/>
  <c r="T1415" i="12"/>
  <c r="U1415" i="12"/>
  <c r="X1415" i="12" s="1"/>
  <c r="Y1415" i="12"/>
  <c r="Z1415" i="12"/>
  <c r="D1416" i="12"/>
  <c r="F1416" i="12" s="1"/>
  <c r="J1416" i="12"/>
  <c r="K1416" i="12"/>
  <c r="N1416" i="12"/>
  <c r="T1416" i="12"/>
  <c r="U1416" i="12"/>
  <c r="X1416" i="12" s="1"/>
  <c r="D1417" i="12"/>
  <c r="F1417" i="12" s="1"/>
  <c r="J1417" i="12"/>
  <c r="K1417" i="12"/>
  <c r="N1417" i="12"/>
  <c r="T1417" i="12"/>
  <c r="U1417" i="12"/>
  <c r="X1417" i="12" s="1"/>
  <c r="Y1417" i="12"/>
  <c r="Z1417" i="12"/>
  <c r="D1418" i="12"/>
  <c r="F1418" i="12" s="1"/>
  <c r="J1418" i="12"/>
  <c r="K1418" i="12"/>
  <c r="N1418" i="12"/>
  <c r="T1418" i="12"/>
  <c r="U1418" i="12"/>
  <c r="X1418" i="12" s="1"/>
  <c r="Y1418" i="12"/>
  <c r="Z1418" i="12"/>
  <c r="D1419" i="12"/>
  <c r="F1419" i="12" s="1"/>
  <c r="J1419" i="12"/>
  <c r="K1419" i="12"/>
  <c r="N1419" i="12"/>
  <c r="T1419" i="12"/>
  <c r="U1419" i="12"/>
  <c r="X1419" i="12" s="1"/>
  <c r="D1420" i="12"/>
  <c r="F1420" i="12" s="1"/>
  <c r="J1420" i="12"/>
  <c r="K1420" i="12"/>
  <c r="N1420" i="12"/>
  <c r="T1420" i="12"/>
  <c r="U1420" i="12"/>
  <c r="X1420" i="12" s="1"/>
  <c r="D1421" i="12"/>
  <c r="C1421" i="12" s="1"/>
  <c r="J1421" i="12"/>
  <c r="K1421" i="12"/>
  <c r="N1421" i="12"/>
  <c r="T1421" i="12"/>
  <c r="U1421" i="12"/>
  <c r="X1421" i="12" s="1"/>
  <c r="D1422" i="12"/>
  <c r="C1422" i="12" s="1"/>
  <c r="J1422" i="12"/>
  <c r="K1422" i="12"/>
  <c r="N1422" i="12"/>
  <c r="T1422" i="12"/>
  <c r="U1422" i="12"/>
  <c r="X1422" i="12" s="1"/>
  <c r="D1423" i="12"/>
  <c r="C1423" i="12" s="1"/>
  <c r="J1423" i="12"/>
  <c r="K1423" i="12"/>
  <c r="N1423" i="12"/>
  <c r="T1423" i="12"/>
  <c r="U1423" i="12"/>
  <c r="D1424" i="12"/>
  <c r="J1424" i="12"/>
  <c r="K1424" i="12"/>
  <c r="N1424" i="12"/>
  <c r="T1424" i="12"/>
  <c r="U1424" i="12"/>
  <c r="X1424" i="12" s="1"/>
  <c r="D1429" i="12"/>
  <c r="D1430" i="12"/>
  <c r="C1430" i="12" s="1"/>
  <c r="D1431" i="12"/>
  <c r="C1431" i="12" s="1"/>
  <c r="K1431" i="12"/>
  <c r="N1431" i="12"/>
  <c r="T1431" i="12"/>
  <c r="U1431" i="12"/>
  <c r="X1431" i="12" s="1"/>
  <c r="D1432" i="12"/>
  <c r="K1432" i="12"/>
  <c r="N1432" i="12"/>
  <c r="T1432" i="12"/>
  <c r="U1432" i="12"/>
  <c r="X1432" i="12" s="1"/>
  <c r="D1433" i="12"/>
  <c r="C1433" i="12" s="1"/>
  <c r="K1433" i="12"/>
  <c r="N1433" i="12"/>
  <c r="T1433" i="12"/>
  <c r="U1433" i="12"/>
  <c r="X1433" i="12" s="1"/>
  <c r="Y1433" i="12"/>
  <c r="Z1433" i="12"/>
  <c r="D1434" i="12"/>
  <c r="C1434" i="12" s="1"/>
  <c r="K1434" i="12"/>
  <c r="N1434" i="12"/>
  <c r="T1434" i="12"/>
  <c r="U1434" i="12"/>
  <c r="X1434" i="12" s="1"/>
  <c r="D1435" i="12"/>
  <c r="C1435" i="12" s="1"/>
  <c r="J1435" i="12"/>
  <c r="K1435" i="12"/>
  <c r="N1435" i="12"/>
  <c r="T1435" i="12"/>
  <c r="U1435" i="12"/>
  <c r="X1435" i="12" s="1"/>
  <c r="D1436" i="12"/>
  <c r="C1436" i="12" s="1"/>
  <c r="J1436" i="12"/>
  <c r="K1436" i="12"/>
  <c r="N1436" i="12"/>
  <c r="T1436" i="12"/>
  <c r="U1436" i="12"/>
  <c r="X1436" i="12" s="1"/>
  <c r="Y1436" i="12"/>
  <c r="Z1436" i="12"/>
  <c r="D1437" i="12"/>
  <c r="C1437" i="12" s="1"/>
  <c r="J1437" i="12"/>
  <c r="K1437" i="12"/>
  <c r="N1437" i="12"/>
  <c r="T1437" i="12"/>
  <c r="U1437" i="12"/>
  <c r="X1437" i="12" s="1"/>
  <c r="D1438" i="12"/>
  <c r="C1438" i="12" s="1"/>
  <c r="J1438" i="12"/>
  <c r="K1438" i="12"/>
  <c r="N1438" i="12"/>
  <c r="T1438" i="12"/>
  <c r="U1438" i="12"/>
  <c r="X1438" i="12" s="1"/>
  <c r="D1439" i="12"/>
  <c r="C1439" i="12" s="1"/>
  <c r="J1439" i="12"/>
  <c r="K1439" i="12"/>
  <c r="N1439" i="12"/>
  <c r="T1439" i="12"/>
  <c r="U1439" i="12"/>
  <c r="D1440" i="12"/>
  <c r="C1440" i="12" s="1"/>
  <c r="J1440" i="12"/>
  <c r="K1440" i="12"/>
  <c r="N1440" i="12"/>
  <c r="T1440" i="12"/>
  <c r="U1440" i="12"/>
  <c r="X1440" i="12" s="1"/>
  <c r="D1441" i="12"/>
  <c r="C1441" i="12" s="1"/>
  <c r="J1441" i="12"/>
  <c r="K1441" i="12"/>
  <c r="N1441" i="12"/>
  <c r="T1441" i="12"/>
  <c r="U1441" i="12"/>
  <c r="X1441" i="12" s="1"/>
  <c r="D1442" i="12"/>
  <c r="C1442" i="12" s="1"/>
  <c r="J1442" i="12"/>
  <c r="K1442" i="12"/>
  <c r="N1442" i="12"/>
  <c r="T1442" i="12"/>
  <c r="U1442" i="12"/>
  <c r="X1442" i="12" s="1"/>
  <c r="D1443" i="12"/>
  <c r="C1443" i="12" s="1"/>
  <c r="J1443" i="12"/>
  <c r="K1443" i="12"/>
  <c r="N1443" i="12"/>
  <c r="T1443" i="12"/>
  <c r="U1443" i="12"/>
  <c r="X1443" i="12" s="1"/>
  <c r="D1444" i="12"/>
  <c r="C1444" i="12" s="1"/>
  <c r="J1444" i="12"/>
  <c r="K1444" i="12"/>
  <c r="N1444" i="12"/>
  <c r="T1444" i="12"/>
  <c r="U1444" i="12"/>
  <c r="X1444" i="12" s="1"/>
  <c r="D1445" i="12"/>
  <c r="C1445" i="12" s="1"/>
  <c r="J1445" i="12"/>
  <c r="K1445" i="12"/>
  <c r="N1445" i="12"/>
  <c r="T1445" i="12"/>
  <c r="U1445" i="12"/>
  <c r="X1445" i="12" s="1"/>
  <c r="D1446" i="12"/>
  <c r="K1446" i="12"/>
  <c r="N1446" i="12"/>
  <c r="T1446" i="12"/>
  <c r="U1446" i="12"/>
  <c r="X1446" i="12" s="1"/>
  <c r="Y1446" i="12"/>
  <c r="Z1446" i="12"/>
  <c r="D1447" i="12"/>
  <c r="C1447" i="12" s="1"/>
  <c r="K1447" i="12"/>
  <c r="N1447" i="12"/>
  <c r="T1447" i="12"/>
  <c r="U1447" i="12"/>
  <c r="X1447" i="12" s="1"/>
  <c r="D1448" i="12"/>
  <c r="C1448" i="12" s="1"/>
  <c r="J1448" i="12"/>
  <c r="K1448" i="12"/>
  <c r="N1448" i="12"/>
  <c r="T1448" i="12"/>
  <c r="U1448" i="12"/>
  <c r="X1448" i="12" s="1"/>
  <c r="D1449" i="12"/>
  <c r="C1449" i="12" s="1"/>
  <c r="J1449" i="12"/>
  <c r="K1449" i="12"/>
  <c r="N1449" i="12"/>
  <c r="T1449" i="12"/>
  <c r="U1449" i="12"/>
  <c r="X1449" i="12" s="1"/>
  <c r="J1450" i="12"/>
  <c r="K1450" i="12"/>
  <c r="N1450" i="12"/>
  <c r="T1450" i="12"/>
  <c r="U1450" i="12"/>
  <c r="X1450" i="12" s="1"/>
  <c r="D1151" i="12"/>
  <c r="C1151" i="12" s="1"/>
  <c r="J1151" i="12"/>
  <c r="K1151" i="12"/>
  <c r="N1151" i="12"/>
  <c r="T1151" i="12"/>
  <c r="U1151" i="12"/>
  <c r="X1151" i="12" s="1"/>
  <c r="D1152" i="12"/>
  <c r="F1152" i="12" s="1"/>
  <c r="J1152" i="12"/>
  <c r="K1152" i="12"/>
  <c r="N1152" i="12"/>
  <c r="T1152" i="12"/>
  <c r="U1152" i="12"/>
  <c r="X1152" i="12" s="1"/>
  <c r="D1153" i="12"/>
  <c r="C1153" i="12" s="1"/>
  <c r="J1153" i="12"/>
  <c r="K1153" i="12"/>
  <c r="N1153" i="12"/>
  <c r="T1153" i="12"/>
  <c r="U1153" i="12"/>
  <c r="X1153" i="12" s="1"/>
  <c r="D1154" i="12"/>
  <c r="C1154" i="12" s="1"/>
  <c r="J1154" i="12"/>
  <c r="K1154" i="12"/>
  <c r="N1154" i="12"/>
  <c r="T1154" i="12"/>
  <c r="U1154" i="12"/>
  <c r="X1154" i="12" s="1"/>
  <c r="H9" i="18"/>
  <c r="J9" i="18"/>
  <c r="K9" i="18"/>
  <c r="H10" i="18"/>
  <c r="J10" i="18"/>
  <c r="K10" i="18"/>
  <c r="C1429" i="12" l="1"/>
  <c r="F1429" i="12"/>
  <c r="C1424" i="12"/>
  <c r="F1424" i="12"/>
  <c r="U1414" i="12"/>
  <c r="X1414" i="12" s="1"/>
  <c r="U1412" i="12"/>
  <c r="X1412" i="12" s="1"/>
  <c r="T1414" i="12"/>
  <c r="Y1413" i="12"/>
  <c r="U1413" i="12"/>
  <c r="X1413" i="12" s="1"/>
  <c r="U1411" i="12"/>
  <c r="X1411" i="12" s="1"/>
  <c r="Y1395" i="12"/>
  <c r="U1395" i="12"/>
  <c r="X1395" i="12" s="1"/>
  <c r="U1358" i="12"/>
  <c r="X1358" i="12" s="1"/>
  <c r="T1361" i="12"/>
  <c r="Y1365" i="12"/>
  <c r="U1361" i="12"/>
  <c r="X1361" i="12" s="1"/>
  <c r="T1360" i="12"/>
  <c r="U1363" i="12"/>
  <c r="X1363" i="12" s="1"/>
  <c r="T1363" i="12"/>
  <c r="U1364" i="12"/>
  <c r="X1364" i="12" s="1"/>
  <c r="T1362" i="12"/>
  <c r="U1359" i="12"/>
  <c r="X1359" i="12" s="1"/>
  <c r="T1359" i="12"/>
  <c r="U1365" i="12"/>
  <c r="X1365" i="12" s="1"/>
  <c r="U1357" i="12"/>
  <c r="X1357" i="12" s="1"/>
  <c r="T1357" i="12"/>
  <c r="F1356" i="12"/>
  <c r="C1356" i="12"/>
  <c r="F1358" i="12"/>
  <c r="C1358" i="12"/>
  <c r="X1355" i="12"/>
  <c r="F1357" i="12"/>
  <c r="C1357" i="12"/>
  <c r="X1350" i="12"/>
  <c r="AA1350" i="12"/>
  <c r="AB1350" i="12" s="1"/>
  <c r="AC1350" i="12" s="1"/>
  <c r="T1334" i="12"/>
  <c r="X1354" i="12"/>
  <c r="X1353" i="12"/>
  <c r="U1337" i="12"/>
  <c r="X1337" i="12" s="1"/>
  <c r="T1337" i="12"/>
  <c r="U1335" i="12"/>
  <c r="X1335" i="12" s="1"/>
  <c r="Y1324" i="12"/>
  <c r="U1336" i="12"/>
  <c r="X1336" i="12" s="1"/>
  <c r="T1324" i="12"/>
  <c r="T1336" i="12"/>
  <c r="X1299" i="12"/>
  <c r="AA9" i="12"/>
  <c r="AB9" i="12" s="1"/>
  <c r="AC9" i="12" s="1"/>
  <c r="T1217" i="12"/>
  <c r="U1217" i="12"/>
  <c r="X1217" i="12" s="1"/>
  <c r="U1194" i="12"/>
  <c r="X1194" i="12" s="1"/>
  <c r="X1199" i="12"/>
  <c r="X1198" i="12"/>
  <c r="X1197" i="12"/>
  <c r="X1195" i="12"/>
  <c r="C1161" i="12"/>
  <c r="F1440" i="12"/>
  <c r="F883" i="12"/>
  <c r="F1450" i="12"/>
  <c r="F1046" i="12"/>
  <c r="X1161" i="12"/>
  <c r="F1443" i="12"/>
  <c r="F1438" i="12"/>
  <c r="AA1390" i="12"/>
  <c r="AB1390" i="12" s="1"/>
  <c r="AC1390" i="12" s="1"/>
  <c r="F206" i="12"/>
  <c r="F881" i="12"/>
  <c r="F697" i="12"/>
  <c r="F138" i="12"/>
  <c r="C637" i="12"/>
  <c r="F1312" i="12"/>
  <c r="F56" i="12"/>
  <c r="F38" i="12"/>
  <c r="C268" i="12"/>
  <c r="F847" i="12"/>
  <c r="F1441" i="12"/>
  <c r="F585" i="12"/>
  <c r="F1043" i="12"/>
  <c r="C683" i="12"/>
  <c r="C593" i="12"/>
  <c r="C1086" i="12"/>
  <c r="C144" i="12"/>
  <c r="F1447" i="12"/>
  <c r="AA1400" i="12"/>
  <c r="AB1400" i="12" s="1"/>
  <c r="AC1400" i="12" s="1"/>
  <c r="AA226" i="12"/>
  <c r="AB226" i="12" s="1"/>
  <c r="AC226" i="12" s="1"/>
  <c r="F491" i="12"/>
  <c r="F376" i="12"/>
  <c r="AA109" i="12"/>
  <c r="AB109" i="12" s="1"/>
  <c r="AC109" i="12" s="1"/>
  <c r="F53" i="12"/>
  <c r="C849" i="12"/>
  <c r="F134" i="12"/>
  <c r="F91" i="12"/>
  <c r="AA1394" i="12"/>
  <c r="AB1394" i="12" s="1"/>
  <c r="AC1394" i="12" s="1"/>
  <c r="F506" i="12"/>
  <c r="F430" i="12"/>
  <c r="F299" i="12"/>
  <c r="F194" i="12"/>
  <c r="C723" i="12"/>
  <c r="C382" i="12"/>
  <c r="F251" i="12"/>
  <c r="C823" i="12"/>
  <c r="C772" i="12"/>
  <c r="C1099" i="12"/>
  <c r="C781" i="12"/>
  <c r="C1080" i="12"/>
  <c r="AA1381" i="12"/>
  <c r="AB1381" i="12" s="1"/>
  <c r="AC1381" i="12" s="1"/>
  <c r="F656" i="12"/>
  <c r="F523" i="12"/>
  <c r="C507" i="12"/>
  <c r="C505" i="12"/>
  <c r="F59" i="12"/>
  <c r="F40" i="12"/>
  <c r="F184" i="12"/>
  <c r="F1448" i="12"/>
  <c r="F1445" i="12"/>
  <c r="AA1332" i="12"/>
  <c r="AB1332" i="12" s="1"/>
  <c r="AC1332" i="12" s="1"/>
  <c r="AA1270" i="12"/>
  <c r="AB1270" i="12" s="1"/>
  <c r="AC1270" i="12" s="1"/>
  <c r="C767" i="12"/>
  <c r="AA1145" i="12"/>
  <c r="AB1145" i="12" s="1"/>
  <c r="AC1145" i="12" s="1"/>
  <c r="F72" i="12"/>
  <c r="F1305" i="12"/>
  <c r="F1308" i="12"/>
  <c r="F377" i="12"/>
  <c r="F336" i="12"/>
  <c r="F148" i="12"/>
  <c r="C695" i="12"/>
  <c r="C617" i="12"/>
  <c r="C378" i="12"/>
  <c r="C328" i="12"/>
  <c r="C213" i="12"/>
  <c r="C957" i="12"/>
  <c r="C862" i="12"/>
  <c r="AA110" i="12"/>
  <c r="AB110" i="12" s="1"/>
  <c r="AC110" i="12" s="1"/>
  <c r="AA1156" i="12"/>
  <c r="AB1156" i="12" s="1"/>
  <c r="AC1156" i="12" s="1"/>
  <c r="F1097" i="12"/>
  <c r="F912" i="12"/>
  <c r="C880" i="12"/>
  <c r="C830" i="12"/>
  <c r="C500" i="12"/>
  <c r="F1015" i="12"/>
  <c r="F866" i="12"/>
  <c r="F644" i="12"/>
  <c r="C393" i="12"/>
  <c r="C343" i="12"/>
  <c r="F339" i="12"/>
  <c r="F337" i="12"/>
  <c r="F319" i="12"/>
  <c r="F1090" i="12"/>
  <c r="F1088" i="12"/>
  <c r="F888" i="12"/>
  <c r="F875" i="12"/>
  <c r="F742" i="12"/>
  <c r="F703" i="12"/>
  <c r="C210" i="12"/>
  <c r="C158" i="12"/>
  <c r="C1094" i="12"/>
  <c r="C970" i="12"/>
  <c r="F927" i="12"/>
  <c r="F925" i="12"/>
  <c r="F905" i="12"/>
  <c r="F903" i="12"/>
  <c r="F735" i="12"/>
  <c r="F616" i="12"/>
  <c r="F607" i="12"/>
  <c r="C455" i="12"/>
  <c r="C429" i="12"/>
  <c r="C33" i="12"/>
  <c r="F1001" i="12"/>
  <c r="F940" i="12"/>
  <c r="F938" i="12"/>
  <c r="F838" i="12"/>
  <c r="C375" i="12"/>
  <c r="F1055" i="12"/>
  <c r="AA1380" i="12"/>
  <c r="AB1380" i="12" s="1"/>
  <c r="AC1380" i="12" s="1"/>
  <c r="F1444" i="12"/>
  <c r="F739" i="12"/>
  <c r="C689" i="12"/>
  <c r="F611" i="12"/>
  <c r="F521" i="12"/>
  <c r="F470" i="12"/>
  <c r="C309" i="12"/>
  <c r="C216" i="12"/>
  <c r="C205" i="12"/>
  <c r="F67" i="12"/>
  <c r="AA1328" i="12"/>
  <c r="AB1328" i="12" s="1"/>
  <c r="AC1328" i="12" s="1"/>
  <c r="F1102" i="12"/>
  <c r="U1013" i="12"/>
  <c r="X1013" i="12" s="1"/>
  <c r="C561" i="12"/>
  <c r="C410" i="12"/>
  <c r="F220" i="12"/>
  <c r="F87" i="12"/>
  <c r="F1310" i="12"/>
  <c r="C1091" i="12"/>
  <c r="C985" i="12"/>
  <c r="C702" i="12"/>
  <c r="F670" i="12"/>
  <c r="C661" i="12"/>
  <c r="F222" i="12"/>
  <c r="F1062" i="12"/>
  <c r="F1018" i="12"/>
  <c r="C1223" i="12"/>
  <c r="C984" i="12"/>
  <c r="C753" i="12"/>
  <c r="C618" i="12"/>
  <c r="C588" i="12"/>
  <c r="F427" i="12"/>
  <c r="C397" i="12"/>
  <c r="C381" i="12"/>
  <c r="F356" i="12"/>
  <c r="C1005" i="12"/>
  <c r="C988" i="12"/>
  <c r="C647" i="12"/>
  <c r="C519" i="12"/>
  <c r="C313" i="12"/>
  <c r="C173" i="12"/>
  <c r="F1057" i="12"/>
  <c r="F913" i="12"/>
  <c r="F852" i="12"/>
  <c r="F839" i="12"/>
  <c r="C835" i="12"/>
  <c r="C315" i="12"/>
  <c r="C714" i="12"/>
  <c r="F495" i="12"/>
  <c r="F484" i="12"/>
  <c r="C480" i="12"/>
  <c r="F275" i="12"/>
  <c r="F265" i="12"/>
  <c r="C237" i="12"/>
  <c r="C224" i="12"/>
  <c r="C186" i="12"/>
  <c r="F76" i="12"/>
  <c r="C61" i="12"/>
  <c r="C979" i="12"/>
  <c r="F943" i="12"/>
  <c r="F941" i="12"/>
  <c r="C841" i="12"/>
  <c r="F743" i="12"/>
  <c r="C1389" i="12"/>
  <c r="C1281" i="12"/>
  <c r="C1200" i="12"/>
  <c r="AA1307" i="12"/>
  <c r="AB1307" i="12" s="1"/>
  <c r="AC1307" i="12" s="1"/>
  <c r="AA1237" i="12"/>
  <c r="AB1237" i="12" s="1"/>
  <c r="AC1237" i="12" s="1"/>
  <c r="C583" i="12"/>
  <c r="C301" i="12"/>
  <c r="C215" i="12"/>
  <c r="C78" i="12"/>
  <c r="C65" i="12"/>
  <c r="F1439" i="12"/>
  <c r="AA1386" i="12"/>
  <c r="AB1386" i="12" s="1"/>
  <c r="AC1386" i="12" s="1"/>
  <c r="F1351" i="12"/>
  <c r="F1346" i="12"/>
  <c r="AA1325" i="12"/>
  <c r="AB1325" i="12" s="1"/>
  <c r="AC1325" i="12" s="1"/>
  <c r="F1309" i="12"/>
  <c r="AA1290" i="12"/>
  <c r="AB1290" i="12" s="1"/>
  <c r="AC1290" i="12" s="1"/>
  <c r="C1026" i="12"/>
  <c r="C965" i="12"/>
  <c r="C800" i="12"/>
  <c r="F734" i="12"/>
  <c r="F619" i="12"/>
  <c r="C398" i="12"/>
  <c r="C344" i="12"/>
  <c r="F473" i="12"/>
  <c r="C386" i="12"/>
  <c r="AA332" i="12"/>
  <c r="AB332" i="12" s="1"/>
  <c r="AC332" i="12" s="1"/>
  <c r="F1087" i="12"/>
  <c r="F1054" i="12"/>
  <c r="F1000" i="12"/>
  <c r="C876" i="12"/>
  <c r="C825" i="12"/>
  <c r="F639" i="12"/>
  <c r="F451" i="12"/>
  <c r="F408" i="12"/>
  <c r="F108" i="12"/>
  <c r="F73" i="12"/>
  <c r="F60" i="12"/>
  <c r="AA1233" i="12"/>
  <c r="AB1233" i="12" s="1"/>
  <c r="AC1233" i="12" s="1"/>
  <c r="F1344" i="12"/>
  <c r="F1332" i="12"/>
  <c r="AA1118" i="12"/>
  <c r="AB1118" i="12" s="1"/>
  <c r="AC1118" i="12" s="1"/>
  <c r="F1103" i="12"/>
  <c r="C713" i="12"/>
  <c r="C693" i="12"/>
  <c r="F675" i="12"/>
  <c r="C623" i="12"/>
  <c r="F498" i="12"/>
  <c r="C481" i="12"/>
  <c r="AA393" i="12"/>
  <c r="AB393" i="12" s="1"/>
  <c r="AC393" i="12" s="1"/>
  <c r="C318" i="12"/>
  <c r="F289" i="12"/>
  <c r="C285" i="12"/>
  <c r="AA398" i="12"/>
  <c r="AB398" i="12" s="1"/>
  <c r="AC398" i="12" s="1"/>
  <c r="F231" i="12"/>
  <c r="F94" i="12"/>
  <c r="F79" i="12"/>
  <c r="AA1436" i="12"/>
  <c r="AB1436" i="12" s="1"/>
  <c r="AC1436" i="12" s="1"/>
  <c r="F1092" i="12"/>
  <c r="F1075" i="12"/>
  <c r="C1073" i="12"/>
  <c r="F1060" i="12"/>
  <c r="F1038" i="12"/>
  <c r="C855" i="12"/>
  <c r="F844" i="12"/>
  <c r="F686" i="12"/>
  <c r="F582" i="12"/>
  <c r="F487" i="12"/>
  <c r="F383" i="12"/>
  <c r="F81" i="12"/>
  <c r="F68" i="12"/>
  <c r="AA1393" i="12"/>
  <c r="AB1393" i="12" s="1"/>
  <c r="AC1393" i="12" s="1"/>
  <c r="F512" i="12"/>
  <c r="F509" i="12"/>
  <c r="C447" i="12"/>
  <c r="F442" i="12"/>
  <c r="F370" i="12"/>
  <c r="F364" i="12"/>
  <c r="C266" i="12"/>
  <c r="C992" i="12"/>
  <c r="C989" i="12"/>
  <c r="C858" i="12"/>
  <c r="C850" i="12"/>
  <c r="F821" i="12"/>
  <c r="C821" i="12"/>
  <c r="C736" i="12"/>
  <c r="C681" i="12"/>
  <c r="F681" i="12"/>
  <c r="C468" i="12"/>
  <c r="F468" i="12"/>
  <c r="F90" i="12"/>
  <c r="C90" i="12"/>
  <c r="C751" i="12"/>
  <c r="F1423" i="12"/>
  <c r="F1324" i="12"/>
  <c r="C814" i="12"/>
  <c r="C458" i="12"/>
  <c r="C436" i="12"/>
  <c r="C433" i="12"/>
  <c r="C413" i="12"/>
  <c r="C367" i="12"/>
  <c r="C283" i="12"/>
  <c r="C278" i="12"/>
  <c r="C69" i="12"/>
  <c r="C1083" i="12"/>
  <c r="Y1012" i="12"/>
  <c r="U1012" i="12"/>
  <c r="X1012" i="12" s="1"/>
  <c r="AA1391" i="12"/>
  <c r="AB1391" i="12" s="1"/>
  <c r="AC1391" i="12" s="1"/>
  <c r="F1330" i="12"/>
  <c r="C1269" i="12"/>
  <c r="C1232" i="12"/>
  <c r="F1052" i="12"/>
  <c r="X1031" i="12"/>
  <c r="F1030" i="12"/>
  <c r="F1012" i="12"/>
  <c r="F1009" i="12"/>
  <c r="C945" i="12"/>
  <c r="F945" i="12"/>
  <c r="F922" i="12"/>
  <c r="C869" i="12"/>
  <c r="C795" i="12"/>
  <c r="C749" i="12"/>
  <c r="F699" i="12"/>
  <c r="C699" i="12"/>
  <c r="C694" i="12"/>
  <c r="F694" i="12"/>
  <c r="F667" i="12"/>
  <c r="C659" i="12"/>
  <c r="F575" i="12"/>
  <c r="C570" i="12"/>
  <c r="F559" i="12"/>
  <c r="C559" i="12"/>
  <c r="X539" i="12"/>
  <c r="C482" i="12"/>
  <c r="F482" i="12"/>
  <c r="F453" i="12"/>
  <c r="T333" i="12"/>
  <c r="U333" i="12"/>
  <c r="X333" i="12" s="1"/>
  <c r="F238" i="12"/>
  <c r="C183" i="12"/>
  <c r="F183" i="12"/>
  <c r="F130" i="12"/>
  <c r="C120" i="12"/>
  <c r="F120" i="12"/>
  <c r="X520" i="12"/>
  <c r="X461" i="12"/>
  <c r="F959" i="12"/>
  <c r="C959" i="12"/>
  <c r="X940" i="12"/>
  <c r="F533" i="12"/>
  <c r="C533" i="12"/>
  <c r="U377" i="12"/>
  <c r="X377" i="12" s="1"/>
  <c r="X239" i="12"/>
  <c r="X94" i="12"/>
  <c r="F93" i="12"/>
  <c r="C93" i="12"/>
  <c r="X586" i="12"/>
  <c r="C812" i="12"/>
  <c r="F707" i="12"/>
  <c r="C707" i="12"/>
  <c r="F597" i="12"/>
  <c r="C597" i="12"/>
  <c r="C387" i="12"/>
  <c r="F387" i="12"/>
  <c r="C1261" i="12"/>
  <c r="C746" i="12"/>
  <c r="AA1376" i="12"/>
  <c r="AB1376" i="12" s="1"/>
  <c r="AC1376" i="12" s="1"/>
  <c r="F1352" i="12"/>
  <c r="F1339" i="12"/>
  <c r="F1322" i="12"/>
  <c r="C1098" i="12"/>
  <c r="F1079" i="12"/>
  <c r="F1071" i="12"/>
  <c r="F1058" i="12"/>
  <c r="C1047" i="12"/>
  <c r="F1044" i="12"/>
  <c r="F946" i="12"/>
  <c r="F936" i="12"/>
  <c r="F931" i="12"/>
  <c r="C848" i="12"/>
  <c r="C827" i="12"/>
  <c r="C774" i="12"/>
  <c r="C541" i="12"/>
  <c r="C536" i="12"/>
  <c r="F536" i="12"/>
  <c r="F472" i="12"/>
  <c r="F75" i="12"/>
  <c r="C75" i="12"/>
  <c r="F39" i="12"/>
  <c r="F811" i="12"/>
  <c r="C811" i="12"/>
  <c r="X371" i="12"/>
  <c r="AA1446" i="12"/>
  <c r="AB1446" i="12" s="1"/>
  <c r="AC1446" i="12" s="1"/>
  <c r="F1430" i="12"/>
  <c r="F1355" i="12"/>
  <c r="C1010" i="12"/>
  <c r="C920" i="12"/>
  <c r="F920" i="12"/>
  <c r="F895" i="12"/>
  <c r="C867" i="12"/>
  <c r="C682" i="12"/>
  <c r="C496" i="12"/>
  <c r="F496" i="12"/>
  <c r="F379" i="12"/>
  <c r="F352" i="12"/>
  <c r="F310" i="12"/>
  <c r="F203" i="12"/>
  <c r="C128" i="12"/>
  <c r="F128" i="12"/>
  <c r="F1421" i="12"/>
  <c r="F1317" i="12"/>
  <c r="F1082" i="12"/>
  <c r="C1050" i="12"/>
  <c r="F1039" i="12"/>
  <c r="F1007" i="12"/>
  <c r="C1007" i="12"/>
  <c r="X913" i="12"/>
  <c r="C715" i="12"/>
  <c r="F715" i="12"/>
  <c r="F710" i="12"/>
  <c r="F700" i="12"/>
  <c r="C590" i="12"/>
  <c r="C555" i="12"/>
  <c r="F526" i="12"/>
  <c r="F518" i="12"/>
  <c r="C518" i="12"/>
  <c r="X509" i="12"/>
  <c r="F347" i="12"/>
  <c r="X249" i="12"/>
  <c r="F196" i="12"/>
  <c r="F136" i="12"/>
  <c r="C136" i="12"/>
  <c r="C1032" i="12"/>
  <c r="C926" i="12"/>
  <c r="F926" i="12"/>
  <c r="F820" i="12"/>
  <c r="C820" i="12"/>
  <c r="F630" i="12"/>
  <c r="C630" i="12"/>
  <c r="C610" i="12"/>
  <c r="F610" i="12"/>
  <c r="F584" i="12"/>
  <c r="C584" i="12"/>
  <c r="X1116" i="12"/>
  <c r="C991" i="12"/>
  <c r="C982" i="12"/>
  <c r="F947" i="12"/>
  <c r="F896" i="12"/>
  <c r="F892" i="12"/>
  <c r="F889" i="12"/>
  <c r="X790" i="12"/>
  <c r="C760" i="12"/>
  <c r="F663" i="12"/>
  <c r="F635" i="12"/>
  <c r="C635" i="12"/>
  <c r="F587" i="12"/>
  <c r="C516" i="12"/>
  <c r="F516" i="12"/>
  <c r="C462" i="12"/>
  <c r="C438" i="12"/>
  <c r="C363" i="12"/>
  <c r="F360" i="12"/>
  <c r="C341" i="12"/>
  <c r="C305" i="12"/>
  <c r="C1402" i="12"/>
  <c r="F1431" i="12"/>
  <c r="C1258" i="12"/>
  <c r="F1077" i="12"/>
  <c r="X1017" i="12"/>
  <c r="F1016" i="12"/>
  <c r="F868" i="12"/>
  <c r="F860" i="12"/>
  <c r="F828" i="12"/>
  <c r="C828" i="12"/>
  <c r="F748" i="12"/>
  <c r="C748" i="12"/>
  <c r="AA371" i="12"/>
  <c r="AB371" i="12" s="1"/>
  <c r="AC371" i="12" s="1"/>
  <c r="C63" i="12"/>
  <c r="F63" i="12"/>
  <c r="F676" i="12"/>
  <c r="C676" i="12"/>
  <c r="F311" i="12"/>
  <c r="C311" i="12"/>
  <c r="F204" i="12"/>
  <c r="C204" i="12"/>
  <c r="AA1322" i="12"/>
  <c r="AB1322" i="12" s="1"/>
  <c r="AC1322" i="12" s="1"/>
  <c r="X1138" i="12"/>
  <c r="X1129" i="12"/>
  <c r="F1085" i="12"/>
  <c r="X1038" i="12"/>
  <c r="F1024" i="12"/>
  <c r="T1012" i="12"/>
  <c r="F716" i="12"/>
  <c r="C566" i="12"/>
  <c r="F566" i="12"/>
  <c r="F514" i="12"/>
  <c r="C514" i="12"/>
  <c r="F199" i="12"/>
  <c r="C199" i="12"/>
  <c r="F152" i="12"/>
  <c r="F112" i="12"/>
  <c r="F64" i="12"/>
  <c r="C22" i="12"/>
  <c r="C16" i="12"/>
  <c r="F573" i="12"/>
  <c r="F273" i="12"/>
  <c r="C70" i="12"/>
  <c r="C400" i="12"/>
  <c r="C361" i="12"/>
  <c r="C326" i="12"/>
  <c r="C295" i="12"/>
  <c r="C239" i="12"/>
  <c r="C165" i="12"/>
  <c r="C82" i="12"/>
  <c r="F717" i="12"/>
  <c r="F701" i="12"/>
  <c r="F660" i="12"/>
  <c r="F599" i="12"/>
  <c r="C551" i="12"/>
  <c r="F493" i="12"/>
  <c r="F454" i="12"/>
  <c r="F437" i="12"/>
  <c r="C368" i="12"/>
  <c r="F306" i="12"/>
  <c r="F264" i="12"/>
  <c r="AA225" i="12"/>
  <c r="AB225" i="12" s="1"/>
  <c r="AC225" i="12" s="1"/>
  <c r="F107" i="12"/>
  <c r="F102" i="12"/>
  <c r="F97" i="12"/>
  <c r="C37" i="12"/>
  <c r="F338" i="12"/>
  <c r="F312" i="12"/>
  <c r="X122" i="12"/>
  <c r="F121" i="12"/>
  <c r="F62" i="12"/>
  <c r="F415" i="12"/>
  <c r="F412" i="12"/>
  <c r="F80" i="12"/>
  <c r="F77" i="12"/>
  <c r="X407" i="12"/>
  <c r="F321" i="12"/>
  <c r="F288" i="12"/>
  <c r="F211" i="12"/>
  <c r="F105" i="12"/>
  <c r="F51" i="12"/>
  <c r="C18" i="12"/>
  <c r="C74" i="12"/>
  <c r="AA56" i="12"/>
  <c r="AB56" i="12" s="1"/>
  <c r="AC56" i="12" s="1"/>
  <c r="C262" i="12"/>
  <c r="C227" i="12"/>
  <c r="C208" i="12"/>
  <c r="C89" i="12"/>
  <c r="C86" i="12"/>
  <c r="C15" i="12"/>
  <c r="U1053" i="12"/>
  <c r="T1053" i="12"/>
  <c r="F756" i="12"/>
  <c r="C756" i="12"/>
  <c r="C658" i="12"/>
  <c r="F658" i="12"/>
  <c r="C648" i="12"/>
  <c r="F648" i="12"/>
  <c r="C418" i="12"/>
  <c r="F418" i="12"/>
  <c r="X299" i="12"/>
  <c r="X1423" i="12"/>
  <c r="F1340" i="12"/>
  <c r="F1327" i="12"/>
  <c r="F1318" i="12"/>
  <c r="X1113" i="12"/>
  <c r="F1105" i="12"/>
  <c r="X1103" i="12"/>
  <c r="F1093" i="12"/>
  <c r="C1066" i="12"/>
  <c r="F1063" i="12"/>
  <c r="F1056" i="12"/>
  <c r="F1022" i="12"/>
  <c r="C1019" i="12"/>
  <c r="C952" i="12"/>
  <c r="F952" i="12"/>
  <c r="F919" i="12"/>
  <c r="X902" i="12"/>
  <c r="F901" i="12"/>
  <c r="F885" i="12"/>
  <c r="F788" i="12"/>
  <c r="C788" i="12"/>
  <c r="F604" i="12"/>
  <c r="C604" i="12"/>
  <c r="C142" i="12"/>
  <c r="F142" i="12"/>
  <c r="C1021" i="12"/>
  <c r="F1021" i="12"/>
  <c r="C1176" i="12"/>
  <c r="C944" i="12"/>
  <c r="F944" i="12"/>
  <c r="X754" i="12"/>
  <c r="C1217" i="12"/>
  <c r="C1095" i="12"/>
  <c r="C978" i="12"/>
  <c r="X974" i="12"/>
  <c r="F778" i="12"/>
  <c r="C778" i="12"/>
  <c r="X731" i="12"/>
  <c r="X687" i="12"/>
  <c r="X352" i="12"/>
  <c r="F279" i="12"/>
  <c r="C279" i="12"/>
  <c r="C973" i="12"/>
  <c r="F718" i="12"/>
  <c r="C718" i="12"/>
  <c r="C223" i="12"/>
  <c r="C1230" i="12"/>
  <c r="C1025" i="12"/>
  <c r="C1076" i="12"/>
  <c r="F1076" i="12"/>
  <c r="C504" i="12"/>
  <c r="F504" i="12"/>
  <c r="AA1293" i="12"/>
  <c r="AB1293" i="12" s="1"/>
  <c r="AC1293" i="12" s="1"/>
  <c r="C1184" i="12"/>
  <c r="C1179" i="12"/>
  <c r="F798" i="12"/>
  <c r="C798" i="12"/>
  <c r="F786" i="12"/>
  <c r="C786" i="12"/>
  <c r="X624" i="12"/>
  <c r="F304" i="12"/>
  <c r="C304" i="12"/>
  <c r="C906" i="12"/>
  <c r="F906" i="12"/>
  <c r="C846" i="12"/>
  <c r="F846" i="12"/>
  <c r="C425" i="12"/>
  <c r="F425" i="12"/>
  <c r="X357" i="12"/>
  <c r="C1194" i="12"/>
  <c r="C997" i="12"/>
  <c r="F576" i="12"/>
  <c r="C576" i="12"/>
  <c r="X426" i="12"/>
  <c r="F420" i="12"/>
  <c r="C420" i="12"/>
  <c r="C284" i="12"/>
  <c r="C84" i="12"/>
  <c r="F84" i="12"/>
  <c r="C1059" i="12"/>
  <c r="C934" i="12"/>
  <c r="F934" i="12"/>
  <c r="C863" i="12"/>
  <c r="C428" i="12"/>
  <c r="C359" i="12"/>
  <c r="F359" i="12"/>
  <c r="C1069" i="12"/>
  <c r="C1035" i="12"/>
  <c r="F1035" i="12"/>
  <c r="F669" i="12"/>
  <c r="C669" i="12"/>
  <c r="C357" i="12"/>
  <c r="F357" i="12"/>
  <c r="C1297" i="12"/>
  <c r="AA1264" i="12"/>
  <c r="AB1264" i="12" s="1"/>
  <c r="AC1264" i="12" s="1"/>
  <c r="C1244" i="12"/>
  <c r="F1089" i="12"/>
  <c r="X1037" i="12"/>
  <c r="F1029" i="12"/>
  <c r="F939" i="12"/>
  <c r="F872" i="12"/>
  <c r="X760" i="12"/>
  <c r="F672" i="12"/>
  <c r="C390" i="12"/>
  <c r="C250" i="12"/>
  <c r="F250" i="12"/>
  <c r="F229" i="12"/>
  <c r="C229" i="12"/>
  <c r="C110" i="12"/>
  <c r="F110" i="12"/>
  <c r="C1170" i="12"/>
  <c r="C1072" i="12"/>
  <c r="F836" i="12"/>
  <c r="C836" i="12"/>
  <c r="F793" i="12"/>
  <c r="C793" i="12"/>
  <c r="X528" i="12"/>
  <c r="F1436" i="12"/>
  <c r="F1433" i="12"/>
  <c r="AA1417" i="12"/>
  <c r="AB1417" i="12" s="1"/>
  <c r="AC1417" i="12" s="1"/>
  <c r="X1378" i="12"/>
  <c r="C1260" i="12"/>
  <c r="C1239" i="12"/>
  <c r="AA1101" i="12"/>
  <c r="AB1101" i="12" s="1"/>
  <c r="AC1101" i="12" s="1"/>
  <c r="F1036" i="12"/>
  <c r="X960" i="12"/>
  <c r="F845" i="12"/>
  <c r="F544" i="12"/>
  <c r="C544" i="12"/>
  <c r="X534" i="12"/>
  <c r="F530" i="12"/>
  <c r="C530" i="12"/>
  <c r="X365" i="12"/>
  <c r="C1207" i="12"/>
  <c r="X1087" i="12"/>
  <c r="C1049" i="12"/>
  <c r="F1049" i="12"/>
  <c r="X909" i="12"/>
  <c r="C899" i="12"/>
  <c r="F899" i="12"/>
  <c r="C711" i="12"/>
  <c r="F711" i="12"/>
  <c r="C698" i="12"/>
  <c r="F698" i="12"/>
  <c r="F621" i="12"/>
  <c r="C621" i="12"/>
  <c r="X545" i="12"/>
  <c r="X149" i="12"/>
  <c r="C143" i="12"/>
  <c r="F143" i="12"/>
  <c r="X1096" i="12"/>
  <c r="C909" i="12"/>
  <c r="F909" i="12"/>
  <c r="F1154" i="12"/>
  <c r="F1347" i="12"/>
  <c r="AA1324" i="12"/>
  <c r="AB1324" i="12" s="1"/>
  <c r="AC1324" i="12" s="1"/>
  <c r="C1271" i="12"/>
  <c r="C1221" i="12"/>
  <c r="C1203" i="12"/>
  <c r="C1106" i="12"/>
  <c r="C1100" i="12"/>
  <c r="C1074" i="12"/>
  <c r="C1033" i="12"/>
  <c r="F762" i="12"/>
  <c r="C762" i="12"/>
  <c r="C737" i="12"/>
  <c r="F737" i="12"/>
  <c r="X712" i="12"/>
  <c r="C463" i="12"/>
  <c r="F333" i="12"/>
  <c r="C1375" i="12"/>
  <c r="C1225" i="12"/>
  <c r="C1295" i="12"/>
  <c r="C1053" i="12"/>
  <c r="C1040" i="12"/>
  <c r="X968" i="12"/>
  <c r="C962" i="12"/>
  <c r="X817" i="12"/>
  <c r="C816" i="12"/>
  <c r="X738" i="12"/>
  <c r="C704" i="12"/>
  <c r="F704" i="12"/>
  <c r="F567" i="12"/>
  <c r="C558" i="12"/>
  <c r="F1437" i="12"/>
  <c r="AA1385" i="12"/>
  <c r="AB1385" i="12" s="1"/>
  <c r="AC1385" i="12" s="1"/>
  <c r="F1304" i="12"/>
  <c r="C1290" i="12"/>
  <c r="C1211" i="12"/>
  <c r="C1188" i="12"/>
  <c r="X1093" i="12"/>
  <c r="F1068" i="12"/>
  <c r="F1065" i="12"/>
  <c r="F1027" i="12"/>
  <c r="C951" i="12"/>
  <c r="F951" i="12"/>
  <c r="X949" i="12"/>
  <c r="F948" i="12"/>
  <c r="X746" i="12"/>
  <c r="C740" i="12"/>
  <c r="F740" i="12"/>
  <c r="C497" i="12"/>
  <c r="F497" i="12"/>
  <c r="C1186" i="12"/>
  <c r="AA1415" i="12"/>
  <c r="AB1415" i="12" s="1"/>
  <c r="AC1415" i="12" s="1"/>
  <c r="AA1398" i="12"/>
  <c r="AB1398" i="12" s="1"/>
  <c r="AC1398" i="12" s="1"/>
  <c r="X1379" i="12"/>
  <c r="F1326" i="12"/>
  <c r="X1179" i="12"/>
  <c r="X1057" i="12"/>
  <c r="X998" i="12"/>
  <c r="F673" i="12"/>
  <c r="C673" i="12"/>
  <c r="X907" i="12"/>
  <c r="F898" i="12"/>
  <c r="F890" i="12"/>
  <c r="AA771" i="12"/>
  <c r="AB771" i="12" s="1"/>
  <c r="AC771" i="12" s="1"/>
  <c r="X768" i="12"/>
  <c r="F726" i="12"/>
  <c r="F678" i="12"/>
  <c r="X643" i="12"/>
  <c r="F626" i="12"/>
  <c r="C626" i="12"/>
  <c r="F513" i="12"/>
  <c r="C513" i="12"/>
  <c r="F477" i="12"/>
  <c r="C477" i="12"/>
  <c r="C457" i="12"/>
  <c r="F457" i="12"/>
  <c r="F373" i="12"/>
  <c r="C373" i="12"/>
  <c r="F140" i="12"/>
  <c r="C140" i="12"/>
  <c r="X105" i="12"/>
  <c r="X616" i="12"/>
  <c r="C602" i="12"/>
  <c r="F602" i="12"/>
  <c r="C579" i="12"/>
  <c r="C568" i="12"/>
  <c r="F568" i="12"/>
  <c r="F550" i="12"/>
  <c r="C550" i="12"/>
  <c r="C501" i="12"/>
  <c r="X441" i="12"/>
  <c r="F440" i="12"/>
  <c r="C440" i="12"/>
  <c r="C388" i="12"/>
  <c r="F388" i="12"/>
  <c r="C325" i="12"/>
  <c r="F325" i="12"/>
  <c r="X289" i="12"/>
  <c r="F930" i="12"/>
  <c r="F882" i="12"/>
  <c r="F861" i="12"/>
  <c r="F837" i="12"/>
  <c r="F765" i="12"/>
  <c r="C765" i="12"/>
  <c r="F712" i="12"/>
  <c r="F684" i="12"/>
  <c r="AA596" i="12"/>
  <c r="AB596" i="12" s="1"/>
  <c r="AC596" i="12" s="1"/>
  <c r="F548" i="12"/>
  <c r="C548" i="12"/>
  <c r="C331" i="12"/>
  <c r="F331" i="12"/>
  <c r="C254" i="12"/>
  <c r="F254" i="12"/>
  <c r="X230" i="12"/>
  <c r="X98" i="12"/>
  <c r="AA1007" i="12"/>
  <c r="AB1007" i="12" s="1"/>
  <c r="AC1007" i="12" s="1"/>
  <c r="C972" i="12"/>
  <c r="C958" i="12"/>
  <c r="F729" i="12"/>
  <c r="C729" i="12"/>
  <c r="C721" i="12"/>
  <c r="C687" i="12"/>
  <c r="F613" i="12"/>
  <c r="C613" i="12"/>
  <c r="F449" i="12"/>
  <c r="C329" i="12"/>
  <c r="F329" i="12"/>
  <c r="C302" i="12"/>
  <c r="F302" i="12"/>
  <c r="F267" i="12"/>
  <c r="X208" i="12"/>
  <c r="C146" i="12"/>
  <c r="F146" i="12"/>
  <c r="X24" i="12"/>
  <c r="C732" i="12"/>
  <c r="F732" i="12"/>
  <c r="C668" i="12"/>
  <c r="F668" i="12"/>
  <c r="C654" i="12"/>
  <c r="F654" i="12"/>
  <c r="C632" i="12"/>
  <c r="F632" i="12"/>
  <c r="C605" i="12"/>
  <c r="F605" i="12"/>
  <c r="X596" i="12"/>
  <c r="C511" i="12"/>
  <c r="F511" i="12"/>
  <c r="C395" i="12"/>
  <c r="F395" i="12"/>
  <c r="F374" i="12"/>
  <c r="C374" i="12"/>
  <c r="F174" i="12"/>
  <c r="C174" i="12"/>
  <c r="C116" i="12"/>
  <c r="F116" i="12"/>
  <c r="F34" i="12"/>
  <c r="C34" i="12"/>
  <c r="X650" i="12"/>
  <c r="X633" i="12"/>
  <c r="C557" i="12"/>
  <c r="F557" i="12"/>
  <c r="F517" i="12"/>
  <c r="C517" i="12"/>
  <c r="C294" i="12"/>
  <c r="C286" i="12"/>
  <c r="F286" i="12"/>
  <c r="X276" i="12"/>
  <c r="C271" i="12"/>
  <c r="F23" i="12"/>
  <c r="C23" i="12"/>
  <c r="F802" i="12"/>
  <c r="C802" i="12"/>
  <c r="F705" i="12"/>
  <c r="C705" i="12"/>
  <c r="C688" i="12"/>
  <c r="F688" i="12"/>
  <c r="F685" i="12"/>
  <c r="F652" i="12"/>
  <c r="C649" i="12"/>
  <c r="C490" i="12"/>
  <c r="F490" i="12"/>
  <c r="F441" i="12"/>
  <c r="C441" i="12"/>
  <c r="C317" i="12"/>
  <c r="C308" i="12"/>
  <c r="C261" i="12"/>
  <c r="F261" i="12"/>
  <c r="X245" i="12"/>
  <c r="F217" i="12"/>
  <c r="F904" i="12"/>
  <c r="F884" i="12"/>
  <c r="C877" i="12"/>
  <c r="F874" i="12"/>
  <c r="C807" i="12"/>
  <c r="C779" i="12"/>
  <c r="C719" i="12"/>
  <c r="F691" i="12"/>
  <c r="C691" i="12"/>
  <c r="C459" i="12"/>
  <c r="F365" i="12"/>
  <c r="C365" i="12"/>
  <c r="X325" i="12"/>
  <c r="C297" i="12"/>
  <c r="F197" i="12"/>
  <c r="F189" i="12"/>
  <c r="F162" i="12"/>
  <c r="C162" i="12"/>
  <c r="F157" i="12"/>
  <c r="C157" i="12"/>
  <c r="X123" i="12"/>
  <c r="C114" i="12"/>
  <c r="F114" i="12"/>
  <c r="C71" i="12"/>
  <c r="F677" i="12"/>
  <c r="C677" i="12"/>
  <c r="F538" i="12"/>
  <c r="C538" i="12"/>
  <c r="F532" i="12"/>
  <c r="C532" i="12"/>
  <c r="F422" i="12"/>
  <c r="C422" i="12"/>
  <c r="C272" i="12"/>
  <c r="F272" i="12"/>
  <c r="X248" i="12"/>
  <c r="F236" i="12"/>
  <c r="C236" i="12"/>
  <c r="X198" i="12"/>
  <c r="C758" i="12"/>
  <c r="C708" i="12"/>
  <c r="F708" i="12"/>
  <c r="F655" i="12"/>
  <c r="C655" i="12"/>
  <c r="C614" i="12"/>
  <c r="F614" i="12"/>
  <c r="C596" i="12"/>
  <c r="F596" i="12"/>
  <c r="C578" i="12"/>
  <c r="C479" i="12"/>
  <c r="C456" i="12"/>
  <c r="C450" i="12"/>
  <c r="C414" i="12"/>
  <c r="C327" i="12"/>
  <c r="F324" i="12"/>
  <c r="C324" i="12"/>
  <c r="X251" i="12"/>
  <c r="C233" i="12"/>
  <c r="X76" i="12"/>
  <c r="X231" i="12"/>
  <c r="F542" i="12"/>
  <c r="C542" i="12"/>
  <c r="AA372" i="12"/>
  <c r="AB372" i="12" s="1"/>
  <c r="AC372" i="12" s="1"/>
  <c r="F230" i="12"/>
  <c r="F218" i="12"/>
  <c r="X206" i="12"/>
  <c r="F198" i="12"/>
  <c r="C171" i="12"/>
  <c r="F126" i="12"/>
  <c r="F66" i="12"/>
  <c r="X30" i="12"/>
  <c r="F29" i="12"/>
  <c r="F141" i="12"/>
  <c r="C141" i="12"/>
  <c r="C129" i="12"/>
  <c r="F129" i="12"/>
  <c r="F296" i="12"/>
  <c r="F243" i="12"/>
  <c r="C132" i="12"/>
  <c r="F132" i="12"/>
  <c r="F103" i="12"/>
  <c r="F98" i="12"/>
  <c r="AA394" i="12"/>
  <c r="AB394" i="12" s="1"/>
  <c r="AC394" i="12" s="1"/>
  <c r="F389" i="12"/>
  <c r="F351" i="12"/>
  <c r="F335" i="12"/>
  <c r="F316" i="12"/>
  <c r="F303" i="12"/>
  <c r="F290" i="12"/>
  <c r="F259" i="12"/>
  <c r="F246" i="12"/>
  <c r="F202" i="12"/>
  <c r="F161" i="12"/>
  <c r="C161" i="12"/>
  <c r="F155" i="12"/>
  <c r="C155" i="12"/>
  <c r="C147" i="12"/>
  <c r="F147" i="12"/>
  <c r="R133" i="12"/>
  <c r="T133" i="12" s="1"/>
  <c r="AA331" i="12"/>
  <c r="AB331" i="12" s="1"/>
  <c r="AC331" i="12" s="1"/>
  <c r="C274" i="12"/>
  <c r="F274" i="12"/>
  <c r="C209" i="12"/>
  <c r="C188" i="12"/>
  <c r="F188" i="12"/>
  <c r="C185" i="12"/>
  <c r="C175" i="12"/>
  <c r="C169" i="12"/>
  <c r="C150" i="12"/>
  <c r="C83" i="12"/>
  <c r="F30" i="12"/>
  <c r="C30" i="12"/>
  <c r="C603" i="12"/>
  <c r="C569" i="12"/>
  <c r="C565" i="12"/>
  <c r="C546" i="12"/>
  <c r="C452" i="12"/>
  <c r="C300" i="12"/>
  <c r="F287" i="12"/>
  <c r="C287" i="12"/>
  <c r="C228" i="12"/>
  <c r="C219" i="12"/>
  <c r="F191" i="12"/>
  <c r="C191" i="12"/>
  <c r="C118" i="12"/>
  <c r="F118" i="12"/>
  <c r="C31" i="12"/>
  <c r="C25" i="12"/>
  <c r="F122" i="12"/>
  <c r="C32" i="12"/>
  <c r="C12" i="12"/>
  <c r="AA114" i="12"/>
  <c r="AB114" i="12" s="1"/>
  <c r="AC114" i="12" s="1"/>
  <c r="AA57" i="12"/>
  <c r="AB57" i="12" s="1"/>
  <c r="AC57" i="12" s="1"/>
  <c r="F101" i="12"/>
  <c r="X977" i="12"/>
  <c r="C887" i="12"/>
  <c r="F887" i="12"/>
  <c r="C859" i="12"/>
  <c r="F859" i="12"/>
  <c r="X857" i="12"/>
  <c r="X835" i="12"/>
  <c r="F1101" i="12"/>
  <c r="F1041" i="12"/>
  <c r="F929" i="12"/>
  <c r="X877" i="12"/>
  <c r="X737" i="12"/>
  <c r="F1373" i="12"/>
  <c r="C1373" i="12"/>
  <c r="AA1271" i="12"/>
  <c r="AB1271" i="12" s="1"/>
  <c r="AC1271" i="12" s="1"/>
  <c r="X1235" i="12"/>
  <c r="X1230" i="12"/>
  <c r="C1197" i="12"/>
  <c r="T1094" i="12"/>
  <c r="U1094" i="12"/>
  <c r="X991" i="12"/>
  <c r="X972" i="12"/>
  <c r="C953" i="12"/>
  <c r="F953" i="12"/>
  <c r="X793" i="12"/>
  <c r="F792" i="12"/>
  <c r="C792" i="12"/>
  <c r="X734" i="12"/>
  <c r="F1236" i="12"/>
  <c r="C1236" i="12"/>
  <c r="X1003" i="12"/>
  <c r="F1183" i="12"/>
  <c r="C1183" i="12"/>
  <c r="X1065" i="12"/>
  <c r="X1302" i="12"/>
  <c r="F1153" i="12"/>
  <c r="F1449" i="12"/>
  <c r="C1432" i="12"/>
  <c r="F1432" i="12"/>
  <c r="X1380" i="12"/>
  <c r="C1360" i="12"/>
  <c r="X1346" i="12"/>
  <c r="F1267" i="12"/>
  <c r="C1267" i="12"/>
  <c r="C1253" i="12"/>
  <c r="F1216" i="12"/>
  <c r="C1216" i="12"/>
  <c r="X1201" i="12"/>
  <c r="X1182" i="12"/>
  <c r="C1181" i="12"/>
  <c r="X1106" i="12"/>
  <c r="F1014" i="12"/>
  <c r="F854" i="12"/>
  <c r="F733" i="12"/>
  <c r="C733" i="12"/>
  <c r="F1195" i="12"/>
  <c r="C1195" i="12"/>
  <c r="X961" i="12"/>
  <c r="C921" i="12"/>
  <c r="F921" i="12"/>
  <c r="F782" i="12"/>
  <c r="C782" i="12"/>
  <c r="X780" i="12"/>
  <c r="X714" i="12"/>
  <c r="X1439" i="12"/>
  <c r="F1434" i="12"/>
  <c r="C1403" i="12"/>
  <c r="F1345" i="12"/>
  <c r="F1334" i="12"/>
  <c r="C1301" i="12"/>
  <c r="F1219" i="12"/>
  <c r="C1219" i="12"/>
  <c r="F1042" i="12"/>
  <c r="X1032" i="12"/>
  <c r="C1011" i="12"/>
  <c r="C829" i="12"/>
  <c r="X767" i="12"/>
  <c r="C624" i="12"/>
  <c r="F624" i="12"/>
  <c r="F1348" i="12"/>
  <c r="C1341" i="12"/>
  <c r="F1341" i="12"/>
  <c r="AA1260" i="12"/>
  <c r="AB1260" i="12" s="1"/>
  <c r="AC1260" i="12" s="1"/>
  <c r="T1084" i="12"/>
  <c r="U1084" i="12"/>
  <c r="F1442" i="12"/>
  <c r="F1435" i="12"/>
  <c r="AA1418" i="12"/>
  <c r="AB1418" i="12" s="1"/>
  <c r="AC1418" i="12" s="1"/>
  <c r="F1338" i="12"/>
  <c r="F1302" i="12"/>
  <c r="X1288" i="12"/>
  <c r="X1207" i="12"/>
  <c r="F1061" i="12"/>
  <c r="X967" i="12"/>
  <c r="X846" i="12"/>
  <c r="X807" i="12"/>
  <c r="F769" i="12"/>
  <c r="C769" i="12"/>
  <c r="F766" i="12"/>
  <c r="C766" i="12"/>
  <c r="F1361" i="12"/>
  <c r="C1361" i="12"/>
  <c r="F1235" i="12"/>
  <c r="C1235" i="12"/>
  <c r="X1226" i="12"/>
  <c r="F1222" i="12"/>
  <c r="C1222" i="12"/>
  <c r="F975" i="12"/>
  <c r="C975" i="12"/>
  <c r="X878" i="12"/>
  <c r="F871" i="12"/>
  <c r="C871" i="12"/>
  <c r="C1333" i="12"/>
  <c r="F1333" i="12"/>
  <c r="C1415" i="12"/>
  <c r="C1408" i="12"/>
  <c r="C1306" i="12"/>
  <c r="F1251" i="12"/>
  <c r="C1251" i="12"/>
  <c r="F1182" i="12"/>
  <c r="C1182" i="12"/>
  <c r="X1079" i="12"/>
  <c r="C981" i="12"/>
  <c r="X856" i="12"/>
  <c r="F636" i="12"/>
  <c r="C636" i="12"/>
  <c r="X1210" i="12"/>
  <c r="C1209" i="12"/>
  <c r="X1186" i="12"/>
  <c r="T1085" i="12"/>
  <c r="U1085" i="12"/>
  <c r="C964" i="12"/>
  <c r="X822" i="12"/>
  <c r="X751" i="12"/>
  <c r="F750" i="12"/>
  <c r="C750" i="12"/>
  <c r="C1446" i="12"/>
  <c r="F1446" i="12"/>
  <c r="F1210" i="12"/>
  <c r="C1210" i="12"/>
  <c r="C1013" i="12"/>
  <c r="C1359" i="12"/>
  <c r="C1319" i="12"/>
  <c r="F1319" i="12"/>
  <c r="F1245" i="12"/>
  <c r="C1245" i="12"/>
  <c r="AA1433" i="12"/>
  <c r="AB1433" i="12" s="1"/>
  <c r="AC1433" i="12" s="1"/>
  <c r="C1416" i="12"/>
  <c r="F1422" i="12"/>
  <c r="C1417" i="12"/>
  <c r="X1391" i="12"/>
  <c r="C1380" i="12"/>
  <c r="F1354" i="12"/>
  <c r="F1311" i="12"/>
  <c r="F1307" i="12"/>
  <c r="F1303" i="12"/>
  <c r="X1245" i="12"/>
  <c r="T1107" i="12"/>
  <c r="X784" i="12"/>
  <c r="C664" i="12"/>
  <c r="F664" i="12"/>
  <c r="F1028" i="12"/>
  <c r="X1018" i="12"/>
  <c r="X983" i="12"/>
  <c r="C928" i="12"/>
  <c r="F928" i="12"/>
  <c r="F865" i="12"/>
  <c r="X662" i="12"/>
  <c r="X1292" i="12"/>
  <c r="X1046" i="12"/>
  <c r="F976" i="12"/>
  <c r="C976" i="12"/>
  <c r="X867" i="12"/>
  <c r="F789" i="12"/>
  <c r="C789" i="12"/>
  <c r="F1202" i="12"/>
  <c r="C1202" i="12"/>
  <c r="AA1392" i="12"/>
  <c r="AB1392" i="12" s="1"/>
  <c r="AC1392" i="12" s="1"/>
  <c r="AA1356" i="12"/>
  <c r="AB1356" i="12" s="1"/>
  <c r="AC1356" i="12" s="1"/>
  <c r="F1288" i="12"/>
  <c r="C1288" i="12"/>
  <c r="X1229" i="12"/>
  <c r="AA1229" i="12"/>
  <c r="AB1229" i="12" s="1"/>
  <c r="AC1229" i="12" s="1"/>
  <c r="X1221" i="12"/>
  <c r="X1173" i="12"/>
  <c r="C1388" i="12"/>
  <c r="C1325" i="12"/>
  <c r="F1325" i="12"/>
  <c r="F1315" i="12"/>
  <c r="C1285" i="12"/>
  <c r="AA1262" i="12"/>
  <c r="AB1262" i="12" s="1"/>
  <c r="AC1262" i="12" s="1"/>
  <c r="C1169" i="12"/>
  <c r="X1105" i="12"/>
  <c r="X1080" i="12"/>
  <c r="X956" i="12"/>
  <c r="C937" i="12"/>
  <c r="F937" i="12"/>
  <c r="C911" i="12"/>
  <c r="F911" i="12"/>
  <c r="X814" i="12"/>
  <c r="X800" i="12"/>
  <c r="F799" i="12"/>
  <c r="C799" i="12"/>
  <c r="F680" i="12"/>
  <c r="F609" i="12"/>
  <c r="C609" i="12"/>
  <c r="X130" i="12"/>
  <c r="AA1252" i="12"/>
  <c r="AB1252" i="12" s="1"/>
  <c r="AC1252" i="12" s="1"/>
  <c r="F990" i="12"/>
  <c r="C990" i="12"/>
  <c r="X986" i="12"/>
  <c r="X973" i="12"/>
  <c r="F923" i="12"/>
  <c r="F897" i="12"/>
  <c r="X852" i="12"/>
  <c r="X836" i="12"/>
  <c r="X823" i="12"/>
  <c r="F803" i="12"/>
  <c r="C803" i="12"/>
  <c r="X777" i="12"/>
  <c r="F776" i="12"/>
  <c r="C776" i="12"/>
  <c r="F499" i="12"/>
  <c r="C499" i="12"/>
  <c r="C1160" i="12"/>
  <c r="F1104" i="12"/>
  <c r="F1078" i="12"/>
  <c r="F1064" i="12"/>
  <c r="F1045" i="12"/>
  <c r="F1031" i="12"/>
  <c r="F1017" i="12"/>
  <c r="C960" i="12"/>
  <c r="C914" i="12"/>
  <c r="F914" i="12"/>
  <c r="X858" i="12"/>
  <c r="F834" i="12"/>
  <c r="C834" i="12"/>
  <c r="X815" i="12"/>
  <c r="C813" i="12"/>
  <c r="F796" i="12"/>
  <c r="C796" i="12"/>
  <c r="C741" i="12"/>
  <c r="F983" i="12"/>
  <c r="C983" i="12"/>
  <c r="C971" i="12"/>
  <c r="C966" i="12"/>
  <c r="F915" i="12"/>
  <c r="C907" i="12"/>
  <c r="F907" i="12"/>
  <c r="X853" i="12"/>
  <c r="F840" i="12"/>
  <c r="X828" i="12"/>
  <c r="C826" i="12"/>
  <c r="F822" i="12"/>
  <c r="C822" i="12"/>
  <c r="C818" i="12"/>
  <c r="C806" i="12"/>
  <c r="X798" i="12"/>
  <c r="X794" i="12"/>
  <c r="C783" i="12"/>
  <c r="C770" i="12"/>
  <c r="C757" i="12"/>
  <c r="X721" i="12"/>
  <c r="X705" i="12"/>
  <c r="X669" i="12"/>
  <c r="F503" i="12"/>
  <c r="AA1253" i="12"/>
  <c r="AB1253" i="12" s="1"/>
  <c r="AC1253" i="12" s="1"/>
  <c r="AA1225" i="12"/>
  <c r="AB1225" i="12" s="1"/>
  <c r="AC1225" i="12" s="1"/>
  <c r="F1004" i="12"/>
  <c r="C977" i="12"/>
  <c r="X963" i="12"/>
  <c r="F961" i="12"/>
  <c r="C961" i="12"/>
  <c r="F932" i="12"/>
  <c r="F924" i="12"/>
  <c r="F916" i="12"/>
  <c r="F908" i="12"/>
  <c r="F891" i="12"/>
  <c r="X874" i="12"/>
  <c r="F851" i="12"/>
  <c r="F831" i="12"/>
  <c r="C831" i="12"/>
  <c r="X808" i="12"/>
  <c r="X791" i="12"/>
  <c r="F790" i="12"/>
  <c r="C790" i="12"/>
  <c r="X781" i="12"/>
  <c r="F761" i="12"/>
  <c r="C761" i="12"/>
  <c r="X647" i="12"/>
  <c r="F646" i="12"/>
  <c r="F1150" i="12"/>
  <c r="F1149" i="12"/>
  <c r="F1148" i="12"/>
  <c r="F1147" i="12"/>
  <c r="F1146" i="12"/>
  <c r="F1145" i="12"/>
  <c r="F1144" i="12"/>
  <c r="F1143" i="12"/>
  <c r="F1142" i="12"/>
  <c r="F1141" i="12"/>
  <c r="F1140" i="12"/>
  <c r="F1139" i="12"/>
  <c r="F1138" i="12"/>
  <c r="F1137" i="12"/>
  <c r="F1136" i="12"/>
  <c r="F1135" i="12"/>
  <c r="F1134" i="12"/>
  <c r="F1133" i="12"/>
  <c r="F1132" i="12"/>
  <c r="F1131" i="12"/>
  <c r="F1130" i="12"/>
  <c r="F1129" i="12"/>
  <c r="F1128" i="12"/>
  <c r="F1127" i="12"/>
  <c r="F1126" i="12"/>
  <c r="F1125" i="12"/>
  <c r="F1124" i="12"/>
  <c r="F1123" i="12"/>
  <c r="F1122" i="12"/>
  <c r="F1121" i="12"/>
  <c r="F1120" i="12"/>
  <c r="F1119" i="12"/>
  <c r="F1118" i="12"/>
  <c r="F1117" i="12"/>
  <c r="F1116" i="12"/>
  <c r="F1115" i="12"/>
  <c r="F1114" i="12"/>
  <c r="F1113" i="12"/>
  <c r="F1112" i="12"/>
  <c r="F1111" i="12"/>
  <c r="F1110" i="12"/>
  <c r="F1109" i="12"/>
  <c r="F1108" i="12"/>
  <c r="F1107" i="12"/>
  <c r="F1081" i="12"/>
  <c r="F1067" i="12"/>
  <c r="F1048" i="12"/>
  <c r="F1034" i="12"/>
  <c r="F1020" i="12"/>
  <c r="AA1000" i="12"/>
  <c r="AB1000" i="12" s="1"/>
  <c r="AC1000" i="12" s="1"/>
  <c r="X980" i="12"/>
  <c r="C949" i="12"/>
  <c r="F949" i="12"/>
  <c r="X880" i="12"/>
  <c r="X864" i="12"/>
  <c r="X833" i="12"/>
  <c r="F780" i="12"/>
  <c r="C780" i="12"/>
  <c r="F764" i="12"/>
  <c r="C764" i="12"/>
  <c r="X743" i="12"/>
  <c r="F650" i="12"/>
  <c r="C650" i="12"/>
  <c r="F1006" i="12"/>
  <c r="C993" i="12"/>
  <c r="C967" i="12"/>
  <c r="C956" i="12"/>
  <c r="F950" i="12"/>
  <c r="F933" i="12"/>
  <c r="F917" i="12"/>
  <c r="C900" i="12"/>
  <c r="F900" i="12"/>
  <c r="C878" i="12"/>
  <c r="F873" i="12"/>
  <c r="C857" i="12"/>
  <c r="X838" i="12"/>
  <c r="X805" i="12"/>
  <c r="F804" i="12"/>
  <c r="C804" i="12"/>
  <c r="C797" i="12"/>
  <c r="C784" i="12"/>
  <c r="X759" i="12"/>
  <c r="X753" i="12"/>
  <c r="C724" i="12"/>
  <c r="X959" i="12"/>
  <c r="C893" i="12"/>
  <c r="F893" i="12"/>
  <c r="X881" i="12"/>
  <c r="X844" i="12"/>
  <c r="X829" i="12"/>
  <c r="F819" i="12"/>
  <c r="C819" i="12"/>
  <c r="F815" i="12"/>
  <c r="C815" i="12"/>
  <c r="X795" i="12"/>
  <c r="X772" i="12"/>
  <c r="X726" i="12"/>
  <c r="X584" i="12"/>
  <c r="C563" i="12"/>
  <c r="F563" i="12"/>
  <c r="C1208" i="12"/>
  <c r="C1199" i="12"/>
  <c r="C1174" i="12"/>
  <c r="C1168" i="12"/>
  <c r="F1096" i="12"/>
  <c r="F1084" i="12"/>
  <c r="F1070" i="12"/>
  <c r="F1051" i="12"/>
  <c r="F1037" i="12"/>
  <c r="F1023" i="12"/>
  <c r="F1008" i="12"/>
  <c r="C994" i="12"/>
  <c r="C986" i="12"/>
  <c r="X970" i="12"/>
  <c r="F968" i="12"/>
  <c r="C968" i="12"/>
  <c r="C942" i="12"/>
  <c r="F942" i="12"/>
  <c r="F918" i="12"/>
  <c r="F910" i="12"/>
  <c r="F902" i="12"/>
  <c r="F894" i="12"/>
  <c r="F879" i="12"/>
  <c r="F853" i="12"/>
  <c r="X839" i="12"/>
  <c r="C832" i="12"/>
  <c r="F794" i="12"/>
  <c r="C794" i="12"/>
  <c r="F771" i="12"/>
  <c r="C771" i="12"/>
  <c r="X729" i="12"/>
  <c r="F725" i="12"/>
  <c r="C692" i="12"/>
  <c r="X658" i="12"/>
  <c r="F651" i="12"/>
  <c r="C651" i="12"/>
  <c r="C586" i="12"/>
  <c r="F586" i="12"/>
  <c r="C935" i="12"/>
  <c r="F935" i="12"/>
  <c r="X860" i="12"/>
  <c r="X809" i="12"/>
  <c r="X779" i="12"/>
  <c r="F775" i="12"/>
  <c r="C775" i="12"/>
  <c r="F768" i="12"/>
  <c r="C768" i="12"/>
  <c r="X763" i="12"/>
  <c r="F738" i="12"/>
  <c r="C738" i="12"/>
  <c r="X722" i="12"/>
  <c r="AA1066" i="12"/>
  <c r="AB1066" i="12" s="1"/>
  <c r="AC1066" i="12" s="1"/>
  <c r="C995" i="12"/>
  <c r="C987" i="12"/>
  <c r="C974" i="12"/>
  <c r="C963" i="12"/>
  <c r="C886" i="12"/>
  <c r="F886" i="12"/>
  <c r="X866" i="12"/>
  <c r="X850" i="12"/>
  <c r="C808" i="12"/>
  <c r="X786" i="12"/>
  <c r="X713" i="12"/>
  <c r="X694" i="12"/>
  <c r="C1224" i="12"/>
  <c r="C1196" i="12"/>
  <c r="C1366" i="12"/>
  <c r="AA1254" i="12"/>
  <c r="AB1254" i="12" s="1"/>
  <c r="AC1254" i="12" s="1"/>
  <c r="C1252" i="12"/>
  <c r="C1237" i="12"/>
  <c r="C1193" i="12"/>
  <c r="C1401" i="12"/>
  <c r="AA1309" i="12"/>
  <c r="AB1309" i="12" s="1"/>
  <c r="AC1309" i="12" s="1"/>
  <c r="C1299" i="12"/>
  <c r="C1283" i="12"/>
  <c r="C1274" i="12"/>
  <c r="C1238" i="12"/>
  <c r="C1162" i="12"/>
  <c r="AA1034" i="12"/>
  <c r="AB1034" i="12" s="1"/>
  <c r="AC1034" i="12" s="1"/>
  <c r="C996" i="12"/>
  <c r="C980" i="12"/>
  <c r="C969" i="12"/>
  <c r="X966" i="12"/>
  <c r="X872" i="12"/>
  <c r="C864" i="12"/>
  <c r="C843" i="12"/>
  <c r="C833" i="12"/>
  <c r="X826" i="12"/>
  <c r="F824" i="12"/>
  <c r="C824" i="12"/>
  <c r="X818" i="12"/>
  <c r="F805" i="12"/>
  <c r="C805" i="12"/>
  <c r="F785" i="12"/>
  <c r="C785" i="12"/>
  <c r="X770" i="12"/>
  <c r="C696" i="12"/>
  <c r="X677" i="12"/>
  <c r="X606" i="12"/>
  <c r="X686" i="12"/>
  <c r="X682" i="12"/>
  <c r="C640" i="12"/>
  <c r="F640" i="12"/>
  <c r="X634" i="12"/>
  <c r="F633" i="12"/>
  <c r="C633" i="12"/>
  <c r="X623" i="12"/>
  <c r="X505" i="12"/>
  <c r="X648" i="12"/>
  <c r="C625" i="12"/>
  <c r="F625" i="12"/>
  <c r="F622" i="12"/>
  <c r="C622" i="12"/>
  <c r="X522" i="12"/>
  <c r="X879" i="12"/>
  <c r="X865" i="12"/>
  <c r="X851" i="12"/>
  <c r="X837" i="12"/>
  <c r="X801" i="12"/>
  <c r="X787" i="12"/>
  <c r="X773" i="12"/>
  <c r="X756" i="12"/>
  <c r="F754" i="12"/>
  <c r="C754" i="12"/>
  <c r="X706" i="12"/>
  <c r="X674" i="12"/>
  <c r="C665" i="12"/>
  <c r="X444" i="12"/>
  <c r="X873" i="12"/>
  <c r="C870" i="12"/>
  <c r="X859" i="12"/>
  <c r="C856" i="12"/>
  <c r="X845" i="12"/>
  <c r="C842" i="12"/>
  <c r="C809" i="12"/>
  <c r="C763" i="12"/>
  <c r="C709" i="12"/>
  <c r="X703" i="12"/>
  <c r="X639" i="12"/>
  <c r="X629" i="12"/>
  <c r="X565" i="12"/>
  <c r="X727" i="12"/>
  <c r="X683" i="12"/>
  <c r="X660" i="12"/>
  <c r="X656" i="12"/>
  <c r="X595" i="12"/>
  <c r="AA595" i="12"/>
  <c r="AB595" i="12" s="1"/>
  <c r="AC595" i="12" s="1"/>
  <c r="F594" i="12"/>
  <c r="C594" i="12"/>
  <c r="X542" i="12"/>
  <c r="X448" i="12"/>
  <c r="X812" i="12"/>
  <c r="F810" i="12"/>
  <c r="C810" i="12"/>
  <c r="C791" i="12"/>
  <c r="C777" i="12"/>
  <c r="X765" i="12"/>
  <c r="F759" i="12"/>
  <c r="C759" i="12"/>
  <c r="C755" i="12"/>
  <c r="X752" i="12"/>
  <c r="X749" i="12"/>
  <c r="F747" i="12"/>
  <c r="C747" i="12"/>
  <c r="X719" i="12"/>
  <c r="C690" i="12"/>
  <c r="C638" i="12"/>
  <c r="X618" i="12"/>
  <c r="F598" i="12"/>
  <c r="X700" i="12"/>
  <c r="X646" i="12"/>
  <c r="F645" i="12"/>
  <c r="C645" i="12"/>
  <c r="X549" i="12"/>
  <c r="F801" i="12"/>
  <c r="C801" i="12"/>
  <c r="F787" i="12"/>
  <c r="C787" i="12"/>
  <c r="F773" i="12"/>
  <c r="C773" i="12"/>
  <c r="F730" i="12"/>
  <c r="C722" i="12"/>
  <c r="F674" i="12"/>
  <c r="X573" i="12"/>
  <c r="F545" i="12"/>
  <c r="C545" i="12"/>
  <c r="X725" i="12"/>
  <c r="X693" i="12"/>
  <c r="X651" i="12"/>
  <c r="F642" i="12"/>
  <c r="C642" i="12"/>
  <c r="C629" i="12"/>
  <c r="F629" i="12"/>
  <c r="F478" i="12"/>
  <c r="C478" i="12"/>
  <c r="X766" i="12"/>
  <c r="X745" i="12"/>
  <c r="X736" i="12"/>
  <c r="X733" i="12"/>
  <c r="X728" i="12"/>
  <c r="F727" i="12"/>
  <c r="C727" i="12"/>
  <c r="X720" i="12"/>
  <c r="X661" i="12"/>
  <c r="F552" i="12"/>
  <c r="C552" i="12"/>
  <c r="C489" i="12"/>
  <c r="F489" i="12"/>
  <c r="X819" i="12"/>
  <c r="F817" i="12"/>
  <c r="C817" i="12"/>
  <c r="X758" i="12"/>
  <c r="X742" i="12"/>
  <c r="C731" i="12"/>
  <c r="F731" i="12"/>
  <c r="X717" i="12"/>
  <c r="X689" i="12"/>
  <c r="C679" i="12"/>
  <c r="F560" i="12"/>
  <c r="C527" i="12"/>
  <c r="F527" i="12"/>
  <c r="C524" i="12"/>
  <c r="F524" i="12"/>
  <c r="C423" i="12"/>
  <c r="F423" i="12"/>
  <c r="X284" i="12"/>
  <c r="C556" i="12"/>
  <c r="F556" i="12"/>
  <c r="X525" i="12"/>
  <c r="X491" i="12"/>
  <c r="C483" i="12"/>
  <c r="F483" i="12"/>
  <c r="X473" i="12"/>
  <c r="X640" i="12"/>
  <c r="X604" i="12"/>
  <c r="C591" i="12"/>
  <c r="F591" i="12"/>
  <c r="C580" i="12"/>
  <c r="F580" i="12"/>
  <c r="X578" i="12"/>
  <c r="C564" i="12"/>
  <c r="C535" i="12"/>
  <c r="C431" i="12"/>
  <c r="F431" i="12"/>
  <c r="X715" i="12"/>
  <c r="X708" i="12"/>
  <c r="X701" i="12"/>
  <c r="X695" i="12"/>
  <c r="X635" i="12"/>
  <c r="C553" i="12"/>
  <c r="X540" i="12"/>
  <c r="X425" i="12"/>
  <c r="X380" i="12"/>
  <c r="C346" i="12"/>
  <c r="F346" i="12"/>
  <c r="F744" i="12"/>
  <c r="F728" i="12"/>
  <c r="X723" i="12"/>
  <c r="F720" i="12"/>
  <c r="F666" i="12"/>
  <c r="X663" i="12"/>
  <c r="X654" i="12"/>
  <c r="F653" i="12"/>
  <c r="F643" i="12"/>
  <c r="X628" i="12"/>
  <c r="F627" i="12"/>
  <c r="X621" i="12"/>
  <c r="F615" i="12"/>
  <c r="X612" i="12"/>
  <c r="F577" i="12"/>
  <c r="C577" i="12"/>
  <c r="X555" i="12"/>
  <c r="C515" i="12"/>
  <c r="F515" i="12"/>
  <c r="C435" i="12"/>
  <c r="F435" i="12"/>
  <c r="X709" i="12"/>
  <c r="X679" i="12"/>
  <c r="X673" i="12"/>
  <c r="C634" i="12"/>
  <c r="F634" i="12"/>
  <c r="F631" i="12"/>
  <c r="C631" i="12"/>
  <c r="C620" i="12"/>
  <c r="F620" i="12"/>
  <c r="X617" i="12"/>
  <c r="X601" i="12"/>
  <c r="F600" i="12"/>
  <c r="F424" i="12"/>
  <c r="C424" i="12"/>
  <c r="X402" i="12"/>
  <c r="C752" i="12"/>
  <c r="F745" i="12"/>
  <c r="X716" i="12"/>
  <c r="C706" i="12"/>
  <c r="X702" i="12"/>
  <c r="X696" i="12"/>
  <c r="C671" i="12"/>
  <c r="F671" i="12"/>
  <c r="F662" i="12"/>
  <c r="F657" i="12"/>
  <c r="X609" i="12"/>
  <c r="C592" i="12"/>
  <c r="F592" i="12"/>
  <c r="X590" i="12"/>
  <c r="C581" i="12"/>
  <c r="F581" i="12"/>
  <c r="F574" i="12"/>
  <c r="C574" i="12"/>
  <c r="X568" i="12"/>
  <c r="AA568" i="12"/>
  <c r="AB568" i="12" s="1"/>
  <c r="AC568" i="12" s="1"/>
  <c r="X602" i="12"/>
  <c r="F589" i="12"/>
  <c r="F571" i="12"/>
  <c r="F554" i="12"/>
  <c r="C554" i="12"/>
  <c r="X514" i="12"/>
  <c r="C494" i="12"/>
  <c r="F494" i="12"/>
  <c r="X474" i="12"/>
  <c r="X450" i="12"/>
  <c r="X583" i="12"/>
  <c r="X572" i="12"/>
  <c r="C562" i="12"/>
  <c r="F562" i="12"/>
  <c r="F502" i="12"/>
  <c r="C502" i="12"/>
  <c r="X638" i="12"/>
  <c r="X626" i="12"/>
  <c r="C612" i="12"/>
  <c r="F612" i="12"/>
  <c r="F608" i="12"/>
  <c r="C608" i="12"/>
  <c r="X587" i="12"/>
  <c r="X560" i="12"/>
  <c r="F537" i="12"/>
  <c r="C537" i="12"/>
  <c r="X531" i="12"/>
  <c r="C399" i="12"/>
  <c r="F399" i="12"/>
  <c r="X652" i="12"/>
  <c r="X642" i="12"/>
  <c r="X610" i="12"/>
  <c r="AA565" i="12"/>
  <c r="AB565" i="12" s="1"/>
  <c r="AC565" i="12" s="1"/>
  <c r="C520" i="12"/>
  <c r="F520" i="12"/>
  <c r="U336" i="12"/>
  <c r="T336" i="12"/>
  <c r="C221" i="12"/>
  <c r="F221" i="12"/>
  <c r="F392" i="12"/>
  <c r="C392" i="12"/>
  <c r="X229" i="12"/>
  <c r="F628" i="12"/>
  <c r="C572" i="12"/>
  <c r="F572" i="12"/>
  <c r="X519" i="12"/>
  <c r="C508" i="12"/>
  <c r="F508" i="12"/>
  <c r="X465" i="12"/>
  <c r="F372" i="12"/>
  <c r="C372" i="12"/>
  <c r="F641" i="12"/>
  <c r="C601" i="12"/>
  <c r="F601" i="12"/>
  <c r="X598" i="12"/>
  <c r="F595" i="12"/>
  <c r="C421" i="12"/>
  <c r="F421" i="12"/>
  <c r="X401" i="12"/>
  <c r="F232" i="12"/>
  <c r="C232" i="12"/>
  <c r="X631" i="12"/>
  <c r="F606" i="12"/>
  <c r="X575" i="12"/>
  <c r="X557" i="12"/>
  <c r="X552" i="12"/>
  <c r="X526" i="12"/>
  <c r="X493" i="12"/>
  <c r="C474" i="12"/>
  <c r="F474" i="12"/>
  <c r="X442" i="12"/>
  <c r="X404" i="12"/>
  <c r="T378" i="12"/>
  <c r="U378" i="12"/>
  <c r="X603" i="12"/>
  <c r="X593" i="12"/>
  <c r="C488" i="12"/>
  <c r="F488" i="12"/>
  <c r="X303" i="12"/>
  <c r="F525" i="12"/>
  <c r="C525" i="12"/>
  <c r="X516" i="12"/>
  <c r="X486" i="12"/>
  <c r="X417" i="12"/>
  <c r="X388" i="12"/>
  <c r="C348" i="12"/>
  <c r="F348" i="12"/>
  <c r="C245" i="12"/>
  <c r="F245" i="12"/>
  <c r="X659" i="12"/>
  <c r="X645" i="12"/>
  <c r="X632" i="12"/>
  <c r="X615" i="12"/>
  <c r="X576" i="12"/>
  <c r="C547" i="12"/>
  <c r="X535" i="12"/>
  <c r="C471" i="12"/>
  <c r="F471" i="12"/>
  <c r="C439" i="12"/>
  <c r="X435" i="12"/>
  <c r="F369" i="12"/>
  <c r="C369" i="12"/>
  <c r="X318" i="12"/>
  <c r="X307" i="12"/>
  <c r="X264" i="12"/>
  <c r="F263" i="12"/>
  <c r="C263" i="12"/>
  <c r="F534" i="12"/>
  <c r="C534" i="12"/>
  <c r="X455" i="12"/>
  <c r="C434" i="12"/>
  <c r="F434" i="12"/>
  <c r="F366" i="12"/>
  <c r="C366" i="12"/>
  <c r="X354" i="12"/>
  <c r="C320" i="12"/>
  <c r="X277" i="12"/>
  <c r="X684" i="12"/>
  <c r="X668" i="12"/>
  <c r="F539" i="12"/>
  <c r="C539" i="12"/>
  <c r="C476" i="12"/>
  <c r="F476" i="12"/>
  <c r="X470" i="12"/>
  <c r="X391" i="12"/>
  <c r="C353" i="12"/>
  <c r="F353" i="12"/>
  <c r="C345" i="12"/>
  <c r="F345" i="12"/>
  <c r="X247" i="12"/>
  <c r="F58" i="12"/>
  <c r="C58" i="12"/>
  <c r="F528" i="12"/>
  <c r="C522" i="12"/>
  <c r="F522" i="12"/>
  <c r="X500" i="12"/>
  <c r="F385" i="12"/>
  <c r="C385" i="12"/>
  <c r="F291" i="12"/>
  <c r="F280" i="12"/>
  <c r="C280" i="12"/>
  <c r="X176" i="12"/>
  <c r="X580" i="12"/>
  <c r="F540" i="12"/>
  <c r="C540" i="12"/>
  <c r="F529" i="12"/>
  <c r="F485" i="12"/>
  <c r="C448" i="12"/>
  <c r="F448" i="12"/>
  <c r="F432" i="12"/>
  <c r="X395" i="12"/>
  <c r="AA376" i="12"/>
  <c r="AB376" i="12" s="1"/>
  <c r="AC376" i="12" s="1"/>
  <c r="F330" i="12"/>
  <c r="C253" i="12"/>
  <c r="F253" i="12"/>
  <c r="C249" i="12"/>
  <c r="F249" i="12"/>
  <c r="X241" i="12"/>
  <c r="X213" i="12"/>
  <c r="F549" i="12"/>
  <c r="C549" i="12"/>
  <c r="F531" i="12"/>
  <c r="F486" i="12"/>
  <c r="C354" i="12"/>
  <c r="F354" i="12"/>
  <c r="F334" i="12"/>
  <c r="X266" i="12"/>
  <c r="C201" i="12"/>
  <c r="F201" i="12"/>
  <c r="X42" i="12"/>
  <c r="C510" i="12"/>
  <c r="F510" i="12"/>
  <c r="X502" i="12"/>
  <c r="X489" i="12"/>
  <c r="X418" i="12"/>
  <c r="X174" i="12"/>
  <c r="X286" i="12"/>
  <c r="X460" i="12"/>
  <c r="X396" i="12"/>
  <c r="X392" i="12"/>
  <c r="F391" i="12"/>
  <c r="X332" i="12"/>
  <c r="X313" i="12"/>
  <c r="C244" i="12"/>
  <c r="F244" i="12"/>
  <c r="X194" i="12"/>
  <c r="X547" i="12"/>
  <c r="C543" i="12"/>
  <c r="X527" i="12"/>
  <c r="F475" i="12"/>
  <c r="F371" i="12"/>
  <c r="C350" i="12"/>
  <c r="F350" i="12"/>
  <c r="X272" i="12"/>
  <c r="X356" i="12"/>
  <c r="X197" i="12"/>
  <c r="AA569" i="12"/>
  <c r="AB569" i="12" s="1"/>
  <c r="AC569" i="12" s="1"/>
  <c r="X397" i="12"/>
  <c r="X374" i="12"/>
  <c r="X394" i="12"/>
  <c r="C384" i="12"/>
  <c r="F384" i="12"/>
  <c r="X322" i="12"/>
  <c r="X301" i="12"/>
  <c r="X292" i="12"/>
  <c r="X280" i="12"/>
  <c r="C190" i="12"/>
  <c r="F190" i="12"/>
  <c r="C109" i="12"/>
  <c r="F109" i="12"/>
  <c r="X343" i="12"/>
  <c r="X298" i="12"/>
  <c r="X210" i="12"/>
  <c r="C187" i="12"/>
  <c r="F187" i="12"/>
  <c r="X185" i="12"/>
  <c r="F137" i="12"/>
  <c r="C137" i="12"/>
  <c r="F492" i="12"/>
  <c r="F469" i="12"/>
  <c r="F466" i="12"/>
  <c r="F465" i="12"/>
  <c r="F464" i="12"/>
  <c r="F461" i="12"/>
  <c r="F460" i="12"/>
  <c r="X420" i="12"/>
  <c r="F409" i="12"/>
  <c r="F394" i="12"/>
  <c r="F355" i="12"/>
  <c r="F342" i="12"/>
  <c r="C322" i="12"/>
  <c r="F322" i="12"/>
  <c r="F307" i="12"/>
  <c r="X235" i="12"/>
  <c r="F234" i="12"/>
  <c r="X220" i="12"/>
  <c r="X433" i="12"/>
  <c r="C276" i="12"/>
  <c r="F276" i="12"/>
  <c r="X274" i="12"/>
  <c r="C467" i="12"/>
  <c r="F426" i="12"/>
  <c r="F411" i="12"/>
  <c r="F396" i="12"/>
  <c r="X330" i="12"/>
  <c r="X315" i="12"/>
  <c r="F298" i="12"/>
  <c r="F260" i="12"/>
  <c r="X236" i="12"/>
  <c r="F226" i="12"/>
  <c r="X224" i="12"/>
  <c r="F163" i="12"/>
  <c r="C163" i="12"/>
  <c r="X400" i="12"/>
  <c r="X340" i="12"/>
  <c r="U334" i="12"/>
  <c r="T334" i="12"/>
  <c r="X253" i="12"/>
  <c r="C247" i="12"/>
  <c r="F247" i="12"/>
  <c r="T335" i="12"/>
  <c r="U335" i="12"/>
  <c r="F323" i="12"/>
  <c r="C323" i="12"/>
  <c r="X291" i="12"/>
  <c r="X279" i="12"/>
  <c r="X173" i="12"/>
  <c r="C419" i="12"/>
  <c r="F380" i="12"/>
  <c r="C380" i="12"/>
  <c r="C362" i="12"/>
  <c r="C314" i="12"/>
  <c r="C293" i="12"/>
  <c r="F293" i="12"/>
  <c r="C252" i="12"/>
  <c r="F252" i="12"/>
  <c r="X212" i="12"/>
  <c r="C207" i="12"/>
  <c r="F207" i="12"/>
  <c r="C113" i="12"/>
  <c r="F113" i="12"/>
  <c r="X177" i="12"/>
  <c r="X167" i="12"/>
  <c r="C123" i="12"/>
  <c r="F123" i="12"/>
  <c r="X50" i="12"/>
  <c r="X157" i="12"/>
  <c r="F358" i="12"/>
  <c r="F349" i="12"/>
  <c r="F340" i="12"/>
  <c r="F292" i="12"/>
  <c r="F281" i="12"/>
  <c r="C281" i="12"/>
  <c r="F255" i="12"/>
  <c r="F240" i="12"/>
  <c r="C127" i="12"/>
  <c r="F127" i="12"/>
  <c r="X95" i="12"/>
  <c r="X345" i="12"/>
  <c r="F332" i="12"/>
  <c r="F256" i="12"/>
  <c r="X244" i="12"/>
  <c r="F241" i="12"/>
  <c r="X237" i="12"/>
  <c r="F235" i="12"/>
  <c r="X226" i="12"/>
  <c r="C124" i="12"/>
  <c r="F124" i="12"/>
  <c r="X102" i="12"/>
  <c r="X328" i="12"/>
  <c r="F282" i="12"/>
  <c r="C282" i="12"/>
  <c r="X271" i="12"/>
  <c r="F248" i="12"/>
  <c r="F242" i="12"/>
  <c r="F225" i="12"/>
  <c r="X221" i="12"/>
  <c r="X211" i="12"/>
  <c r="F192" i="12"/>
  <c r="X227" i="12"/>
  <c r="X193" i="12"/>
  <c r="AA173" i="12"/>
  <c r="AB173" i="12" s="1"/>
  <c r="AC173" i="12" s="1"/>
  <c r="X163" i="12"/>
  <c r="C131" i="12"/>
  <c r="F131" i="12"/>
  <c r="X113" i="12"/>
  <c r="X306" i="12"/>
  <c r="X238" i="12"/>
  <c r="X196" i="12"/>
  <c r="C195" i="12"/>
  <c r="F195" i="12"/>
  <c r="C115" i="12"/>
  <c r="F115" i="12"/>
  <c r="C277" i="12"/>
  <c r="X203" i="12"/>
  <c r="C200" i="12"/>
  <c r="X184" i="12"/>
  <c r="X92" i="12"/>
  <c r="X232" i="12"/>
  <c r="X223" i="12"/>
  <c r="F193" i="12"/>
  <c r="X166" i="12"/>
  <c r="X148" i="12"/>
  <c r="F139" i="12"/>
  <c r="X120" i="12"/>
  <c r="F212" i="12"/>
  <c r="F119" i="12"/>
  <c r="F172" i="12"/>
  <c r="C172" i="12"/>
  <c r="X155" i="12"/>
  <c r="X218" i="12"/>
  <c r="X209" i="12"/>
  <c r="AA175" i="12"/>
  <c r="AB175" i="12" s="1"/>
  <c r="AC175" i="12" s="1"/>
  <c r="C151" i="12"/>
  <c r="F151" i="12"/>
  <c r="C99" i="12"/>
  <c r="F99" i="12"/>
  <c r="C214" i="12"/>
  <c r="X195" i="12"/>
  <c r="X192" i="12"/>
  <c r="X171" i="12"/>
  <c r="F166" i="12"/>
  <c r="C166" i="12"/>
  <c r="F106" i="12"/>
  <c r="C106" i="12"/>
  <c r="F182" i="12"/>
  <c r="F181" i="12"/>
  <c r="F180" i="12"/>
  <c r="F179" i="12"/>
  <c r="F178" i="12"/>
  <c r="F177" i="12"/>
  <c r="F176" i="12"/>
  <c r="C125" i="12"/>
  <c r="F125" i="12"/>
  <c r="X115" i="12"/>
  <c r="F57" i="12"/>
  <c r="C145" i="12"/>
  <c r="F145" i="12"/>
  <c r="X143" i="12"/>
  <c r="X58" i="12"/>
  <c r="F164" i="12"/>
  <c r="C164" i="12"/>
  <c r="F149" i="12"/>
  <c r="X127" i="12"/>
  <c r="C111" i="12"/>
  <c r="F111" i="12"/>
  <c r="X71" i="12"/>
  <c r="F35" i="12"/>
  <c r="C35" i="12"/>
  <c r="C159" i="12"/>
  <c r="X137" i="12"/>
  <c r="C160" i="12"/>
  <c r="X88" i="12"/>
  <c r="X54" i="12"/>
  <c r="C49" i="12"/>
  <c r="F49" i="12"/>
  <c r="X47" i="12"/>
  <c r="X25" i="12"/>
  <c r="X18" i="12"/>
  <c r="X7" i="12"/>
  <c r="X85" i="12"/>
  <c r="C36" i="12"/>
  <c r="X11" i="12"/>
  <c r="X81" i="12"/>
  <c r="X67" i="12"/>
  <c r="C50" i="12"/>
  <c r="F50" i="12"/>
  <c r="X100" i="12"/>
  <c r="F24" i="12"/>
  <c r="C24" i="12"/>
  <c r="X21" i="12"/>
  <c r="F17" i="12"/>
  <c r="C17" i="12"/>
  <c r="X14" i="12"/>
  <c r="F10" i="12"/>
  <c r="C10" i="12"/>
  <c r="C167" i="12"/>
  <c r="C153" i="12"/>
  <c r="C92" i="12"/>
  <c r="X46" i="12"/>
  <c r="X26" i="12"/>
  <c r="X19" i="12"/>
  <c r="X12" i="12"/>
  <c r="C168" i="12"/>
  <c r="C154" i="12"/>
  <c r="F135" i="12"/>
  <c r="F133" i="12"/>
  <c r="F117" i="12"/>
  <c r="C85" i="12"/>
  <c r="X78" i="12"/>
  <c r="X64" i="12"/>
  <c r="C11" i="12"/>
  <c r="C48" i="12"/>
  <c r="F48" i="12"/>
  <c r="C170" i="12"/>
  <c r="C156" i="12"/>
  <c r="X106" i="12"/>
  <c r="C104" i="12"/>
  <c r="F104" i="12"/>
  <c r="C96" i="12"/>
  <c r="X74" i="12"/>
  <c r="X60" i="12"/>
  <c r="C55" i="12"/>
  <c r="C44" i="12"/>
  <c r="F44" i="12"/>
  <c r="C45" i="12"/>
  <c r="F45" i="12"/>
  <c r="C41" i="12"/>
  <c r="F41" i="12"/>
  <c r="F100" i="12"/>
  <c r="F52" i="12"/>
  <c r="C46" i="12"/>
  <c r="F46" i="12"/>
  <c r="C42" i="12"/>
  <c r="F42" i="12"/>
  <c r="C26" i="12"/>
  <c r="C19" i="12"/>
  <c r="F95" i="12"/>
  <c r="F88" i="12"/>
  <c r="AA58" i="12"/>
  <c r="AB58" i="12" s="1"/>
  <c r="AC58" i="12" s="1"/>
  <c r="F54" i="12"/>
  <c r="C47" i="12"/>
  <c r="F47" i="12"/>
  <c r="F28" i="12"/>
  <c r="C27" i="12"/>
  <c r="C20" i="12"/>
  <c r="C13" i="12"/>
  <c r="C43" i="12"/>
  <c r="F43" i="12"/>
  <c r="C21" i="12"/>
  <c r="C14" i="12"/>
  <c r="F9" i="12"/>
  <c r="F8" i="12"/>
  <c r="F7" i="12"/>
  <c r="F6" i="12"/>
  <c r="F5" i="12"/>
  <c r="F4" i="12"/>
  <c r="F3" i="12"/>
  <c r="F2" i="12"/>
  <c r="C1420" i="12"/>
  <c r="C1406" i="12"/>
  <c r="C1392" i="12"/>
  <c r="C1378" i="12"/>
  <c r="C1364" i="12"/>
  <c r="C1342" i="12"/>
  <c r="F1342" i="12"/>
  <c r="F1335" i="12"/>
  <c r="F1316" i="12"/>
  <c r="X1280" i="12"/>
  <c r="C1407" i="12"/>
  <c r="C1393" i="12"/>
  <c r="C1379" i="12"/>
  <c r="C1365" i="12"/>
  <c r="F1353" i="12"/>
  <c r="F1343" i="12"/>
  <c r="F1336" i="12"/>
  <c r="F1264" i="12"/>
  <c r="C1264" i="12"/>
  <c r="X1257" i="12"/>
  <c r="F1256" i="12"/>
  <c r="C1256" i="12"/>
  <c r="F1249" i="12"/>
  <c r="C1249" i="12"/>
  <c r="C1246" i="12"/>
  <c r="C1394" i="12"/>
  <c r="F1279" i="12"/>
  <c r="C1279" i="12"/>
  <c r="F1242" i="12"/>
  <c r="C1242" i="12"/>
  <c r="X1294" i="12"/>
  <c r="F1289" i="12"/>
  <c r="C1289" i="12"/>
  <c r="F1278" i="12"/>
  <c r="C1278" i="12"/>
  <c r="F1234" i="12"/>
  <c r="C1234" i="12"/>
  <c r="C1419" i="12"/>
  <c r="C1405" i="12"/>
  <c r="C1363" i="12"/>
  <c r="C1275" i="12"/>
  <c r="C1409" i="12"/>
  <c r="C1395" i="12"/>
  <c r="C1381" i="12"/>
  <c r="C1367" i="12"/>
  <c r="F1337" i="12"/>
  <c r="F1298" i="12"/>
  <c r="C1298" i="12"/>
  <c r="F1276" i="12"/>
  <c r="C1276" i="12"/>
  <c r="X1220" i="12"/>
  <c r="X1222" i="12"/>
  <c r="X1219" i="12"/>
  <c r="C1390" i="12"/>
  <c r="C1362" i="12"/>
  <c r="F1270" i="12"/>
  <c r="C1270" i="12"/>
  <c r="X1261" i="12"/>
  <c r="C1391" i="12"/>
  <c r="F1293" i="12"/>
  <c r="C1293" i="12"/>
  <c r="C1410" i="12"/>
  <c r="X1168" i="12"/>
  <c r="F1163" i="12"/>
  <c r="C1163" i="12"/>
  <c r="F1257" i="12"/>
  <c r="C1257" i="12"/>
  <c r="X1241" i="12"/>
  <c r="F1240" i="12"/>
  <c r="C1240" i="12"/>
  <c r="C1314" i="12"/>
  <c r="F1314" i="12"/>
  <c r="F1263" i="12"/>
  <c r="C1263" i="12"/>
  <c r="C1418" i="12"/>
  <c r="C1404" i="12"/>
  <c r="C1376" i="12"/>
  <c r="C1377" i="12"/>
  <c r="X1287" i="12"/>
  <c r="C1396" i="12"/>
  <c r="C1382" i="12"/>
  <c r="C1368" i="12"/>
  <c r="X1266" i="12"/>
  <c r="X1208" i="12"/>
  <c r="C1411" i="12"/>
  <c r="C1397" i="12"/>
  <c r="C1383" i="12"/>
  <c r="C1369" i="12"/>
  <c r="X1255" i="12"/>
  <c r="C1254" i="12"/>
  <c r="F1198" i="12"/>
  <c r="C1198" i="12"/>
  <c r="C1412" i="12"/>
  <c r="C1398" i="12"/>
  <c r="C1384" i="12"/>
  <c r="C1370" i="12"/>
  <c r="C1291" i="12"/>
  <c r="X1289" i="12"/>
  <c r="AA1289" i="12"/>
  <c r="AB1289" i="12" s="1"/>
  <c r="AC1289" i="12" s="1"/>
  <c r="C1413" i="12"/>
  <c r="C1399" i="12"/>
  <c r="C1385" i="12"/>
  <c r="C1371" i="12"/>
  <c r="F1349" i="12"/>
  <c r="C1328" i="12"/>
  <c r="F1328" i="12"/>
  <c r="C1320" i="12"/>
  <c r="F1320" i="12"/>
  <c r="X1275" i="12"/>
  <c r="X1270" i="12"/>
  <c r="C1262" i="12"/>
  <c r="C1414" i="12"/>
  <c r="C1400" i="12"/>
  <c r="C1386" i="12"/>
  <c r="C1372" i="12"/>
  <c r="F1350" i="12"/>
  <c r="F1329" i="12"/>
  <c r="F1321" i="12"/>
  <c r="AA1282" i="12"/>
  <c r="AB1282" i="12" s="1"/>
  <c r="AC1282" i="12" s="1"/>
  <c r="X1282" i="12"/>
  <c r="C1277" i="12"/>
  <c r="AA1267" i="12"/>
  <c r="AB1267" i="12" s="1"/>
  <c r="AC1267" i="12" s="1"/>
  <c r="F1296" i="12"/>
  <c r="C1296" i="12"/>
  <c r="F1284" i="12"/>
  <c r="C1284" i="12"/>
  <c r="C1374" i="12"/>
  <c r="F1331" i="12"/>
  <c r="F1323" i="12"/>
  <c r="F1300" i="12"/>
  <c r="C1300" i="12"/>
  <c r="C1292" i="12"/>
  <c r="X1249" i="12"/>
  <c r="X1204" i="12"/>
  <c r="F1282" i="12"/>
  <c r="C1282" i="12"/>
  <c r="F1265" i="12"/>
  <c r="C1265" i="12"/>
  <c r="F1227" i="12"/>
  <c r="C1227" i="12"/>
  <c r="F1213" i="12"/>
  <c r="C1213" i="12"/>
  <c r="F1206" i="12"/>
  <c r="C1206" i="12"/>
  <c r="F1231" i="12"/>
  <c r="C1231" i="12"/>
  <c r="X1196" i="12"/>
  <c r="F1313" i="12"/>
  <c r="X1291" i="12"/>
  <c r="AA1269" i="12"/>
  <c r="AB1269" i="12" s="1"/>
  <c r="AC1269" i="12" s="1"/>
  <c r="X1248" i="12"/>
  <c r="X1233" i="12"/>
  <c r="F1215" i="12"/>
  <c r="C1215" i="12"/>
  <c r="F1250" i="12"/>
  <c r="C1250" i="12"/>
  <c r="C1247" i="12"/>
  <c r="F1243" i="12"/>
  <c r="C1243" i="12"/>
  <c r="F1212" i="12"/>
  <c r="C1212" i="12"/>
  <c r="F1205" i="12"/>
  <c r="C1205" i="12"/>
  <c r="F1268" i="12"/>
  <c r="C1268" i="12"/>
  <c r="X1238" i="12"/>
  <c r="X1236" i="12"/>
  <c r="F1220" i="12"/>
  <c r="C1220" i="12"/>
  <c r="C1191" i="12"/>
  <c r="X1189" i="12"/>
  <c r="F1187" i="12"/>
  <c r="C1187" i="12"/>
  <c r="C1294" i="12"/>
  <c r="C1280" i="12"/>
  <c r="C1266" i="12"/>
  <c r="C1255" i="12"/>
  <c r="C1248" i="12"/>
  <c r="C1241" i="12"/>
  <c r="C1226" i="12"/>
  <c r="C1177" i="12"/>
  <c r="X1175" i="12"/>
  <c r="F1192" i="12"/>
  <c r="C1192" i="12"/>
  <c r="C1156" i="12"/>
  <c r="F1178" i="12"/>
  <c r="C1178" i="12"/>
  <c r="F1171" i="12"/>
  <c r="C1171" i="12"/>
  <c r="AA1255" i="12"/>
  <c r="AB1255" i="12" s="1"/>
  <c r="AC1255" i="12" s="1"/>
  <c r="C1228" i="12"/>
  <c r="AA1220" i="12"/>
  <c r="AB1220" i="12" s="1"/>
  <c r="AC1220" i="12" s="1"/>
  <c r="C1218" i="12"/>
  <c r="C1189" i="12"/>
  <c r="F1175" i="12"/>
  <c r="C1175" i="12"/>
  <c r="C1286" i="12"/>
  <c r="C1272" i="12"/>
  <c r="F1164" i="12"/>
  <c r="C1164" i="12"/>
  <c r="F1157" i="12"/>
  <c r="C1157" i="12"/>
  <c r="C1287" i="12"/>
  <c r="C1273" i="12"/>
  <c r="C1259" i="12"/>
  <c r="C1233" i="12"/>
  <c r="X1231" i="12"/>
  <c r="F1229" i="12"/>
  <c r="C1229" i="12"/>
  <c r="C1214" i="12"/>
  <c r="C1204" i="12"/>
  <c r="X1180" i="12"/>
  <c r="C1185" i="12"/>
  <c r="C1190" i="12"/>
  <c r="X1166" i="12"/>
  <c r="X1203" i="12"/>
  <c r="F1201" i="12"/>
  <c r="C1201" i="12"/>
  <c r="X1192" i="12"/>
  <c r="X1178" i="12"/>
  <c r="C1172" i="12"/>
  <c r="C1158" i="12"/>
  <c r="C1173" i="12"/>
  <c r="C1159" i="12"/>
  <c r="C1165" i="12"/>
  <c r="C1180" i="12"/>
  <c r="C1166" i="12"/>
  <c r="C1167" i="12"/>
  <c r="C1155" i="12"/>
  <c r="F1155" i="12"/>
  <c r="F1151" i="12"/>
  <c r="C1152" i="12"/>
  <c r="AA1414" i="12" l="1"/>
  <c r="AB1414" i="12" s="1"/>
  <c r="AC1414" i="12" s="1"/>
  <c r="AA1413" i="12"/>
  <c r="AB1413" i="12" s="1"/>
  <c r="AC1413" i="12" s="1"/>
  <c r="AA1395" i="12"/>
  <c r="AB1395" i="12" s="1"/>
  <c r="AC1395" i="12" s="1"/>
  <c r="AA1361" i="12"/>
  <c r="AB1361" i="12" s="1"/>
  <c r="AC1361" i="12" s="1"/>
  <c r="AA1365" i="12"/>
  <c r="AB1365" i="12" s="1"/>
  <c r="AC1365" i="12" s="1"/>
  <c r="AA1012" i="12"/>
  <c r="AB1012" i="12" s="1"/>
  <c r="AC1012" i="12" s="1"/>
  <c r="X1053" i="12"/>
  <c r="X1094" i="12"/>
  <c r="X378" i="12"/>
  <c r="X1084" i="12"/>
  <c r="X334" i="12"/>
  <c r="X1085" i="12"/>
  <c r="X335" i="12"/>
  <c r="X336" i="12"/>
  <c r="B80" i="6" l="1"/>
  <c r="I80" i="6" s="1"/>
  <c r="G80" i="6" s="1"/>
  <c r="B81" i="6"/>
  <c r="I81" i="6" s="1"/>
  <c r="G81" i="6" s="1"/>
  <c r="Y1268" i="12" l="1"/>
  <c r="Z1268" i="12"/>
  <c r="AA1268" i="12" s="1"/>
  <c r="AB1268" i="12" s="1"/>
  <c r="AC1268" i="12" s="1"/>
  <c r="Y1221" i="12"/>
  <c r="Z1221" i="12"/>
  <c r="AA1221" i="12" s="1"/>
  <c r="AB1221" i="12" s="1"/>
  <c r="AC1221" i="12" s="1"/>
  <c r="Z512" i="12"/>
  <c r="AA512" i="12" s="1"/>
  <c r="AB512" i="12" s="1"/>
  <c r="AC512" i="12" s="1"/>
  <c r="Y512" i="12"/>
  <c r="Z1052" i="12"/>
  <c r="AA1052" i="12" s="1"/>
  <c r="AB1052" i="12" s="1"/>
  <c r="AC1052" i="12" s="1"/>
  <c r="Y374" i="12"/>
  <c r="Z374" i="12"/>
  <c r="AA374" i="12" s="1"/>
  <c r="AB374" i="12" s="1"/>
  <c r="AC374" i="12" s="1"/>
  <c r="Y1052" i="12"/>
  <c r="Z829" i="12"/>
  <c r="AA829" i="12" s="1"/>
  <c r="AB829" i="12" s="1"/>
  <c r="AC829" i="12" s="1"/>
  <c r="Y829" i="12"/>
  <c r="B83" i="6" l="1"/>
  <c r="I83" i="6" s="1"/>
  <c r="G83" i="6" s="1"/>
  <c r="B82" i="6" l="1"/>
  <c r="I82" i="6" s="1"/>
  <c r="G82" i="6" s="1"/>
  <c r="J54" i="6" l="1"/>
  <c r="J45" i="6" l="1"/>
  <c r="J55" i="6"/>
  <c r="J57" i="6"/>
  <c r="J59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22" i="6"/>
  <c r="B79" i="6" l="1"/>
  <c r="Y1261" i="12" l="1"/>
  <c r="Z1261" i="12"/>
  <c r="AA1261" i="12" s="1"/>
  <c r="AB1261" i="12" s="1"/>
  <c r="AC1261" i="12" s="1"/>
  <c r="Y804" i="12"/>
  <c r="Y827" i="12"/>
  <c r="Y807" i="12"/>
  <c r="Z807" i="12"/>
  <c r="AA807" i="12" s="1"/>
  <c r="AB807" i="12" s="1"/>
  <c r="AC807" i="12" s="1"/>
  <c r="Z804" i="12"/>
  <c r="AA804" i="12" s="1"/>
  <c r="AB804" i="12" s="1"/>
  <c r="AC804" i="12" s="1"/>
  <c r="Y828" i="12"/>
  <c r="Z828" i="12"/>
  <c r="AA828" i="12" s="1"/>
  <c r="AB828" i="12" s="1"/>
  <c r="AC828" i="12" s="1"/>
  <c r="Z827" i="12"/>
  <c r="AA827" i="12" s="1"/>
  <c r="AB827" i="12" s="1"/>
  <c r="AC827" i="12" s="1"/>
  <c r="B65" i="6"/>
  <c r="B66" i="6"/>
  <c r="I66" i="6" s="1"/>
  <c r="G66" i="6" s="1"/>
  <c r="B67" i="6"/>
  <c r="I67" i="6" s="1"/>
  <c r="G67" i="6" s="1"/>
  <c r="B68" i="6"/>
  <c r="B69" i="6"/>
  <c r="B70" i="6"/>
  <c r="I70" i="6" s="1"/>
  <c r="G70" i="6" s="1"/>
  <c r="B71" i="6"/>
  <c r="I71" i="6" s="1"/>
  <c r="G71" i="6" s="1"/>
  <c r="B72" i="6"/>
  <c r="I72" i="6" s="1"/>
  <c r="G72" i="6" s="1"/>
  <c r="B73" i="6"/>
  <c r="I73" i="6" s="1"/>
  <c r="G73" i="6" s="1"/>
  <c r="B74" i="6"/>
  <c r="B75" i="6"/>
  <c r="I75" i="6" s="1"/>
  <c r="G75" i="6" s="1"/>
  <c r="B76" i="6"/>
  <c r="I76" i="6" s="1"/>
  <c r="G76" i="6" s="1"/>
  <c r="B77" i="6"/>
  <c r="I77" i="6" s="1"/>
  <c r="G77" i="6" s="1"/>
  <c r="B78" i="6"/>
  <c r="I78" i="6" s="1"/>
  <c r="G78" i="6" s="1"/>
  <c r="Y1353" i="12" l="1"/>
  <c r="Y1387" i="12"/>
  <c r="Z1387" i="12"/>
  <c r="AA1387" i="12" s="1"/>
  <c r="AB1387" i="12" s="1"/>
  <c r="AC1387" i="12" s="1"/>
  <c r="Z1353" i="12"/>
  <c r="AA1353" i="12" s="1"/>
  <c r="AB1353" i="12" s="1"/>
  <c r="AC1353" i="12" s="1"/>
  <c r="Y1294" i="12"/>
  <c r="Z1294" i="12"/>
  <c r="AA1294" i="12" s="1"/>
  <c r="AB1294" i="12" s="1"/>
  <c r="AC1294" i="12" s="1"/>
  <c r="Y1249" i="12"/>
  <c r="Z1249" i="12"/>
  <c r="AA1249" i="12" s="1"/>
  <c r="AB1249" i="12" s="1"/>
  <c r="AC1249" i="12" s="1"/>
  <c r="Y1250" i="12"/>
  <c r="Z1250" i="12"/>
  <c r="AA1250" i="12" s="1"/>
  <c r="AB1250" i="12" s="1"/>
  <c r="AC1250" i="12" s="1"/>
  <c r="Y1246" i="12"/>
  <c r="Z1246" i="12"/>
  <c r="AA1246" i="12" s="1"/>
  <c r="AB1246" i="12" s="1"/>
  <c r="AC1246" i="12" s="1"/>
  <c r="Y1238" i="12"/>
  <c r="Z1238" i="12"/>
  <c r="AA1238" i="12" s="1"/>
  <c r="AB1238" i="12" s="1"/>
  <c r="AC1238" i="12" s="1"/>
  <c r="Y1239" i="12"/>
  <c r="Z1239" i="12"/>
  <c r="AA1239" i="12" s="1"/>
  <c r="AB1239" i="12" s="1"/>
  <c r="AC1239" i="12" s="1"/>
  <c r="Y1205" i="12"/>
  <c r="Z1205" i="12"/>
  <c r="AA1205" i="12" s="1"/>
  <c r="AB1205" i="12" s="1"/>
  <c r="AC1205" i="12" s="1"/>
  <c r="Y1210" i="12"/>
  <c r="Z1210" i="12"/>
  <c r="AA1210" i="12" s="1"/>
  <c r="AB1210" i="12" s="1"/>
  <c r="AC1210" i="12" s="1"/>
  <c r="Z507" i="12"/>
  <c r="AA507" i="12" s="1"/>
  <c r="AB507" i="12" s="1"/>
  <c r="AC507" i="12" s="1"/>
  <c r="Z567" i="12"/>
  <c r="AA567" i="12" s="1"/>
  <c r="AB567" i="12" s="1"/>
  <c r="AC567" i="12" s="1"/>
  <c r="Z416" i="12"/>
  <c r="AA416" i="12" s="1"/>
  <c r="AB416" i="12" s="1"/>
  <c r="AC416" i="12" s="1"/>
  <c r="Y515" i="12"/>
  <c r="Y617" i="12"/>
  <c r="Y651" i="12"/>
  <c r="Y663" i="12"/>
  <c r="Z515" i="12"/>
  <c r="AA515" i="12" s="1"/>
  <c r="AB515" i="12" s="1"/>
  <c r="AC515" i="12" s="1"/>
  <c r="Y546" i="12"/>
  <c r="Z617" i="12"/>
  <c r="AA617" i="12" s="1"/>
  <c r="AB617" i="12" s="1"/>
  <c r="AC617" i="12" s="1"/>
  <c r="Z651" i="12"/>
  <c r="AA651" i="12" s="1"/>
  <c r="AB651" i="12" s="1"/>
  <c r="AC651" i="12" s="1"/>
  <c r="Z663" i="12"/>
  <c r="AA663" i="12" s="1"/>
  <c r="AB663" i="12" s="1"/>
  <c r="AC663" i="12" s="1"/>
  <c r="Z546" i="12"/>
  <c r="AA546" i="12" s="1"/>
  <c r="AB546" i="12" s="1"/>
  <c r="AC546" i="12" s="1"/>
  <c r="Z436" i="12"/>
  <c r="AA436" i="12" s="1"/>
  <c r="AB436" i="12" s="1"/>
  <c r="AC436" i="12" s="1"/>
  <c r="Y561" i="12"/>
  <c r="Y659" i="12"/>
  <c r="Z561" i="12"/>
  <c r="AA561" i="12" s="1"/>
  <c r="AB561" i="12" s="1"/>
  <c r="AC561" i="12" s="1"/>
  <c r="Z659" i="12"/>
  <c r="AA659" i="12" s="1"/>
  <c r="AB659" i="12" s="1"/>
  <c r="AC659" i="12" s="1"/>
  <c r="Y801" i="12"/>
  <c r="Z704" i="12"/>
  <c r="AA704" i="12" s="1"/>
  <c r="AB704" i="12" s="1"/>
  <c r="AC704" i="12" s="1"/>
  <c r="Y416" i="12"/>
  <c r="Y507" i="12"/>
  <c r="Y643" i="12"/>
  <c r="Y436" i="12"/>
  <c r="Z643" i="12"/>
  <c r="AA643" i="12" s="1"/>
  <c r="AB643" i="12" s="1"/>
  <c r="AC643" i="12" s="1"/>
  <c r="Y601" i="12"/>
  <c r="Z801" i="12"/>
  <c r="AA801" i="12" s="1"/>
  <c r="AB801" i="12" s="1"/>
  <c r="AC801" i="12" s="1"/>
  <c r="Z601" i="12"/>
  <c r="AA601" i="12" s="1"/>
  <c r="AB601" i="12" s="1"/>
  <c r="AC601" i="12" s="1"/>
  <c r="Y567" i="12"/>
  <c r="Y704" i="12"/>
  <c r="Y612" i="12"/>
  <c r="Z612" i="12"/>
  <c r="AA612" i="12" s="1"/>
  <c r="AB612" i="12" s="1"/>
  <c r="AC612" i="12" s="1"/>
  <c r="Y947" i="12"/>
  <c r="Z947" i="12"/>
  <c r="AA947" i="12" s="1"/>
  <c r="AB947" i="12" s="1"/>
  <c r="AC947" i="12" s="1"/>
  <c r="Y1048" i="12"/>
  <c r="Z1048" i="12"/>
  <c r="AA1048" i="12" s="1"/>
  <c r="AB1048" i="12" s="1"/>
  <c r="AC1048" i="12" s="1"/>
  <c r="Z951" i="12"/>
  <c r="AA951" i="12" s="1"/>
  <c r="AB951" i="12" s="1"/>
  <c r="AC951" i="12" s="1"/>
  <c r="Y951" i="12"/>
  <c r="Y611" i="12"/>
  <c r="Z730" i="12"/>
  <c r="AA730" i="12" s="1"/>
  <c r="AB730" i="12" s="1"/>
  <c r="AC730" i="12" s="1"/>
  <c r="Y1047" i="12"/>
  <c r="Z1047" i="12"/>
  <c r="AA1047" i="12" s="1"/>
  <c r="AB1047" i="12" s="1"/>
  <c r="AC1047" i="12" s="1"/>
  <c r="Z611" i="12"/>
  <c r="AA611" i="12" s="1"/>
  <c r="AB611" i="12" s="1"/>
  <c r="AC611" i="12" s="1"/>
  <c r="Y730" i="12"/>
  <c r="Y946" i="12"/>
  <c r="Z946" i="12"/>
  <c r="AA946" i="12" s="1"/>
  <c r="AB946" i="12" s="1"/>
  <c r="AC946" i="12" s="1"/>
  <c r="Y1009" i="12"/>
  <c r="Z1009" i="12"/>
  <c r="AA1009" i="12" s="1"/>
  <c r="AB1009" i="12" s="1"/>
  <c r="AC1009" i="12" s="1"/>
  <c r="Z1157" i="12"/>
  <c r="AA1157" i="12" s="1"/>
  <c r="AB1157" i="12" s="1"/>
  <c r="AC1157" i="12" s="1"/>
  <c r="Y1157" i="12"/>
  <c r="Y1010" i="12"/>
  <c r="Z1010" i="12"/>
  <c r="AA1010" i="12" s="1"/>
  <c r="AB1010" i="12" s="1"/>
  <c r="AC1010" i="12" s="1"/>
  <c r="Z477" i="12"/>
  <c r="AA477" i="12" s="1"/>
  <c r="AB477" i="12" s="1"/>
  <c r="AC477" i="12" s="1"/>
  <c r="Y734" i="12"/>
  <c r="Y1079" i="12"/>
  <c r="Z1079" i="12"/>
  <c r="AA1079" i="12" s="1"/>
  <c r="AB1079" i="12" s="1"/>
  <c r="AC1079" i="12" s="1"/>
  <c r="Y1031" i="12"/>
  <c r="Y1041" i="12"/>
  <c r="Y950" i="12"/>
  <c r="Z1031" i="12"/>
  <c r="AA1031" i="12" s="1"/>
  <c r="AB1031" i="12" s="1"/>
  <c r="AC1031" i="12" s="1"/>
  <c r="Z1041" i="12"/>
  <c r="AA1041" i="12" s="1"/>
  <c r="AB1041" i="12" s="1"/>
  <c r="AC1041" i="12" s="1"/>
  <c r="Z734" i="12"/>
  <c r="AA734" i="12" s="1"/>
  <c r="AB734" i="12" s="1"/>
  <c r="AC734" i="12" s="1"/>
  <c r="Z950" i="12"/>
  <c r="AA950" i="12" s="1"/>
  <c r="AB950" i="12" s="1"/>
  <c r="AC950" i="12" s="1"/>
  <c r="Y1028" i="12"/>
  <c r="Z1028" i="12"/>
  <c r="AA1028" i="12" s="1"/>
  <c r="AB1028" i="12" s="1"/>
  <c r="AC1028" i="12" s="1"/>
  <c r="Y477" i="12"/>
  <c r="Y605" i="12"/>
  <c r="Y1082" i="12"/>
  <c r="Y940" i="12"/>
  <c r="Z605" i="12"/>
  <c r="AA605" i="12" s="1"/>
  <c r="AB605" i="12" s="1"/>
  <c r="AC605" i="12" s="1"/>
  <c r="Z940" i="12"/>
  <c r="AA940" i="12" s="1"/>
  <c r="AB940" i="12" s="1"/>
  <c r="AC940" i="12" s="1"/>
  <c r="Z1082" i="12"/>
  <c r="AA1082" i="12" s="1"/>
  <c r="AB1082" i="12" s="1"/>
  <c r="AC1082" i="12" s="1"/>
  <c r="Y625" i="12"/>
  <c r="Z625" i="12"/>
  <c r="AA625" i="12" s="1"/>
  <c r="AB625" i="12" s="1"/>
  <c r="AC625" i="12" s="1"/>
  <c r="Y624" i="12"/>
  <c r="Z624" i="12"/>
  <c r="AA624" i="12" s="1"/>
  <c r="AB624" i="12" s="1"/>
  <c r="AC624" i="12" s="1"/>
  <c r="Y623" i="12"/>
  <c r="Z623" i="12"/>
  <c r="AA623" i="12" s="1"/>
  <c r="AB623" i="12" s="1"/>
  <c r="AC623" i="12" s="1"/>
  <c r="Y622" i="12"/>
  <c r="Z622" i="12"/>
  <c r="AA622" i="12" s="1"/>
  <c r="AB622" i="12" s="1"/>
  <c r="AC622" i="12" s="1"/>
  <c r="Z583" i="12"/>
  <c r="AA583" i="12" s="1"/>
  <c r="AB583" i="12" s="1"/>
  <c r="AC583" i="12" s="1"/>
  <c r="Y583" i="12"/>
  <c r="Y934" i="12"/>
  <c r="Z934" i="12"/>
  <c r="AA934" i="12" s="1"/>
  <c r="AB934" i="12" s="1"/>
  <c r="AC934" i="12" s="1"/>
  <c r="Y578" i="12"/>
  <c r="Z578" i="12"/>
  <c r="AA578" i="12" s="1"/>
  <c r="AB578" i="12" s="1"/>
  <c r="AC578" i="12" s="1"/>
  <c r="Y549" i="12"/>
  <c r="Y564" i="12"/>
  <c r="Z549" i="12"/>
  <c r="AA549" i="12" s="1"/>
  <c r="AB549" i="12" s="1"/>
  <c r="AC549" i="12" s="1"/>
  <c r="Z564" i="12"/>
  <c r="AA564" i="12" s="1"/>
  <c r="AB564" i="12" s="1"/>
  <c r="AC564" i="12" s="1"/>
  <c r="Z620" i="12"/>
  <c r="AA620" i="12" s="1"/>
  <c r="AB620" i="12" s="1"/>
  <c r="AC620" i="12" s="1"/>
  <c r="Y510" i="12"/>
  <c r="Y662" i="12"/>
  <c r="Z701" i="12"/>
  <c r="AA701" i="12" s="1"/>
  <c r="AB701" i="12" s="1"/>
  <c r="AC701" i="12" s="1"/>
  <c r="Y654" i="12"/>
  <c r="Y703" i="12"/>
  <c r="Z654" i="12"/>
  <c r="AA654" i="12" s="1"/>
  <c r="AB654" i="12" s="1"/>
  <c r="AC654" i="12" s="1"/>
  <c r="Y604" i="12"/>
  <c r="Z662" i="12"/>
  <c r="AA662" i="12" s="1"/>
  <c r="AB662" i="12" s="1"/>
  <c r="AC662" i="12" s="1"/>
  <c r="Y800" i="12"/>
  <c r="Y439" i="12"/>
  <c r="Z604" i="12"/>
  <c r="AA604" i="12" s="1"/>
  <c r="AB604" i="12" s="1"/>
  <c r="AC604" i="12" s="1"/>
  <c r="Y701" i="12"/>
  <c r="Z800" i="12"/>
  <c r="AA800" i="12" s="1"/>
  <c r="AB800" i="12" s="1"/>
  <c r="AC800" i="12" s="1"/>
  <c r="Z439" i="12"/>
  <c r="AA439" i="12" s="1"/>
  <c r="AB439" i="12" s="1"/>
  <c r="AC439" i="12" s="1"/>
  <c r="Z703" i="12"/>
  <c r="AA703" i="12" s="1"/>
  <c r="AB703" i="12" s="1"/>
  <c r="AC703" i="12" s="1"/>
  <c r="Y620" i="12"/>
  <c r="Z510" i="12"/>
  <c r="AA510" i="12" s="1"/>
  <c r="AB510" i="12" s="1"/>
  <c r="AC510" i="12" s="1"/>
  <c r="Z438" i="12"/>
  <c r="AA438" i="12" s="1"/>
  <c r="AB438" i="12" s="1"/>
  <c r="AC438" i="12" s="1"/>
  <c r="Z563" i="12"/>
  <c r="AA563" i="12" s="1"/>
  <c r="AB563" i="12" s="1"/>
  <c r="AC563" i="12" s="1"/>
  <c r="Z661" i="12"/>
  <c r="AA661" i="12" s="1"/>
  <c r="AB661" i="12" s="1"/>
  <c r="AC661" i="12" s="1"/>
  <c r="Y653" i="12"/>
  <c r="Y548" i="12"/>
  <c r="Y509" i="12"/>
  <c r="Y603" i="12"/>
  <c r="Z509" i="12"/>
  <c r="AA509" i="12" s="1"/>
  <c r="AB509" i="12" s="1"/>
  <c r="AC509" i="12" s="1"/>
  <c r="Z603" i="12"/>
  <c r="AA603" i="12" s="1"/>
  <c r="AB603" i="12" s="1"/>
  <c r="AC603" i="12" s="1"/>
  <c r="Z548" i="12"/>
  <c r="AA548" i="12" s="1"/>
  <c r="AB548" i="12" s="1"/>
  <c r="AC548" i="12" s="1"/>
  <c r="Y619" i="12"/>
  <c r="Z619" i="12"/>
  <c r="AA619" i="12" s="1"/>
  <c r="AB619" i="12" s="1"/>
  <c r="AC619" i="12" s="1"/>
  <c r="Z653" i="12"/>
  <c r="AA653" i="12" s="1"/>
  <c r="AB653" i="12" s="1"/>
  <c r="AC653" i="12" s="1"/>
  <c r="Y563" i="12"/>
  <c r="Y438" i="12"/>
  <c r="Y661" i="12"/>
  <c r="Y508" i="12"/>
  <c r="Y602" i="12"/>
  <c r="Z508" i="12"/>
  <c r="AA508" i="12" s="1"/>
  <c r="AB508" i="12" s="1"/>
  <c r="AC508" i="12" s="1"/>
  <c r="Z602" i="12"/>
  <c r="AA602" i="12" s="1"/>
  <c r="AB602" i="12" s="1"/>
  <c r="AC602" i="12" s="1"/>
  <c r="Y547" i="12"/>
  <c r="Y618" i="12"/>
  <c r="Z652" i="12"/>
  <c r="AA652" i="12" s="1"/>
  <c r="AB652" i="12" s="1"/>
  <c r="AC652" i="12" s="1"/>
  <c r="Z547" i="12"/>
  <c r="AA547" i="12" s="1"/>
  <c r="AB547" i="12" s="1"/>
  <c r="AC547" i="12" s="1"/>
  <c r="Z618" i="12"/>
  <c r="AA618" i="12" s="1"/>
  <c r="AB618" i="12" s="1"/>
  <c r="AC618" i="12" s="1"/>
  <c r="Y562" i="12"/>
  <c r="Y652" i="12"/>
  <c r="Y660" i="12"/>
  <c r="Y437" i="12"/>
  <c r="Z562" i="12"/>
  <c r="AA562" i="12" s="1"/>
  <c r="AB562" i="12" s="1"/>
  <c r="AC562" i="12" s="1"/>
  <c r="Z660" i="12"/>
  <c r="AA660" i="12" s="1"/>
  <c r="AB660" i="12" s="1"/>
  <c r="AC660" i="12" s="1"/>
  <c r="Z437" i="12"/>
  <c r="AA437" i="12" s="1"/>
  <c r="AB437" i="12" s="1"/>
  <c r="AC437" i="12" s="1"/>
  <c r="L39" i="6"/>
  <c r="J39" i="6" s="1"/>
  <c r="B64" i="6"/>
  <c r="B59" i="6"/>
  <c r="Y1247" i="12" l="1"/>
  <c r="Z1247" i="12"/>
  <c r="AA1247" i="12" s="1"/>
  <c r="AB1247" i="12" s="1"/>
  <c r="AC1247" i="12" s="1"/>
  <c r="Y1248" i="12"/>
  <c r="Z1248" i="12"/>
  <c r="AA1248" i="12" s="1"/>
  <c r="AB1248" i="12" s="1"/>
  <c r="AC1248" i="12" s="1"/>
  <c r="Z1161" i="12"/>
  <c r="AA1161" i="12" s="1"/>
  <c r="AB1161" i="12" s="1"/>
  <c r="AC1161" i="12" s="1"/>
  <c r="Y1161" i="12"/>
  <c r="Y476" i="12"/>
  <c r="Z476" i="12"/>
  <c r="AA476" i="12" s="1"/>
  <c r="AB476" i="12" s="1"/>
  <c r="AC476" i="12" s="1"/>
  <c r="Y607" i="12"/>
  <c r="Y733" i="12"/>
  <c r="Z607" i="12"/>
  <c r="AA607" i="12" s="1"/>
  <c r="AB607" i="12" s="1"/>
  <c r="AC607" i="12" s="1"/>
  <c r="Z733" i="12"/>
  <c r="AA733" i="12" s="1"/>
  <c r="AB733" i="12" s="1"/>
  <c r="AC733" i="12" s="1"/>
  <c r="Z497" i="12"/>
  <c r="AA497" i="12" s="1"/>
  <c r="AB497" i="12" s="1"/>
  <c r="AC497" i="12" s="1"/>
  <c r="Y258" i="12"/>
  <c r="Z258" i="12"/>
  <c r="AA258" i="12" s="1"/>
  <c r="AB258" i="12" s="1"/>
  <c r="AC258" i="12" s="1"/>
  <c r="Y722" i="12"/>
  <c r="Y497" i="12"/>
  <c r="Z848" i="12"/>
  <c r="AA848" i="12" s="1"/>
  <c r="AB848" i="12" s="1"/>
  <c r="AC848" i="12" s="1"/>
  <c r="Y831" i="12"/>
  <c r="Y850" i="12"/>
  <c r="Y942" i="12"/>
  <c r="Z722" i="12"/>
  <c r="AA722" i="12" s="1"/>
  <c r="AB722" i="12" s="1"/>
  <c r="AC722" i="12" s="1"/>
  <c r="Z831" i="12"/>
  <c r="AA831" i="12" s="1"/>
  <c r="AB831" i="12" s="1"/>
  <c r="AC831" i="12" s="1"/>
  <c r="Z850" i="12"/>
  <c r="AA850" i="12" s="1"/>
  <c r="AB850" i="12" s="1"/>
  <c r="AC850" i="12" s="1"/>
  <c r="Z942" i="12"/>
  <c r="AA942" i="12" s="1"/>
  <c r="AB942" i="12" s="1"/>
  <c r="AC942" i="12" s="1"/>
  <c r="Y1026" i="12"/>
  <c r="Y773" i="12"/>
  <c r="Z1026" i="12"/>
  <c r="AA1026" i="12" s="1"/>
  <c r="AB1026" i="12" s="1"/>
  <c r="AC1026" i="12" s="1"/>
  <c r="Y1033" i="12"/>
  <c r="Y1078" i="12"/>
  <c r="Z773" i="12"/>
  <c r="AA773" i="12" s="1"/>
  <c r="AB773" i="12" s="1"/>
  <c r="AC773" i="12" s="1"/>
  <c r="Y881" i="12"/>
  <c r="Z1033" i="12"/>
  <c r="AA1033" i="12" s="1"/>
  <c r="AB1033" i="12" s="1"/>
  <c r="AC1033" i="12" s="1"/>
  <c r="Y1043" i="12"/>
  <c r="Z1078" i="12"/>
  <c r="AA1078" i="12" s="1"/>
  <c r="AB1078" i="12" s="1"/>
  <c r="AC1078" i="12" s="1"/>
  <c r="Z1043" i="12"/>
  <c r="AA1043" i="12" s="1"/>
  <c r="AB1043" i="12" s="1"/>
  <c r="AC1043" i="12" s="1"/>
  <c r="Z881" i="12"/>
  <c r="AA881" i="12" s="1"/>
  <c r="AB881" i="12" s="1"/>
  <c r="AC881" i="12" s="1"/>
  <c r="Y928" i="12"/>
  <c r="Y949" i="12"/>
  <c r="Y1030" i="12"/>
  <c r="Y628" i="12"/>
  <c r="Z928" i="12"/>
  <c r="AA928" i="12" s="1"/>
  <c r="AB928" i="12" s="1"/>
  <c r="AC928" i="12" s="1"/>
  <c r="Z949" i="12"/>
  <c r="AA949" i="12" s="1"/>
  <c r="AB949" i="12" s="1"/>
  <c r="AC949" i="12" s="1"/>
  <c r="Z1030" i="12"/>
  <c r="AA1030" i="12" s="1"/>
  <c r="AB1030" i="12" s="1"/>
  <c r="AC1030" i="12" s="1"/>
  <c r="Z628" i="12"/>
  <c r="AA628" i="12" s="1"/>
  <c r="AB628" i="12" s="1"/>
  <c r="AC628" i="12" s="1"/>
  <c r="Y846" i="12"/>
  <c r="Y848" i="12"/>
  <c r="Z846" i="12"/>
  <c r="AA846" i="12" s="1"/>
  <c r="AB846" i="12" s="1"/>
  <c r="AC846" i="12" s="1"/>
  <c r="Y496" i="12"/>
  <c r="Z496" i="12"/>
  <c r="AA496" i="12" s="1"/>
  <c r="AB496" i="12" s="1"/>
  <c r="AC496" i="12" s="1"/>
  <c r="Y257" i="12"/>
  <c r="Y627" i="12"/>
  <c r="Y849" i="12"/>
  <c r="Z257" i="12"/>
  <c r="AA257" i="12" s="1"/>
  <c r="AB257" i="12" s="1"/>
  <c r="AC257" i="12" s="1"/>
  <c r="Z627" i="12"/>
  <c r="AA627" i="12" s="1"/>
  <c r="AB627" i="12" s="1"/>
  <c r="AC627" i="12" s="1"/>
  <c r="Y721" i="12"/>
  <c r="Z475" i="12"/>
  <c r="AA475" i="12" s="1"/>
  <c r="AB475" i="12" s="1"/>
  <c r="AC475" i="12" s="1"/>
  <c r="Z606" i="12"/>
  <c r="AA606" i="12" s="1"/>
  <c r="AB606" i="12" s="1"/>
  <c r="AC606" i="12" s="1"/>
  <c r="Y428" i="12"/>
  <c r="Z428" i="12"/>
  <c r="AA428" i="12" s="1"/>
  <c r="AB428" i="12" s="1"/>
  <c r="AC428" i="12" s="1"/>
  <c r="Y847" i="12"/>
  <c r="Y927" i="12"/>
  <c r="Y948" i="12"/>
  <c r="Y1029" i="12"/>
  <c r="Z927" i="12"/>
  <c r="AA927" i="12" s="1"/>
  <c r="AB927" i="12" s="1"/>
  <c r="AC927" i="12" s="1"/>
  <c r="Z948" i="12"/>
  <c r="AA948" i="12" s="1"/>
  <c r="AB948" i="12" s="1"/>
  <c r="AC948" i="12" s="1"/>
  <c r="Z1029" i="12"/>
  <c r="AA1029" i="12" s="1"/>
  <c r="AB1029" i="12" s="1"/>
  <c r="AC1029" i="12" s="1"/>
  <c r="Y845" i="12"/>
  <c r="Y732" i="12"/>
  <c r="Z845" i="12"/>
  <c r="AA845" i="12" s="1"/>
  <c r="AB845" i="12" s="1"/>
  <c r="AC845" i="12" s="1"/>
  <c r="Y606" i="12"/>
  <c r="Z732" i="12"/>
  <c r="AA732" i="12" s="1"/>
  <c r="AB732" i="12" s="1"/>
  <c r="AC732" i="12" s="1"/>
  <c r="Z847" i="12"/>
  <c r="AA847" i="12" s="1"/>
  <c r="AB847" i="12" s="1"/>
  <c r="AC847" i="12" s="1"/>
  <c r="Y941" i="12"/>
  <c r="Y1087" i="12"/>
  <c r="Y830" i="12"/>
  <c r="Z849" i="12"/>
  <c r="AA849" i="12" s="1"/>
  <c r="AB849" i="12" s="1"/>
  <c r="AC849" i="12" s="1"/>
  <c r="Z941" i="12"/>
  <c r="AA941" i="12" s="1"/>
  <c r="AB941" i="12" s="1"/>
  <c r="AC941" i="12" s="1"/>
  <c r="Y475" i="12"/>
  <c r="Z830" i="12"/>
  <c r="AA830" i="12" s="1"/>
  <c r="AB830" i="12" s="1"/>
  <c r="AC830" i="12" s="1"/>
  <c r="Z721" i="12"/>
  <c r="AA721" i="12" s="1"/>
  <c r="AB721" i="12" s="1"/>
  <c r="AC721" i="12" s="1"/>
  <c r="Y1025" i="12"/>
  <c r="Z1025" i="12"/>
  <c r="AA1025" i="12" s="1"/>
  <c r="AB1025" i="12" s="1"/>
  <c r="AC1025" i="12" s="1"/>
  <c r="Y1032" i="12"/>
  <c r="Y1077" i="12"/>
  <c r="Y772" i="12"/>
  <c r="Z772" i="12"/>
  <c r="AA772" i="12" s="1"/>
  <c r="AB772" i="12" s="1"/>
  <c r="AC772" i="12" s="1"/>
  <c r="Y880" i="12"/>
  <c r="Z1077" i="12"/>
  <c r="AA1077" i="12" s="1"/>
  <c r="AB1077" i="12" s="1"/>
  <c r="AC1077" i="12" s="1"/>
  <c r="Z880" i="12"/>
  <c r="AA880" i="12" s="1"/>
  <c r="AB880" i="12" s="1"/>
  <c r="AC880" i="12" s="1"/>
  <c r="Y1042" i="12"/>
  <c r="Z1087" i="12"/>
  <c r="AA1087" i="12" s="1"/>
  <c r="AB1087" i="12" s="1"/>
  <c r="AC1087" i="12" s="1"/>
  <c r="Z1032" i="12"/>
  <c r="AA1032" i="12" s="1"/>
  <c r="AB1032" i="12" s="1"/>
  <c r="AC1032" i="12" s="1"/>
  <c r="Z1042" i="12"/>
  <c r="AA1042" i="12" s="1"/>
  <c r="AB1042" i="12" s="1"/>
  <c r="AC1042" i="12" s="1"/>
  <c r="B20" i="6"/>
  <c r="I20" i="6" s="1"/>
  <c r="G20" i="6" s="1"/>
  <c r="B19" i="6"/>
  <c r="I19" i="6" s="1"/>
  <c r="G19" i="6" s="1"/>
  <c r="B18" i="6"/>
  <c r="I18" i="6" s="1"/>
  <c r="G18" i="6" s="1"/>
  <c r="L3" i="6"/>
  <c r="J3" i="6" s="1"/>
  <c r="Z504" i="12" l="1"/>
  <c r="AA504" i="12" s="1"/>
  <c r="AB504" i="12" s="1"/>
  <c r="AC504" i="12" s="1"/>
  <c r="Y558" i="12"/>
  <c r="Y656" i="12"/>
  <c r="Z558" i="12"/>
  <c r="AA558" i="12" s="1"/>
  <c r="AB558" i="12" s="1"/>
  <c r="AC558" i="12" s="1"/>
  <c r="Z656" i="12"/>
  <c r="AA656" i="12" s="1"/>
  <c r="AB656" i="12" s="1"/>
  <c r="AC656" i="12" s="1"/>
  <c r="Y702" i="12"/>
  <c r="Y614" i="12"/>
  <c r="Z702" i="12"/>
  <c r="AA702" i="12" s="1"/>
  <c r="AB702" i="12" s="1"/>
  <c r="AC702" i="12" s="1"/>
  <c r="Z543" i="12"/>
  <c r="AA543" i="12" s="1"/>
  <c r="AB543" i="12" s="1"/>
  <c r="AC543" i="12" s="1"/>
  <c r="Y648" i="12"/>
  <c r="Z648" i="12"/>
  <c r="AA648" i="12" s="1"/>
  <c r="AB648" i="12" s="1"/>
  <c r="AC648" i="12" s="1"/>
  <c r="Y598" i="12"/>
  <c r="Z598" i="12"/>
  <c r="AA598" i="12" s="1"/>
  <c r="AB598" i="12" s="1"/>
  <c r="AC598" i="12" s="1"/>
  <c r="Z614" i="12"/>
  <c r="AA614" i="12" s="1"/>
  <c r="AB614" i="12" s="1"/>
  <c r="AC614" i="12" s="1"/>
  <c r="Y799" i="12"/>
  <c r="Y504" i="12"/>
  <c r="Y543" i="12"/>
  <c r="Z799" i="12"/>
  <c r="AA799" i="12" s="1"/>
  <c r="AB799" i="12" s="1"/>
  <c r="AC799" i="12" s="1"/>
  <c r="Y700" i="12"/>
  <c r="Z700" i="12"/>
  <c r="AA700" i="12" s="1"/>
  <c r="AB700" i="12" s="1"/>
  <c r="AC700" i="12" s="1"/>
  <c r="Y433" i="12"/>
  <c r="Z433" i="12"/>
  <c r="AA433" i="12" s="1"/>
  <c r="AB433" i="12" s="1"/>
  <c r="AC433" i="12" s="1"/>
  <c r="Z542" i="12"/>
  <c r="AA542" i="12" s="1"/>
  <c r="AB542" i="12" s="1"/>
  <c r="AC542" i="12" s="1"/>
  <c r="Y503" i="12"/>
  <c r="Z503" i="12"/>
  <c r="AA503" i="12" s="1"/>
  <c r="AB503" i="12" s="1"/>
  <c r="AC503" i="12" s="1"/>
  <c r="Y432" i="12"/>
  <c r="Z557" i="12"/>
  <c r="AA557" i="12" s="1"/>
  <c r="AB557" i="12" s="1"/>
  <c r="AC557" i="12" s="1"/>
  <c r="Z613" i="12"/>
  <c r="AA613" i="12" s="1"/>
  <c r="AB613" i="12" s="1"/>
  <c r="AC613" i="12" s="1"/>
  <c r="Y647" i="12"/>
  <c r="Y613" i="12"/>
  <c r="Y542" i="12"/>
  <c r="Z432" i="12"/>
  <c r="AA432" i="12" s="1"/>
  <c r="AB432" i="12" s="1"/>
  <c r="AC432" i="12" s="1"/>
  <c r="Z647" i="12"/>
  <c r="AA647" i="12" s="1"/>
  <c r="AB647" i="12" s="1"/>
  <c r="AC647" i="12" s="1"/>
  <c r="Y655" i="12"/>
  <c r="Y557" i="12"/>
  <c r="Z655" i="12"/>
  <c r="AA655" i="12" s="1"/>
  <c r="AB655" i="12" s="1"/>
  <c r="AC655" i="12" s="1"/>
  <c r="Y597" i="12"/>
  <c r="Z597" i="12"/>
  <c r="AA597" i="12" s="1"/>
  <c r="AB597" i="12" s="1"/>
  <c r="AC597" i="12" s="1"/>
  <c r="Z559" i="12"/>
  <c r="AA559" i="12" s="1"/>
  <c r="AB559" i="12" s="1"/>
  <c r="AC559" i="12" s="1"/>
  <c r="Y544" i="12"/>
  <c r="Z649" i="12"/>
  <c r="AA649" i="12" s="1"/>
  <c r="AB649" i="12" s="1"/>
  <c r="AC649" i="12" s="1"/>
  <c r="Z544" i="12"/>
  <c r="AA544" i="12" s="1"/>
  <c r="AB544" i="12" s="1"/>
  <c r="AC544" i="12" s="1"/>
  <c r="Y505" i="12"/>
  <c r="Z505" i="12"/>
  <c r="AA505" i="12" s="1"/>
  <c r="AB505" i="12" s="1"/>
  <c r="AC505" i="12" s="1"/>
  <c r="Y434" i="12"/>
  <c r="Z599" i="12"/>
  <c r="AA599" i="12" s="1"/>
  <c r="AB599" i="12" s="1"/>
  <c r="AC599" i="12" s="1"/>
  <c r="Y615" i="12"/>
  <c r="Z615" i="12"/>
  <c r="AA615" i="12" s="1"/>
  <c r="AB615" i="12" s="1"/>
  <c r="AC615" i="12" s="1"/>
  <c r="Z434" i="12"/>
  <c r="AA434" i="12" s="1"/>
  <c r="AB434" i="12" s="1"/>
  <c r="AC434" i="12" s="1"/>
  <c r="Y559" i="12"/>
  <c r="Y649" i="12"/>
  <c r="Y657" i="12"/>
  <c r="Z657" i="12"/>
  <c r="AA657" i="12" s="1"/>
  <c r="AB657" i="12" s="1"/>
  <c r="AC657" i="12" s="1"/>
  <c r="Y599" i="12"/>
  <c r="B14" i="6"/>
  <c r="I14" i="6" s="1"/>
  <c r="G14" i="6" s="1"/>
  <c r="Y31" i="12" l="1"/>
  <c r="Z31" i="12"/>
  <c r="AA31" i="12" s="1"/>
  <c r="AB31" i="12" s="1"/>
  <c r="AC31" i="12" s="1"/>
  <c r="Y19" i="12"/>
  <c r="Y48" i="12"/>
  <c r="Z19" i="12"/>
  <c r="AA19" i="12" s="1"/>
  <c r="AB19" i="12" s="1"/>
  <c r="AC19" i="12" s="1"/>
  <c r="Z48" i="12"/>
  <c r="AA48" i="12" s="1"/>
  <c r="AB48" i="12" s="1"/>
  <c r="AC48" i="12" s="1"/>
  <c r="Y89" i="12"/>
  <c r="Y21" i="12"/>
  <c r="Y53" i="12"/>
  <c r="Z89" i="12"/>
  <c r="AA89" i="12" s="1"/>
  <c r="AB89" i="12" s="1"/>
  <c r="AC89" i="12" s="1"/>
  <c r="Y111" i="12"/>
  <c r="Z21" i="12"/>
  <c r="AA21" i="12" s="1"/>
  <c r="AB21" i="12" s="1"/>
  <c r="AC21" i="12" s="1"/>
  <c r="Z53" i="12"/>
  <c r="AA53" i="12" s="1"/>
  <c r="AB53" i="12" s="1"/>
  <c r="AC53" i="12" s="1"/>
  <c r="Z111" i="12"/>
  <c r="AA111" i="12" s="1"/>
  <c r="AB111" i="12" s="1"/>
  <c r="AC111" i="12" s="1"/>
  <c r="Y183" i="12"/>
  <c r="Y188" i="12"/>
  <c r="Z251" i="12"/>
  <c r="AA251" i="12" s="1"/>
  <c r="AB251" i="12" s="1"/>
  <c r="AC251" i="12" s="1"/>
  <c r="Y256" i="12"/>
  <c r="Y343" i="12"/>
  <c r="Y96" i="12"/>
  <c r="Z183" i="12"/>
  <c r="AA183" i="12" s="1"/>
  <c r="AB183" i="12" s="1"/>
  <c r="AC183" i="12" s="1"/>
  <c r="Z188" i="12"/>
  <c r="AA188" i="12" s="1"/>
  <c r="AB188" i="12" s="1"/>
  <c r="AC188" i="12" s="1"/>
  <c r="Y202" i="12"/>
  <c r="Z256" i="12"/>
  <c r="AA256" i="12" s="1"/>
  <c r="AB256" i="12" s="1"/>
  <c r="AC256" i="12" s="1"/>
  <c r="Z343" i="12"/>
  <c r="AA343" i="12" s="1"/>
  <c r="AB343" i="12" s="1"/>
  <c r="AC343" i="12" s="1"/>
  <c r="Y60" i="12"/>
  <c r="Z96" i="12"/>
  <c r="AA96" i="12" s="1"/>
  <c r="AB96" i="12" s="1"/>
  <c r="AC96" i="12" s="1"/>
  <c r="Y145" i="12"/>
  <c r="Z202" i="12"/>
  <c r="AA202" i="12" s="1"/>
  <c r="AB202" i="12" s="1"/>
  <c r="AC202" i="12" s="1"/>
  <c r="Z60" i="12"/>
  <c r="AA60" i="12" s="1"/>
  <c r="AB60" i="12" s="1"/>
  <c r="AC60" i="12" s="1"/>
  <c r="Z145" i="12"/>
  <c r="AA145" i="12" s="1"/>
  <c r="AB145" i="12" s="1"/>
  <c r="AC145" i="12" s="1"/>
  <c r="Y44" i="12"/>
  <c r="Z44" i="12"/>
  <c r="AA44" i="12" s="1"/>
  <c r="AB44" i="12" s="1"/>
  <c r="AC44" i="12" s="1"/>
  <c r="Y161" i="12"/>
  <c r="Z161" i="12"/>
  <c r="AA161" i="12" s="1"/>
  <c r="AB161" i="12" s="1"/>
  <c r="AC161" i="12" s="1"/>
  <c r="Y126" i="12"/>
  <c r="Y356" i="12"/>
  <c r="Z126" i="12"/>
  <c r="AA126" i="12" s="1"/>
  <c r="AB126" i="12" s="1"/>
  <c r="AC126" i="12" s="1"/>
  <c r="Z356" i="12"/>
  <c r="AA356" i="12" s="1"/>
  <c r="AB356" i="12" s="1"/>
  <c r="AC356" i="12" s="1"/>
  <c r="Y395" i="12"/>
  <c r="Y245" i="12"/>
  <c r="Z395" i="12"/>
  <c r="AA395" i="12" s="1"/>
  <c r="AB395" i="12" s="1"/>
  <c r="AC395" i="12" s="1"/>
  <c r="Z245" i="12"/>
  <c r="AA245" i="12" s="1"/>
  <c r="AB245" i="12" s="1"/>
  <c r="AC245" i="12" s="1"/>
  <c r="Y365" i="12"/>
  <c r="Z674" i="12"/>
  <c r="AA674" i="12" s="1"/>
  <c r="AB674" i="12" s="1"/>
  <c r="AC674" i="12" s="1"/>
  <c r="Y251" i="12"/>
  <c r="Z365" i="12"/>
  <c r="AA365" i="12" s="1"/>
  <c r="AB365" i="12" s="1"/>
  <c r="AC365" i="12" s="1"/>
  <c r="Z664" i="12"/>
  <c r="AA664" i="12" s="1"/>
  <c r="AB664" i="12" s="1"/>
  <c r="AC664" i="12" s="1"/>
  <c r="Y671" i="12"/>
  <c r="Y244" i="12"/>
  <c r="Y369" i="12"/>
  <c r="Z671" i="12"/>
  <c r="AA671" i="12" s="1"/>
  <c r="AB671" i="12" s="1"/>
  <c r="AC671" i="12" s="1"/>
  <c r="Y664" i="12"/>
  <c r="Y414" i="12"/>
  <c r="Y674" i="12"/>
  <c r="Z414" i="12"/>
  <c r="AA414" i="12" s="1"/>
  <c r="AB414" i="12" s="1"/>
  <c r="AC414" i="12" s="1"/>
  <c r="Z244" i="12"/>
  <c r="AA244" i="12" s="1"/>
  <c r="AB244" i="12" s="1"/>
  <c r="AC244" i="12" s="1"/>
  <c r="Y711" i="12"/>
  <c r="Z711" i="12"/>
  <c r="AA711" i="12" s="1"/>
  <c r="AB711" i="12" s="1"/>
  <c r="AC711" i="12" s="1"/>
  <c r="Z369" i="12"/>
  <c r="AA369" i="12" s="1"/>
  <c r="AB369" i="12" s="1"/>
  <c r="AC369" i="12" s="1"/>
  <c r="Y325" i="12"/>
  <c r="Y667" i="12"/>
  <c r="Z325" i="12"/>
  <c r="AA325" i="12" s="1"/>
  <c r="AB325" i="12" s="1"/>
  <c r="AC325" i="12" s="1"/>
  <c r="Z667" i="12"/>
  <c r="AA667" i="12" s="1"/>
  <c r="AB667" i="12" s="1"/>
  <c r="AC667" i="12" s="1"/>
  <c r="Y816" i="12"/>
  <c r="Z816" i="12"/>
  <c r="AA816" i="12" s="1"/>
  <c r="AB816" i="12" s="1"/>
  <c r="AC816" i="12" s="1"/>
  <c r="F17" i="11"/>
  <c r="F18" i="11" s="1"/>
  <c r="L60" i="6" l="1"/>
  <c r="J60" i="6" s="1"/>
  <c r="L4" i="6" l="1"/>
  <c r="J4" i="6" s="1"/>
  <c r="L5" i="6"/>
  <c r="J5" i="6" s="1"/>
  <c r="L6" i="6"/>
  <c r="J6" i="6" s="1"/>
  <c r="L7" i="6"/>
  <c r="J7" i="6" s="1"/>
  <c r="L8" i="6"/>
  <c r="L9" i="6"/>
  <c r="J9" i="6" s="1"/>
  <c r="L10" i="6"/>
  <c r="J10" i="6" s="1"/>
  <c r="L11" i="6"/>
  <c r="J11" i="6" s="1"/>
  <c r="L12" i="6"/>
  <c r="J12" i="6" s="1"/>
  <c r="L13" i="6"/>
  <c r="J13" i="6" s="1"/>
  <c r="L14" i="6"/>
  <c r="J14" i="6" s="1"/>
  <c r="L15" i="6"/>
  <c r="L16" i="6"/>
  <c r="L17" i="6"/>
  <c r="J17" i="6" s="1"/>
  <c r="L18" i="6"/>
  <c r="J18" i="6" s="1"/>
  <c r="L19" i="6"/>
  <c r="J19" i="6" s="1"/>
  <c r="L20" i="6"/>
  <c r="J20" i="6" s="1"/>
  <c r="L21" i="6"/>
  <c r="J21" i="6" s="1"/>
  <c r="L23" i="6"/>
  <c r="J23" i="6" s="1"/>
  <c r="L24" i="6"/>
  <c r="J24" i="6" s="1"/>
  <c r="L25" i="6"/>
  <c r="J25" i="6" s="1"/>
  <c r="L26" i="6"/>
  <c r="J26" i="6" s="1"/>
  <c r="L27" i="6"/>
  <c r="J27" i="6" s="1"/>
  <c r="L28" i="6"/>
  <c r="J28" i="6" s="1"/>
  <c r="L29" i="6"/>
  <c r="J29" i="6" s="1"/>
  <c r="L30" i="6"/>
  <c r="J30" i="6" s="1"/>
  <c r="L31" i="6"/>
  <c r="J31" i="6" s="1"/>
  <c r="L32" i="6"/>
  <c r="J32" i="6" s="1"/>
  <c r="L33" i="6"/>
  <c r="J33" i="6" s="1"/>
  <c r="L34" i="6"/>
  <c r="J34" i="6" s="1"/>
  <c r="L35" i="6"/>
  <c r="J35" i="6" s="1"/>
  <c r="L36" i="6"/>
  <c r="J36" i="6" s="1"/>
  <c r="L37" i="6"/>
  <c r="J37" i="6" s="1"/>
  <c r="L38" i="6"/>
  <c r="J38" i="6" s="1"/>
  <c r="L40" i="6"/>
  <c r="J40" i="6" s="1"/>
  <c r="L41" i="6"/>
  <c r="J41" i="6" s="1"/>
  <c r="L42" i="6"/>
  <c r="J42" i="6" s="1"/>
  <c r="L43" i="6"/>
  <c r="J43" i="6" s="1"/>
  <c r="L44" i="6"/>
  <c r="L46" i="6"/>
  <c r="L47" i="6"/>
  <c r="J47" i="6" s="1"/>
  <c r="L48" i="6"/>
  <c r="J48" i="6" s="1"/>
  <c r="L49" i="6"/>
  <c r="J49" i="6" s="1"/>
  <c r="L50" i="6"/>
  <c r="J50" i="6" s="1"/>
  <c r="L51" i="6"/>
  <c r="J51" i="6" s="1"/>
  <c r="L52" i="6"/>
  <c r="J52" i="6" s="1"/>
  <c r="L53" i="6"/>
  <c r="J53" i="6" s="1"/>
  <c r="L54" i="6"/>
  <c r="L56" i="6"/>
  <c r="J56" i="6" s="1"/>
  <c r="L58" i="6"/>
  <c r="J58" i="6" s="1"/>
  <c r="L61" i="6"/>
  <c r="J61" i="6" s="1"/>
  <c r="B3" i="11" l="1"/>
  <c r="B4" i="11"/>
  <c r="B5" i="11"/>
  <c r="B6" i="11"/>
  <c r="B7" i="11"/>
  <c r="B8" i="11"/>
  <c r="B9" i="11"/>
  <c r="B10" i="11"/>
  <c r="B11" i="11"/>
  <c r="B12" i="11"/>
  <c r="B13" i="11"/>
  <c r="B14" i="11"/>
  <c r="B2" i="11"/>
  <c r="B5" i="6" l="1"/>
  <c r="I5" i="6" s="1"/>
  <c r="G5" i="6" s="1"/>
  <c r="B6" i="6"/>
  <c r="I6" i="6" s="1"/>
  <c r="G6" i="6" s="1"/>
  <c r="B7" i="6"/>
  <c r="I7" i="6" s="1"/>
  <c r="G7" i="6" s="1"/>
  <c r="B8" i="6"/>
  <c r="I8" i="6" s="1"/>
  <c r="G8" i="6" s="1"/>
  <c r="B9" i="6"/>
  <c r="I9" i="6" s="1"/>
  <c r="G9" i="6" s="1"/>
  <c r="B10" i="6"/>
  <c r="I10" i="6" s="1"/>
  <c r="G10" i="6" s="1"/>
  <c r="B11" i="6"/>
  <c r="I11" i="6" s="1"/>
  <c r="G11" i="6" s="1"/>
  <c r="B12" i="6"/>
  <c r="I12" i="6" s="1"/>
  <c r="G12" i="6" s="1"/>
  <c r="B13" i="6"/>
  <c r="I13" i="6" s="1"/>
  <c r="G13" i="6" s="1"/>
  <c r="B15" i="6"/>
  <c r="I15" i="6" s="1"/>
  <c r="G15" i="6" s="1"/>
  <c r="B16" i="6"/>
  <c r="I16" i="6" s="1"/>
  <c r="G16" i="6" s="1"/>
  <c r="B17" i="6"/>
  <c r="I17" i="6" s="1"/>
  <c r="G17" i="6" s="1"/>
  <c r="B21" i="6"/>
  <c r="I21" i="6" s="1"/>
  <c r="G21" i="6" s="1"/>
  <c r="B22" i="6"/>
  <c r="I22" i="6" s="1"/>
  <c r="G22" i="6" s="1"/>
  <c r="B23" i="6"/>
  <c r="I23" i="6" s="1"/>
  <c r="G23" i="6" s="1"/>
  <c r="B24" i="6"/>
  <c r="I24" i="6" s="1"/>
  <c r="G24" i="6" s="1"/>
  <c r="B25" i="6"/>
  <c r="I25" i="6" s="1"/>
  <c r="G25" i="6" s="1"/>
  <c r="B26" i="6"/>
  <c r="I26" i="6" s="1"/>
  <c r="G26" i="6" s="1"/>
  <c r="B27" i="6"/>
  <c r="I27" i="6" s="1"/>
  <c r="G27" i="6" s="1"/>
  <c r="B28" i="6"/>
  <c r="I28" i="6" s="1"/>
  <c r="G28" i="6" s="1"/>
  <c r="B29" i="6"/>
  <c r="I29" i="6" s="1"/>
  <c r="G29" i="6" s="1"/>
  <c r="B30" i="6"/>
  <c r="I30" i="6" s="1"/>
  <c r="G30" i="6" s="1"/>
  <c r="B31" i="6"/>
  <c r="I31" i="6" s="1"/>
  <c r="G31" i="6" s="1"/>
  <c r="B32" i="6"/>
  <c r="I32" i="6" s="1"/>
  <c r="G32" i="6" s="1"/>
  <c r="B33" i="6"/>
  <c r="I33" i="6" s="1"/>
  <c r="G33" i="6" s="1"/>
  <c r="B34" i="6"/>
  <c r="I34" i="6" s="1"/>
  <c r="G34" i="6" s="1"/>
  <c r="B35" i="6"/>
  <c r="I35" i="6" s="1"/>
  <c r="G35" i="6" s="1"/>
  <c r="B36" i="6"/>
  <c r="I36" i="6" s="1"/>
  <c r="G36" i="6" s="1"/>
  <c r="B37" i="6"/>
  <c r="I37" i="6" s="1"/>
  <c r="G37" i="6" s="1"/>
  <c r="B38" i="6"/>
  <c r="I38" i="6" s="1"/>
  <c r="G38" i="6" s="1"/>
  <c r="B39" i="6"/>
  <c r="I39" i="6" s="1"/>
  <c r="G39" i="6" s="1"/>
  <c r="B40" i="6"/>
  <c r="I40" i="6" s="1"/>
  <c r="G40" i="6" s="1"/>
  <c r="B41" i="6"/>
  <c r="I41" i="6" s="1"/>
  <c r="G41" i="6" s="1"/>
  <c r="B42" i="6"/>
  <c r="I42" i="6" s="1"/>
  <c r="G42" i="6" s="1"/>
  <c r="B43" i="6"/>
  <c r="B44" i="6"/>
  <c r="B45" i="6"/>
  <c r="B46" i="6"/>
  <c r="I46" i="6" s="1"/>
  <c r="G46" i="6" s="1"/>
  <c r="B47" i="6"/>
  <c r="I47" i="6" s="1"/>
  <c r="G47" i="6" s="1"/>
  <c r="B48" i="6"/>
  <c r="I48" i="6" s="1"/>
  <c r="G48" i="6" s="1"/>
  <c r="B49" i="6"/>
  <c r="I49" i="6" s="1"/>
  <c r="G49" i="6" s="1"/>
  <c r="B50" i="6"/>
  <c r="B51" i="6"/>
  <c r="B52" i="6"/>
  <c r="I52" i="6" s="1"/>
  <c r="G52" i="6" s="1"/>
  <c r="B53" i="6"/>
  <c r="I53" i="6" s="1"/>
  <c r="G53" i="6" s="1"/>
  <c r="B54" i="6"/>
  <c r="I54" i="6" s="1"/>
  <c r="G54" i="6" s="1"/>
  <c r="B55" i="6"/>
  <c r="I55" i="6" s="1"/>
  <c r="G55" i="6" s="1"/>
  <c r="B56" i="6"/>
  <c r="I56" i="6" s="1"/>
  <c r="G56" i="6" s="1"/>
  <c r="B57" i="6"/>
  <c r="B58" i="6"/>
  <c r="I58" i="6" s="1"/>
  <c r="G58" i="6" s="1"/>
  <c r="B60" i="6"/>
  <c r="I60" i="6" s="1"/>
  <c r="G60" i="6" s="1"/>
  <c r="B61" i="6"/>
  <c r="I61" i="6" s="1"/>
  <c r="G61" i="6" s="1"/>
  <c r="B62" i="6"/>
  <c r="I62" i="6" s="1"/>
  <c r="G62" i="6" s="1"/>
  <c r="B63" i="6"/>
  <c r="Y1478" i="12" l="1"/>
  <c r="Y1471" i="12"/>
  <c r="Z1478" i="12"/>
  <c r="AA1478" i="12" s="1"/>
  <c r="AB1478" i="12" s="1"/>
  <c r="AC1478" i="12" s="1"/>
  <c r="Z1471" i="12"/>
  <c r="AA1471" i="12" s="1"/>
  <c r="AB1471" i="12" s="1"/>
  <c r="AC1471" i="12" s="1"/>
  <c r="Z1475" i="12"/>
  <c r="AA1475" i="12" s="1"/>
  <c r="AB1475" i="12" s="1"/>
  <c r="AC1475" i="12" s="1"/>
  <c r="Y1475" i="12"/>
  <c r="Z1477" i="12"/>
  <c r="AA1477" i="12" s="1"/>
  <c r="AB1477" i="12" s="1"/>
  <c r="AC1477" i="12" s="1"/>
  <c r="Y1477" i="12"/>
  <c r="Y1470" i="12"/>
  <c r="Z1470" i="12"/>
  <c r="AA1470" i="12" s="1"/>
  <c r="AB1470" i="12" s="1"/>
  <c r="AC1470" i="12" s="1"/>
  <c r="Z1476" i="12"/>
  <c r="AA1476" i="12" s="1"/>
  <c r="AB1476" i="12" s="1"/>
  <c r="AC1476" i="12" s="1"/>
  <c r="Y1476" i="12"/>
  <c r="Y1473" i="12"/>
  <c r="Z1473" i="12"/>
  <c r="AA1473" i="12" s="1"/>
  <c r="AB1473" i="12" s="1"/>
  <c r="AC1473" i="12" s="1"/>
  <c r="Y1472" i="12"/>
  <c r="Z1472" i="12"/>
  <c r="AA1472" i="12" s="1"/>
  <c r="AB1472" i="12" s="1"/>
  <c r="AC1472" i="12" s="1"/>
  <c r="Y1474" i="12"/>
  <c r="Z1474" i="12"/>
  <c r="AA1474" i="12" s="1"/>
  <c r="AB1474" i="12" s="1"/>
  <c r="AC1474" i="12" s="1"/>
  <c r="Z1469" i="12"/>
  <c r="AA1469" i="12" s="1"/>
  <c r="AB1469" i="12" s="1"/>
  <c r="AC1469" i="12" s="1"/>
  <c r="Y1468" i="12"/>
  <c r="Z1468" i="12"/>
  <c r="AA1468" i="12" s="1"/>
  <c r="AB1468" i="12" s="1"/>
  <c r="AC1468" i="12" s="1"/>
  <c r="Z1467" i="12"/>
  <c r="AA1467" i="12" s="1"/>
  <c r="AB1467" i="12" s="1"/>
  <c r="AC1467" i="12" s="1"/>
  <c r="Y1467" i="12"/>
  <c r="Y1453" i="12"/>
  <c r="Z1453" i="12"/>
  <c r="AA1453" i="12" s="1"/>
  <c r="AB1453" i="12" s="1"/>
  <c r="AC1453" i="12" s="1"/>
  <c r="Y1464" i="12"/>
  <c r="Y1457" i="12"/>
  <c r="Z1457" i="12"/>
  <c r="AA1457" i="12" s="1"/>
  <c r="AB1457" i="12" s="1"/>
  <c r="AC1457" i="12" s="1"/>
  <c r="Z1464" i="12"/>
  <c r="AA1464" i="12" s="1"/>
  <c r="AB1464" i="12" s="1"/>
  <c r="AC1464" i="12" s="1"/>
  <c r="Z1462" i="12"/>
  <c r="AA1462" i="12" s="1"/>
  <c r="AB1462" i="12" s="1"/>
  <c r="AC1462" i="12" s="1"/>
  <c r="Y1462" i="12"/>
  <c r="Y1456" i="12"/>
  <c r="Z1456" i="12"/>
  <c r="AA1456" i="12" s="1"/>
  <c r="AB1456" i="12" s="1"/>
  <c r="AC1456" i="12" s="1"/>
  <c r="Y1455" i="12"/>
  <c r="Y1458" i="12"/>
  <c r="Z1458" i="12"/>
  <c r="AA1458" i="12" s="1"/>
  <c r="AB1458" i="12" s="1"/>
  <c r="AC1458" i="12" s="1"/>
  <c r="Y1461" i="12"/>
  <c r="Z1455" i="12"/>
  <c r="AA1455" i="12" s="1"/>
  <c r="AB1455" i="12" s="1"/>
  <c r="AC1455" i="12" s="1"/>
  <c r="Z1461" i="12"/>
  <c r="AA1461" i="12" s="1"/>
  <c r="AB1461" i="12" s="1"/>
  <c r="AC1461" i="12" s="1"/>
  <c r="Y1459" i="12"/>
  <c r="Z1459" i="12"/>
  <c r="AA1459" i="12" s="1"/>
  <c r="AB1459" i="12" s="1"/>
  <c r="AC1459" i="12" s="1"/>
  <c r="Y1454" i="12"/>
  <c r="Z1454" i="12"/>
  <c r="AA1454" i="12" s="1"/>
  <c r="AB1454" i="12" s="1"/>
  <c r="AC1454" i="12" s="1"/>
  <c r="Z1465" i="12"/>
  <c r="AA1465" i="12" s="1"/>
  <c r="AB1465" i="12" s="1"/>
  <c r="AC1465" i="12" s="1"/>
  <c r="Y1465" i="12"/>
  <c r="Y1452" i="12"/>
  <c r="Z1452" i="12"/>
  <c r="AA1452" i="12" s="1"/>
  <c r="AB1452" i="12" s="1"/>
  <c r="AC1452" i="12" s="1"/>
  <c r="Z1450" i="12"/>
  <c r="AA1450" i="12" s="1"/>
  <c r="AB1450" i="12" s="1"/>
  <c r="AC1450" i="12" s="1"/>
  <c r="Y1450" i="12"/>
  <c r="Y1451" i="12"/>
  <c r="Z1451" i="12"/>
  <c r="AA1451" i="12" s="1"/>
  <c r="AB1451" i="12" s="1"/>
  <c r="AC1451" i="12" s="1"/>
  <c r="Y1435" i="12"/>
  <c r="Z1435" i="12"/>
  <c r="AA1435" i="12" s="1"/>
  <c r="AB1435" i="12" s="1"/>
  <c r="AC1435" i="12" s="1"/>
  <c r="Y1442" i="12"/>
  <c r="Z1442" i="12"/>
  <c r="AA1442" i="12" s="1"/>
  <c r="AB1442" i="12" s="1"/>
  <c r="AC1442" i="12" s="1"/>
  <c r="Y1439" i="12"/>
  <c r="Z1439" i="12"/>
  <c r="AA1439" i="12" s="1"/>
  <c r="AB1439" i="12" s="1"/>
  <c r="AC1439" i="12" s="1"/>
  <c r="Y1445" i="12"/>
  <c r="Z1445" i="12"/>
  <c r="AA1445" i="12" s="1"/>
  <c r="AB1445" i="12" s="1"/>
  <c r="AC1445" i="12" s="1"/>
  <c r="Y1444" i="12"/>
  <c r="Y1441" i="12"/>
  <c r="Y1438" i="12"/>
  <c r="Z1438" i="12"/>
  <c r="AA1438" i="12" s="1"/>
  <c r="AB1438" i="12" s="1"/>
  <c r="AC1438" i="12" s="1"/>
  <c r="Z1444" i="12"/>
  <c r="AA1444" i="12" s="1"/>
  <c r="AB1444" i="12" s="1"/>
  <c r="AC1444" i="12" s="1"/>
  <c r="Z1441" i="12"/>
  <c r="AA1441" i="12" s="1"/>
  <c r="AB1441" i="12" s="1"/>
  <c r="AC1441" i="12" s="1"/>
  <c r="Y1434" i="12"/>
  <c r="Z1434" i="12"/>
  <c r="AA1434" i="12" s="1"/>
  <c r="AB1434" i="12" s="1"/>
  <c r="AC1434" i="12" s="1"/>
  <c r="Y1432" i="12"/>
  <c r="Z1432" i="12"/>
  <c r="AA1432" i="12" s="1"/>
  <c r="AB1432" i="12" s="1"/>
  <c r="AC1432" i="12" s="1"/>
  <c r="Y1431" i="12"/>
  <c r="Z1431" i="12"/>
  <c r="AA1431" i="12" s="1"/>
  <c r="AB1431" i="12" s="1"/>
  <c r="AC1431" i="12" s="1"/>
  <c r="Z1430" i="12"/>
  <c r="AA1430" i="12" s="1"/>
  <c r="AB1430" i="12" s="1"/>
  <c r="AC1430" i="12" s="1"/>
  <c r="Y1430" i="12"/>
  <c r="Y1428" i="12"/>
  <c r="Z1428" i="12"/>
  <c r="AA1428" i="12" s="1"/>
  <c r="AB1428" i="12" s="1"/>
  <c r="AC1428" i="12" s="1"/>
  <c r="Y1429" i="12"/>
  <c r="Z1429" i="12"/>
  <c r="AA1429" i="12" s="1"/>
  <c r="AB1429" i="12" s="1"/>
  <c r="AC1429" i="12" s="1"/>
  <c r="Y1427" i="12"/>
  <c r="Z1427" i="12"/>
  <c r="AA1427" i="12" s="1"/>
  <c r="AB1427" i="12" s="1"/>
  <c r="AC1427" i="12" s="1"/>
  <c r="Z1426" i="12"/>
  <c r="AA1426" i="12" s="1"/>
  <c r="AB1426" i="12" s="1"/>
  <c r="AC1426" i="12" s="1"/>
  <c r="Y1426" i="12"/>
  <c r="Z1425" i="12"/>
  <c r="AA1425" i="12" s="1"/>
  <c r="AB1425" i="12" s="1"/>
  <c r="AC1425" i="12" s="1"/>
  <c r="Y1425" i="12"/>
  <c r="Z1424" i="12"/>
  <c r="AA1424" i="12" s="1"/>
  <c r="AB1424" i="12" s="1"/>
  <c r="AC1424" i="12" s="1"/>
  <c r="Y1424" i="12"/>
  <c r="Y1419" i="12"/>
  <c r="Z1419" i="12"/>
  <c r="AA1419" i="12" s="1"/>
  <c r="AB1419" i="12" s="1"/>
  <c r="AC1419" i="12" s="1"/>
  <c r="Y1420" i="12"/>
  <c r="Z1420" i="12"/>
  <c r="AA1420" i="12" s="1"/>
  <c r="AB1420" i="12" s="1"/>
  <c r="AC1420" i="12" s="1"/>
  <c r="Y1351" i="12"/>
  <c r="Y1423" i="12"/>
  <c r="Z1423" i="12"/>
  <c r="AA1423" i="12" s="1"/>
  <c r="AB1423" i="12" s="1"/>
  <c r="AC1423" i="12" s="1"/>
  <c r="Z1422" i="12"/>
  <c r="AA1422" i="12" s="1"/>
  <c r="AB1422" i="12" s="1"/>
  <c r="AC1422" i="12" s="1"/>
  <c r="Y1422" i="12"/>
  <c r="Y1421" i="12"/>
  <c r="Z1421" i="12"/>
  <c r="AA1421" i="12" s="1"/>
  <c r="AB1421" i="12" s="1"/>
  <c r="AC1421" i="12" s="1"/>
  <c r="Y1352" i="12"/>
  <c r="Z1416" i="12"/>
  <c r="AA1416" i="12" s="1"/>
  <c r="AB1416" i="12" s="1"/>
  <c r="AC1416" i="12" s="1"/>
  <c r="Y1416" i="12"/>
  <c r="Y1412" i="12"/>
  <c r="Z1412" i="12"/>
  <c r="AA1412" i="12" s="1"/>
  <c r="AB1412" i="12" s="1"/>
  <c r="AC1412" i="12" s="1"/>
  <c r="Z1411" i="12"/>
  <c r="AA1411" i="12" s="1"/>
  <c r="AB1411" i="12" s="1"/>
  <c r="AC1411" i="12" s="1"/>
  <c r="Y1411" i="12"/>
  <c r="Y1404" i="12"/>
  <c r="Z1404" i="12"/>
  <c r="AA1404" i="12" s="1"/>
  <c r="AB1404" i="12" s="1"/>
  <c r="AC1404" i="12" s="1"/>
  <c r="Y1408" i="12"/>
  <c r="Z1408" i="12"/>
  <c r="AA1408" i="12" s="1"/>
  <c r="AB1408" i="12" s="1"/>
  <c r="AC1408" i="12" s="1"/>
  <c r="Y1406" i="12"/>
  <c r="Z1406" i="12"/>
  <c r="AA1406" i="12" s="1"/>
  <c r="AB1406" i="12" s="1"/>
  <c r="AC1406" i="12" s="1"/>
  <c r="Y1401" i="12"/>
  <c r="Z1401" i="12"/>
  <c r="AA1401" i="12" s="1"/>
  <c r="AB1401" i="12" s="1"/>
  <c r="AC1401" i="12" s="1"/>
  <c r="Y1402" i="12"/>
  <c r="Z1402" i="12"/>
  <c r="AA1402" i="12" s="1"/>
  <c r="AB1402" i="12" s="1"/>
  <c r="AC1402" i="12" s="1"/>
  <c r="Y1403" i="12"/>
  <c r="Z1403" i="12"/>
  <c r="AA1403" i="12" s="1"/>
  <c r="AB1403" i="12" s="1"/>
  <c r="AC1403" i="12" s="1"/>
  <c r="Y1399" i="12"/>
  <c r="Z1399" i="12"/>
  <c r="AA1399" i="12" s="1"/>
  <c r="AB1399" i="12" s="1"/>
  <c r="AC1399" i="12" s="1"/>
  <c r="Y1397" i="12"/>
  <c r="Z1397" i="12"/>
  <c r="AA1397" i="12" s="1"/>
  <c r="AB1397" i="12" s="1"/>
  <c r="AC1397" i="12" s="1"/>
  <c r="Y1396" i="12"/>
  <c r="Z1396" i="12"/>
  <c r="AA1396" i="12" s="1"/>
  <c r="AB1396" i="12" s="1"/>
  <c r="AC1396" i="12" s="1"/>
  <c r="Y1389" i="12"/>
  <c r="Z1389" i="12"/>
  <c r="AA1389" i="12" s="1"/>
  <c r="AB1389" i="12" s="1"/>
  <c r="AC1389" i="12" s="1"/>
  <c r="Y1384" i="12"/>
  <c r="Z1384" i="12"/>
  <c r="AA1384" i="12" s="1"/>
  <c r="AB1384" i="12" s="1"/>
  <c r="AC1384" i="12" s="1"/>
  <c r="Z1382" i="12"/>
  <c r="AA1382" i="12" s="1"/>
  <c r="AB1382" i="12" s="1"/>
  <c r="AC1382" i="12" s="1"/>
  <c r="Y1382" i="12"/>
  <c r="Y1378" i="12"/>
  <c r="Z1378" i="12"/>
  <c r="AA1378" i="12" s="1"/>
  <c r="AB1378" i="12" s="1"/>
  <c r="AC1378" i="12" s="1"/>
  <c r="Y1379" i="12"/>
  <c r="Z1379" i="12"/>
  <c r="AA1379" i="12" s="1"/>
  <c r="AB1379" i="12" s="1"/>
  <c r="AC1379" i="12" s="1"/>
  <c r="Y1375" i="12"/>
  <c r="Z1375" i="12"/>
  <c r="AA1375" i="12" s="1"/>
  <c r="AB1375" i="12" s="1"/>
  <c r="AC1375" i="12" s="1"/>
  <c r="Z1374" i="12"/>
  <c r="AA1374" i="12" s="1"/>
  <c r="AB1374" i="12" s="1"/>
  <c r="AC1374" i="12" s="1"/>
  <c r="Y1374" i="12"/>
  <c r="Z1362" i="12"/>
  <c r="AA1362" i="12" s="1"/>
  <c r="AB1362" i="12" s="1"/>
  <c r="AC1362" i="12" s="1"/>
  <c r="Z1358" i="12"/>
  <c r="AA1358" i="12" s="1"/>
  <c r="AB1358" i="12" s="1"/>
  <c r="AC1358" i="12" s="1"/>
  <c r="Y1358" i="12"/>
  <c r="Y1362" i="12"/>
  <c r="Z1371" i="12"/>
  <c r="AA1371" i="12" s="1"/>
  <c r="AB1371" i="12" s="1"/>
  <c r="AC1371" i="12" s="1"/>
  <c r="Y1371" i="12"/>
  <c r="Y1373" i="12"/>
  <c r="Z1373" i="12"/>
  <c r="AA1373" i="12" s="1"/>
  <c r="AB1373" i="12" s="1"/>
  <c r="AC1373" i="12" s="1"/>
  <c r="Z1369" i="12"/>
  <c r="AA1369" i="12" s="1"/>
  <c r="AB1369" i="12" s="1"/>
  <c r="AC1369" i="12" s="1"/>
  <c r="Y1369" i="12"/>
  <c r="Z1359" i="12"/>
  <c r="AA1359" i="12" s="1"/>
  <c r="AB1359" i="12" s="1"/>
  <c r="AC1359" i="12" s="1"/>
  <c r="Z1363" i="12"/>
  <c r="AA1363" i="12" s="1"/>
  <c r="AB1363" i="12" s="1"/>
  <c r="AC1363" i="12" s="1"/>
  <c r="Y1363" i="12"/>
  <c r="Y1359" i="12"/>
  <c r="Z1364" i="12"/>
  <c r="AA1364" i="12" s="1"/>
  <c r="AB1364" i="12" s="1"/>
  <c r="AC1364" i="12" s="1"/>
  <c r="Z1360" i="12"/>
  <c r="AA1360" i="12" s="1"/>
  <c r="AB1360" i="12" s="1"/>
  <c r="AC1360" i="12" s="1"/>
  <c r="Y1360" i="12"/>
  <c r="Y1364" i="12"/>
  <c r="Z1367" i="12"/>
  <c r="AA1367" i="12" s="1"/>
  <c r="AB1367" i="12" s="1"/>
  <c r="AC1367" i="12" s="1"/>
  <c r="Y1372" i="12"/>
  <c r="Z1372" i="12"/>
  <c r="AA1372" i="12" s="1"/>
  <c r="AB1372" i="12" s="1"/>
  <c r="AC1372" i="12" s="1"/>
  <c r="Y1367" i="12"/>
  <c r="Y1355" i="12"/>
  <c r="Z1355" i="12"/>
  <c r="AA1355" i="12" s="1"/>
  <c r="AB1355" i="12" s="1"/>
  <c r="AC1355" i="12" s="1"/>
  <c r="Z1357" i="12"/>
  <c r="AA1357" i="12" s="1"/>
  <c r="AB1357" i="12" s="1"/>
  <c r="AC1357" i="12" s="1"/>
  <c r="Y1357" i="12"/>
  <c r="Y1354" i="12"/>
  <c r="Z1354" i="12"/>
  <c r="AA1354" i="12" s="1"/>
  <c r="AB1354" i="12" s="1"/>
  <c r="AC1354" i="12" s="1"/>
  <c r="Z1352" i="12"/>
  <c r="AA1352" i="12" s="1"/>
  <c r="AB1352" i="12" s="1"/>
  <c r="AC1352" i="12" s="1"/>
  <c r="Z1351" i="12"/>
  <c r="AA1351" i="12" s="1"/>
  <c r="AB1351" i="12" s="1"/>
  <c r="AC1351" i="12" s="1"/>
  <c r="Y1343" i="12"/>
  <c r="Z1343" i="12"/>
  <c r="AA1343" i="12" s="1"/>
  <c r="AB1343" i="12" s="1"/>
  <c r="AC1343" i="12" s="1"/>
  <c r="Y1349" i="12"/>
  <c r="Z1349" i="12"/>
  <c r="AA1349" i="12" s="1"/>
  <c r="AB1349" i="12" s="1"/>
  <c r="AC1349" i="12" s="1"/>
  <c r="Z1342" i="12"/>
  <c r="AA1342" i="12" s="1"/>
  <c r="AB1342" i="12" s="1"/>
  <c r="AC1342" i="12" s="1"/>
  <c r="Y1348" i="12"/>
  <c r="Y1342" i="12"/>
  <c r="Z1348" i="12"/>
  <c r="AA1348" i="12" s="1"/>
  <c r="AB1348" i="12" s="1"/>
  <c r="AC1348" i="12" s="1"/>
  <c r="Y1346" i="12"/>
  <c r="Y1340" i="12"/>
  <c r="Z1340" i="12"/>
  <c r="AA1340" i="12" s="1"/>
  <c r="AB1340" i="12" s="1"/>
  <c r="AC1340" i="12" s="1"/>
  <c r="Z1346" i="12"/>
  <c r="AA1346" i="12" s="1"/>
  <c r="AB1346" i="12" s="1"/>
  <c r="AC1346" i="12" s="1"/>
  <c r="Y1341" i="12"/>
  <c r="Y1347" i="12"/>
  <c r="Z1347" i="12"/>
  <c r="AA1347" i="12" s="1"/>
  <c r="AB1347" i="12" s="1"/>
  <c r="AC1347" i="12" s="1"/>
  <c r="Z1341" i="12"/>
  <c r="AA1341" i="12" s="1"/>
  <c r="AB1341" i="12" s="1"/>
  <c r="AC1341" i="12" s="1"/>
  <c r="Z1336" i="12"/>
  <c r="AA1336" i="12" s="1"/>
  <c r="AB1336" i="12" s="1"/>
  <c r="AC1336" i="12" s="1"/>
  <c r="Y1336" i="12"/>
  <c r="Z1334" i="12"/>
  <c r="AA1334" i="12" s="1"/>
  <c r="AB1334" i="12" s="1"/>
  <c r="AC1334" i="12" s="1"/>
  <c r="Y1334" i="12"/>
  <c r="Z1335" i="12"/>
  <c r="AA1335" i="12" s="1"/>
  <c r="AB1335" i="12" s="1"/>
  <c r="AC1335" i="12" s="1"/>
  <c r="Y1335" i="12"/>
  <c r="Z1337" i="12"/>
  <c r="AA1337" i="12" s="1"/>
  <c r="AB1337" i="12" s="1"/>
  <c r="AC1337" i="12" s="1"/>
  <c r="Y1337" i="12"/>
  <c r="Y1329" i="12"/>
  <c r="Z1329" i="12"/>
  <c r="AA1329" i="12" s="1"/>
  <c r="AB1329" i="12" s="1"/>
  <c r="AC1329" i="12" s="1"/>
  <c r="Y1326" i="12"/>
  <c r="Z1326" i="12"/>
  <c r="AA1326" i="12" s="1"/>
  <c r="AB1326" i="12" s="1"/>
  <c r="AC1326" i="12" s="1"/>
  <c r="Z1327" i="12"/>
  <c r="AA1327" i="12" s="1"/>
  <c r="AB1327" i="12" s="1"/>
  <c r="AC1327" i="12" s="1"/>
  <c r="Y1330" i="12"/>
  <c r="Z1330" i="12"/>
  <c r="AA1330" i="12" s="1"/>
  <c r="AB1330" i="12" s="1"/>
  <c r="AC1330" i="12" s="1"/>
  <c r="Y1327" i="12"/>
  <c r="Y1333" i="12"/>
  <c r="Z1333" i="12"/>
  <c r="AA1333" i="12" s="1"/>
  <c r="AB1333" i="12" s="1"/>
  <c r="AC1333" i="12" s="1"/>
  <c r="Y1331" i="12"/>
  <c r="Z1331" i="12"/>
  <c r="AA1331" i="12" s="1"/>
  <c r="AB1331" i="12" s="1"/>
  <c r="AC1331" i="12" s="1"/>
  <c r="Y1323" i="12"/>
  <c r="Z1323" i="12"/>
  <c r="AA1323" i="12" s="1"/>
  <c r="AB1323" i="12" s="1"/>
  <c r="AC1323" i="12" s="1"/>
  <c r="Y1315" i="12"/>
  <c r="Z1315" i="12"/>
  <c r="AA1315" i="12" s="1"/>
  <c r="AB1315" i="12" s="1"/>
  <c r="AC1315" i="12" s="1"/>
  <c r="Y1312" i="12"/>
  <c r="Z1312" i="12"/>
  <c r="AA1312" i="12" s="1"/>
  <c r="AB1312" i="12" s="1"/>
  <c r="AC1312" i="12" s="1"/>
  <c r="Y1321" i="12"/>
  <c r="Z1321" i="12"/>
  <c r="AA1321" i="12" s="1"/>
  <c r="AB1321" i="12" s="1"/>
  <c r="AC1321" i="12" s="1"/>
  <c r="Y1318" i="12"/>
  <c r="Z1318" i="12"/>
  <c r="AA1318" i="12" s="1"/>
  <c r="AB1318" i="12" s="1"/>
  <c r="AC1318" i="12" s="1"/>
  <c r="Z1320" i="12"/>
  <c r="AA1320" i="12" s="1"/>
  <c r="AB1320" i="12" s="1"/>
  <c r="AC1320" i="12" s="1"/>
  <c r="Y1317" i="12"/>
  <c r="Z1317" i="12"/>
  <c r="AA1317" i="12" s="1"/>
  <c r="AB1317" i="12" s="1"/>
  <c r="AC1317" i="12" s="1"/>
  <c r="Y1314" i="12"/>
  <c r="Z1314" i="12"/>
  <c r="AA1314" i="12" s="1"/>
  <c r="AB1314" i="12" s="1"/>
  <c r="AC1314" i="12" s="1"/>
  <c r="Y1311" i="12"/>
  <c r="Z1311" i="12"/>
  <c r="AA1311" i="12" s="1"/>
  <c r="AB1311" i="12" s="1"/>
  <c r="AC1311" i="12" s="1"/>
  <c r="Y1320" i="12"/>
  <c r="Z1313" i="12"/>
  <c r="AA1313" i="12" s="1"/>
  <c r="AB1313" i="12" s="1"/>
  <c r="AC1313" i="12" s="1"/>
  <c r="Y1310" i="12"/>
  <c r="Z1310" i="12"/>
  <c r="AA1310" i="12" s="1"/>
  <c r="AB1310" i="12" s="1"/>
  <c r="AC1310" i="12" s="1"/>
  <c r="Y1319" i="12"/>
  <c r="Z1319" i="12"/>
  <c r="AA1319" i="12" s="1"/>
  <c r="AB1319" i="12" s="1"/>
  <c r="AC1319" i="12" s="1"/>
  <c r="Y1316" i="12"/>
  <c r="Z1316" i="12"/>
  <c r="AA1316" i="12" s="1"/>
  <c r="AB1316" i="12" s="1"/>
  <c r="AC1316" i="12" s="1"/>
  <c r="Y1313" i="12"/>
  <c r="Y1308" i="12"/>
  <c r="Z1308" i="12"/>
  <c r="AA1308" i="12" s="1"/>
  <c r="AB1308" i="12" s="1"/>
  <c r="AC1308" i="12" s="1"/>
  <c r="Z1305" i="12"/>
  <c r="AA1305" i="12" s="1"/>
  <c r="AB1305" i="12" s="1"/>
  <c r="AC1305" i="12" s="1"/>
  <c r="Y1305" i="12"/>
  <c r="Y1304" i="12"/>
  <c r="Z1304" i="12"/>
  <c r="AA1304" i="12" s="1"/>
  <c r="AB1304" i="12" s="1"/>
  <c r="AC1304" i="12" s="1"/>
  <c r="Y1306" i="12"/>
  <c r="Z1306" i="12"/>
  <c r="AA1306" i="12" s="1"/>
  <c r="AB1306" i="12" s="1"/>
  <c r="AC1306" i="12" s="1"/>
  <c r="Y1298" i="12"/>
  <c r="Z1298" i="12"/>
  <c r="AA1298" i="12" s="1"/>
  <c r="AB1298" i="12" s="1"/>
  <c r="AC1298" i="12" s="1"/>
  <c r="Y1297" i="12"/>
  <c r="Z1297" i="12"/>
  <c r="AA1297" i="12" s="1"/>
  <c r="AB1297" i="12" s="1"/>
  <c r="AC1297" i="12" s="1"/>
  <c r="Y1303" i="12"/>
  <c r="Z1303" i="12"/>
  <c r="AA1303" i="12" s="1"/>
  <c r="AB1303" i="12" s="1"/>
  <c r="AC1303" i="12" s="1"/>
  <c r="Y1300" i="12"/>
  <c r="Z1300" i="12"/>
  <c r="AA1300" i="12" s="1"/>
  <c r="AB1300" i="12" s="1"/>
  <c r="AC1300" i="12" s="1"/>
  <c r="Y1299" i="12"/>
  <c r="Z1299" i="12"/>
  <c r="AA1299" i="12" s="1"/>
  <c r="AB1299" i="12" s="1"/>
  <c r="AC1299" i="12" s="1"/>
  <c r="Y1301" i="12"/>
  <c r="Z1301" i="12"/>
  <c r="AA1301" i="12" s="1"/>
  <c r="AB1301" i="12" s="1"/>
  <c r="AC1301" i="12" s="1"/>
  <c r="Y1302" i="12"/>
  <c r="Z1302" i="12"/>
  <c r="AA1302" i="12" s="1"/>
  <c r="AB1302" i="12" s="1"/>
  <c r="AC1302" i="12" s="1"/>
  <c r="Y1286" i="12"/>
  <c r="Z1286" i="12"/>
  <c r="AA1286" i="12" s="1"/>
  <c r="AB1286" i="12" s="1"/>
  <c r="AC1286" i="12" s="1"/>
  <c r="Y1287" i="12"/>
  <c r="Z1287" i="12"/>
  <c r="AA1287" i="12" s="1"/>
  <c r="AB1287" i="12" s="1"/>
  <c r="AC1287" i="12" s="1"/>
  <c r="Y1288" i="12"/>
  <c r="Z1288" i="12"/>
  <c r="AA1288" i="12" s="1"/>
  <c r="AB1288" i="12" s="1"/>
  <c r="AC1288" i="12" s="1"/>
  <c r="Y1283" i="12"/>
  <c r="Z1283" i="12"/>
  <c r="AA1283" i="12" s="1"/>
  <c r="AB1283" i="12" s="1"/>
  <c r="AC1283" i="12" s="1"/>
  <c r="Y1272" i="12"/>
  <c r="Z1272" i="12"/>
  <c r="AA1272" i="12" s="1"/>
  <c r="AB1272" i="12" s="1"/>
  <c r="AC1272" i="12" s="1"/>
  <c r="Y1276" i="12"/>
  <c r="Z1276" i="12"/>
  <c r="AA1276" i="12" s="1"/>
  <c r="AB1276" i="12" s="1"/>
  <c r="AC1276" i="12" s="1"/>
  <c r="Z1274" i="12"/>
  <c r="AA1274" i="12" s="1"/>
  <c r="AB1274" i="12" s="1"/>
  <c r="AC1274" i="12" s="1"/>
  <c r="Y1274" i="12"/>
  <c r="Y1278" i="12"/>
  <c r="Z1278" i="12"/>
  <c r="AA1278" i="12" s="1"/>
  <c r="AB1278" i="12" s="1"/>
  <c r="AC1278" i="12" s="1"/>
  <c r="Y1280" i="12"/>
  <c r="Z1280" i="12"/>
  <c r="AA1280" i="12" s="1"/>
  <c r="AB1280" i="12" s="1"/>
  <c r="AC1280" i="12" s="1"/>
  <c r="Y1277" i="12"/>
  <c r="Z1277" i="12"/>
  <c r="AA1277" i="12" s="1"/>
  <c r="AB1277" i="12" s="1"/>
  <c r="AC1277" i="12" s="1"/>
  <c r="Y1279" i="12"/>
  <c r="Z1279" i="12"/>
  <c r="AA1279" i="12" s="1"/>
  <c r="AB1279" i="12" s="1"/>
  <c r="AC1279" i="12" s="1"/>
  <c r="Y1281" i="12"/>
  <c r="Z1281" i="12"/>
  <c r="AA1281" i="12" s="1"/>
  <c r="AB1281" i="12" s="1"/>
  <c r="AC1281" i="12" s="1"/>
  <c r="Y1265" i="12"/>
  <c r="Z1265" i="12"/>
  <c r="AA1265" i="12" s="1"/>
  <c r="AB1265" i="12" s="1"/>
  <c r="AC1265" i="12" s="1"/>
  <c r="Y1266" i="12"/>
  <c r="Z1266" i="12"/>
  <c r="AA1266" i="12" s="1"/>
  <c r="AB1266" i="12" s="1"/>
  <c r="AC1266" i="12" s="1"/>
  <c r="Y1258" i="12"/>
  <c r="Z1258" i="12"/>
  <c r="AA1258" i="12" s="1"/>
  <c r="AB1258" i="12" s="1"/>
  <c r="AC1258" i="12" s="1"/>
  <c r="Y1257" i="12"/>
  <c r="Z1257" i="12"/>
  <c r="AA1257" i="12" s="1"/>
  <c r="AB1257" i="12" s="1"/>
  <c r="AC1257" i="12" s="1"/>
  <c r="Y1259" i="12"/>
  <c r="Z1259" i="12"/>
  <c r="AA1259" i="12" s="1"/>
  <c r="AB1259" i="12" s="1"/>
  <c r="AC1259" i="12" s="1"/>
  <c r="Y1256" i="12"/>
  <c r="Z1256" i="12"/>
  <c r="AA1256" i="12" s="1"/>
  <c r="AB1256" i="12" s="1"/>
  <c r="AC1256" i="12" s="1"/>
  <c r="Y1251" i="12"/>
  <c r="Z1251" i="12"/>
  <c r="AA1251" i="12" s="1"/>
  <c r="AB1251" i="12" s="1"/>
  <c r="AC1251" i="12" s="1"/>
  <c r="Y1242" i="12"/>
  <c r="Z1242" i="12"/>
  <c r="AA1242" i="12" s="1"/>
  <c r="AB1242" i="12" s="1"/>
  <c r="AC1242" i="12" s="1"/>
  <c r="Y1244" i="12"/>
  <c r="Z1244" i="12"/>
  <c r="AA1244" i="12" s="1"/>
  <c r="AB1244" i="12" s="1"/>
  <c r="AC1244" i="12" s="1"/>
  <c r="Y1243" i="12"/>
  <c r="Z1243" i="12"/>
  <c r="AA1243" i="12" s="1"/>
  <c r="AB1243" i="12" s="1"/>
  <c r="AC1243" i="12" s="1"/>
  <c r="Y1240" i="12"/>
  <c r="Z1240" i="12"/>
  <c r="AA1240" i="12" s="1"/>
  <c r="AB1240" i="12" s="1"/>
  <c r="AC1240" i="12" s="1"/>
  <c r="Y1245" i="12"/>
  <c r="Z1245" i="12"/>
  <c r="AA1245" i="12" s="1"/>
  <c r="AB1245" i="12" s="1"/>
  <c r="AC1245" i="12" s="1"/>
  <c r="Y1235" i="12"/>
  <c r="Z1235" i="12"/>
  <c r="AA1235" i="12" s="1"/>
  <c r="AB1235" i="12" s="1"/>
  <c r="AC1235" i="12" s="1"/>
  <c r="Y1223" i="12"/>
  <c r="Z1223" i="12"/>
  <c r="AA1223" i="12" s="1"/>
  <c r="AB1223" i="12" s="1"/>
  <c r="AC1223" i="12" s="1"/>
  <c r="Y1227" i="12"/>
  <c r="Z1227" i="12"/>
  <c r="AA1227" i="12" s="1"/>
  <c r="AB1227" i="12" s="1"/>
  <c r="AC1227" i="12" s="1"/>
  <c r="Y1231" i="12"/>
  <c r="Z1231" i="12"/>
  <c r="AA1231" i="12" s="1"/>
  <c r="AB1231" i="12" s="1"/>
  <c r="AC1231" i="12" s="1"/>
  <c r="Y1230" i="12"/>
  <c r="Z1230" i="12"/>
  <c r="AA1230" i="12" s="1"/>
  <c r="AB1230" i="12" s="1"/>
  <c r="AC1230" i="12" s="1"/>
  <c r="Y1234" i="12"/>
  <c r="Z1234" i="12"/>
  <c r="AA1234" i="12" s="1"/>
  <c r="AB1234" i="12" s="1"/>
  <c r="AC1234" i="12" s="1"/>
  <c r="Y1222" i="12"/>
  <c r="Z1222" i="12"/>
  <c r="AA1222" i="12" s="1"/>
  <c r="AB1222" i="12" s="1"/>
  <c r="AC1222" i="12" s="1"/>
  <c r="Y1226" i="12"/>
  <c r="Z1226" i="12"/>
  <c r="AA1226" i="12" s="1"/>
  <c r="AB1226" i="12" s="1"/>
  <c r="AC1226" i="12" s="1"/>
  <c r="Y1228" i="12"/>
  <c r="Z1228" i="12"/>
  <c r="AA1228" i="12" s="1"/>
  <c r="AB1228" i="12" s="1"/>
  <c r="AC1228" i="12" s="1"/>
  <c r="Y1232" i="12"/>
  <c r="Z1232" i="12"/>
  <c r="AA1232" i="12" s="1"/>
  <c r="AB1232" i="12" s="1"/>
  <c r="AC1232" i="12" s="1"/>
  <c r="Y1236" i="12"/>
  <c r="Z1236" i="12"/>
  <c r="AA1236" i="12" s="1"/>
  <c r="AB1236" i="12" s="1"/>
  <c r="AC1236" i="12" s="1"/>
  <c r="Y1224" i="12"/>
  <c r="Z1224" i="12"/>
  <c r="AA1224" i="12" s="1"/>
  <c r="AB1224" i="12" s="1"/>
  <c r="AC1224" i="12" s="1"/>
  <c r="Y1219" i="12"/>
  <c r="Z1219" i="12"/>
  <c r="AA1219" i="12" s="1"/>
  <c r="AB1219" i="12" s="1"/>
  <c r="AC1219" i="12" s="1"/>
  <c r="Y1218" i="12"/>
  <c r="Z1218" i="12"/>
  <c r="AA1218" i="12" s="1"/>
  <c r="AB1218" i="12" s="1"/>
  <c r="AC1218" i="12" s="1"/>
  <c r="Z1217" i="12"/>
  <c r="AA1217" i="12" s="1"/>
  <c r="AB1217" i="12" s="1"/>
  <c r="AC1217" i="12" s="1"/>
  <c r="Y1217" i="12"/>
  <c r="Y1216" i="12"/>
  <c r="Z1216" i="12"/>
  <c r="AA1216" i="12" s="1"/>
  <c r="AB1216" i="12" s="1"/>
  <c r="AC1216" i="12" s="1"/>
  <c r="Y1214" i="12"/>
  <c r="Z1214" i="12"/>
  <c r="AA1214" i="12" s="1"/>
  <c r="AB1214" i="12" s="1"/>
  <c r="AC1214" i="12" s="1"/>
  <c r="Y1215" i="12"/>
  <c r="Z1215" i="12"/>
  <c r="AA1215" i="12" s="1"/>
  <c r="AB1215" i="12" s="1"/>
  <c r="AC1215" i="12" s="1"/>
  <c r="Y1208" i="12"/>
  <c r="Z1208" i="12"/>
  <c r="AA1208" i="12" s="1"/>
  <c r="AB1208" i="12" s="1"/>
  <c r="AC1208" i="12" s="1"/>
  <c r="Y1203" i="12"/>
  <c r="Z1203" i="12"/>
  <c r="AA1203" i="12" s="1"/>
  <c r="AB1203" i="12" s="1"/>
  <c r="AC1203" i="12" s="1"/>
  <c r="Y1211" i="12"/>
  <c r="Z1211" i="12"/>
  <c r="AA1211" i="12" s="1"/>
  <c r="AB1211" i="12" s="1"/>
  <c r="AC1211" i="12" s="1"/>
  <c r="Y1206" i="12"/>
  <c r="Z1206" i="12"/>
  <c r="AA1206" i="12" s="1"/>
  <c r="AB1206" i="12" s="1"/>
  <c r="AC1206" i="12" s="1"/>
  <c r="Y1207" i="12"/>
  <c r="Y1202" i="12"/>
  <c r="Z1207" i="12"/>
  <c r="AA1207" i="12" s="1"/>
  <c r="AB1207" i="12" s="1"/>
  <c r="AC1207" i="12" s="1"/>
  <c r="Z1202" i="12"/>
  <c r="AA1202" i="12" s="1"/>
  <c r="AB1202" i="12" s="1"/>
  <c r="AC1202" i="12" s="1"/>
  <c r="Y1200" i="12"/>
  <c r="Z1200" i="12"/>
  <c r="AA1200" i="12" s="1"/>
  <c r="AB1200" i="12" s="1"/>
  <c r="AC1200" i="12" s="1"/>
  <c r="Y1201" i="12"/>
  <c r="Z1201" i="12"/>
  <c r="AA1201" i="12" s="1"/>
  <c r="AB1201" i="12" s="1"/>
  <c r="AC1201" i="12" s="1"/>
  <c r="Y1209" i="12"/>
  <c r="Z1209" i="12"/>
  <c r="AA1209" i="12" s="1"/>
  <c r="AB1209" i="12" s="1"/>
  <c r="AC1209" i="12" s="1"/>
  <c r="Y1204" i="12"/>
  <c r="Z1204" i="12"/>
  <c r="AA1204" i="12" s="1"/>
  <c r="AB1204" i="12" s="1"/>
  <c r="AC1204" i="12" s="1"/>
  <c r="Y1197" i="12"/>
  <c r="Z1197" i="12"/>
  <c r="AA1197" i="12" s="1"/>
  <c r="AB1197" i="12" s="1"/>
  <c r="AC1197" i="12" s="1"/>
  <c r="Y1199" i="12"/>
  <c r="Z1199" i="12"/>
  <c r="AA1199" i="12" s="1"/>
  <c r="AB1199" i="12" s="1"/>
  <c r="AC1199" i="12" s="1"/>
  <c r="Y1198" i="12"/>
  <c r="Z1198" i="12"/>
  <c r="AA1198" i="12" s="1"/>
  <c r="AB1198" i="12" s="1"/>
  <c r="AC1198" i="12" s="1"/>
  <c r="Y1195" i="12"/>
  <c r="Z1195" i="12"/>
  <c r="AA1195" i="12" s="1"/>
  <c r="AB1195" i="12" s="1"/>
  <c r="AC1195" i="12" s="1"/>
  <c r="Y1194" i="12"/>
  <c r="Z1194" i="12"/>
  <c r="AA1194" i="12" s="1"/>
  <c r="AB1194" i="12" s="1"/>
  <c r="AC1194" i="12" s="1"/>
  <c r="Z1184" i="12"/>
  <c r="AA1184" i="12" s="1"/>
  <c r="AB1184" i="12" s="1"/>
  <c r="AC1184" i="12" s="1"/>
  <c r="Y1193" i="12"/>
  <c r="Z1193" i="12"/>
  <c r="AA1193" i="12" s="1"/>
  <c r="AB1193" i="12" s="1"/>
  <c r="AC1193" i="12" s="1"/>
  <c r="Y1184" i="12"/>
  <c r="Y1190" i="12"/>
  <c r="Z1190" i="12"/>
  <c r="AA1190" i="12" s="1"/>
  <c r="AB1190" i="12" s="1"/>
  <c r="AC1190" i="12" s="1"/>
  <c r="Y1187" i="12"/>
  <c r="Z1187" i="12"/>
  <c r="AA1187" i="12" s="1"/>
  <c r="AB1187" i="12" s="1"/>
  <c r="AC1187" i="12" s="1"/>
  <c r="Y1186" i="12"/>
  <c r="Z1186" i="12"/>
  <c r="AA1186" i="12" s="1"/>
  <c r="AB1186" i="12" s="1"/>
  <c r="AC1186" i="12" s="1"/>
  <c r="Y1183" i="12"/>
  <c r="Z1183" i="12"/>
  <c r="AA1183" i="12" s="1"/>
  <c r="AB1183" i="12" s="1"/>
  <c r="AC1183" i="12" s="1"/>
  <c r="Y1192" i="12"/>
  <c r="Z1192" i="12"/>
  <c r="AA1192" i="12" s="1"/>
  <c r="AB1192" i="12" s="1"/>
  <c r="AC1192" i="12" s="1"/>
  <c r="Y1189" i="12"/>
  <c r="Z1189" i="12"/>
  <c r="AA1189" i="12" s="1"/>
  <c r="AB1189" i="12" s="1"/>
  <c r="AC1189" i="12" s="1"/>
  <c r="Z1191" i="12"/>
  <c r="AA1191" i="12" s="1"/>
  <c r="AB1191" i="12" s="1"/>
  <c r="AC1191" i="12" s="1"/>
  <c r="Y1188" i="12"/>
  <c r="Y1191" i="12"/>
  <c r="Z1188" i="12"/>
  <c r="AA1188" i="12" s="1"/>
  <c r="AB1188" i="12" s="1"/>
  <c r="AC1188" i="12" s="1"/>
  <c r="Y1185" i="12"/>
  <c r="Z1185" i="12"/>
  <c r="AA1185" i="12" s="1"/>
  <c r="AB1185" i="12" s="1"/>
  <c r="AC1185" i="12" s="1"/>
  <c r="Y1182" i="12"/>
  <c r="Z1182" i="12"/>
  <c r="AA1182" i="12" s="1"/>
  <c r="AB1182" i="12" s="1"/>
  <c r="AC1182" i="12" s="1"/>
  <c r="Y1181" i="12"/>
  <c r="Z1181" i="12"/>
  <c r="AA1181" i="12" s="1"/>
  <c r="AB1181" i="12" s="1"/>
  <c r="AC1181" i="12" s="1"/>
  <c r="Y1179" i="12"/>
  <c r="Z1179" i="12"/>
  <c r="AA1179" i="12" s="1"/>
  <c r="AB1179" i="12" s="1"/>
  <c r="AC1179" i="12" s="1"/>
  <c r="Y1178" i="12"/>
  <c r="Z1178" i="12"/>
  <c r="AA1178" i="12" s="1"/>
  <c r="AB1178" i="12" s="1"/>
  <c r="AC1178" i="12" s="1"/>
  <c r="Y1180" i="12"/>
  <c r="Z1180" i="12"/>
  <c r="AA1180" i="12" s="1"/>
  <c r="AB1180" i="12" s="1"/>
  <c r="AC1180" i="12" s="1"/>
  <c r="Y1175" i="12"/>
  <c r="Z1175" i="12"/>
  <c r="AA1175" i="12" s="1"/>
  <c r="AB1175" i="12" s="1"/>
  <c r="AC1175" i="12" s="1"/>
  <c r="Y1174" i="12"/>
  <c r="Z1174" i="12"/>
  <c r="AA1174" i="12" s="1"/>
  <c r="AB1174" i="12" s="1"/>
  <c r="AC1174" i="12" s="1"/>
  <c r="Y1173" i="12"/>
  <c r="Z1173" i="12"/>
  <c r="AA1173" i="12" s="1"/>
  <c r="AB1173" i="12" s="1"/>
  <c r="AC1173" i="12" s="1"/>
  <c r="Y1172" i="12"/>
  <c r="Z1172" i="12"/>
  <c r="AA1172" i="12" s="1"/>
  <c r="AB1172" i="12" s="1"/>
  <c r="AC1172" i="12" s="1"/>
  <c r="Z1166" i="12"/>
  <c r="AA1166" i="12" s="1"/>
  <c r="AB1166" i="12" s="1"/>
  <c r="AC1166" i="12" s="1"/>
  <c r="Y1171" i="12"/>
  <c r="Y1166" i="12"/>
  <c r="Z1171" i="12"/>
  <c r="AA1171" i="12" s="1"/>
  <c r="AB1171" i="12" s="1"/>
  <c r="AC1171" i="12" s="1"/>
  <c r="Y1163" i="12"/>
  <c r="Y1168" i="12"/>
  <c r="Z1163" i="12"/>
  <c r="AA1163" i="12" s="1"/>
  <c r="AB1163" i="12" s="1"/>
  <c r="AC1163" i="12" s="1"/>
  <c r="Z1168" i="12"/>
  <c r="AA1168" i="12" s="1"/>
  <c r="AB1168" i="12" s="1"/>
  <c r="AC1168" i="12" s="1"/>
  <c r="Y1169" i="12"/>
  <c r="Z1169" i="12"/>
  <c r="AA1169" i="12" s="1"/>
  <c r="AB1169" i="12" s="1"/>
  <c r="AC1169" i="12" s="1"/>
  <c r="Y1164" i="12"/>
  <c r="Z1164" i="12"/>
  <c r="AA1164" i="12" s="1"/>
  <c r="AB1164" i="12" s="1"/>
  <c r="AC1164" i="12" s="1"/>
  <c r="Y1160" i="12"/>
  <c r="Z1160" i="12"/>
  <c r="AA1160" i="12" s="1"/>
  <c r="AB1160" i="12" s="1"/>
  <c r="AC1160" i="12" s="1"/>
  <c r="Y1158" i="12"/>
  <c r="Z1158" i="12"/>
  <c r="AA1158" i="12" s="1"/>
  <c r="AB1158" i="12" s="1"/>
  <c r="AC1158" i="12" s="1"/>
  <c r="Z1159" i="12"/>
  <c r="AA1159" i="12" s="1"/>
  <c r="AB1159" i="12" s="1"/>
  <c r="AC1159" i="12" s="1"/>
  <c r="Y1159" i="12"/>
  <c r="Y93" i="12"/>
  <c r="Y219" i="12"/>
  <c r="Z93" i="12"/>
  <c r="AA93" i="12" s="1"/>
  <c r="AB93" i="12" s="1"/>
  <c r="AC93" i="12" s="1"/>
  <c r="Z219" i="12"/>
  <c r="AA219" i="12" s="1"/>
  <c r="AB219" i="12" s="1"/>
  <c r="AC219" i="12" s="1"/>
  <c r="Y447" i="12"/>
  <c r="Z447" i="12"/>
  <c r="AA447" i="12" s="1"/>
  <c r="AB447" i="12" s="1"/>
  <c r="AC447" i="12" s="1"/>
  <c r="Y1065" i="12"/>
  <c r="Z1065" i="12"/>
  <c r="AA1065" i="12" s="1"/>
  <c r="AB1065" i="12" s="1"/>
  <c r="AC1065" i="12" s="1"/>
  <c r="Y514" i="12"/>
  <c r="Y471" i="12"/>
  <c r="Y593" i="12"/>
  <c r="Z471" i="12"/>
  <c r="AA471" i="12" s="1"/>
  <c r="AB471" i="12" s="1"/>
  <c r="AC471" i="12" s="1"/>
  <c r="Z593" i="12"/>
  <c r="AA593" i="12" s="1"/>
  <c r="AB593" i="12" s="1"/>
  <c r="AC593" i="12" s="1"/>
  <c r="Y269" i="12"/>
  <c r="Z269" i="12"/>
  <c r="AA269" i="12" s="1"/>
  <c r="AB269" i="12" s="1"/>
  <c r="AC269" i="12" s="1"/>
  <c r="Y592" i="12"/>
  <c r="Z586" i="12"/>
  <c r="AA586" i="12" s="1"/>
  <c r="AB586" i="12" s="1"/>
  <c r="AC586" i="12" s="1"/>
  <c r="Y621" i="12"/>
  <c r="Y474" i="12"/>
  <c r="Y608" i="12"/>
  <c r="Z474" i="12"/>
  <c r="AA474" i="12" s="1"/>
  <c r="AB474" i="12" s="1"/>
  <c r="AC474" i="12" s="1"/>
  <c r="Y479" i="12"/>
  <c r="Z608" i="12"/>
  <c r="AA608" i="12" s="1"/>
  <c r="AB608" i="12" s="1"/>
  <c r="AC608" i="12" s="1"/>
  <c r="Z970" i="12"/>
  <c r="AA970" i="12" s="1"/>
  <c r="AB970" i="12" s="1"/>
  <c r="AC970" i="12" s="1"/>
  <c r="Z1054" i="12"/>
  <c r="AA1054" i="12" s="1"/>
  <c r="AB1054" i="12" s="1"/>
  <c r="AC1054" i="12" s="1"/>
  <c r="Y728" i="12"/>
  <c r="Y972" i="12"/>
  <c r="Y1044" i="12"/>
  <c r="Y1129" i="12"/>
  <c r="Z621" i="12"/>
  <c r="AA621" i="12" s="1"/>
  <c r="AB621" i="12" s="1"/>
  <c r="AC621" i="12" s="1"/>
  <c r="Z728" i="12"/>
  <c r="AA728" i="12" s="1"/>
  <c r="AB728" i="12" s="1"/>
  <c r="AC728" i="12" s="1"/>
  <c r="Z972" i="12"/>
  <c r="AA972" i="12" s="1"/>
  <c r="AB972" i="12" s="1"/>
  <c r="AC972" i="12" s="1"/>
  <c r="Z1044" i="12"/>
  <c r="AA1044" i="12" s="1"/>
  <c r="AB1044" i="12" s="1"/>
  <c r="AC1044" i="12" s="1"/>
  <c r="Z1129" i="12"/>
  <c r="AA1129" i="12" s="1"/>
  <c r="AB1129" i="12" s="1"/>
  <c r="AC1129" i="12" s="1"/>
  <c r="Y974" i="12"/>
  <c r="Y467" i="12"/>
  <c r="Z974" i="12"/>
  <c r="AA974" i="12" s="1"/>
  <c r="AB974" i="12" s="1"/>
  <c r="AC974" i="12" s="1"/>
  <c r="Y1110" i="12"/>
  <c r="Z467" i="12"/>
  <c r="AA467" i="12" s="1"/>
  <c r="AB467" i="12" s="1"/>
  <c r="AC467" i="12" s="1"/>
  <c r="Y976" i="12"/>
  <c r="Y1098" i="12"/>
  <c r="Z1110" i="12"/>
  <c r="AA1110" i="12" s="1"/>
  <c r="AB1110" i="12" s="1"/>
  <c r="AC1110" i="12" s="1"/>
  <c r="Z976" i="12"/>
  <c r="AA976" i="12" s="1"/>
  <c r="AB976" i="12" s="1"/>
  <c r="AC976" i="12" s="1"/>
  <c r="Y1060" i="12"/>
  <c r="Z1098" i="12"/>
  <c r="AA1098" i="12" s="1"/>
  <c r="AB1098" i="12" s="1"/>
  <c r="AC1098" i="12" s="1"/>
  <c r="Z1060" i="12"/>
  <c r="AA1060" i="12" s="1"/>
  <c r="AB1060" i="12" s="1"/>
  <c r="AC1060" i="12" s="1"/>
  <c r="Y978" i="12"/>
  <c r="Z479" i="12"/>
  <c r="AA479" i="12" s="1"/>
  <c r="AB479" i="12" s="1"/>
  <c r="AC479" i="12" s="1"/>
  <c r="Y586" i="12"/>
  <c r="Z978" i="12"/>
  <c r="AA978" i="12" s="1"/>
  <c r="AB978" i="12" s="1"/>
  <c r="AC978" i="12" s="1"/>
  <c r="Y935" i="12"/>
  <c r="Y1114" i="12"/>
  <c r="Z514" i="12"/>
  <c r="AA514" i="12" s="1"/>
  <c r="AB514" i="12" s="1"/>
  <c r="AC514" i="12" s="1"/>
  <c r="Y825" i="12"/>
  <c r="Z935" i="12"/>
  <c r="AA935" i="12" s="1"/>
  <c r="AB935" i="12" s="1"/>
  <c r="AC935" i="12" s="1"/>
  <c r="Y943" i="12"/>
  <c r="Z1114" i="12"/>
  <c r="AA1114" i="12" s="1"/>
  <c r="AB1114" i="12" s="1"/>
  <c r="AC1114" i="12" s="1"/>
  <c r="Y1133" i="12"/>
  <c r="Y922" i="12"/>
  <c r="Z1008" i="12"/>
  <c r="AA1008" i="12" s="1"/>
  <c r="AB1008" i="12" s="1"/>
  <c r="AC1008" i="12" s="1"/>
  <c r="Z922" i="12"/>
  <c r="AA922" i="12" s="1"/>
  <c r="AB922" i="12" s="1"/>
  <c r="AC922" i="12" s="1"/>
  <c r="Y970" i="12"/>
  <c r="Y1054" i="12"/>
  <c r="Y1090" i="12"/>
  <c r="Z1090" i="12"/>
  <c r="AA1090" i="12" s="1"/>
  <c r="AB1090" i="12" s="1"/>
  <c r="AC1090" i="12" s="1"/>
  <c r="Z592" i="12"/>
  <c r="AA592" i="12" s="1"/>
  <c r="AB592" i="12" s="1"/>
  <c r="AC592" i="12" s="1"/>
  <c r="Z943" i="12"/>
  <c r="AA943" i="12" s="1"/>
  <c r="AB943" i="12" s="1"/>
  <c r="AC943" i="12" s="1"/>
  <c r="Z1133" i="12"/>
  <c r="AA1133" i="12" s="1"/>
  <c r="AB1133" i="12" s="1"/>
  <c r="AC1133" i="12" s="1"/>
  <c r="Z825" i="12"/>
  <c r="AA825" i="12" s="1"/>
  <c r="AB825" i="12" s="1"/>
  <c r="AC825" i="12" s="1"/>
  <c r="Y1008" i="12"/>
  <c r="Y738" i="12"/>
  <c r="Z738" i="12"/>
  <c r="AA738" i="12" s="1"/>
  <c r="AB738" i="12" s="1"/>
  <c r="AC738" i="12" s="1"/>
  <c r="Y718" i="12"/>
  <c r="Z533" i="12"/>
  <c r="AA533" i="12" s="1"/>
  <c r="AB533" i="12" s="1"/>
  <c r="AC533" i="12" s="1"/>
  <c r="Z720" i="12"/>
  <c r="AA720" i="12" s="1"/>
  <c r="AB720" i="12" s="1"/>
  <c r="AC720" i="12" s="1"/>
  <c r="Y535" i="12"/>
  <c r="Z1064" i="12"/>
  <c r="AA1064" i="12" s="1"/>
  <c r="AB1064" i="12" s="1"/>
  <c r="AC1064" i="12" s="1"/>
  <c r="Y720" i="12"/>
  <c r="Z718" i="12"/>
  <c r="AA718" i="12" s="1"/>
  <c r="AB718" i="12" s="1"/>
  <c r="AC718" i="12" s="1"/>
  <c r="Y1058" i="12"/>
  <c r="Z1058" i="12"/>
  <c r="AA1058" i="12" s="1"/>
  <c r="AB1058" i="12" s="1"/>
  <c r="AC1058" i="12" s="1"/>
  <c r="Z535" i="12"/>
  <c r="AA535" i="12" s="1"/>
  <c r="AB535" i="12" s="1"/>
  <c r="AC535" i="12" s="1"/>
  <c r="Y533" i="12"/>
  <c r="Y1064" i="12"/>
  <c r="Y574" i="12"/>
  <c r="Z574" i="12"/>
  <c r="AA574" i="12" s="1"/>
  <c r="AB574" i="12" s="1"/>
  <c r="AC574" i="12" s="1"/>
  <c r="Y418" i="12"/>
  <c r="Z418" i="12"/>
  <c r="AA418" i="12" s="1"/>
  <c r="AB418" i="12" s="1"/>
  <c r="AC418" i="12" s="1"/>
  <c r="Y806" i="12"/>
  <c r="Z806" i="12"/>
  <c r="AA806" i="12" s="1"/>
  <c r="AB806" i="12" s="1"/>
  <c r="AC806" i="12" s="1"/>
  <c r="Y632" i="12"/>
  <c r="Z632" i="12"/>
  <c r="AA632" i="12" s="1"/>
  <c r="AB632" i="12" s="1"/>
  <c r="AC632" i="12" s="1"/>
  <c r="Y456" i="12"/>
  <c r="Z456" i="12"/>
  <c r="AA456" i="12" s="1"/>
  <c r="AB456" i="12" s="1"/>
  <c r="AC456" i="12" s="1"/>
  <c r="Y805" i="12"/>
  <c r="Z805" i="12"/>
  <c r="AA805" i="12" s="1"/>
  <c r="AB805" i="12" s="1"/>
  <c r="AC805" i="12" s="1"/>
  <c r="Y108" i="12"/>
  <c r="Z108" i="12"/>
  <c r="AA108" i="12" s="1"/>
  <c r="AB108" i="12" s="1"/>
  <c r="AC108" i="12" s="1"/>
  <c r="Y72" i="12"/>
  <c r="Z72" i="12"/>
  <c r="AA72" i="12" s="1"/>
  <c r="AB72" i="12" s="1"/>
  <c r="AC72" i="12" s="1"/>
  <c r="Y736" i="12"/>
  <c r="Y180" i="12"/>
  <c r="Z180" i="12"/>
  <c r="AA180" i="12" s="1"/>
  <c r="AB180" i="12" s="1"/>
  <c r="AC180" i="12" s="1"/>
  <c r="Y373" i="12"/>
  <c r="Z373" i="12"/>
  <c r="AA373" i="12" s="1"/>
  <c r="AB373" i="12" s="1"/>
  <c r="AC373" i="12" s="1"/>
  <c r="Y392" i="12"/>
  <c r="Y205" i="12"/>
  <c r="Z392" i="12"/>
  <c r="AA392" i="12" s="1"/>
  <c r="AB392" i="12" s="1"/>
  <c r="AC392" i="12" s="1"/>
  <c r="Z205" i="12"/>
  <c r="AA205" i="12" s="1"/>
  <c r="AB205" i="12" s="1"/>
  <c r="AC205" i="12" s="1"/>
  <c r="Z736" i="12"/>
  <c r="AA736" i="12" s="1"/>
  <c r="AB736" i="12" s="1"/>
  <c r="AC736" i="12" s="1"/>
  <c r="Z458" i="12"/>
  <c r="AA458" i="12" s="1"/>
  <c r="AB458" i="12" s="1"/>
  <c r="AC458" i="12" s="1"/>
  <c r="Y420" i="12"/>
  <c r="Z420" i="12"/>
  <c r="AA420" i="12" s="1"/>
  <c r="AB420" i="12" s="1"/>
  <c r="AC420" i="12" s="1"/>
  <c r="Z494" i="12"/>
  <c r="AA494" i="12" s="1"/>
  <c r="AB494" i="12" s="1"/>
  <c r="AC494" i="12" s="1"/>
  <c r="Y494" i="12"/>
  <c r="Y458" i="12"/>
  <c r="Z200" i="12"/>
  <c r="AA200" i="12" s="1"/>
  <c r="AB200" i="12" s="1"/>
  <c r="AC200" i="12" s="1"/>
  <c r="Y529" i="12"/>
  <c r="Z464" i="12"/>
  <c r="AA464" i="12" s="1"/>
  <c r="AB464" i="12" s="1"/>
  <c r="AC464" i="12" s="1"/>
  <c r="Y454" i="12"/>
  <c r="Z454" i="12"/>
  <c r="AA454" i="12" s="1"/>
  <c r="AB454" i="12" s="1"/>
  <c r="AC454" i="12" s="1"/>
  <c r="Z529" i="12"/>
  <c r="AA529" i="12" s="1"/>
  <c r="AB529" i="12" s="1"/>
  <c r="AC529" i="12" s="1"/>
  <c r="Y292" i="12"/>
  <c r="Z292" i="12"/>
  <c r="AA292" i="12" s="1"/>
  <c r="AB292" i="12" s="1"/>
  <c r="AC292" i="12" s="1"/>
  <c r="Y521" i="12"/>
  <c r="Y200" i="12"/>
  <c r="Y1019" i="12"/>
  <c r="Y1096" i="12"/>
  <c r="Z521" i="12"/>
  <c r="AA521" i="12" s="1"/>
  <c r="AB521" i="12" s="1"/>
  <c r="AC521" i="12" s="1"/>
  <c r="Z1019" i="12"/>
  <c r="AA1019" i="12" s="1"/>
  <c r="AB1019" i="12" s="1"/>
  <c r="AC1019" i="12" s="1"/>
  <c r="Z1096" i="12"/>
  <c r="AA1096" i="12" s="1"/>
  <c r="AB1096" i="12" s="1"/>
  <c r="AC1096" i="12" s="1"/>
  <c r="Y1128" i="12"/>
  <c r="Y1154" i="12"/>
  <c r="Z1095" i="12"/>
  <c r="AA1095" i="12" s="1"/>
  <c r="AB1095" i="12" s="1"/>
  <c r="AC1095" i="12" s="1"/>
  <c r="Y464" i="12"/>
  <c r="Y1095" i="12"/>
  <c r="Z1128" i="12"/>
  <c r="AA1128" i="12" s="1"/>
  <c r="AB1128" i="12" s="1"/>
  <c r="AC1128" i="12" s="1"/>
  <c r="Z1154" i="12"/>
  <c r="AA1154" i="12" s="1"/>
  <c r="AB1154" i="12" s="1"/>
  <c r="AC1154" i="12" s="1"/>
  <c r="Z532" i="12"/>
  <c r="AA532" i="12" s="1"/>
  <c r="AB532" i="12" s="1"/>
  <c r="AC532" i="12" s="1"/>
  <c r="Z717" i="12"/>
  <c r="AA717" i="12" s="1"/>
  <c r="AB717" i="12" s="1"/>
  <c r="AC717" i="12" s="1"/>
  <c r="Y532" i="12"/>
  <c r="Y719" i="12"/>
  <c r="Z719" i="12"/>
  <c r="AA719" i="12" s="1"/>
  <c r="AB719" i="12" s="1"/>
  <c r="AC719" i="12" s="1"/>
  <c r="Y534" i="12"/>
  <c r="Z534" i="12"/>
  <c r="AA534" i="12" s="1"/>
  <c r="AB534" i="12" s="1"/>
  <c r="AC534" i="12" s="1"/>
  <c r="Y1063" i="12"/>
  <c r="Z1063" i="12"/>
  <c r="AA1063" i="12" s="1"/>
  <c r="AB1063" i="12" s="1"/>
  <c r="AC1063" i="12" s="1"/>
  <c r="Y717" i="12"/>
  <c r="Z435" i="12"/>
  <c r="AA435" i="12" s="1"/>
  <c r="AB435" i="12" s="1"/>
  <c r="AC435" i="12" s="1"/>
  <c r="Y600" i="12"/>
  <c r="Y435" i="12"/>
  <c r="Y560" i="12"/>
  <c r="Z600" i="12"/>
  <c r="AA600" i="12" s="1"/>
  <c r="AB600" i="12" s="1"/>
  <c r="AC600" i="12" s="1"/>
  <c r="Z560" i="12"/>
  <c r="AA560" i="12" s="1"/>
  <c r="AB560" i="12" s="1"/>
  <c r="AC560" i="12" s="1"/>
  <c r="Y658" i="12"/>
  <c r="Z658" i="12"/>
  <c r="AA658" i="12" s="1"/>
  <c r="AB658" i="12" s="1"/>
  <c r="AC658" i="12" s="1"/>
  <c r="Z616" i="12"/>
  <c r="AA616" i="12" s="1"/>
  <c r="AB616" i="12" s="1"/>
  <c r="AC616" i="12" s="1"/>
  <c r="Y650" i="12"/>
  <c r="Z650" i="12"/>
  <c r="AA650" i="12" s="1"/>
  <c r="AB650" i="12" s="1"/>
  <c r="AC650" i="12" s="1"/>
  <c r="Y545" i="12"/>
  <c r="Y616" i="12"/>
  <c r="Z545" i="12"/>
  <c r="AA545" i="12" s="1"/>
  <c r="AB545" i="12" s="1"/>
  <c r="AC545" i="12" s="1"/>
  <c r="Y506" i="12"/>
  <c r="Z506" i="12"/>
  <c r="AA506" i="12" s="1"/>
  <c r="AB506" i="12" s="1"/>
  <c r="AC506" i="12" s="1"/>
  <c r="Y445" i="12"/>
  <c r="Z445" i="12"/>
  <c r="AA445" i="12" s="1"/>
  <c r="AB445" i="12" s="1"/>
  <c r="AC445" i="12" s="1"/>
  <c r="Y406" i="12"/>
  <c r="Z406" i="12"/>
  <c r="AA406" i="12" s="1"/>
  <c r="AB406" i="12" s="1"/>
  <c r="AC406" i="12" s="1"/>
  <c r="Y404" i="12"/>
  <c r="Z404" i="12"/>
  <c r="AA404" i="12" s="1"/>
  <c r="AB404" i="12" s="1"/>
  <c r="AC404" i="12" s="1"/>
  <c r="Y955" i="12"/>
  <c r="Z955" i="12"/>
  <c r="AA955" i="12" s="1"/>
  <c r="AB955" i="12" s="1"/>
  <c r="AC955" i="12" s="1"/>
  <c r="Y999" i="12"/>
  <c r="Y443" i="12"/>
  <c r="Z999" i="12"/>
  <c r="AA999" i="12" s="1"/>
  <c r="AB999" i="12" s="1"/>
  <c r="AC999" i="12" s="1"/>
  <c r="Z443" i="12"/>
  <c r="AA443" i="12" s="1"/>
  <c r="AB443" i="12" s="1"/>
  <c r="AC443" i="12" s="1"/>
  <c r="Y1003" i="12"/>
  <c r="Z1003" i="12"/>
  <c r="AA1003" i="12" s="1"/>
  <c r="AB1003" i="12" s="1"/>
  <c r="AC1003" i="12" s="1"/>
  <c r="Y17" i="12"/>
  <c r="Z17" i="12"/>
  <c r="AA17" i="12" s="1"/>
  <c r="AB17" i="12" s="1"/>
  <c r="AC17" i="12" s="1"/>
  <c r="Y61" i="12"/>
  <c r="Z61" i="12"/>
  <c r="AA61" i="12" s="1"/>
  <c r="AB61" i="12" s="1"/>
  <c r="AC61" i="12" s="1"/>
  <c r="Y123" i="12"/>
  <c r="Y63" i="12"/>
  <c r="Z123" i="12"/>
  <c r="AA123" i="12" s="1"/>
  <c r="AB123" i="12" s="1"/>
  <c r="AC123" i="12" s="1"/>
  <c r="Y212" i="12"/>
  <c r="Z335" i="12"/>
  <c r="AA335" i="12" s="1"/>
  <c r="AB335" i="12" s="1"/>
  <c r="AC335" i="12" s="1"/>
  <c r="Z63" i="12"/>
  <c r="AA63" i="12" s="1"/>
  <c r="AB63" i="12" s="1"/>
  <c r="AC63" i="12" s="1"/>
  <c r="Z212" i="12"/>
  <c r="AA212" i="12" s="1"/>
  <c r="AB212" i="12" s="1"/>
  <c r="AC212" i="12" s="1"/>
  <c r="Y248" i="12"/>
  <c r="Z248" i="12"/>
  <c r="AA248" i="12" s="1"/>
  <c r="AB248" i="12" s="1"/>
  <c r="AC248" i="12" s="1"/>
  <c r="Y100" i="12"/>
  <c r="Y62" i="12"/>
  <c r="Z100" i="12"/>
  <c r="AA100" i="12" s="1"/>
  <c r="AB100" i="12" s="1"/>
  <c r="AC100" i="12" s="1"/>
  <c r="Z62" i="12"/>
  <c r="AA62" i="12" s="1"/>
  <c r="AB62" i="12" s="1"/>
  <c r="AC62" i="12" s="1"/>
  <c r="Y156" i="12"/>
  <c r="Z156" i="12"/>
  <c r="AA156" i="12" s="1"/>
  <c r="AB156" i="12" s="1"/>
  <c r="AC156" i="12" s="1"/>
  <c r="Z333" i="12"/>
  <c r="AA333" i="12" s="1"/>
  <c r="AB333" i="12" s="1"/>
  <c r="AC333" i="12" s="1"/>
  <c r="Y380" i="12"/>
  <c r="Y572" i="12"/>
  <c r="Z380" i="12"/>
  <c r="AA380" i="12" s="1"/>
  <c r="AB380" i="12" s="1"/>
  <c r="AC380" i="12" s="1"/>
  <c r="Z572" i="12"/>
  <c r="AA572" i="12" s="1"/>
  <c r="AB572" i="12" s="1"/>
  <c r="AC572" i="12" s="1"/>
  <c r="Z633" i="12"/>
  <c r="AA633" i="12" s="1"/>
  <c r="AB633" i="12" s="1"/>
  <c r="AC633" i="12" s="1"/>
  <c r="Y382" i="12"/>
  <c r="Y367" i="12"/>
  <c r="Z377" i="12"/>
  <c r="AA377" i="12" s="1"/>
  <c r="AB377" i="12" s="1"/>
  <c r="AC377" i="12" s="1"/>
  <c r="Y220" i="12"/>
  <c r="Z367" i="12"/>
  <c r="AA367" i="12" s="1"/>
  <c r="AB367" i="12" s="1"/>
  <c r="AC367" i="12" s="1"/>
  <c r="Y469" i="12"/>
  <c r="Y1094" i="12"/>
  <c r="Z1094" i="12"/>
  <c r="AA1094" i="12" s="1"/>
  <c r="AB1094" i="12" s="1"/>
  <c r="AC1094" i="12" s="1"/>
  <c r="Z220" i="12"/>
  <c r="AA220" i="12" s="1"/>
  <c r="AB220" i="12" s="1"/>
  <c r="AC220" i="12" s="1"/>
  <c r="Z1085" i="12"/>
  <c r="AA1085" i="12" s="1"/>
  <c r="AB1085" i="12" s="1"/>
  <c r="AC1085" i="12" s="1"/>
  <c r="Y1106" i="12"/>
  <c r="Y633" i="12"/>
  <c r="Z1106" i="12"/>
  <c r="AA1106" i="12" s="1"/>
  <c r="AB1106" i="12" s="1"/>
  <c r="AC1106" i="12" s="1"/>
  <c r="Z1053" i="12"/>
  <c r="AA1053" i="12" s="1"/>
  <c r="AB1053" i="12" s="1"/>
  <c r="AC1053" i="12" s="1"/>
  <c r="Z469" i="12"/>
  <c r="AA469" i="12" s="1"/>
  <c r="AB469" i="12" s="1"/>
  <c r="AC469" i="12" s="1"/>
  <c r="Z382" i="12"/>
  <c r="AA382" i="12" s="1"/>
  <c r="AB382" i="12" s="1"/>
  <c r="AC382" i="12" s="1"/>
  <c r="Y1013" i="12"/>
  <c r="Z1013" i="12"/>
  <c r="AA1013" i="12" s="1"/>
  <c r="AB1013" i="12" s="1"/>
  <c r="AC1013" i="12" s="1"/>
  <c r="Z1084" i="12"/>
  <c r="AA1084" i="12" s="1"/>
  <c r="AB1084" i="12" s="1"/>
  <c r="AC1084" i="12" s="1"/>
  <c r="Z1107" i="12"/>
  <c r="AA1107" i="12" s="1"/>
  <c r="AB1107" i="12" s="1"/>
  <c r="AC1107" i="12" s="1"/>
  <c r="Y1084" i="12"/>
  <c r="Y1107" i="12"/>
  <c r="Y333" i="12"/>
  <c r="Y335" i="12"/>
  <c r="Y377" i="12"/>
  <c r="Y1053" i="12"/>
  <c r="Y1085" i="12"/>
  <c r="Y28" i="12"/>
  <c r="Z28" i="12"/>
  <c r="AA28" i="12" s="1"/>
  <c r="AB28" i="12" s="1"/>
  <c r="AC28" i="12" s="1"/>
  <c r="Y45" i="12"/>
  <c r="Y113" i="12"/>
  <c r="Y162" i="12"/>
  <c r="Y355" i="12"/>
  <c r="Z45" i="12"/>
  <c r="AA45" i="12" s="1"/>
  <c r="AB45" i="12" s="1"/>
  <c r="AC45" i="12" s="1"/>
  <c r="Z113" i="12"/>
  <c r="AA113" i="12" s="1"/>
  <c r="AB113" i="12" s="1"/>
  <c r="AC113" i="12" s="1"/>
  <c r="Z162" i="12"/>
  <c r="AA162" i="12" s="1"/>
  <c r="AB162" i="12" s="1"/>
  <c r="AC162" i="12" s="1"/>
  <c r="Y49" i="12"/>
  <c r="Z49" i="12"/>
  <c r="AA49" i="12" s="1"/>
  <c r="AB49" i="12" s="1"/>
  <c r="AC49" i="12" s="1"/>
  <c r="Y54" i="12"/>
  <c r="Z54" i="12"/>
  <c r="AA54" i="12" s="1"/>
  <c r="AB54" i="12" s="1"/>
  <c r="AC54" i="12" s="1"/>
  <c r="Y587" i="12"/>
  <c r="Z587" i="12"/>
  <c r="AA587" i="12" s="1"/>
  <c r="AB587" i="12" s="1"/>
  <c r="AC587" i="12" s="1"/>
  <c r="Y342" i="12"/>
  <c r="Z342" i="12"/>
  <c r="AA342" i="12" s="1"/>
  <c r="AB342" i="12" s="1"/>
  <c r="AC342" i="12" s="1"/>
  <c r="Y413" i="12"/>
  <c r="Y669" i="12"/>
  <c r="Z355" i="12"/>
  <c r="AA355" i="12" s="1"/>
  <c r="AB355" i="12" s="1"/>
  <c r="AC355" i="12" s="1"/>
  <c r="Y146" i="12"/>
  <c r="Z146" i="12"/>
  <c r="AA146" i="12" s="1"/>
  <c r="AB146" i="12" s="1"/>
  <c r="AC146" i="12" s="1"/>
  <c r="Z397" i="12"/>
  <c r="AA397" i="12" s="1"/>
  <c r="AB397" i="12" s="1"/>
  <c r="AC397" i="12" s="1"/>
  <c r="Y189" i="12"/>
  <c r="Y666" i="12"/>
  <c r="Y1022" i="12"/>
  <c r="Y1142" i="12"/>
  <c r="Y364" i="12"/>
  <c r="Z1022" i="12"/>
  <c r="AA1022" i="12" s="1"/>
  <c r="AB1022" i="12" s="1"/>
  <c r="AC1022" i="12" s="1"/>
  <c r="Z1142" i="12"/>
  <c r="AA1142" i="12" s="1"/>
  <c r="AB1142" i="12" s="1"/>
  <c r="AC1142" i="12" s="1"/>
  <c r="Z364" i="12"/>
  <c r="AA364" i="12" s="1"/>
  <c r="AB364" i="12" s="1"/>
  <c r="AC364" i="12" s="1"/>
  <c r="Z666" i="12"/>
  <c r="AA666" i="12" s="1"/>
  <c r="AB666" i="12" s="1"/>
  <c r="AC666" i="12" s="1"/>
  <c r="Y1139" i="12"/>
  <c r="Z1139" i="12"/>
  <c r="AA1139" i="12" s="1"/>
  <c r="AB1139" i="12" s="1"/>
  <c r="AC1139" i="12" s="1"/>
  <c r="Y1144" i="12"/>
  <c r="Y397" i="12"/>
  <c r="Y1141" i="12"/>
  <c r="Z1144" i="12"/>
  <c r="AA1144" i="12" s="1"/>
  <c r="AB1144" i="12" s="1"/>
  <c r="AC1144" i="12" s="1"/>
  <c r="Y1103" i="12"/>
  <c r="Z669" i="12"/>
  <c r="AA669" i="12" s="1"/>
  <c r="AB669" i="12" s="1"/>
  <c r="AC669" i="12" s="1"/>
  <c r="Y673" i="12"/>
  <c r="Z1105" i="12"/>
  <c r="AA1105" i="12" s="1"/>
  <c r="AB1105" i="12" s="1"/>
  <c r="AC1105" i="12" s="1"/>
  <c r="Z1143" i="12"/>
  <c r="AA1143" i="12" s="1"/>
  <c r="AB1143" i="12" s="1"/>
  <c r="AC1143" i="12" s="1"/>
  <c r="Z413" i="12"/>
  <c r="AA413" i="12" s="1"/>
  <c r="AB413" i="12" s="1"/>
  <c r="AC413" i="12" s="1"/>
  <c r="Z673" i="12"/>
  <c r="AA673" i="12" s="1"/>
  <c r="AB673" i="12" s="1"/>
  <c r="AC673" i="12" s="1"/>
  <c r="Y1140" i="12"/>
  <c r="Y1138" i="12"/>
  <c r="Z1140" i="12"/>
  <c r="AA1140" i="12" s="1"/>
  <c r="AB1140" i="12" s="1"/>
  <c r="AC1140" i="12" s="1"/>
  <c r="Z1138" i="12"/>
  <c r="AA1138" i="12" s="1"/>
  <c r="AB1138" i="12" s="1"/>
  <c r="AC1138" i="12" s="1"/>
  <c r="Y1105" i="12"/>
  <c r="Z1103" i="12"/>
  <c r="AA1103" i="12" s="1"/>
  <c r="AB1103" i="12" s="1"/>
  <c r="AC1103" i="12" s="1"/>
  <c r="Z1141" i="12"/>
  <c r="AA1141" i="12" s="1"/>
  <c r="AB1141" i="12" s="1"/>
  <c r="AC1141" i="12" s="1"/>
  <c r="Z189" i="12"/>
  <c r="AA189" i="12" s="1"/>
  <c r="AB189" i="12" s="1"/>
  <c r="AC189" i="12" s="1"/>
  <c r="Y1143" i="12"/>
  <c r="Y94" i="12"/>
  <c r="Z94" i="12"/>
  <c r="AA94" i="12" s="1"/>
  <c r="AB94" i="12" s="1"/>
  <c r="AC94" i="12" s="1"/>
  <c r="Y50" i="12"/>
  <c r="Z453" i="12"/>
  <c r="AA453" i="12" s="1"/>
  <c r="AB453" i="12" s="1"/>
  <c r="AC453" i="12" s="1"/>
  <c r="Y16" i="12"/>
  <c r="Z50" i="12"/>
  <c r="AA50" i="12" s="1"/>
  <c r="AB50" i="12" s="1"/>
  <c r="AC50" i="12" s="1"/>
  <c r="Y318" i="12"/>
  <c r="Z16" i="12"/>
  <c r="AA16" i="12" s="1"/>
  <c r="AB16" i="12" s="1"/>
  <c r="AC16" i="12" s="1"/>
  <c r="Z318" i="12"/>
  <c r="AA318" i="12" s="1"/>
  <c r="AB318" i="12" s="1"/>
  <c r="AC318" i="12" s="1"/>
  <c r="Y204" i="12"/>
  <c r="Y746" i="12"/>
  <c r="Z765" i="12"/>
  <c r="AA765" i="12" s="1"/>
  <c r="AB765" i="12" s="1"/>
  <c r="AC765" i="12" s="1"/>
  <c r="Y184" i="12"/>
  <c r="Y277" i="12"/>
  <c r="Z184" i="12"/>
  <c r="AA184" i="12" s="1"/>
  <c r="AB184" i="12" s="1"/>
  <c r="AC184" i="12" s="1"/>
  <c r="Z277" i="12"/>
  <c r="AA277" i="12" s="1"/>
  <c r="AB277" i="12" s="1"/>
  <c r="AC277" i="12" s="1"/>
  <c r="Y629" i="12"/>
  <c r="Y199" i="12"/>
  <c r="Z629" i="12"/>
  <c r="AA629" i="12" s="1"/>
  <c r="AB629" i="12" s="1"/>
  <c r="AC629" i="12" s="1"/>
  <c r="Z199" i="12"/>
  <c r="AA199" i="12" s="1"/>
  <c r="AB199" i="12" s="1"/>
  <c r="AC199" i="12" s="1"/>
  <c r="Y442" i="12"/>
  <c r="Y400" i="12"/>
  <c r="Z745" i="12"/>
  <c r="AA745" i="12" s="1"/>
  <c r="AB745" i="12" s="1"/>
  <c r="AC745" i="12" s="1"/>
  <c r="Z400" i="12"/>
  <c r="AA400" i="12" s="1"/>
  <c r="AB400" i="12" s="1"/>
  <c r="AC400" i="12" s="1"/>
  <c r="Y218" i="12"/>
  <c r="Z218" i="12"/>
  <c r="AA218" i="12" s="1"/>
  <c r="AB218" i="12" s="1"/>
  <c r="AC218" i="12" s="1"/>
  <c r="Y441" i="12"/>
  <c r="Y528" i="12"/>
  <c r="Z441" i="12"/>
  <c r="AA441" i="12" s="1"/>
  <c r="AB441" i="12" s="1"/>
  <c r="AC441" i="12" s="1"/>
  <c r="Z528" i="12"/>
  <c r="AA528" i="12" s="1"/>
  <c r="AB528" i="12" s="1"/>
  <c r="AC528" i="12" s="1"/>
  <c r="Y769" i="12"/>
  <c r="Y872" i="12"/>
  <c r="Y1099" i="12"/>
  <c r="Z769" i="12"/>
  <c r="AA769" i="12" s="1"/>
  <c r="AB769" i="12" s="1"/>
  <c r="AC769" i="12" s="1"/>
  <c r="Z872" i="12"/>
  <c r="AA872" i="12" s="1"/>
  <c r="AB872" i="12" s="1"/>
  <c r="AC872" i="12" s="1"/>
  <c r="Z1099" i="12"/>
  <c r="AA1099" i="12" s="1"/>
  <c r="AB1099" i="12" s="1"/>
  <c r="AC1099" i="12" s="1"/>
  <c r="Y463" i="12"/>
  <c r="Y453" i="12"/>
  <c r="Z463" i="12"/>
  <c r="AA463" i="12" s="1"/>
  <c r="AB463" i="12" s="1"/>
  <c r="AC463" i="12" s="1"/>
  <c r="Y745" i="12"/>
  <c r="Z204" i="12"/>
  <c r="AA204" i="12" s="1"/>
  <c r="AB204" i="12" s="1"/>
  <c r="AC204" i="12" s="1"/>
  <c r="Y757" i="12"/>
  <c r="Y520" i="12"/>
  <c r="Z757" i="12"/>
  <c r="AA757" i="12" s="1"/>
  <c r="AB757" i="12" s="1"/>
  <c r="AC757" i="12" s="1"/>
  <c r="Y1018" i="12"/>
  <c r="Z520" i="12"/>
  <c r="AA520" i="12" s="1"/>
  <c r="AB520" i="12" s="1"/>
  <c r="AC520" i="12" s="1"/>
  <c r="Y761" i="12"/>
  <c r="Z1018" i="12"/>
  <c r="AA1018" i="12" s="1"/>
  <c r="AB1018" i="12" s="1"/>
  <c r="AC1018" i="12" s="1"/>
  <c r="Z442" i="12"/>
  <c r="AA442" i="12" s="1"/>
  <c r="AB442" i="12" s="1"/>
  <c r="AC442" i="12" s="1"/>
  <c r="Z761" i="12"/>
  <c r="AA761" i="12" s="1"/>
  <c r="AB761" i="12" s="1"/>
  <c r="AC761" i="12" s="1"/>
  <c r="Y856" i="12"/>
  <c r="Y883" i="12"/>
  <c r="Z746" i="12"/>
  <c r="AA746" i="12" s="1"/>
  <c r="AB746" i="12" s="1"/>
  <c r="AC746" i="12" s="1"/>
  <c r="Z883" i="12"/>
  <c r="AA883" i="12" s="1"/>
  <c r="AB883" i="12" s="1"/>
  <c r="AC883" i="12" s="1"/>
  <c r="Z856" i="12"/>
  <c r="AA856" i="12" s="1"/>
  <c r="AB856" i="12" s="1"/>
  <c r="AC856" i="12" s="1"/>
  <c r="Y765" i="12"/>
  <c r="Z803" i="12"/>
  <c r="AA803" i="12" s="1"/>
  <c r="AB803" i="12" s="1"/>
  <c r="AC803" i="12" s="1"/>
  <c r="Y448" i="12"/>
  <c r="Z448" i="12"/>
  <c r="AA448" i="12" s="1"/>
  <c r="AB448" i="12" s="1"/>
  <c r="AC448" i="12" s="1"/>
  <c r="Y802" i="12"/>
  <c r="Z802" i="12"/>
  <c r="AA802" i="12" s="1"/>
  <c r="AB802" i="12" s="1"/>
  <c r="AC802" i="12" s="1"/>
  <c r="Y803" i="12"/>
  <c r="Z160" i="12"/>
  <c r="AA160" i="12" s="1"/>
  <c r="AB160" i="12" s="1"/>
  <c r="AC160" i="12" s="1"/>
  <c r="Z415" i="12"/>
  <c r="AA415" i="12" s="1"/>
  <c r="AB415" i="12" s="1"/>
  <c r="AC415" i="12" s="1"/>
  <c r="Y30" i="12"/>
  <c r="Z30" i="12"/>
  <c r="AA30" i="12" s="1"/>
  <c r="AB30" i="12" s="1"/>
  <c r="AC30" i="12" s="1"/>
  <c r="Y40" i="12"/>
  <c r="Y125" i="12"/>
  <c r="Y11" i="12"/>
  <c r="Y18" i="12"/>
  <c r="Z40" i="12"/>
  <c r="AA40" i="12" s="1"/>
  <c r="AB40" i="12" s="1"/>
  <c r="AC40" i="12" s="1"/>
  <c r="Z125" i="12"/>
  <c r="AA125" i="12" s="1"/>
  <c r="AB125" i="12" s="1"/>
  <c r="AC125" i="12" s="1"/>
  <c r="Z11" i="12"/>
  <c r="AA11" i="12" s="1"/>
  <c r="AB11" i="12" s="1"/>
  <c r="AC11" i="12" s="1"/>
  <c r="Z18" i="12"/>
  <c r="AA18" i="12" s="1"/>
  <c r="AB18" i="12" s="1"/>
  <c r="AC18" i="12" s="1"/>
  <c r="Y37" i="12"/>
  <c r="Y52" i="12"/>
  <c r="Y20" i="12"/>
  <c r="Z37" i="12"/>
  <c r="AA37" i="12" s="1"/>
  <c r="AB37" i="12" s="1"/>
  <c r="AC37" i="12" s="1"/>
  <c r="Z52" i="12"/>
  <c r="AA52" i="12" s="1"/>
  <c r="AB52" i="12" s="1"/>
  <c r="AC52" i="12" s="1"/>
  <c r="Z20" i="12"/>
  <c r="AA20" i="12" s="1"/>
  <c r="AB20" i="12" s="1"/>
  <c r="AC20" i="12" s="1"/>
  <c r="Y90" i="12"/>
  <c r="Y95" i="12"/>
  <c r="Z90" i="12"/>
  <c r="AA90" i="12" s="1"/>
  <c r="AB90" i="12" s="1"/>
  <c r="AC90" i="12" s="1"/>
  <c r="Z95" i="12"/>
  <c r="AA95" i="12" s="1"/>
  <c r="AB95" i="12" s="1"/>
  <c r="AC95" i="12" s="1"/>
  <c r="Y112" i="12"/>
  <c r="Z112" i="12"/>
  <c r="AA112" i="12" s="1"/>
  <c r="AB112" i="12" s="1"/>
  <c r="AC112" i="12" s="1"/>
  <c r="Y144" i="12"/>
  <c r="Z250" i="12"/>
  <c r="AA250" i="12" s="1"/>
  <c r="AB250" i="12" s="1"/>
  <c r="AC250" i="12" s="1"/>
  <c r="Z396" i="12"/>
  <c r="AA396" i="12" s="1"/>
  <c r="AB396" i="12" s="1"/>
  <c r="AC396" i="12" s="1"/>
  <c r="Z668" i="12"/>
  <c r="AA668" i="12" s="1"/>
  <c r="AB668" i="12" s="1"/>
  <c r="AC668" i="12" s="1"/>
  <c r="Z712" i="12"/>
  <c r="AA712" i="12" s="1"/>
  <c r="AB712" i="12" s="1"/>
  <c r="AC712" i="12" s="1"/>
  <c r="Z817" i="12"/>
  <c r="AA817" i="12" s="1"/>
  <c r="AB817" i="12" s="1"/>
  <c r="AC817" i="12" s="1"/>
  <c r="Y182" i="12"/>
  <c r="Y366" i="12"/>
  <c r="Y675" i="12"/>
  <c r="Z182" i="12"/>
  <c r="AA182" i="12" s="1"/>
  <c r="AB182" i="12" s="1"/>
  <c r="AC182" i="12" s="1"/>
  <c r="Y322" i="12"/>
  <c r="Z366" i="12"/>
  <c r="AA366" i="12" s="1"/>
  <c r="AB366" i="12" s="1"/>
  <c r="AC366" i="12" s="1"/>
  <c r="Y670" i="12"/>
  <c r="Z675" i="12"/>
  <c r="AA675" i="12" s="1"/>
  <c r="AB675" i="12" s="1"/>
  <c r="AC675" i="12" s="1"/>
  <c r="Y243" i="12"/>
  <c r="Z322" i="12"/>
  <c r="AA322" i="12" s="1"/>
  <c r="AB322" i="12" s="1"/>
  <c r="AC322" i="12" s="1"/>
  <c r="Y665" i="12"/>
  <c r="Z670" i="12"/>
  <c r="AA670" i="12" s="1"/>
  <c r="AB670" i="12" s="1"/>
  <c r="AC670" i="12" s="1"/>
  <c r="Z243" i="12"/>
  <c r="AA243" i="12" s="1"/>
  <c r="AB243" i="12" s="1"/>
  <c r="AC243" i="12" s="1"/>
  <c r="Y370" i="12"/>
  <c r="Y344" i="12"/>
  <c r="Z370" i="12"/>
  <c r="AA370" i="12" s="1"/>
  <c r="AB370" i="12" s="1"/>
  <c r="AC370" i="12" s="1"/>
  <c r="Y696" i="12"/>
  <c r="Z344" i="12"/>
  <c r="AA344" i="12" s="1"/>
  <c r="AB344" i="12" s="1"/>
  <c r="AC344" i="12" s="1"/>
  <c r="Z144" i="12"/>
  <c r="AA144" i="12" s="1"/>
  <c r="AB144" i="12" s="1"/>
  <c r="AC144" i="12" s="1"/>
  <c r="Y357" i="12"/>
  <c r="Y187" i="12"/>
  <c r="Y255" i="12"/>
  <c r="Z357" i="12"/>
  <c r="AA357" i="12" s="1"/>
  <c r="AB357" i="12" s="1"/>
  <c r="AC357" i="12" s="1"/>
  <c r="Y712" i="12"/>
  <c r="Z737" i="12"/>
  <c r="AA737" i="12" s="1"/>
  <c r="AB737" i="12" s="1"/>
  <c r="AC737" i="12" s="1"/>
  <c r="Y250" i="12"/>
  <c r="Y672" i="12"/>
  <c r="Y668" i="12"/>
  <c r="Z672" i="12"/>
  <c r="AA672" i="12" s="1"/>
  <c r="AB672" i="12" s="1"/>
  <c r="AC672" i="12" s="1"/>
  <c r="Y817" i="12"/>
  <c r="Z255" i="12"/>
  <c r="AA255" i="12" s="1"/>
  <c r="AB255" i="12" s="1"/>
  <c r="AC255" i="12" s="1"/>
  <c r="Y384" i="12"/>
  <c r="Z665" i="12"/>
  <c r="AA665" i="12" s="1"/>
  <c r="AB665" i="12" s="1"/>
  <c r="AC665" i="12" s="1"/>
  <c r="Y160" i="12"/>
  <c r="Z384" i="12"/>
  <c r="AA384" i="12" s="1"/>
  <c r="AB384" i="12" s="1"/>
  <c r="AC384" i="12" s="1"/>
  <c r="Y396" i="12"/>
  <c r="Z696" i="12"/>
  <c r="AA696" i="12" s="1"/>
  <c r="AB696" i="12" s="1"/>
  <c r="AC696" i="12" s="1"/>
  <c r="Z187" i="12"/>
  <c r="AA187" i="12" s="1"/>
  <c r="AB187" i="12" s="1"/>
  <c r="AC187" i="12" s="1"/>
  <c r="Y415" i="12"/>
  <c r="Y737" i="12"/>
  <c r="Y38" i="12"/>
  <c r="Z38" i="12"/>
  <c r="AA38" i="12" s="1"/>
  <c r="AB38" i="12" s="1"/>
  <c r="AC38" i="12" s="1"/>
  <c r="Y241" i="12"/>
  <c r="Y120" i="12"/>
  <c r="Y197" i="12"/>
  <c r="Z241" i="12"/>
  <c r="AA241" i="12" s="1"/>
  <c r="AB241" i="12" s="1"/>
  <c r="AC241" i="12" s="1"/>
  <c r="Y13" i="12"/>
  <c r="Z13" i="12"/>
  <c r="AA13" i="12" s="1"/>
  <c r="AB13" i="12" s="1"/>
  <c r="AC13" i="12" s="1"/>
  <c r="Z120" i="12"/>
  <c r="AA120" i="12" s="1"/>
  <c r="AB120" i="12" s="1"/>
  <c r="AC120" i="12" s="1"/>
  <c r="Z197" i="12"/>
  <c r="AA197" i="12" s="1"/>
  <c r="AB197" i="12" s="1"/>
  <c r="AC197" i="12" s="1"/>
  <c r="Y461" i="12"/>
  <c r="Z461" i="12"/>
  <c r="AA461" i="12" s="1"/>
  <c r="AB461" i="12" s="1"/>
  <c r="AC461" i="12" s="1"/>
  <c r="Y375" i="12"/>
  <c r="Z451" i="12"/>
  <c r="AA451" i="12" s="1"/>
  <c r="AB451" i="12" s="1"/>
  <c r="AC451" i="12" s="1"/>
  <c r="Z526" i="12"/>
  <c r="AA526" i="12" s="1"/>
  <c r="AB526" i="12" s="1"/>
  <c r="AC526" i="12" s="1"/>
  <c r="Z375" i="12"/>
  <c r="AA375" i="12" s="1"/>
  <c r="AB375" i="12" s="1"/>
  <c r="AC375" i="12" s="1"/>
  <c r="Y216" i="12"/>
  <c r="Z216" i="12"/>
  <c r="AA216" i="12" s="1"/>
  <c r="AB216" i="12" s="1"/>
  <c r="AC216" i="12" s="1"/>
  <c r="Y518" i="12"/>
  <c r="Y853" i="12"/>
  <c r="Z853" i="12"/>
  <c r="AA853" i="12" s="1"/>
  <c r="AB853" i="12" s="1"/>
  <c r="AC853" i="12" s="1"/>
  <c r="Y451" i="12"/>
  <c r="Y869" i="12"/>
  <c r="Z869" i="12"/>
  <c r="AA869" i="12" s="1"/>
  <c r="AB869" i="12" s="1"/>
  <c r="AC869" i="12" s="1"/>
  <c r="Y1016" i="12"/>
  <c r="Z1016" i="12"/>
  <c r="AA1016" i="12" s="1"/>
  <c r="AB1016" i="12" s="1"/>
  <c r="AC1016" i="12" s="1"/>
  <c r="Z518" i="12"/>
  <c r="AA518" i="12" s="1"/>
  <c r="AB518" i="12" s="1"/>
  <c r="AC518" i="12" s="1"/>
  <c r="Y526" i="12"/>
  <c r="Y579" i="12"/>
  <c r="Z579" i="12"/>
  <c r="AA579" i="12" s="1"/>
  <c r="AB579" i="12" s="1"/>
  <c r="AC579" i="12" s="1"/>
  <c r="Y584" i="12"/>
  <c r="Z584" i="12"/>
  <c r="AA584" i="12" s="1"/>
  <c r="AB584" i="12" s="1"/>
  <c r="AC584" i="12" s="1"/>
  <c r="Z932" i="12"/>
  <c r="AA932" i="12" s="1"/>
  <c r="AB932" i="12" s="1"/>
  <c r="AC932" i="12" s="1"/>
  <c r="Y886" i="12"/>
  <c r="Z886" i="12"/>
  <c r="AA886" i="12" s="1"/>
  <c r="AB886" i="12" s="1"/>
  <c r="AC886" i="12" s="1"/>
  <c r="Y932" i="12"/>
  <c r="Z59" i="12"/>
  <c r="AA59" i="12" s="1"/>
  <c r="AB59" i="12" s="1"/>
  <c r="AC59" i="12" s="1"/>
  <c r="Y84" i="12"/>
  <c r="Y76" i="12"/>
  <c r="Z84" i="12"/>
  <c r="AA84" i="12" s="1"/>
  <c r="AB84" i="12" s="1"/>
  <c r="AC84" i="12" s="1"/>
  <c r="Z76" i="12"/>
  <c r="AA76" i="12" s="1"/>
  <c r="AB76" i="12" s="1"/>
  <c r="AC76" i="12" s="1"/>
  <c r="Y301" i="12"/>
  <c r="Y313" i="12"/>
  <c r="Y465" i="12"/>
  <c r="Z301" i="12"/>
  <c r="AA301" i="12" s="1"/>
  <c r="AB301" i="12" s="1"/>
  <c r="AC301" i="12" s="1"/>
  <c r="Z313" i="12"/>
  <c r="AA313" i="12" s="1"/>
  <c r="AB313" i="12" s="1"/>
  <c r="AC313" i="12" s="1"/>
  <c r="Z465" i="12"/>
  <c r="AA465" i="12" s="1"/>
  <c r="AB465" i="12" s="1"/>
  <c r="AC465" i="12" s="1"/>
  <c r="Y88" i="12"/>
  <c r="Y209" i="12"/>
  <c r="Y80" i="12"/>
  <c r="Z88" i="12"/>
  <c r="AA88" i="12" s="1"/>
  <c r="AB88" i="12" s="1"/>
  <c r="AC88" i="12" s="1"/>
  <c r="Z80" i="12"/>
  <c r="AA80" i="12" s="1"/>
  <c r="AB80" i="12" s="1"/>
  <c r="AC80" i="12" s="1"/>
  <c r="Y15" i="12"/>
  <c r="Y168" i="12"/>
  <c r="Z15" i="12"/>
  <c r="AA15" i="12" s="1"/>
  <c r="AB15" i="12" s="1"/>
  <c r="AC15" i="12" s="1"/>
  <c r="Y59" i="12"/>
  <c r="Z168" i="12"/>
  <c r="AA168" i="12" s="1"/>
  <c r="AB168" i="12" s="1"/>
  <c r="AC168" i="12" s="1"/>
  <c r="Y741" i="12"/>
  <c r="Y798" i="12"/>
  <c r="Y522" i="12"/>
  <c r="Y297" i="12"/>
  <c r="Z522" i="12"/>
  <c r="AA522" i="12" s="1"/>
  <c r="AB522" i="12" s="1"/>
  <c r="AC522" i="12" s="1"/>
  <c r="Y230" i="12"/>
  <c r="Z297" i="12"/>
  <c r="AA297" i="12" s="1"/>
  <c r="AB297" i="12" s="1"/>
  <c r="AC297" i="12" s="1"/>
  <c r="Y317" i="12"/>
  <c r="Y201" i="12"/>
  <c r="Z230" i="12"/>
  <c r="AA230" i="12" s="1"/>
  <c r="AB230" i="12" s="1"/>
  <c r="AC230" i="12" s="1"/>
  <c r="Z317" i="12"/>
  <c r="AA317" i="12" s="1"/>
  <c r="AB317" i="12" s="1"/>
  <c r="AC317" i="12" s="1"/>
  <c r="Z201" i="12"/>
  <c r="AA201" i="12" s="1"/>
  <c r="AB201" i="12" s="1"/>
  <c r="AC201" i="12" s="1"/>
  <c r="Y305" i="12"/>
  <c r="Z790" i="12"/>
  <c r="AA790" i="12" s="1"/>
  <c r="AB790" i="12" s="1"/>
  <c r="AC790" i="12" s="1"/>
  <c r="Z305" i="12"/>
  <c r="AA305" i="12" s="1"/>
  <c r="AB305" i="12" s="1"/>
  <c r="AC305" i="12" s="1"/>
  <c r="Z209" i="12"/>
  <c r="AA209" i="12" s="1"/>
  <c r="AB209" i="12" s="1"/>
  <c r="AC209" i="12" s="1"/>
  <c r="Y280" i="12"/>
  <c r="Z280" i="12"/>
  <c r="AA280" i="12" s="1"/>
  <c r="AB280" i="12" s="1"/>
  <c r="AC280" i="12" s="1"/>
  <c r="Y309" i="12"/>
  <c r="Y749" i="12"/>
  <c r="Z309" i="12"/>
  <c r="AA309" i="12" s="1"/>
  <c r="AB309" i="12" s="1"/>
  <c r="AC309" i="12" s="1"/>
  <c r="Y455" i="12"/>
  <c r="Z749" i="12"/>
  <c r="AA749" i="12" s="1"/>
  <c r="AB749" i="12" s="1"/>
  <c r="AC749" i="12" s="1"/>
  <c r="Z794" i="12"/>
  <c r="AA794" i="12" s="1"/>
  <c r="AB794" i="12" s="1"/>
  <c r="AC794" i="12" s="1"/>
  <c r="Z832" i="12"/>
  <c r="AA832" i="12" s="1"/>
  <c r="AB832" i="12" s="1"/>
  <c r="AC832" i="12" s="1"/>
  <c r="Z530" i="12"/>
  <c r="AA530" i="12" s="1"/>
  <c r="AB530" i="12" s="1"/>
  <c r="AC530" i="12" s="1"/>
  <c r="Z798" i="12"/>
  <c r="AA798" i="12" s="1"/>
  <c r="AB798" i="12" s="1"/>
  <c r="AC798" i="12" s="1"/>
  <c r="Z741" i="12"/>
  <c r="AA741" i="12" s="1"/>
  <c r="AB741" i="12" s="1"/>
  <c r="AC741" i="12" s="1"/>
  <c r="Z455" i="12"/>
  <c r="AA455" i="12" s="1"/>
  <c r="AB455" i="12" s="1"/>
  <c r="AC455" i="12" s="1"/>
  <c r="Y782" i="12"/>
  <c r="Z782" i="12"/>
  <c r="AA782" i="12" s="1"/>
  <c r="AB782" i="12" s="1"/>
  <c r="AC782" i="12" s="1"/>
  <c r="Y786" i="12"/>
  <c r="Z786" i="12"/>
  <c r="AA786" i="12" s="1"/>
  <c r="AB786" i="12" s="1"/>
  <c r="AC786" i="12" s="1"/>
  <c r="Y832" i="12"/>
  <c r="Y790" i="12"/>
  <c r="Y1020" i="12"/>
  <c r="Y744" i="12"/>
  <c r="Z744" i="12"/>
  <c r="AA744" i="12" s="1"/>
  <c r="AB744" i="12" s="1"/>
  <c r="AC744" i="12" s="1"/>
  <c r="Y530" i="12"/>
  <c r="Z1020" i="12"/>
  <c r="AA1020" i="12" s="1"/>
  <c r="AB1020" i="12" s="1"/>
  <c r="AC1020" i="12" s="1"/>
  <c r="Y794" i="12"/>
  <c r="Y155" i="12"/>
  <c r="Z155" i="12"/>
  <c r="AA155" i="12" s="1"/>
  <c r="AB155" i="12" s="1"/>
  <c r="AC155" i="12" s="1"/>
  <c r="Y495" i="12"/>
  <c r="Z495" i="12"/>
  <c r="AA495" i="12" s="1"/>
  <c r="AB495" i="12" s="1"/>
  <c r="AC495" i="12" s="1"/>
  <c r="Y97" i="12"/>
  <c r="Z97" i="12"/>
  <c r="AA97" i="12" s="1"/>
  <c r="AB97" i="12" s="1"/>
  <c r="AC97" i="12" s="1"/>
  <c r="Y115" i="12"/>
  <c r="Y457" i="12"/>
  <c r="Y224" i="12"/>
  <c r="Z457" i="12"/>
  <c r="AA457" i="12" s="1"/>
  <c r="AB457" i="12" s="1"/>
  <c r="AC457" i="12" s="1"/>
  <c r="Y493" i="12"/>
  <c r="Z224" i="12"/>
  <c r="AA224" i="12" s="1"/>
  <c r="AB224" i="12" s="1"/>
  <c r="AC224" i="12" s="1"/>
  <c r="Z493" i="12"/>
  <c r="AA493" i="12" s="1"/>
  <c r="AB493" i="12" s="1"/>
  <c r="AC493" i="12" s="1"/>
  <c r="Y490" i="12"/>
  <c r="Z115" i="12"/>
  <c r="AA115" i="12" s="1"/>
  <c r="AB115" i="12" s="1"/>
  <c r="AC115" i="12" s="1"/>
  <c r="Y419" i="12"/>
  <c r="Y421" i="12"/>
  <c r="Z421" i="12"/>
  <c r="AA421" i="12" s="1"/>
  <c r="AB421" i="12" s="1"/>
  <c r="AC421" i="12" s="1"/>
  <c r="Y631" i="12"/>
  <c r="Z631" i="12"/>
  <c r="AA631" i="12" s="1"/>
  <c r="AB631" i="12" s="1"/>
  <c r="AC631" i="12" s="1"/>
  <c r="Y484" i="12"/>
  <c r="Z490" i="12"/>
  <c r="AA490" i="12" s="1"/>
  <c r="AB490" i="12" s="1"/>
  <c r="AC490" i="12" s="1"/>
  <c r="Z484" i="12"/>
  <c r="AA484" i="12" s="1"/>
  <c r="AB484" i="12" s="1"/>
  <c r="AC484" i="12" s="1"/>
  <c r="Z419" i="12"/>
  <c r="AA419" i="12" s="1"/>
  <c r="AB419" i="12" s="1"/>
  <c r="AC419" i="12" s="1"/>
  <c r="Y487" i="12"/>
  <c r="Z487" i="12"/>
  <c r="AA487" i="12" s="1"/>
  <c r="AB487" i="12" s="1"/>
  <c r="AC487" i="12" s="1"/>
  <c r="Y581" i="12"/>
  <c r="Z482" i="12"/>
  <c r="AA482" i="12" s="1"/>
  <c r="AB482" i="12" s="1"/>
  <c r="AC482" i="12" s="1"/>
  <c r="Y482" i="12"/>
  <c r="Y1120" i="12"/>
  <c r="Y576" i="12"/>
  <c r="Y884" i="12"/>
  <c r="Z576" i="12"/>
  <c r="AA576" i="12" s="1"/>
  <c r="AB576" i="12" s="1"/>
  <c r="AC576" i="12" s="1"/>
  <c r="Z884" i="12"/>
  <c r="AA884" i="12" s="1"/>
  <c r="AB884" i="12" s="1"/>
  <c r="AC884" i="12" s="1"/>
  <c r="Y930" i="12"/>
  <c r="Z1124" i="12"/>
  <c r="AA1124" i="12" s="1"/>
  <c r="AB1124" i="12" s="1"/>
  <c r="AC1124" i="12" s="1"/>
  <c r="Z581" i="12"/>
  <c r="AA581" i="12" s="1"/>
  <c r="AB581" i="12" s="1"/>
  <c r="AC581" i="12" s="1"/>
  <c r="Z1120" i="12"/>
  <c r="AA1120" i="12" s="1"/>
  <c r="AB1120" i="12" s="1"/>
  <c r="AC1120" i="12" s="1"/>
  <c r="Z930" i="12"/>
  <c r="AA930" i="12" s="1"/>
  <c r="AB930" i="12" s="1"/>
  <c r="AC930" i="12" s="1"/>
  <c r="Y1122" i="12"/>
  <c r="Z1122" i="12"/>
  <c r="AA1122" i="12" s="1"/>
  <c r="AB1122" i="12" s="1"/>
  <c r="AC1122" i="12" s="1"/>
  <c r="Y1124" i="12"/>
  <c r="Y10" i="12"/>
  <c r="Y87" i="12"/>
  <c r="Z10" i="12"/>
  <c r="AA10" i="12" s="1"/>
  <c r="AB10" i="12" s="1"/>
  <c r="AC10" i="12" s="1"/>
  <c r="Y79" i="12"/>
  <c r="Z87" i="12"/>
  <c r="AA87" i="12" s="1"/>
  <c r="AB87" i="12" s="1"/>
  <c r="AC87" i="12" s="1"/>
  <c r="Z79" i="12"/>
  <c r="AA79" i="12" s="1"/>
  <c r="AB79" i="12" s="1"/>
  <c r="AC79" i="12" s="1"/>
  <c r="Y14" i="12"/>
  <c r="Z14" i="12"/>
  <c r="AA14" i="12" s="1"/>
  <c r="AB14" i="12" s="1"/>
  <c r="AC14" i="12" s="1"/>
  <c r="Z167" i="12"/>
  <c r="AA167" i="12" s="1"/>
  <c r="AB167" i="12" s="1"/>
  <c r="AC167" i="12" s="1"/>
  <c r="Y273" i="12"/>
  <c r="Z296" i="12"/>
  <c r="AA296" i="12" s="1"/>
  <c r="AB296" i="12" s="1"/>
  <c r="AC296" i="12" s="1"/>
  <c r="Y308" i="12"/>
  <c r="Z422" i="12"/>
  <c r="AA422" i="12" s="1"/>
  <c r="AB422" i="12" s="1"/>
  <c r="AC422" i="12" s="1"/>
  <c r="Y519" i="12"/>
  <c r="Y91" i="12"/>
  <c r="Y217" i="12"/>
  <c r="Z273" i="12"/>
  <c r="AA273" i="12" s="1"/>
  <c r="AB273" i="12" s="1"/>
  <c r="AC273" i="12" s="1"/>
  <c r="Z308" i="12"/>
  <c r="AA308" i="12" s="1"/>
  <c r="AB308" i="12" s="1"/>
  <c r="AC308" i="12" s="1"/>
  <c r="Y424" i="12"/>
  <c r="Z519" i="12"/>
  <c r="AA519" i="12" s="1"/>
  <c r="AB519" i="12" s="1"/>
  <c r="AC519" i="12" s="1"/>
  <c r="Z91" i="12"/>
  <c r="AA91" i="12" s="1"/>
  <c r="AB91" i="12" s="1"/>
  <c r="AC91" i="12" s="1"/>
  <c r="Z217" i="12"/>
  <c r="AA217" i="12" s="1"/>
  <c r="AB217" i="12" s="1"/>
  <c r="AC217" i="12" s="1"/>
  <c r="Y229" i="12"/>
  <c r="Y75" i="12"/>
  <c r="Y83" i="12"/>
  <c r="Z229" i="12"/>
  <c r="AA229" i="12" s="1"/>
  <c r="AB229" i="12" s="1"/>
  <c r="AC229" i="12" s="1"/>
  <c r="Z75" i="12"/>
  <c r="AA75" i="12" s="1"/>
  <c r="AB75" i="12" s="1"/>
  <c r="AC75" i="12" s="1"/>
  <c r="Z83" i="12"/>
  <c r="AA83" i="12" s="1"/>
  <c r="AB83" i="12" s="1"/>
  <c r="AC83" i="12" s="1"/>
  <c r="Z304" i="12"/>
  <c r="AA304" i="12" s="1"/>
  <c r="AB304" i="12" s="1"/>
  <c r="AC304" i="12" s="1"/>
  <c r="Y452" i="12"/>
  <c r="Y208" i="12"/>
  <c r="Y279" i="12"/>
  <c r="Y427" i="12"/>
  <c r="Z452" i="12"/>
  <c r="AA452" i="12" s="1"/>
  <c r="AB452" i="12" s="1"/>
  <c r="AC452" i="12" s="1"/>
  <c r="Y527" i="12"/>
  <c r="Z208" i="12"/>
  <c r="AA208" i="12" s="1"/>
  <c r="AB208" i="12" s="1"/>
  <c r="AC208" i="12" s="1"/>
  <c r="Z279" i="12"/>
  <c r="AA279" i="12" s="1"/>
  <c r="AB279" i="12" s="1"/>
  <c r="AC279" i="12" s="1"/>
  <c r="Z427" i="12"/>
  <c r="AA427" i="12" s="1"/>
  <c r="AB427" i="12" s="1"/>
  <c r="AC427" i="12" s="1"/>
  <c r="Z527" i="12"/>
  <c r="AA527" i="12" s="1"/>
  <c r="AB527" i="12" s="1"/>
  <c r="AC527" i="12" s="1"/>
  <c r="Y748" i="12"/>
  <c r="Z748" i="12"/>
  <c r="AA748" i="12" s="1"/>
  <c r="AB748" i="12" s="1"/>
  <c r="AC748" i="12" s="1"/>
  <c r="Y755" i="12"/>
  <c r="Y422" i="12"/>
  <c r="Y167" i="12"/>
  <c r="Y312" i="12"/>
  <c r="Z312" i="12"/>
  <c r="AA312" i="12" s="1"/>
  <c r="AB312" i="12" s="1"/>
  <c r="AC312" i="12" s="1"/>
  <c r="Z426" i="12"/>
  <c r="AA426" i="12" s="1"/>
  <c r="AB426" i="12" s="1"/>
  <c r="AC426" i="12" s="1"/>
  <c r="Z740" i="12"/>
  <c r="AA740" i="12" s="1"/>
  <c r="AB740" i="12" s="1"/>
  <c r="AC740" i="12" s="1"/>
  <c r="Y759" i="12"/>
  <c r="Z797" i="12"/>
  <c r="AA797" i="12" s="1"/>
  <c r="AB797" i="12" s="1"/>
  <c r="AC797" i="12" s="1"/>
  <c r="Y316" i="12"/>
  <c r="Y121" i="12"/>
  <c r="Y198" i="12"/>
  <c r="Y242" i="12"/>
  <c r="Y296" i="12"/>
  <c r="Z316" i="12"/>
  <c r="AA316" i="12" s="1"/>
  <c r="AB316" i="12" s="1"/>
  <c r="AC316" i="12" s="1"/>
  <c r="Z121" i="12"/>
  <c r="AA121" i="12" s="1"/>
  <c r="AB121" i="12" s="1"/>
  <c r="AC121" i="12" s="1"/>
  <c r="Z198" i="12"/>
  <c r="AA198" i="12" s="1"/>
  <c r="AB198" i="12" s="1"/>
  <c r="AC198" i="12" s="1"/>
  <c r="Z242" i="12"/>
  <c r="AA242" i="12" s="1"/>
  <c r="AB242" i="12" s="1"/>
  <c r="AC242" i="12" s="1"/>
  <c r="Y462" i="12"/>
  <c r="Y423" i="12"/>
  <c r="Z462" i="12"/>
  <c r="AA462" i="12" s="1"/>
  <c r="AB462" i="12" s="1"/>
  <c r="AC462" i="12" s="1"/>
  <c r="Y763" i="12"/>
  <c r="Z424" i="12"/>
  <c r="AA424" i="12" s="1"/>
  <c r="AB424" i="12" s="1"/>
  <c r="AC424" i="12" s="1"/>
  <c r="Y767" i="12"/>
  <c r="Y785" i="12"/>
  <c r="Z888" i="12"/>
  <c r="AA888" i="12" s="1"/>
  <c r="AB888" i="12" s="1"/>
  <c r="AC888" i="12" s="1"/>
  <c r="Y1017" i="12"/>
  <c r="Y1126" i="12"/>
  <c r="Y426" i="12"/>
  <c r="Y556" i="12"/>
  <c r="Z767" i="12"/>
  <c r="AA767" i="12" s="1"/>
  <c r="AB767" i="12" s="1"/>
  <c r="AC767" i="12" s="1"/>
  <c r="Z785" i="12"/>
  <c r="AA785" i="12" s="1"/>
  <c r="AB785" i="12" s="1"/>
  <c r="AC785" i="12" s="1"/>
  <c r="Y877" i="12"/>
  <c r="Y997" i="12"/>
  <c r="Z1017" i="12"/>
  <c r="AA1017" i="12" s="1"/>
  <c r="AB1017" i="12" s="1"/>
  <c r="AC1017" i="12" s="1"/>
  <c r="Z556" i="12"/>
  <c r="AA556" i="12" s="1"/>
  <c r="AB556" i="12" s="1"/>
  <c r="AC556" i="12" s="1"/>
  <c r="Z877" i="12"/>
  <c r="AA877" i="12" s="1"/>
  <c r="AB877" i="12" s="1"/>
  <c r="AC877" i="12" s="1"/>
  <c r="Z997" i="12"/>
  <c r="AA997" i="12" s="1"/>
  <c r="AB997" i="12" s="1"/>
  <c r="AC997" i="12" s="1"/>
  <c r="Z1126" i="12"/>
  <c r="AA1126" i="12" s="1"/>
  <c r="AB1126" i="12" s="1"/>
  <c r="AC1126" i="12" s="1"/>
  <c r="Y789" i="12"/>
  <c r="Y867" i="12"/>
  <c r="Y879" i="12"/>
  <c r="Y743" i="12"/>
  <c r="Z789" i="12"/>
  <c r="AA789" i="12" s="1"/>
  <c r="AB789" i="12" s="1"/>
  <c r="AC789" i="12" s="1"/>
  <c r="Z867" i="12"/>
  <c r="AA867" i="12" s="1"/>
  <c r="AB867" i="12" s="1"/>
  <c r="AC867" i="12" s="1"/>
  <c r="Z879" i="12"/>
  <c r="AA879" i="12" s="1"/>
  <c r="AB879" i="12" s="1"/>
  <c r="AC879" i="12" s="1"/>
  <c r="Z743" i="12"/>
  <c r="AA743" i="12" s="1"/>
  <c r="AB743" i="12" s="1"/>
  <c r="AC743" i="12" s="1"/>
  <c r="Y793" i="12"/>
  <c r="Z793" i="12"/>
  <c r="AA793" i="12" s="1"/>
  <c r="AB793" i="12" s="1"/>
  <c r="AC793" i="12" s="1"/>
  <c r="Z423" i="12"/>
  <c r="AA423" i="12" s="1"/>
  <c r="AB423" i="12" s="1"/>
  <c r="AC423" i="12" s="1"/>
  <c r="Y425" i="12"/>
  <c r="Y876" i="12"/>
  <c r="Z425" i="12"/>
  <c r="AA425" i="12" s="1"/>
  <c r="AB425" i="12" s="1"/>
  <c r="AC425" i="12" s="1"/>
  <c r="Z755" i="12"/>
  <c r="AA755" i="12" s="1"/>
  <c r="AB755" i="12" s="1"/>
  <c r="AC755" i="12" s="1"/>
  <c r="Y797" i="12"/>
  <c r="Z876" i="12"/>
  <c r="AA876" i="12" s="1"/>
  <c r="AB876" i="12" s="1"/>
  <c r="AC876" i="12" s="1"/>
  <c r="Y740" i="12"/>
  <c r="Z759" i="12"/>
  <c r="AA759" i="12" s="1"/>
  <c r="AB759" i="12" s="1"/>
  <c r="AC759" i="12" s="1"/>
  <c r="Y878" i="12"/>
  <c r="Y300" i="12"/>
  <c r="Y304" i="12"/>
  <c r="Y851" i="12"/>
  <c r="Z878" i="12"/>
  <c r="AA878" i="12" s="1"/>
  <c r="AB878" i="12" s="1"/>
  <c r="AC878" i="12" s="1"/>
  <c r="Z300" i="12"/>
  <c r="AA300" i="12" s="1"/>
  <c r="AB300" i="12" s="1"/>
  <c r="AC300" i="12" s="1"/>
  <c r="Z851" i="12"/>
  <c r="AA851" i="12" s="1"/>
  <c r="AB851" i="12" s="1"/>
  <c r="AC851" i="12" s="1"/>
  <c r="Y1050" i="12"/>
  <c r="Z781" i="12"/>
  <c r="AA781" i="12" s="1"/>
  <c r="AB781" i="12" s="1"/>
  <c r="AC781" i="12" s="1"/>
  <c r="Y1086" i="12"/>
  <c r="Y1152" i="12"/>
  <c r="Z1086" i="12"/>
  <c r="AA1086" i="12" s="1"/>
  <c r="AB1086" i="12" s="1"/>
  <c r="AC1086" i="12" s="1"/>
  <c r="Z1152" i="12"/>
  <c r="AA1152" i="12" s="1"/>
  <c r="AB1152" i="12" s="1"/>
  <c r="AC1152" i="12" s="1"/>
  <c r="Y875" i="12"/>
  <c r="Y781" i="12"/>
  <c r="Z875" i="12"/>
  <c r="AA875" i="12" s="1"/>
  <c r="AB875" i="12" s="1"/>
  <c r="AC875" i="12" s="1"/>
  <c r="Z750" i="12"/>
  <c r="AA750" i="12" s="1"/>
  <c r="AB750" i="12" s="1"/>
  <c r="AC750" i="12" s="1"/>
  <c r="Z763" i="12"/>
  <c r="AA763" i="12" s="1"/>
  <c r="AB763" i="12" s="1"/>
  <c r="AC763" i="12" s="1"/>
  <c r="Y888" i="12"/>
  <c r="Z1050" i="12"/>
  <c r="AA1050" i="12" s="1"/>
  <c r="AB1050" i="12" s="1"/>
  <c r="AC1050" i="12" s="1"/>
  <c r="Y750" i="12"/>
  <c r="Y270" i="12"/>
  <c r="Z270" i="12"/>
  <c r="AA270" i="12" s="1"/>
  <c r="AB270" i="12" s="1"/>
  <c r="AC270" i="12" s="1"/>
  <c r="Y921" i="12"/>
  <c r="Y939" i="12"/>
  <c r="Y979" i="12"/>
  <c r="Y1147" i="12"/>
  <c r="Z921" i="12"/>
  <c r="AA921" i="12" s="1"/>
  <c r="AB921" i="12" s="1"/>
  <c r="AC921" i="12" s="1"/>
  <c r="Z939" i="12"/>
  <c r="AA939" i="12" s="1"/>
  <c r="AB939" i="12" s="1"/>
  <c r="AC939" i="12" s="1"/>
  <c r="Z979" i="12"/>
  <c r="AA979" i="12" s="1"/>
  <c r="AB979" i="12" s="1"/>
  <c r="AC979" i="12" s="1"/>
  <c r="Z1147" i="12"/>
  <c r="AA1147" i="12" s="1"/>
  <c r="AB1147" i="12" s="1"/>
  <c r="AC1147" i="12" s="1"/>
  <c r="Y926" i="12"/>
  <c r="Z926" i="12"/>
  <c r="AA926" i="12" s="1"/>
  <c r="AB926" i="12" s="1"/>
  <c r="AC926" i="12" s="1"/>
  <c r="Y1083" i="12"/>
  <c r="Z1083" i="12"/>
  <c r="AA1083" i="12" s="1"/>
  <c r="AB1083" i="12" s="1"/>
  <c r="AC1083" i="12" s="1"/>
  <c r="Y1055" i="12"/>
  <c r="Z1055" i="12"/>
  <c r="AA1055" i="12" s="1"/>
  <c r="AB1055" i="12" s="1"/>
  <c r="AC1055" i="12" s="1"/>
  <c r="Y1148" i="12"/>
  <c r="Z1148" i="12"/>
  <c r="AA1148" i="12" s="1"/>
  <c r="AB1148" i="12" s="1"/>
  <c r="AC1148" i="12" s="1"/>
  <c r="Y36" i="12"/>
  <c r="Z36" i="12"/>
  <c r="AA36" i="12" s="1"/>
  <c r="AB36" i="12" s="1"/>
  <c r="AC36" i="12" s="1"/>
  <c r="Y7" i="12"/>
  <c r="Z7" i="12"/>
  <c r="AA7" i="12" s="1"/>
  <c r="AB7" i="12" s="1"/>
  <c r="AC7" i="12" s="1"/>
  <c r="Y326" i="12"/>
  <c r="Y122" i="12"/>
  <c r="Z122" i="12"/>
  <c r="AA122" i="12" s="1"/>
  <c r="AB122" i="12" s="1"/>
  <c r="AC122" i="12" s="1"/>
  <c r="Y8" i="12"/>
  <c r="Y29" i="12"/>
  <c r="Z8" i="12"/>
  <c r="AA8" i="12" s="1"/>
  <c r="AB8" i="12" s="1"/>
  <c r="AC8" i="12" s="1"/>
  <c r="Z29" i="12"/>
  <c r="AA29" i="12" s="1"/>
  <c r="AB29" i="12" s="1"/>
  <c r="AC29" i="12" s="1"/>
  <c r="Y178" i="12"/>
  <c r="Z178" i="12"/>
  <c r="AA178" i="12" s="1"/>
  <c r="AB178" i="12" s="1"/>
  <c r="AC178" i="12" s="1"/>
  <c r="Y281" i="12"/>
  <c r="Z281" i="12"/>
  <c r="AA281" i="12" s="1"/>
  <c r="AB281" i="12" s="1"/>
  <c r="AC281" i="12" s="1"/>
  <c r="Y358" i="12"/>
  <c r="Z358" i="12"/>
  <c r="AA358" i="12" s="1"/>
  <c r="AB358" i="12" s="1"/>
  <c r="AC358" i="12" s="1"/>
  <c r="Y177" i="12"/>
  <c r="Z326" i="12"/>
  <c r="AA326" i="12" s="1"/>
  <c r="AB326" i="12" s="1"/>
  <c r="AC326" i="12" s="1"/>
  <c r="Z177" i="12"/>
  <c r="AA177" i="12" s="1"/>
  <c r="AB177" i="12" s="1"/>
  <c r="AC177" i="12" s="1"/>
  <c r="Y531" i="12"/>
  <c r="Y179" i="12"/>
  <c r="Z179" i="12"/>
  <c r="AA179" i="12" s="1"/>
  <c r="AB179" i="12" s="1"/>
  <c r="AC179" i="12" s="1"/>
  <c r="Y523" i="12"/>
  <c r="Y635" i="12"/>
  <c r="Y855" i="12"/>
  <c r="Y1081" i="12"/>
  <c r="Z635" i="12"/>
  <c r="AA635" i="12" s="1"/>
  <c r="AB635" i="12" s="1"/>
  <c r="AC635" i="12" s="1"/>
  <c r="Z855" i="12"/>
  <c r="AA855" i="12" s="1"/>
  <c r="AB855" i="12" s="1"/>
  <c r="AC855" i="12" s="1"/>
  <c r="Z1081" i="12"/>
  <c r="AA1081" i="12" s="1"/>
  <c r="AB1081" i="12" s="1"/>
  <c r="AC1081" i="12" s="1"/>
  <c r="Z523" i="12"/>
  <c r="AA523" i="12" s="1"/>
  <c r="AB523" i="12" s="1"/>
  <c r="AC523" i="12" s="1"/>
  <c r="Y1021" i="12"/>
  <c r="Y871" i="12"/>
  <c r="Z1021" i="12"/>
  <c r="AA1021" i="12" s="1"/>
  <c r="AB1021" i="12" s="1"/>
  <c r="AC1021" i="12" s="1"/>
  <c r="Z531" i="12"/>
  <c r="AA531" i="12" s="1"/>
  <c r="AB531" i="12" s="1"/>
  <c r="AC531" i="12" s="1"/>
  <c r="Z871" i="12"/>
  <c r="AA871" i="12" s="1"/>
  <c r="AB871" i="12" s="1"/>
  <c r="AC871" i="12" s="1"/>
  <c r="Z1080" i="12"/>
  <c r="AA1080" i="12" s="1"/>
  <c r="AB1080" i="12" s="1"/>
  <c r="AC1080" i="12" s="1"/>
  <c r="Y995" i="12"/>
  <c r="Z995" i="12"/>
  <c r="AA995" i="12" s="1"/>
  <c r="AB995" i="12" s="1"/>
  <c r="AC995" i="12" s="1"/>
  <c r="Y1080" i="12"/>
  <c r="Y99" i="12"/>
  <c r="Z99" i="12"/>
  <c r="AA99" i="12" s="1"/>
  <c r="AB99" i="12" s="1"/>
  <c r="AC99" i="12" s="1"/>
  <c r="Z116" i="12"/>
  <c r="AA116" i="12" s="1"/>
  <c r="AB116" i="12" s="1"/>
  <c r="AC116" i="12" s="1"/>
  <c r="Y246" i="12"/>
  <c r="Z486" i="12"/>
  <c r="AA486" i="12" s="1"/>
  <c r="AB486" i="12" s="1"/>
  <c r="AC486" i="12" s="1"/>
  <c r="Y537" i="12"/>
  <c r="Y222" i="12"/>
  <c r="Z246" i="12"/>
  <c r="AA246" i="12" s="1"/>
  <c r="AB246" i="12" s="1"/>
  <c r="AC246" i="12" s="1"/>
  <c r="Z537" i="12"/>
  <c r="AA537" i="12" s="1"/>
  <c r="AB537" i="12" s="1"/>
  <c r="AC537" i="12" s="1"/>
  <c r="Z222" i="12"/>
  <c r="AA222" i="12" s="1"/>
  <c r="AB222" i="12" s="1"/>
  <c r="AC222" i="12" s="1"/>
  <c r="Y486" i="12"/>
  <c r="Z511" i="12"/>
  <c r="AA511" i="12" s="1"/>
  <c r="AB511" i="12" s="1"/>
  <c r="AC511" i="12" s="1"/>
  <c r="Y570" i="12"/>
  <c r="Y116" i="12"/>
  <c r="Z570" i="12"/>
  <c r="AA570" i="12" s="1"/>
  <c r="AB570" i="12" s="1"/>
  <c r="AC570" i="12" s="1"/>
  <c r="Y483" i="12"/>
  <c r="Z483" i="12"/>
  <c r="AA483" i="12" s="1"/>
  <c r="AB483" i="12" s="1"/>
  <c r="AC483" i="12" s="1"/>
  <c r="Y154" i="12"/>
  <c r="Y492" i="12"/>
  <c r="Y538" i="12"/>
  <c r="Z154" i="12"/>
  <c r="AA154" i="12" s="1"/>
  <c r="AB154" i="12" s="1"/>
  <c r="AC154" i="12" s="1"/>
  <c r="Y489" i="12"/>
  <c r="Y630" i="12"/>
  <c r="Z489" i="12"/>
  <c r="AA489" i="12" s="1"/>
  <c r="AB489" i="12" s="1"/>
  <c r="AC489" i="12" s="1"/>
  <c r="Z630" i="12"/>
  <c r="AA630" i="12" s="1"/>
  <c r="AB630" i="12" s="1"/>
  <c r="AC630" i="12" s="1"/>
  <c r="Y550" i="12"/>
  <c r="Z538" i="12"/>
  <c r="AA538" i="12" s="1"/>
  <c r="AB538" i="12" s="1"/>
  <c r="AC538" i="12" s="1"/>
  <c r="Z550" i="12"/>
  <c r="AA550" i="12" s="1"/>
  <c r="AB550" i="12" s="1"/>
  <c r="AC550" i="12" s="1"/>
  <c r="Z492" i="12"/>
  <c r="AA492" i="12" s="1"/>
  <c r="AB492" i="12" s="1"/>
  <c r="AC492" i="12" s="1"/>
  <c r="Y511" i="12"/>
  <c r="Z481" i="12"/>
  <c r="AA481" i="12" s="1"/>
  <c r="AB481" i="12" s="1"/>
  <c r="AC481" i="12" s="1"/>
  <c r="Y577" i="12"/>
  <c r="Y582" i="12"/>
  <c r="Y481" i="12"/>
  <c r="Z577" i="12"/>
  <c r="AA577" i="12" s="1"/>
  <c r="AB577" i="12" s="1"/>
  <c r="AC577" i="12" s="1"/>
  <c r="Z582" i="12"/>
  <c r="AA582" i="12" s="1"/>
  <c r="AB582" i="12" s="1"/>
  <c r="AC582" i="12" s="1"/>
  <c r="Y885" i="12"/>
  <c r="Y1121" i="12"/>
  <c r="Z885" i="12"/>
  <c r="AA885" i="12" s="1"/>
  <c r="AB885" i="12" s="1"/>
  <c r="AC885" i="12" s="1"/>
  <c r="Z1121" i="12"/>
  <c r="AA1121" i="12" s="1"/>
  <c r="AB1121" i="12" s="1"/>
  <c r="AC1121" i="12" s="1"/>
  <c r="Y1123" i="12"/>
  <c r="Z1123" i="12"/>
  <c r="AA1123" i="12" s="1"/>
  <c r="AB1123" i="12" s="1"/>
  <c r="AC1123" i="12" s="1"/>
  <c r="Y931" i="12"/>
  <c r="Z931" i="12"/>
  <c r="AA931" i="12" s="1"/>
  <c r="AB931" i="12" s="1"/>
  <c r="AC931" i="12" s="1"/>
  <c r="Y1119" i="12"/>
  <c r="Z1119" i="12"/>
  <c r="AA1119" i="12" s="1"/>
  <c r="AB1119" i="12" s="1"/>
  <c r="AC1119" i="12" s="1"/>
  <c r="Y51" i="12"/>
  <c r="Y92" i="12"/>
  <c r="Z51" i="12"/>
  <c r="AA51" i="12" s="1"/>
  <c r="AB51" i="12" s="1"/>
  <c r="AC51" i="12" s="1"/>
  <c r="Z92" i="12"/>
  <c r="AA92" i="12" s="1"/>
  <c r="AB92" i="12" s="1"/>
  <c r="AC92" i="12" s="1"/>
  <c r="Y81" i="12"/>
  <c r="Z81" i="12"/>
  <c r="AA81" i="12" s="1"/>
  <c r="AB81" i="12" s="1"/>
  <c r="AC81" i="12" s="1"/>
  <c r="Y227" i="12"/>
  <c r="Z276" i="12"/>
  <c r="AA276" i="12" s="1"/>
  <c r="AB276" i="12" s="1"/>
  <c r="AC276" i="12" s="1"/>
  <c r="Y73" i="12"/>
  <c r="Y195" i="12"/>
  <c r="Z227" i="12"/>
  <c r="AA227" i="12" s="1"/>
  <c r="AB227" i="12" s="1"/>
  <c r="AC227" i="12" s="1"/>
  <c r="Y298" i="12"/>
  <c r="Y524" i="12"/>
  <c r="Z73" i="12"/>
  <c r="AA73" i="12" s="1"/>
  <c r="AB73" i="12" s="1"/>
  <c r="AC73" i="12" s="1"/>
  <c r="Z195" i="12"/>
  <c r="AA195" i="12" s="1"/>
  <c r="AB195" i="12" s="1"/>
  <c r="AC195" i="12" s="1"/>
  <c r="Z298" i="12"/>
  <c r="AA298" i="12" s="1"/>
  <c r="AB298" i="12" s="1"/>
  <c r="AC298" i="12" s="1"/>
  <c r="Y214" i="12"/>
  <c r="Y310" i="12"/>
  <c r="Y85" i="12"/>
  <c r="Y77" i="12"/>
  <c r="Z85" i="12"/>
  <c r="AA85" i="12" s="1"/>
  <c r="AB85" i="12" s="1"/>
  <c r="AC85" i="12" s="1"/>
  <c r="Z77" i="12"/>
  <c r="AA77" i="12" s="1"/>
  <c r="AB77" i="12" s="1"/>
  <c r="AC77" i="12" s="1"/>
  <c r="Z302" i="12"/>
  <c r="AA302" i="12" s="1"/>
  <c r="AB302" i="12" s="1"/>
  <c r="AC302" i="12" s="1"/>
  <c r="Y791" i="12"/>
  <c r="Y206" i="12"/>
  <c r="Y306" i="12"/>
  <c r="Y459" i="12"/>
  <c r="Z206" i="12"/>
  <c r="AA206" i="12" s="1"/>
  <c r="AB206" i="12" s="1"/>
  <c r="AC206" i="12" s="1"/>
  <c r="Z306" i="12"/>
  <c r="AA306" i="12" s="1"/>
  <c r="AB306" i="12" s="1"/>
  <c r="AC306" i="12" s="1"/>
  <c r="Z459" i="12"/>
  <c r="AA459" i="12" s="1"/>
  <c r="AB459" i="12" s="1"/>
  <c r="AC459" i="12" s="1"/>
  <c r="Y254" i="12"/>
  <c r="Y274" i="12"/>
  <c r="Y165" i="12"/>
  <c r="Y203" i="12"/>
  <c r="Z254" i="12"/>
  <c r="AA254" i="12" s="1"/>
  <c r="AB254" i="12" s="1"/>
  <c r="AC254" i="12" s="1"/>
  <c r="Z274" i="12"/>
  <c r="AA274" i="12" s="1"/>
  <c r="AB274" i="12" s="1"/>
  <c r="AC274" i="12" s="1"/>
  <c r="Z310" i="12"/>
  <c r="AA310" i="12" s="1"/>
  <c r="AB310" i="12" s="1"/>
  <c r="AC310" i="12" s="1"/>
  <c r="Y449" i="12"/>
  <c r="Z165" i="12"/>
  <c r="AA165" i="12" s="1"/>
  <c r="AB165" i="12" s="1"/>
  <c r="AC165" i="12" s="1"/>
  <c r="Z203" i="12"/>
  <c r="AA203" i="12" s="1"/>
  <c r="AB203" i="12" s="1"/>
  <c r="AC203" i="12" s="1"/>
  <c r="Z214" i="12"/>
  <c r="AA214" i="12" s="1"/>
  <c r="AB214" i="12" s="1"/>
  <c r="AC214" i="12" s="1"/>
  <c r="Y314" i="12"/>
  <c r="Y276" i="12"/>
  <c r="Y294" i="12"/>
  <c r="Z314" i="12"/>
  <c r="AA314" i="12" s="1"/>
  <c r="AB314" i="12" s="1"/>
  <c r="AC314" i="12" s="1"/>
  <c r="Z783" i="12"/>
  <c r="AA783" i="12" s="1"/>
  <c r="AB783" i="12" s="1"/>
  <c r="AC783" i="12" s="1"/>
  <c r="Y119" i="12"/>
  <c r="Z294" i="12"/>
  <c r="AA294" i="12" s="1"/>
  <c r="AB294" i="12" s="1"/>
  <c r="AC294" i="12" s="1"/>
  <c r="Z119" i="12"/>
  <c r="AA119" i="12" s="1"/>
  <c r="AB119" i="12" s="1"/>
  <c r="AC119" i="12" s="1"/>
  <c r="Y240" i="12"/>
  <c r="Z240" i="12"/>
  <c r="AA240" i="12" s="1"/>
  <c r="AB240" i="12" s="1"/>
  <c r="AC240" i="12" s="1"/>
  <c r="Y323" i="12"/>
  <c r="Z516" i="12"/>
  <c r="AA516" i="12" s="1"/>
  <c r="AB516" i="12" s="1"/>
  <c r="AC516" i="12" s="1"/>
  <c r="Z323" i="12"/>
  <c r="AA323" i="12" s="1"/>
  <c r="AB323" i="12" s="1"/>
  <c r="AC323" i="12" s="1"/>
  <c r="Y756" i="12"/>
  <c r="Z768" i="12"/>
  <c r="AA768" i="12" s="1"/>
  <c r="AB768" i="12" s="1"/>
  <c r="AC768" i="12" s="1"/>
  <c r="Z787" i="12"/>
  <c r="AA787" i="12" s="1"/>
  <c r="AB787" i="12" s="1"/>
  <c r="AC787" i="12" s="1"/>
  <c r="Y783" i="12"/>
  <c r="Z1153" i="12"/>
  <c r="AA1153" i="12" s="1"/>
  <c r="AB1153" i="12" s="1"/>
  <c r="AC1153" i="12" s="1"/>
  <c r="Z756" i="12"/>
  <c r="AA756" i="12" s="1"/>
  <c r="AB756" i="12" s="1"/>
  <c r="AC756" i="12" s="1"/>
  <c r="Y760" i="12"/>
  <c r="Y787" i="12"/>
  <c r="Y1014" i="12"/>
  <c r="Z760" i="12"/>
  <c r="AA760" i="12" s="1"/>
  <c r="AB760" i="12" s="1"/>
  <c r="AC760" i="12" s="1"/>
  <c r="Y929" i="12"/>
  <c r="Z1014" i="12"/>
  <c r="AA1014" i="12" s="1"/>
  <c r="AB1014" i="12" s="1"/>
  <c r="AC1014" i="12" s="1"/>
  <c r="Z449" i="12"/>
  <c r="AA449" i="12" s="1"/>
  <c r="AB449" i="12" s="1"/>
  <c r="AC449" i="12" s="1"/>
  <c r="Z791" i="12"/>
  <c r="AA791" i="12" s="1"/>
  <c r="AB791" i="12" s="1"/>
  <c r="AC791" i="12" s="1"/>
  <c r="Z929" i="12"/>
  <c r="AA929" i="12" s="1"/>
  <c r="AB929" i="12" s="1"/>
  <c r="AC929" i="12" s="1"/>
  <c r="Y764" i="12"/>
  <c r="Y1051" i="12"/>
  <c r="Y751" i="12"/>
  <c r="Z764" i="12"/>
  <c r="AA764" i="12" s="1"/>
  <c r="AB764" i="12" s="1"/>
  <c r="AC764" i="12" s="1"/>
  <c r="Y795" i="12"/>
  <c r="Y852" i="12"/>
  <c r="Z1051" i="12"/>
  <c r="AA1051" i="12" s="1"/>
  <c r="AB1051" i="12" s="1"/>
  <c r="AC1051" i="12" s="1"/>
  <c r="Z751" i="12"/>
  <c r="AA751" i="12" s="1"/>
  <c r="AB751" i="12" s="1"/>
  <c r="AC751" i="12" s="1"/>
  <c r="Z795" i="12"/>
  <c r="AA795" i="12" s="1"/>
  <c r="AB795" i="12" s="1"/>
  <c r="AC795" i="12" s="1"/>
  <c r="Z852" i="12"/>
  <c r="AA852" i="12" s="1"/>
  <c r="AB852" i="12" s="1"/>
  <c r="AC852" i="12" s="1"/>
  <c r="Y996" i="12"/>
  <c r="Y768" i="12"/>
  <c r="Y889" i="12"/>
  <c r="Z996" i="12"/>
  <c r="AA996" i="12" s="1"/>
  <c r="AB996" i="12" s="1"/>
  <c r="AC996" i="12" s="1"/>
  <c r="Y770" i="12"/>
  <c r="Y779" i="12"/>
  <c r="Z889" i="12"/>
  <c r="AA889" i="12" s="1"/>
  <c r="AB889" i="12" s="1"/>
  <c r="AC889" i="12" s="1"/>
  <c r="Y516" i="12"/>
  <c r="Z770" i="12"/>
  <c r="AA770" i="12" s="1"/>
  <c r="AB770" i="12" s="1"/>
  <c r="AC770" i="12" s="1"/>
  <c r="Z779" i="12"/>
  <c r="AA779" i="12" s="1"/>
  <c r="AB779" i="12" s="1"/>
  <c r="AC779" i="12" s="1"/>
  <c r="Y302" i="12"/>
  <c r="Y868" i="12"/>
  <c r="Y1127" i="12"/>
  <c r="Z868" i="12"/>
  <c r="AA868" i="12" s="1"/>
  <c r="AB868" i="12" s="1"/>
  <c r="AC868" i="12" s="1"/>
  <c r="Z524" i="12"/>
  <c r="AA524" i="12" s="1"/>
  <c r="AB524" i="12" s="1"/>
  <c r="AC524" i="12" s="1"/>
  <c r="Z1127" i="12"/>
  <c r="AA1127" i="12" s="1"/>
  <c r="AB1127" i="12" s="1"/>
  <c r="AC1127" i="12" s="1"/>
  <c r="Y1153" i="12"/>
  <c r="Z407" i="12"/>
  <c r="AA407" i="12" s="1"/>
  <c r="AB407" i="12" s="1"/>
  <c r="AC407" i="12" s="1"/>
  <c r="Z405" i="12"/>
  <c r="AA405" i="12" s="1"/>
  <c r="AB405" i="12" s="1"/>
  <c r="AC405" i="12" s="1"/>
  <c r="Z444" i="12"/>
  <c r="AA444" i="12" s="1"/>
  <c r="AB444" i="12" s="1"/>
  <c r="AC444" i="12" s="1"/>
  <c r="Y446" i="12"/>
  <c r="Y1002" i="12"/>
  <c r="Z1002" i="12"/>
  <c r="AA1002" i="12" s="1"/>
  <c r="AB1002" i="12" s="1"/>
  <c r="AC1002" i="12" s="1"/>
  <c r="Y405" i="12"/>
  <c r="Y407" i="12"/>
  <c r="Y954" i="12"/>
  <c r="Z954" i="12"/>
  <c r="AA954" i="12" s="1"/>
  <c r="AB954" i="12" s="1"/>
  <c r="AC954" i="12" s="1"/>
  <c r="Y998" i="12"/>
  <c r="Z998" i="12"/>
  <c r="AA998" i="12" s="1"/>
  <c r="AB998" i="12" s="1"/>
  <c r="AC998" i="12" s="1"/>
  <c r="Y444" i="12"/>
  <c r="Z446" i="12"/>
  <c r="AA446" i="12" s="1"/>
  <c r="AB446" i="12" s="1"/>
  <c r="AC446" i="12" s="1"/>
  <c r="Y324" i="12"/>
  <c r="Z324" i="12"/>
  <c r="AA324" i="12" s="1"/>
  <c r="AB324" i="12" s="1"/>
  <c r="AC324" i="12" s="1"/>
  <c r="Z491" i="12"/>
  <c r="AA491" i="12" s="1"/>
  <c r="AB491" i="12" s="1"/>
  <c r="AC491" i="12" s="1"/>
  <c r="Y98" i="12"/>
  <c r="Y488" i="12"/>
  <c r="Z488" i="12"/>
  <c r="AA488" i="12" s="1"/>
  <c r="AB488" i="12" s="1"/>
  <c r="AC488" i="12" s="1"/>
  <c r="Z98" i="12"/>
  <c r="AA98" i="12" s="1"/>
  <c r="AB98" i="12" s="1"/>
  <c r="AC98" i="12" s="1"/>
  <c r="Z485" i="12"/>
  <c r="AA485" i="12" s="1"/>
  <c r="AB485" i="12" s="1"/>
  <c r="AC485" i="12" s="1"/>
  <c r="Y485" i="12"/>
  <c r="Y491" i="12"/>
  <c r="Y580" i="12"/>
  <c r="Y575" i="12"/>
  <c r="Z580" i="12"/>
  <c r="AA580" i="12" s="1"/>
  <c r="AB580" i="12" s="1"/>
  <c r="AC580" i="12" s="1"/>
  <c r="Y887" i="12"/>
  <c r="Z887" i="12"/>
  <c r="AA887" i="12" s="1"/>
  <c r="AB887" i="12" s="1"/>
  <c r="AC887" i="12" s="1"/>
  <c r="Y933" i="12"/>
  <c r="Z933" i="12"/>
  <c r="AA933" i="12" s="1"/>
  <c r="AB933" i="12" s="1"/>
  <c r="AC933" i="12" s="1"/>
  <c r="Z575" i="12"/>
  <c r="AA575" i="12" s="1"/>
  <c r="AB575" i="12" s="1"/>
  <c r="AC575" i="12" s="1"/>
  <c r="Y74" i="12"/>
  <c r="Z82" i="12"/>
  <c r="AA82" i="12" s="1"/>
  <c r="AB82" i="12" s="1"/>
  <c r="AC82" i="12" s="1"/>
  <c r="Z74" i="12"/>
  <c r="AA74" i="12" s="1"/>
  <c r="AB74" i="12" s="1"/>
  <c r="AC74" i="12" s="1"/>
  <c r="Y86" i="12"/>
  <c r="Y181" i="12"/>
  <c r="Y450" i="12"/>
  <c r="Y78" i="12"/>
  <c r="Z86" i="12"/>
  <c r="AA86" i="12" s="1"/>
  <c r="AB86" i="12" s="1"/>
  <c r="AC86" i="12" s="1"/>
  <c r="Y157" i="12"/>
  <c r="Z181" i="12"/>
  <c r="AA181" i="12" s="1"/>
  <c r="AB181" i="12" s="1"/>
  <c r="AC181" i="12" s="1"/>
  <c r="Y207" i="12"/>
  <c r="Z450" i="12"/>
  <c r="AA450" i="12" s="1"/>
  <c r="AB450" i="12" s="1"/>
  <c r="AC450" i="12" s="1"/>
  <c r="Y460" i="12"/>
  <c r="Z78" i="12"/>
  <c r="AA78" i="12" s="1"/>
  <c r="AB78" i="12" s="1"/>
  <c r="AC78" i="12" s="1"/>
  <c r="Z157" i="12"/>
  <c r="AA157" i="12" s="1"/>
  <c r="AB157" i="12" s="1"/>
  <c r="AC157" i="12" s="1"/>
  <c r="Z207" i="12"/>
  <c r="AA207" i="12" s="1"/>
  <c r="AB207" i="12" s="1"/>
  <c r="AC207" i="12" s="1"/>
  <c r="Y253" i="12"/>
  <c r="Y278" i="12"/>
  <c r="Y303" i="12"/>
  <c r="Z253" i="12"/>
  <c r="AA253" i="12" s="1"/>
  <c r="AB253" i="12" s="1"/>
  <c r="AC253" i="12" s="1"/>
  <c r="Z278" i="12"/>
  <c r="AA278" i="12" s="1"/>
  <c r="AB278" i="12" s="1"/>
  <c r="AC278" i="12" s="1"/>
  <c r="Z303" i="12"/>
  <c r="AA303" i="12" s="1"/>
  <c r="AB303" i="12" s="1"/>
  <c r="AC303" i="12" s="1"/>
  <c r="Y315" i="12"/>
  <c r="Z166" i="12"/>
  <c r="AA166" i="12" s="1"/>
  <c r="AB166" i="12" s="1"/>
  <c r="AC166" i="12" s="1"/>
  <c r="Y82" i="12"/>
  <c r="Y215" i="12"/>
  <c r="Z758" i="12"/>
  <c r="AA758" i="12" s="1"/>
  <c r="AB758" i="12" s="1"/>
  <c r="AC758" i="12" s="1"/>
  <c r="Y784" i="12"/>
  <c r="Z215" i="12"/>
  <c r="AA215" i="12" s="1"/>
  <c r="AB215" i="12" s="1"/>
  <c r="AC215" i="12" s="1"/>
  <c r="Y272" i="12"/>
  <c r="Y295" i="12"/>
  <c r="Z315" i="12"/>
  <c r="AA315" i="12" s="1"/>
  <c r="AB315" i="12" s="1"/>
  <c r="AC315" i="12" s="1"/>
  <c r="Y252" i="12"/>
  <c r="Z272" i="12"/>
  <c r="AA272" i="12" s="1"/>
  <c r="AB272" i="12" s="1"/>
  <c r="AC272" i="12" s="1"/>
  <c r="Z295" i="12"/>
  <c r="AA295" i="12" s="1"/>
  <c r="AB295" i="12" s="1"/>
  <c r="AC295" i="12" s="1"/>
  <c r="Y228" i="12"/>
  <c r="Z252" i="12"/>
  <c r="AA252" i="12" s="1"/>
  <c r="AB252" i="12" s="1"/>
  <c r="AC252" i="12" s="1"/>
  <c r="Y299" i="12"/>
  <c r="Y517" i="12"/>
  <c r="Z228" i="12"/>
  <c r="AA228" i="12" s="1"/>
  <c r="AB228" i="12" s="1"/>
  <c r="AC228" i="12" s="1"/>
  <c r="Z299" i="12"/>
  <c r="AA299" i="12" s="1"/>
  <c r="AB299" i="12" s="1"/>
  <c r="AC299" i="12" s="1"/>
  <c r="Z517" i="12"/>
  <c r="AA517" i="12" s="1"/>
  <c r="AB517" i="12" s="1"/>
  <c r="AC517" i="12" s="1"/>
  <c r="Y766" i="12"/>
  <c r="Y196" i="12"/>
  <c r="Z196" i="12"/>
  <c r="AA196" i="12" s="1"/>
  <c r="AB196" i="12" s="1"/>
  <c r="AC196" i="12" s="1"/>
  <c r="Y307" i="12"/>
  <c r="Z307" i="12"/>
  <c r="AA307" i="12" s="1"/>
  <c r="AB307" i="12" s="1"/>
  <c r="AC307" i="12" s="1"/>
  <c r="Z742" i="12"/>
  <c r="AA742" i="12" s="1"/>
  <c r="AB742" i="12" s="1"/>
  <c r="AC742" i="12" s="1"/>
  <c r="Z754" i="12"/>
  <c r="AA754" i="12" s="1"/>
  <c r="AB754" i="12" s="1"/>
  <c r="AC754" i="12" s="1"/>
  <c r="Y311" i="12"/>
  <c r="Y796" i="12"/>
  <c r="Z870" i="12"/>
  <c r="AA870" i="12" s="1"/>
  <c r="AB870" i="12" s="1"/>
  <c r="AC870" i="12" s="1"/>
  <c r="Y739" i="12"/>
  <c r="Y754" i="12"/>
  <c r="Z796" i="12"/>
  <c r="AA796" i="12" s="1"/>
  <c r="AB796" i="12" s="1"/>
  <c r="AC796" i="12" s="1"/>
  <c r="Z739" i="12"/>
  <c r="AA739" i="12" s="1"/>
  <c r="AB739" i="12" s="1"/>
  <c r="AC739" i="12" s="1"/>
  <c r="Y758" i="12"/>
  <c r="Y890" i="12"/>
  <c r="Y1049" i="12"/>
  <c r="Y780" i="12"/>
  <c r="Z890" i="12"/>
  <c r="AA890" i="12" s="1"/>
  <c r="AB890" i="12" s="1"/>
  <c r="AC890" i="12" s="1"/>
  <c r="Z1049" i="12"/>
  <c r="AA1049" i="12" s="1"/>
  <c r="AB1049" i="12" s="1"/>
  <c r="AC1049" i="12" s="1"/>
  <c r="Y762" i="12"/>
  <c r="Z780" i="12"/>
  <c r="AA780" i="12" s="1"/>
  <c r="AB780" i="12" s="1"/>
  <c r="AC780" i="12" s="1"/>
  <c r="Y166" i="12"/>
  <c r="Y525" i="12"/>
  <c r="Z762" i="12"/>
  <c r="AA762" i="12" s="1"/>
  <c r="AB762" i="12" s="1"/>
  <c r="AC762" i="12" s="1"/>
  <c r="Z525" i="12"/>
  <c r="AA525" i="12" s="1"/>
  <c r="AB525" i="12" s="1"/>
  <c r="AC525" i="12" s="1"/>
  <c r="Y747" i="12"/>
  <c r="Z766" i="12"/>
  <c r="AA766" i="12" s="1"/>
  <c r="AB766" i="12" s="1"/>
  <c r="AC766" i="12" s="1"/>
  <c r="Z747" i="12"/>
  <c r="AA747" i="12" s="1"/>
  <c r="AB747" i="12" s="1"/>
  <c r="AC747" i="12" s="1"/>
  <c r="Z784" i="12"/>
  <c r="AA784" i="12" s="1"/>
  <c r="AB784" i="12" s="1"/>
  <c r="AC784" i="12" s="1"/>
  <c r="Z1125" i="12"/>
  <c r="AA1125" i="12" s="1"/>
  <c r="AB1125" i="12" s="1"/>
  <c r="AC1125" i="12" s="1"/>
  <c r="Y854" i="12"/>
  <c r="Y788" i="12"/>
  <c r="Z854" i="12"/>
  <c r="AA854" i="12" s="1"/>
  <c r="AB854" i="12" s="1"/>
  <c r="AC854" i="12" s="1"/>
  <c r="Y742" i="12"/>
  <c r="Z788" i="12"/>
  <c r="AA788" i="12" s="1"/>
  <c r="AB788" i="12" s="1"/>
  <c r="AC788" i="12" s="1"/>
  <c r="Y275" i="12"/>
  <c r="Y792" i="12"/>
  <c r="Y1015" i="12"/>
  <c r="Y1151" i="12"/>
  <c r="Z460" i="12"/>
  <c r="AA460" i="12" s="1"/>
  <c r="AB460" i="12" s="1"/>
  <c r="AC460" i="12" s="1"/>
  <c r="Z1015" i="12"/>
  <c r="AA1015" i="12" s="1"/>
  <c r="AB1015" i="12" s="1"/>
  <c r="AC1015" i="12" s="1"/>
  <c r="Z275" i="12"/>
  <c r="AA275" i="12" s="1"/>
  <c r="AB275" i="12" s="1"/>
  <c r="AC275" i="12" s="1"/>
  <c r="Z1151" i="12"/>
  <c r="AA1151" i="12" s="1"/>
  <c r="AB1151" i="12" s="1"/>
  <c r="AC1151" i="12" s="1"/>
  <c r="Y1125" i="12"/>
  <c r="Y870" i="12"/>
  <c r="Z311" i="12"/>
  <c r="AA311" i="12" s="1"/>
  <c r="AB311" i="12" s="1"/>
  <c r="AC311" i="12" s="1"/>
  <c r="Z792" i="12"/>
  <c r="AA792" i="12" s="1"/>
  <c r="AB792" i="12" s="1"/>
  <c r="AC792" i="12" s="1"/>
  <c r="Y118" i="12"/>
  <c r="Z118" i="12"/>
  <c r="AA118" i="12" s="1"/>
  <c r="AB118" i="12" s="1"/>
  <c r="AC118" i="12" s="1"/>
  <c r="Y573" i="12"/>
  <c r="Z573" i="12"/>
  <c r="AA573" i="12" s="1"/>
  <c r="AB573" i="12" s="1"/>
  <c r="AC573" i="12" s="1"/>
  <c r="Y169" i="12"/>
  <c r="Z169" i="12"/>
  <c r="AA169" i="12" s="1"/>
  <c r="AB169" i="12" s="1"/>
  <c r="AC169" i="12" s="1"/>
  <c r="Z466" i="12"/>
  <c r="AA466" i="12" s="1"/>
  <c r="AB466" i="12" s="1"/>
  <c r="AC466" i="12" s="1"/>
  <c r="Y731" i="12"/>
  <c r="Z480" i="12"/>
  <c r="AA480" i="12" s="1"/>
  <c r="AB480" i="12" s="1"/>
  <c r="AC480" i="12" s="1"/>
  <c r="Y953" i="12"/>
  <c r="Y977" i="12"/>
  <c r="Z1027" i="12"/>
  <c r="AA1027" i="12" s="1"/>
  <c r="AB1027" i="12" s="1"/>
  <c r="AC1027" i="12" s="1"/>
  <c r="Z1116" i="12"/>
  <c r="AA1116" i="12" s="1"/>
  <c r="AB1116" i="12" s="1"/>
  <c r="AC1116" i="12" s="1"/>
  <c r="Y1137" i="12"/>
  <c r="Z1137" i="12"/>
  <c r="AA1137" i="12" s="1"/>
  <c r="AB1137" i="12" s="1"/>
  <c r="AC1137" i="12" s="1"/>
  <c r="Z953" i="12"/>
  <c r="AA953" i="12" s="1"/>
  <c r="AB953" i="12" s="1"/>
  <c r="AC953" i="12" s="1"/>
  <c r="Z977" i="12"/>
  <c r="AA977" i="12" s="1"/>
  <c r="AB977" i="12" s="1"/>
  <c r="AC977" i="12" s="1"/>
  <c r="Y1024" i="12"/>
  <c r="Y1056" i="12"/>
  <c r="Y480" i="12"/>
  <c r="Y945" i="12"/>
  <c r="Z1024" i="12"/>
  <c r="AA1024" i="12" s="1"/>
  <c r="AB1024" i="12" s="1"/>
  <c r="AC1024" i="12" s="1"/>
  <c r="Z1056" i="12"/>
  <c r="AA1056" i="12" s="1"/>
  <c r="AB1056" i="12" s="1"/>
  <c r="AC1056" i="12" s="1"/>
  <c r="Z945" i="12"/>
  <c r="AA945" i="12" s="1"/>
  <c r="AB945" i="12" s="1"/>
  <c r="AC945" i="12" s="1"/>
  <c r="Y826" i="12"/>
  <c r="Y610" i="12"/>
  <c r="Z826" i="12"/>
  <c r="AA826" i="12" s="1"/>
  <c r="AB826" i="12" s="1"/>
  <c r="AC826" i="12" s="1"/>
  <c r="Y952" i="12"/>
  <c r="Y1046" i="12"/>
  <c r="Z610" i="12"/>
  <c r="AA610" i="12" s="1"/>
  <c r="AB610" i="12" s="1"/>
  <c r="AC610" i="12" s="1"/>
  <c r="Z952" i="12"/>
  <c r="AA952" i="12" s="1"/>
  <c r="AB952" i="12" s="1"/>
  <c r="AC952" i="12" s="1"/>
  <c r="Z1046" i="12"/>
  <c r="AA1046" i="12" s="1"/>
  <c r="AB1046" i="12" s="1"/>
  <c r="AC1046" i="12" s="1"/>
  <c r="Z1131" i="12"/>
  <c r="AA1131" i="12" s="1"/>
  <c r="AB1131" i="12" s="1"/>
  <c r="AC1131" i="12" s="1"/>
  <c r="Y938" i="12"/>
  <c r="Y971" i="12"/>
  <c r="Z938" i="12"/>
  <c r="AA938" i="12" s="1"/>
  <c r="AB938" i="12" s="1"/>
  <c r="AC938" i="12" s="1"/>
  <c r="Z971" i="12"/>
  <c r="AA971" i="12" s="1"/>
  <c r="AB971" i="12" s="1"/>
  <c r="AC971" i="12" s="1"/>
  <c r="Y973" i="12"/>
  <c r="Y1135" i="12"/>
  <c r="Y466" i="12"/>
  <c r="Z731" i="12"/>
  <c r="AA731" i="12" s="1"/>
  <c r="AB731" i="12" s="1"/>
  <c r="AC731" i="12" s="1"/>
  <c r="Y925" i="12"/>
  <c r="Z973" i="12"/>
  <c r="AA973" i="12" s="1"/>
  <c r="AB973" i="12" s="1"/>
  <c r="AC973" i="12" s="1"/>
  <c r="Y1089" i="12"/>
  <c r="Y1109" i="12"/>
  <c r="Z1135" i="12"/>
  <c r="AA1135" i="12" s="1"/>
  <c r="AB1135" i="12" s="1"/>
  <c r="AC1135" i="12" s="1"/>
  <c r="Z1109" i="12"/>
  <c r="AA1109" i="12" s="1"/>
  <c r="AB1109" i="12" s="1"/>
  <c r="AC1109" i="12" s="1"/>
  <c r="Y1093" i="12"/>
  <c r="Z925" i="12"/>
  <c r="AA925" i="12" s="1"/>
  <c r="AB925" i="12" s="1"/>
  <c r="AC925" i="12" s="1"/>
  <c r="Z1093" i="12"/>
  <c r="AA1093" i="12" s="1"/>
  <c r="AB1093" i="12" s="1"/>
  <c r="AC1093" i="12" s="1"/>
  <c r="Z1089" i="12"/>
  <c r="AA1089" i="12" s="1"/>
  <c r="AB1089" i="12" s="1"/>
  <c r="AC1089" i="12" s="1"/>
  <c r="Y1116" i="12"/>
  <c r="Z1059" i="12"/>
  <c r="AA1059" i="12" s="1"/>
  <c r="AB1059" i="12" s="1"/>
  <c r="AC1059" i="12" s="1"/>
  <c r="Y1027" i="12"/>
  <c r="Y975" i="12"/>
  <c r="Y1112" i="12"/>
  <c r="Y1059" i="12"/>
  <c r="Z975" i="12"/>
  <c r="AA975" i="12" s="1"/>
  <c r="AB975" i="12" s="1"/>
  <c r="AC975" i="12" s="1"/>
  <c r="Z1112" i="12"/>
  <c r="AA1112" i="12" s="1"/>
  <c r="AB1112" i="12" s="1"/>
  <c r="AC1112" i="12" s="1"/>
  <c r="Y1131" i="12"/>
  <c r="Y43" i="12"/>
  <c r="Z43" i="12"/>
  <c r="AA43" i="12" s="1"/>
  <c r="AB43" i="12" s="1"/>
  <c r="AC43" i="12" s="1"/>
  <c r="Y321" i="12"/>
  <c r="Y386" i="12"/>
  <c r="Y391" i="12"/>
  <c r="Y283" i="12"/>
  <c r="Z321" i="12"/>
  <c r="AA321" i="12" s="1"/>
  <c r="AB321" i="12" s="1"/>
  <c r="AC321" i="12" s="1"/>
  <c r="Y360" i="12"/>
  <c r="Z386" i="12"/>
  <c r="AA386" i="12" s="1"/>
  <c r="AB386" i="12" s="1"/>
  <c r="AC386" i="12" s="1"/>
  <c r="Z391" i="12"/>
  <c r="AA391" i="12" s="1"/>
  <c r="AB391" i="12" s="1"/>
  <c r="AC391" i="12" s="1"/>
  <c r="Y35" i="12"/>
  <c r="Z283" i="12"/>
  <c r="AA283" i="12" s="1"/>
  <c r="AB283" i="12" s="1"/>
  <c r="AC283" i="12" s="1"/>
  <c r="Y288" i="12"/>
  <c r="Z35" i="12"/>
  <c r="AA35" i="12" s="1"/>
  <c r="AB35" i="12" s="1"/>
  <c r="AC35" i="12" s="1"/>
  <c r="Z288" i="12"/>
  <c r="AA288" i="12" s="1"/>
  <c r="AB288" i="12" s="1"/>
  <c r="AC288" i="12" s="1"/>
  <c r="Y6" i="12"/>
  <c r="Z6" i="12"/>
  <c r="AA6" i="12" s="1"/>
  <c r="AB6" i="12" s="1"/>
  <c r="AC6" i="12" s="1"/>
  <c r="Y107" i="12"/>
  <c r="Z107" i="12"/>
  <c r="AA107" i="12" s="1"/>
  <c r="AB107" i="12" s="1"/>
  <c r="AC107" i="12" s="1"/>
  <c r="Y141" i="12"/>
  <c r="Y354" i="12"/>
  <c r="Z409" i="12"/>
  <c r="AA409" i="12" s="1"/>
  <c r="AB409" i="12" s="1"/>
  <c r="AC409" i="12" s="1"/>
  <c r="Z695" i="12"/>
  <c r="AA695" i="12" s="1"/>
  <c r="AB695" i="12" s="1"/>
  <c r="AC695" i="12" s="1"/>
  <c r="Y844" i="12"/>
  <c r="Z141" i="12"/>
  <c r="AA141" i="12" s="1"/>
  <c r="AB141" i="12" s="1"/>
  <c r="AC141" i="12" s="1"/>
  <c r="Z354" i="12"/>
  <c r="AA354" i="12" s="1"/>
  <c r="AB354" i="12" s="1"/>
  <c r="AC354" i="12" s="1"/>
  <c r="Y682" i="12"/>
  <c r="Z682" i="12"/>
  <c r="AA682" i="12" s="1"/>
  <c r="AB682" i="12" s="1"/>
  <c r="AC682" i="12" s="1"/>
  <c r="Y136" i="12"/>
  <c r="Y159" i="12"/>
  <c r="Y186" i="12"/>
  <c r="Y349" i="12"/>
  <c r="Y641" i="12"/>
  <c r="Z136" i="12"/>
  <c r="AA136" i="12" s="1"/>
  <c r="AB136" i="12" s="1"/>
  <c r="AC136" i="12" s="1"/>
  <c r="Z159" i="12"/>
  <c r="AA159" i="12" s="1"/>
  <c r="AB159" i="12" s="1"/>
  <c r="AC159" i="12" s="1"/>
  <c r="Z186" i="12"/>
  <c r="AA186" i="12" s="1"/>
  <c r="AB186" i="12" s="1"/>
  <c r="AC186" i="12" s="1"/>
  <c r="Z349" i="12"/>
  <c r="AA349" i="12" s="1"/>
  <c r="AB349" i="12" s="1"/>
  <c r="AC349" i="12" s="1"/>
  <c r="Y555" i="12"/>
  <c r="Y338" i="12"/>
  <c r="Z360" i="12"/>
  <c r="AA360" i="12" s="1"/>
  <c r="AB360" i="12" s="1"/>
  <c r="AC360" i="12" s="1"/>
  <c r="Y811" i="12"/>
  <c r="Y131" i="12"/>
  <c r="Z338" i="12"/>
  <c r="AA338" i="12" s="1"/>
  <c r="AB338" i="12" s="1"/>
  <c r="AC338" i="12" s="1"/>
  <c r="Y379" i="12"/>
  <c r="Z131" i="12"/>
  <c r="AA131" i="12" s="1"/>
  <c r="AB131" i="12" s="1"/>
  <c r="AC131" i="12" s="1"/>
  <c r="Y265" i="12"/>
  <c r="Z640" i="12"/>
  <c r="AA640" i="12" s="1"/>
  <c r="AB640" i="12" s="1"/>
  <c r="AC640" i="12" s="1"/>
  <c r="Y727" i="12"/>
  <c r="Y191" i="12"/>
  <c r="Z265" i="12"/>
  <c r="AA265" i="12" s="1"/>
  <c r="AB265" i="12" s="1"/>
  <c r="AC265" i="12" s="1"/>
  <c r="Y710" i="12"/>
  <c r="Z727" i="12"/>
  <c r="AA727" i="12" s="1"/>
  <c r="AB727" i="12" s="1"/>
  <c r="AC727" i="12" s="1"/>
  <c r="Y815" i="12"/>
  <c r="Y842" i="12"/>
  <c r="Y501" i="12"/>
  <c r="Y689" i="12"/>
  <c r="Z501" i="12"/>
  <c r="AA501" i="12" s="1"/>
  <c r="AB501" i="12" s="1"/>
  <c r="AC501" i="12" s="1"/>
  <c r="Z689" i="12"/>
  <c r="AA689" i="12" s="1"/>
  <c r="AB689" i="12" s="1"/>
  <c r="AC689" i="12" s="1"/>
  <c r="Y699" i="12"/>
  <c r="Z811" i="12"/>
  <c r="AA811" i="12" s="1"/>
  <c r="AB811" i="12" s="1"/>
  <c r="AC811" i="12" s="1"/>
  <c r="Y1071" i="12"/>
  <c r="Y1076" i="12"/>
  <c r="Y260" i="12"/>
  <c r="Y695" i="12"/>
  <c r="Z699" i="12"/>
  <c r="AA699" i="12" s="1"/>
  <c r="AB699" i="12" s="1"/>
  <c r="AC699" i="12" s="1"/>
  <c r="Z1071" i="12"/>
  <c r="AA1071" i="12" s="1"/>
  <c r="AB1071" i="12" s="1"/>
  <c r="AC1071" i="12" s="1"/>
  <c r="Z1076" i="12"/>
  <c r="AA1076" i="12" s="1"/>
  <c r="AB1076" i="12" s="1"/>
  <c r="AC1076" i="12" s="1"/>
  <c r="Y1108" i="12"/>
  <c r="Z260" i="12"/>
  <c r="AA260" i="12" s="1"/>
  <c r="AB260" i="12" s="1"/>
  <c r="AC260" i="12" s="1"/>
  <c r="Z1108" i="12"/>
  <c r="AA1108" i="12" s="1"/>
  <c r="AB1108" i="12" s="1"/>
  <c r="AC1108" i="12" s="1"/>
  <c r="Z815" i="12"/>
  <c r="AA815" i="12" s="1"/>
  <c r="AB815" i="12" s="1"/>
  <c r="AC815" i="12" s="1"/>
  <c r="Z641" i="12"/>
  <c r="AA641" i="12" s="1"/>
  <c r="AB641" i="12" s="1"/>
  <c r="AC641" i="12" s="1"/>
  <c r="Y900" i="12"/>
  <c r="Y895" i="12"/>
  <c r="Z900" i="12"/>
  <c r="AA900" i="12" s="1"/>
  <c r="AB900" i="12" s="1"/>
  <c r="AC900" i="12" s="1"/>
  <c r="Y959" i="12"/>
  <c r="Y1023" i="12"/>
  <c r="Z555" i="12"/>
  <c r="AA555" i="12" s="1"/>
  <c r="AB555" i="12" s="1"/>
  <c r="AC555" i="12" s="1"/>
  <c r="Y821" i="12"/>
  <c r="Z842" i="12"/>
  <c r="AA842" i="12" s="1"/>
  <c r="AB842" i="12" s="1"/>
  <c r="AC842" i="12" s="1"/>
  <c r="Z895" i="12"/>
  <c r="AA895" i="12" s="1"/>
  <c r="AB895" i="12" s="1"/>
  <c r="AC895" i="12" s="1"/>
  <c r="Z959" i="12"/>
  <c r="AA959" i="12" s="1"/>
  <c r="AB959" i="12" s="1"/>
  <c r="AC959" i="12" s="1"/>
  <c r="Y966" i="12"/>
  <c r="Y1006" i="12"/>
  <c r="Z821" i="12"/>
  <c r="AA821" i="12" s="1"/>
  <c r="AB821" i="12" s="1"/>
  <c r="AC821" i="12" s="1"/>
  <c r="Y861" i="12"/>
  <c r="Y866" i="12"/>
  <c r="Y905" i="12"/>
  <c r="Y910" i="12"/>
  <c r="Y920" i="12"/>
  <c r="Y961" i="12"/>
  <c r="Z966" i="12"/>
  <c r="AA966" i="12" s="1"/>
  <c r="AB966" i="12" s="1"/>
  <c r="AC966" i="12" s="1"/>
  <c r="Z1006" i="12"/>
  <c r="AA1006" i="12" s="1"/>
  <c r="AB1006" i="12" s="1"/>
  <c r="AC1006" i="12" s="1"/>
  <c r="Z1023" i="12"/>
  <c r="AA1023" i="12" s="1"/>
  <c r="AB1023" i="12" s="1"/>
  <c r="AC1023" i="12" s="1"/>
  <c r="Z844" i="12"/>
  <c r="AA844" i="12" s="1"/>
  <c r="AB844" i="12" s="1"/>
  <c r="AC844" i="12" s="1"/>
  <c r="Z861" i="12"/>
  <c r="AA861" i="12" s="1"/>
  <c r="AB861" i="12" s="1"/>
  <c r="AC861" i="12" s="1"/>
  <c r="Z866" i="12"/>
  <c r="AA866" i="12" s="1"/>
  <c r="AB866" i="12" s="1"/>
  <c r="AC866" i="12" s="1"/>
  <c r="Z905" i="12"/>
  <c r="AA905" i="12" s="1"/>
  <c r="AB905" i="12" s="1"/>
  <c r="AC905" i="12" s="1"/>
  <c r="Z910" i="12"/>
  <c r="AA910" i="12" s="1"/>
  <c r="AB910" i="12" s="1"/>
  <c r="AC910" i="12" s="1"/>
  <c r="Z920" i="12"/>
  <c r="AA920" i="12" s="1"/>
  <c r="AB920" i="12" s="1"/>
  <c r="AC920" i="12" s="1"/>
  <c r="Z961" i="12"/>
  <c r="AA961" i="12" s="1"/>
  <c r="AB961" i="12" s="1"/>
  <c r="AC961" i="12" s="1"/>
  <c r="Z191" i="12"/>
  <c r="AA191" i="12" s="1"/>
  <c r="AB191" i="12" s="1"/>
  <c r="AC191" i="12" s="1"/>
  <c r="Z379" i="12"/>
  <c r="AA379" i="12" s="1"/>
  <c r="AB379" i="12" s="1"/>
  <c r="AC379" i="12" s="1"/>
  <c r="Y409" i="12"/>
  <c r="Y915" i="12"/>
  <c r="Y1037" i="12"/>
  <c r="Z915" i="12"/>
  <c r="AA915" i="12" s="1"/>
  <c r="AB915" i="12" s="1"/>
  <c r="AC915" i="12" s="1"/>
  <c r="Y640" i="12"/>
  <c r="Z1037" i="12"/>
  <c r="AA1037" i="12" s="1"/>
  <c r="AB1037" i="12" s="1"/>
  <c r="AC1037" i="12" s="1"/>
  <c r="Z710" i="12"/>
  <c r="AA710" i="12" s="1"/>
  <c r="AB710" i="12" s="1"/>
  <c r="AC710" i="12" s="1"/>
  <c r="Y27" i="12"/>
  <c r="Z27" i="12"/>
  <c r="AA27" i="12" s="1"/>
  <c r="AB27" i="12" s="1"/>
  <c r="AC27" i="12" s="1"/>
  <c r="Y271" i="12"/>
  <c r="Z271" i="12"/>
  <c r="AA271" i="12" s="1"/>
  <c r="AB271" i="12" s="1"/>
  <c r="AC271" i="12" s="1"/>
  <c r="Y385" i="12"/>
  <c r="Z385" i="12"/>
  <c r="AA385" i="12" s="1"/>
  <c r="AB385" i="12" s="1"/>
  <c r="AC385" i="12" s="1"/>
  <c r="Y822" i="12"/>
  <c r="Z822" i="12"/>
  <c r="AA822" i="12" s="1"/>
  <c r="AB822" i="12" s="1"/>
  <c r="AC822" i="12" s="1"/>
  <c r="Y874" i="12"/>
  <c r="Z874" i="12"/>
  <c r="AA874" i="12" s="1"/>
  <c r="AB874" i="12" s="1"/>
  <c r="AC874" i="12" s="1"/>
  <c r="Y1001" i="12"/>
  <c r="Z1001" i="12"/>
  <c r="AA1001" i="12" s="1"/>
  <c r="AB1001" i="12" s="1"/>
  <c r="AC1001" i="12" s="1"/>
  <c r="Y873" i="12"/>
  <c r="Z873" i="12"/>
  <c r="AA873" i="12" s="1"/>
  <c r="AB873" i="12" s="1"/>
  <c r="AC873" i="12" s="1"/>
  <c r="Y1146" i="12"/>
  <c r="Z1146" i="12"/>
  <c r="AA1146" i="12" s="1"/>
  <c r="AB1146" i="12" s="1"/>
  <c r="AC1146" i="12" s="1"/>
  <c r="Y368" i="12"/>
  <c r="Z378" i="12"/>
  <c r="AA378" i="12" s="1"/>
  <c r="AB378" i="12" s="1"/>
  <c r="AC378" i="12" s="1"/>
  <c r="Z368" i="12"/>
  <c r="AA368" i="12" s="1"/>
  <c r="AB368" i="12" s="1"/>
  <c r="AC368" i="12" s="1"/>
  <c r="Y470" i="12"/>
  <c r="Y124" i="12"/>
  <c r="Y634" i="12"/>
  <c r="Z634" i="12"/>
  <c r="AA634" i="12" s="1"/>
  <c r="AB634" i="12" s="1"/>
  <c r="AC634" i="12" s="1"/>
  <c r="Z124" i="12"/>
  <c r="AA124" i="12" s="1"/>
  <c r="AB124" i="12" s="1"/>
  <c r="AC124" i="12" s="1"/>
  <c r="Y383" i="12"/>
  <c r="Y221" i="12"/>
  <c r="Y249" i="12"/>
  <c r="Z336" i="12"/>
  <c r="AA336" i="12" s="1"/>
  <c r="AB336" i="12" s="1"/>
  <c r="AC336" i="12" s="1"/>
  <c r="Z383" i="12"/>
  <c r="AA383" i="12" s="1"/>
  <c r="AB383" i="12" s="1"/>
  <c r="AC383" i="12" s="1"/>
  <c r="Z221" i="12"/>
  <c r="AA221" i="12" s="1"/>
  <c r="AB221" i="12" s="1"/>
  <c r="AC221" i="12" s="1"/>
  <c r="Z249" i="12"/>
  <c r="AA249" i="12" s="1"/>
  <c r="AB249" i="12" s="1"/>
  <c r="AC249" i="12" s="1"/>
  <c r="Z334" i="12"/>
  <c r="AA334" i="12" s="1"/>
  <c r="AB334" i="12" s="1"/>
  <c r="AC334" i="12" s="1"/>
  <c r="Z571" i="12"/>
  <c r="AA571" i="12" s="1"/>
  <c r="AB571" i="12" s="1"/>
  <c r="AC571" i="12" s="1"/>
  <c r="Z470" i="12"/>
  <c r="AA470" i="12" s="1"/>
  <c r="AB470" i="12" s="1"/>
  <c r="AC470" i="12" s="1"/>
  <c r="Y571" i="12"/>
  <c r="Y381" i="12"/>
  <c r="Z381" i="12"/>
  <c r="AA381" i="12" s="1"/>
  <c r="AB381" i="12" s="1"/>
  <c r="AC381" i="12" s="1"/>
  <c r="Y213" i="12"/>
  <c r="Z213" i="12"/>
  <c r="AA213" i="12" s="1"/>
  <c r="AB213" i="12" s="1"/>
  <c r="AC213" i="12" s="1"/>
  <c r="Y334" i="12"/>
  <c r="Y378" i="12"/>
  <c r="Y336" i="12"/>
  <c r="Y117" i="12"/>
  <c r="Z117" i="12"/>
  <c r="AA117" i="12" s="1"/>
  <c r="AB117" i="12" s="1"/>
  <c r="AC117" i="12" s="1"/>
  <c r="Y247" i="12"/>
  <c r="Y223" i="12"/>
  <c r="Z247" i="12"/>
  <c r="AA247" i="12" s="1"/>
  <c r="AB247" i="12" s="1"/>
  <c r="AC247" i="12" s="1"/>
  <c r="Z223" i="12"/>
  <c r="AA223" i="12" s="1"/>
  <c r="AB223" i="12" s="1"/>
  <c r="AC223" i="12" s="1"/>
  <c r="Z402" i="12"/>
  <c r="AA402" i="12" s="1"/>
  <c r="AB402" i="12" s="1"/>
  <c r="AC402" i="12" s="1"/>
  <c r="Y171" i="12"/>
  <c r="Z171" i="12"/>
  <c r="AA171" i="12" s="1"/>
  <c r="AB171" i="12" s="1"/>
  <c r="AC171" i="12" s="1"/>
  <c r="Y403" i="12"/>
  <c r="Y402" i="12"/>
  <c r="Y642" i="12"/>
  <c r="Z403" i="12"/>
  <c r="AA403" i="12" s="1"/>
  <c r="AB403" i="12" s="1"/>
  <c r="AC403" i="12" s="1"/>
  <c r="Y1035" i="12"/>
  <c r="Z1035" i="12"/>
  <c r="AA1035" i="12" s="1"/>
  <c r="AB1035" i="12" s="1"/>
  <c r="AC1035" i="12" s="1"/>
  <c r="Z642" i="12"/>
  <c r="AA642" i="12" s="1"/>
  <c r="AB642" i="12" s="1"/>
  <c r="AC642" i="12" s="1"/>
  <c r="Z473" i="12"/>
  <c r="AA473" i="12" s="1"/>
  <c r="AB473" i="12" s="1"/>
  <c r="AC473" i="12" s="1"/>
  <c r="Y163" i="12"/>
  <c r="Y473" i="12"/>
  <c r="Z163" i="12"/>
  <c r="AA163" i="12" s="1"/>
  <c r="AB163" i="12" s="1"/>
  <c r="AC163" i="12" s="1"/>
  <c r="Z735" i="12"/>
  <c r="AA735" i="12" s="1"/>
  <c r="AB735" i="12" s="1"/>
  <c r="AC735" i="12" s="1"/>
  <c r="Z937" i="12"/>
  <c r="AA937" i="12" s="1"/>
  <c r="AB937" i="12" s="1"/>
  <c r="AC937" i="12" s="1"/>
  <c r="Y1092" i="12"/>
  <c r="Z1111" i="12"/>
  <c r="AA1111" i="12" s="1"/>
  <c r="AB1111" i="12" s="1"/>
  <c r="AC1111" i="12" s="1"/>
  <c r="Z1092" i="12"/>
  <c r="AA1092" i="12" s="1"/>
  <c r="AB1092" i="12" s="1"/>
  <c r="AC1092" i="12" s="1"/>
  <c r="Y924" i="12"/>
  <c r="Y1061" i="12"/>
  <c r="Z924" i="12"/>
  <c r="AA924" i="12" s="1"/>
  <c r="AB924" i="12" s="1"/>
  <c r="AC924" i="12" s="1"/>
  <c r="Z1061" i="12"/>
  <c r="AA1061" i="12" s="1"/>
  <c r="AB1061" i="12" s="1"/>
  <c r="AC1061" i="12" s="1"/>
  <c r="Y1134" i="12"/>
  <c r="Z1134" i="12"/>
  <c r="AA1134" i="12" s="1"/>
  <c r="AB1134" i="12" s="1"/>
  <c r="AC1134" i="12" s="1"/>
  <c r="Y1115" i="12"/>
  <c r="Y1155" i="12"/>
  <c r="Y1130" i="12"/>
  <c r="Y1057" i="12"/>
  <c r="Z1130" i="12"/>
  <c r="AA1130" i="12" s="1"/>
  <c r="AB1130" i="12" s="1"/>
  <c r="AC1130" i="12" s="1"/>
  <c r="Z1057" i="12"/>
  <c r="AA1057" i="12" s="1"/>
  <c r="AB1057" i="12" s="1"/>
  <c r="AC1057" i="12" s="1"/>
  <c r="Y1111" i="12"/>
  <c r="Z1115" i="12"/>
  <c r="AA1115" i="12" s="1"/>
  <c r="AB1115" i="12" s="1"/>
  <c r="AC1115" i="12" s="1"/>
  <c r="Z1155" i="12"/>
  <c r="AA1155" i="12" s="1"/>
  <c r="AB1155" i="12" s="1"/>
  <c r="AC1155" i="12" s="1"/>
  <c r="Y937" i="12"/>
  <c r="Y735" i="12"/>
  <c r="Z34" i="12"/>
  <c r="AA34" i="12" s="1"/>
  <c r="AB34" i="12" s="1"/>
  <c r="AC34" i="12" s="1"/>
  <c r="Z64" i="12"/>
  <c r="AA64" i="12" s="1"/>
  <c r="AB64" i="12" s="1"/>
  <c r="AC64" i="12" s="1"/>
  <c r="Y26" i="12"/>
  <c r="Y66" i="12"/>
  <c r="Y71" i="12"/>
  <c r="Z104" i="12"/>
  <c r="AA104" i="12" s="1"/>
  <c r="AB104" i="12" s="1"/>
  <c r="AC104" i="12" s="1"/>
  <c r="Z26" i="12"/>
  <c r="AA26" i="12" s="1"/>
  <c r="AB26" i="12" s="1"/>
  <c r="AC26" i="12" s="1"/>
  <c r="Z66" i="12"/>
  <c r="AA66" i="12" s="1"/>
  <c r="AB66" i="12" s="1"/>
  <c r="AC66" i="12" s="1"/>
  <c r="Z71" i="12"/>
  <c r="AA71" i="12" s="1"/>
  <c r="AB71" i="12" s="1"/>
  <c r="AC71" i="12" s="1"/>
  <c r="Y33" i="12"/>
  <c r="Y101" i="12"/>
  <c r="Z128" i="12"/>
  <c r="AA128" i="12" s="1"/>
  <c r="AB128" i="12" s="1"/>
  <c r="AC128" i="12" s="1"/>
  <c r="Z133" i="12"/>
  <c r="AA133" i="12" s="1"/>
  <c r="AB133" i="12" s="1"/>
  <c r="AC133" i="12" s="1"/>
  <c r="Z232" i="12"/>
  <c r="AA232" i="12" s="1"/>
  <c r="AB232" i="12" s="1"/>
  <c r="AC232" i="12" s="1"/>
  <c r="Z346" i="12"/>
  <c r="AA346" i="12" s="1"/>
  <c r="AB346" i="12" s="1"/>
  <c r="AC346" i="12" s="1"/>
  <c r="Z430" i="12"/>
  <c r="AA430" i="12" s="1"/>
  <c r="AB430" i="12" s="1"/>
  <c r="AC430" i="12" s="1"/>
  <c r="Y23" i="12"/>
  <c r="Z33" i="12"/>
  <c r="AA33" i="12" s="1"/>
  <c r="AB33" i="12" s="1"/>
  <c r="AC33" i="12" s="1"/>
  <c r="Z101" i="12"/>
  <c r="AA101" i="12" s="1"/>
  <c r="AB101" i="12" s="1"/>
  <c r="AC101" i="12" s="1"/>
  <c r="Y259" i="12"/>
  <c r="Y264" i="12"/>
  <c r="Y337" i="12"/>
  <c r="Y554" i="12"/>
  <c r="Z23" i="12"/>
  <c r="AA23" i="12" s="1"/>
  <c r="AB23" i="12" s="1"/>
  <c r="AC23" i="12" s="1"/>
  <c r="Y190" i="12"/>
  <c r="Z259" i="12"/>
  <c r="AA259" i="12" s="1"/>
  <c r="AB259" i="12" s="1"/>
  <c r="AC259" i="12" s="1"/>
  <c r="Z264" i="12"/>
  <c r="AA264" i="12" s="1"/>
  <c r="AB264" i="12" s="1"/>
  <c r="AC264" i="12" s="1"/>
  <c r="Y4" i="12"/>
  <c r="Y25" i="12"/>
  <c r="Y185" i="12"/>
  <c r="Z190" i="12"/>
  <c r="AA190" i="12" s="1"/>
  <c r="AB190" i="12" s="1"/>
  <c r="AC190" i="12" s="1"/>
  <c r="Z4" i="12"/>
  <c r="AA4" i="12" s="1"/>
  <c r="AB4" i="12" s="1"/>
  <c r="AC4" i="12" s="1"/>
  <c r="Z25" i="12"/>
  <c r="AA25" i="12" s="1"/>
  <c r="AB25" i="12" s="1"/>
  <c r="AC25" i="12" s="1"/>
  <c r="Z147" i="12"/>
  <c r="AA147" i="12" s="1"/>
  <c r="AB147" i="12" s="1"/>
  <c r="AC147" i="12" s="1"/>
  <c r="Y39" i="12"/>
  <c r="Y149" i="12"/>
  <c r="Y34" i="12"/>
  <c r="Z39" i="12"/>
  <c r="AA39" i="12" s="1"/>
  <c r="AB39" i="12" s="1"/>
  <c r="AC39" i="12" s="1"/>
  <c r="Y64" i="12"/>
  <c r="Y139" i="12"/>
  <c r="Z149" i="12"/>
  <c r="AA149" i="12" s="1"/>
  <c r="AB149" i="12" s="1"/>
  <c r="AC149" i="12" s="1"/>
  <c r="Y151" i="12"/>
  <c r="Z153" i="12"/>
  <c r="AA153" i="12" s="1"/>
  <c r="AB153" i="12" s="1"/>
  <c r="AC153" i="12" s="1"/>
  <c r="Z235" i="12"/>
  <c r="AA235" i="12" s="1"/>
  <c r="AB235" i="12" s="1"/>
  <c r="AC235" i="12" s="1"/>
  <c r="Y327" i="12"/>
  <c r="Z337" i="12"/>
  <c r="AA337" i="12" s="1"/>
  <c r="AB337" i="12" s="1"/>
  <c r="AC337" i="12" s="1"/>
  <c r="Z680" i="12"/>
  <c r="AA680" i="12" s="1"/>
  <c r="AB680" i="12" s="1"/>
  <c r="AC680" i="12" s="1"/>
  <c r="Z777" i="12"/>
  <c r="AA777" i="12" s="1"/>
  <c r="AB777" i="12" s="1"/>
  <c r="AC777" i="12" s="1"/>
  <c r="Y104" i="12"/>
  <c r="Z151" i="12"/>
  <c r="AA151" i="12" s="1"/>
  <c r="AB151" i="12" s="1"/>
  <c r="AC151" i="12" s="1"/>
  <c r="Z327" i="12"/>
  <c r="AA327" i="12" s="1"/>
  <c r="AB327" i="12" s="1"/>
  <c r="AC327" i="12" s="1"/>
  <c r="Y687" i="12"/>
  <c r="Y707" i="12"/>
  <c r="Y128" i="12"/>
  <c r="Y388" i="12"/>
  <c r="Y430" i="12"/>
  <c r="Y636" i="12"/>
  <c r="Z687" i="12"/>
  <c r="AA687" i="12" s="1"/>
  <c r="AB687" i="12" s="1"/>
  <c r="AC687" i="12" s="1"/>
  <c r="Y697" i="12"/>
  <c r="Z707" i="12"/>
  <c r="AA707" i="12" s="1"/>
  <c r="AB707" i="12" s="1"/>
  <c r="AC707" i="12" s="1"/>
  <c r="Y726" i="12"/>
  <c r="Z753" i="12"/>
  <c r="AA753" i="12" s="1"/>
  <c r="AB753" i="12" s="1"/>
  <c r="AC753" i="12" s="1"/>
  <c r="Y147" i="12"/>
  <c r="Y210" i="12"/>
  <c r="Z388" i="12"/>
  <c r="AA388" i="12" s="1"/>
  <c r="AB388" i="12" s="1"/>
  <c r="AC388" i="12" s="1"/>
  <c r="Z636" i="12"/>
  <c r="AA636" i="12" s="1"/>
  <c r="AB636" i="12" s="1"/>
  <c r="AC636" i="12" s="1"/>
  <c r="Y677" i="12"/>
  <c r="Z697" i="12"/>
  <c r="AA697" i="12" s="1"/>
  <c r="AB697" i="12" s="1"/>
  <c r="AC697" i="12" s="1"/>
  <c r="Z726" i="12"/>
  <c r="AA726" i="12" s="1"/>
  <c r="AB726" i="12" s="1"/>
  <c r="AC726" i="12" s="1"/>
  <c r="Z210" i="12"/>
  <c r="AA210" i="12" s="1"/>
  <c r="AB210" i="12" s="1"/>
  <c r="AC210" i="12" s="1"/>
  <c r="Y408" i="12"/>
  <c r="Y500" i="12"/>
  <c r="Y351" i="12"/>
  <c r="Y232" i="12"/>
  <c r="Z351" i="12"/>
  <c r="AA351" i="12" s="1"/>
  <c r="AB351" i="12" s="1"/>
  <c r="AC351" i="12" s="1"/>
  <c r="Y552" i="12"/>
  <c r="Z638" i="12"/>
  <c r="AA638" i="12" s="1"/>
  <c r="AB638" i="12" s="1"/>
  <c r="AC638" i="12" s="1"/>
  <c r="Y691" i="12"/>
  <c r="Y158" i="12"/>
  <c r="Z185" i="12"/>
  <c r="AA185" i="12" s="1"/>
  <c r="AB185" i="12" s="1"/>
  <c r="AC185" i="12" s="1"/>
  <c r="Y238" i="12"/>
  <c r="Y287" i="12"/>
  <c r="Y133" i="12"/>
  <c r="Z158" i="12"/>
  <c r="AA158" i="12" s="1"/>
  <c r="AB158" i="12" s="1"/>
  <c r="AC158" i="12" s="1"/>
  <c r="Z238" i="12"/>
  <c r="AA238" i="12" s="1"/>
  <c r="AB238" i="12" s="1"/>
  <c r="AC238" i="12" s="1"/>
  <c r="Z287" i="12"/>
  <c r="AA287" i="12" s="1"/>
  <c r="AB287" i="12" s="1"/>
  <c r="AC287" i="12" s="1"/>
  <c r="Z540" i="12"/>
  <c r="AA540" i="12" s="1"/>
  <c r="AB540" i="12" s="1"/>
  <c r="AC540" i="12" s="1"/>
  <c r="Z554" i="12"/>
  <c r="AA554" i="12" s="1"/>
  <c r="AB554" i="12" s="1"/>
  <c r="AC554" i="12" s="1"/>
  <c r="Y775" i="12"/>
  <c r="Y540" i="12"/>
  <c r="Z836" i="12"/>
  <c r="AA836" i="12" s="1"/>
  <c r="AB836" i="12" s="1"/>
  <c r="AC836" i="12" s="1"/>
  <c r="Y965" i="12"/>
  <c r="Z990" i="12"/>
  <c r="AA990" i="12" s="1"/>
  <c r="AB990" i="12" s="1"/>
  <c r="AC990" i="12" s="1"/>
  <c r="Z552" i="12"/>
  <c r="AA552" i="12" s="1"/>
  <c r="AB552" i="12" s="1"/>
  <c r="AC552" i="12" s="1"/>
  <c r="Y809" i="12"/>
  <c r="Y960" i="12"/>
  <c r="Z965" i="12"/>
  <c r="AA965" i="12" s="1"/>
  <c r="AB965" i="12" s="1"/>
  <c r="AC965" i="12" s="1"/>
  <c r="Y987" i="12"/>
  <c r="Y282" i="12"/>
  <c r="Z691" i="12"/>
  <c r="AA691" i="12" s="1"/>
  <c r="AB691" i="12" s="1"/>
  <c r="AC691" i="12" s="1"/>
  <c r="Z809" i="12"/>
  <c r="AA809" i="12" s="1"/>
  <c r="AB809" i="12" s="1"/>
  <c r="AC809" i="12" s="1"/>
  <c r="Z960" i="12"/>
  <c r="AA960" i="12" s="1"/>
  <c r="AB960" i="12" s="1"/>
  <c r="AC960" i="12" s="1"/>
  <c r="Z987" i="12"/>
  <c r="AA987" i="12" s="1"/>
  <c r="AB987" i="12" s="1"/>
  <c r="AC987" i="12" s="1"/>
  <c r="Z139" i="12"/>
  <c r="AA139" i="12" s="1"/>
  <c r="AB139" i="12" s="1"/>
  <c r="AC139" i="12" s="1"/>
  <c r="Z282" i="12"/>
  <c r="AA282" i="12" s="1"/>
  <c r="AB282" i="12" s="1"/>
  <c r="AC282" i="12" s="1"/>
  <c r="Z408" i="12"/>
  <c r="AA408" i="12" s="1"/>
  <c r="AB408" i="12" s="1"/>
  <c r="AC408" i="12" s="1"/>
  <c r="Y813" i="12"/>
  <c r="Y838" i="12"/>
  <c r="Y893" i="12"/>
  <c r="Y898" i="12"/>
  <c r="Y984" i="12"/>
  <c r="Y1036" i="12"/>
  <c r="Y684" i="12"/>
  <c r="Z813" i="12"/>
  <c r="AA813" i="12" s="1"/>
  <c r="AB813" i="12" s="1"/>
  <c r="AC813" i="12" s="1"/>
  <c r="Z838" i="12"/>
  <c r="AA838" i="12" s="1"/>
  <c r="AB838" i="12" s="1"/>
  <c r="AC838" i="12" s="1"/>
  <c r="Z893" i="12"/>
  <c r="AA893" i="12" s="1"/>
  <c r="AB893" i="12" s="1"/>
  <c r="AC893" i="12" s="1"/>
  <c r="Z898" i="12"/>
  <c r="AA898" i="12" s="1"/>
  <c r="AB898" i="12" s="1"/>
  <c r="AC898" i="12" s="1"/>
  <c r="Z984" i="12"/>
  <c r="AA984" i="12" s="1"/>
  <c r="AB984" i="12" s="1"/>
  <c r="AC984" i="12" s="1"/>
  <c r="Z1036" i="12"/>
  <c r="AA1036" i="12" s="1"/>
  <c r="AB1036" i="12" s="1"/>
  <c r="AC1036" i="12" s="1"/>
  <c r="Y680" i="12"/>
  <c r="Z684" i="12"/>
  <c r="AA684" i="12" s="1"/>
  <c r="AB684" i="12" s="1"/>
  <c r="AC684" i="12" s="1"/>
  <c r="Y840" i="12"/>
  <c r="Y903" i="12"/>
  <c r="Y957" i="12"/>
  <c r="Y1068" i="12"/>
  <c r="Y1073" i="12"/>
  <c r="Y1149" i="12"/>
  <c r="Y153" i="12"/>
  <c r="Y235" i="12"/>
  <c r="Y819" i="12"/>
  <c r="Z840" i="12"/>
  <c r="AA840" i="12" s="1"/>
  <c r="AB840" i="12" s="1"/>
  <c r="AC840" i="12" s="1"/>
  <c r="Y864" i="12"/>
  <c r="Z903" i="12"/>
  <c r="AA903" i="12" s="1"/>
  <c r="AB903" i="12" s="1"/>
  <c r="AC903" i="12" s="1"/>
  <c r="Z957" i="12"/>
  <c r="AA957" i="12" s="1"/>
  <c r="AB957" i="12" s="1"/>
  <c r="AC957" i="12" s="1"/>
  <c r="Y981" i="12"/>
  <c r="Z1068" i="12"/>
  <c r="AA1068" i="12" s="1"/>
  <c r="AB1068" i="12" s="1"/>
  <c r="AC1068" i="12" s="1"/>
  <c r="Z1073" i="12"/>
  <c r="AA1073" i="12" s="1"/>
  <c r="AB1073" i="12" s="1"/>
  <c r="AC1073" i="12" s="1"/>
  <c r="Y359" i="12"/>
  <c r="Z819" i="12"/>
  <c r="AA819" i="12" s="1"/>
  <c r="AB819" i="12" s="1"/>
  <c r="AC819" i="12" s="1"/>
  <c r="Y859" i="12"/>
  <c r="Z864" i="12"/>
  <c r="AA864" i="12" s="1"/>
  <c r="AB864" i="12" s="1"/>
  <c r="AC864" i="12" s="1"/>
  <c r="Y908" i="12"/>
  <c r="Y918" i="12"/>
  <c r="Z981" i="12"/>
  <c r="AA981" i="12" s="1"/>
  <c r="AB981" i="12" s="1"/>
  <c r="AC981" i="12" s="1"/>
  <c r="Z359" i="12"/>
  <c r="AA359" i="12" s="1"/>
  <c r="AB359" i="12" s="1"/>
  <c r="AC359" i="12" s="1"/>
  <c r="Z500" i="12"/>
  <c r="AA500" i="12" s="1"/>
  <c r="AB500" i="12" s="1"/>
  <c r="AC500" i="12" s="1"/>
  <c r="Y753" i="12"/>
  <c r="Z775" i="12"/>
  <c r="AA775" i="12" s="1"/>
  <c r="AB775" i="12" s="1"/>
  <c r="AC775" i="12" s="1"/>
  <c r="Z859" i="12"/>
  <c r="AA859" i="12" s="1"/>
  <c r="AB859" i="12" s="1"/>
  <c r="AC859" i="12" s="1"/>
  <c r="Z908" i="12"/>
  <c r="AA908" i="12" s="1"/>
  <c r="AB908" i="12" s="1"/>
  <c r="AC908" i="12" s="1"/>
  <c r="Y913" i="12"/>
  <c r="Z918" i="12"/>
  <c r="AA918" i="12" s="1"/>
  <c r="AB918" i="12" s="1"/>
  <c r="AC918" i="12" s="1"/>
  <c r="Y346" i="12"/>
  <c r="Y777" i="12"/>
  <c r="Z913" i="12"/>
  <c r="AA913" i="12" s="1"/>
  <c r="AB913" i="12" s="1"/>
  <c r="AC913" i="12" s="1"/>
  <c r="Y993" i="12"/>
  <c r="Z993" i="12"/>
  <c r="AA993" i="12" s="1"/>
  <c r="AB993" i="12" s="1"/>
  <c r="AC993" i="12" s="1"/>
  <c r="Z677" i="12"/>
  <c r="AA677" i="12" s="1"/>
  <c r="AB677" i="12" s="1"/>
  <c r="AC677" i="12" s="1"/>
  <c r="Y834" i="12"/>
  <c r="Y836" i="12"/>
  <c r="Z1149" i="12"/>
  <c r="AA1149" i="12" s="1"/>
  <c r="AB1149" i="12" s="1"/>
  <c r="AC1149" i="12" s="1"/>
  <c r="Y990" i="12"/>
  <c r="Y638" i="12"/>
  <c r="Z834" i="12"/>
  <c r="AA834" i="12" s="1"/>
  <c r="AB834" i="12" s="1"/>
  <c r="AC834" i="12" s="1"/>
  <c r="Y174" i="12"/>
  <c r="Z174" i="12"/>
  <c r="AA174" i="12" s="1"/>
  <c r="AB174" i="12" s="1"/>
  <c r="AC174" i="12" s="1"/>
  <c r="Y176" i="12"/>
  <c r="Z176" i="12"/>
  <c r="AA176" i="12" s="1"/>
  <c r="AB176" i="12" s="1"/>
  <c r="AC176" i="12" s="1"/>
  <c r="Y401" i="12"/>
  <c r="Z401" i="12"/>
  <c r="AA401" i="12" s="1"/>
  <c r="AB401" i="12" s="1"/>
  <c r="AC401" i="12" s="1"/>
  <c r="Y170" i="12"/>
  <c r="Z170" i="12"/>
  <c r="AA170" i="12" s="1"/>
  <c r="AB170" i="12" s="1"/>
  <c r="AC170" i="12" s="1"/>
  <c r="Y882" i="12"/>
  <c r="Z882" i="12"/>
  <c r="AA882" i="12" s="1"/>
  <c r="AB882" i="12" s="1"/>
  <c r="AC882" i="12" s="1"/>
  <c r="Y1004" i="12"/>
  <c r="Z1004" i="12"/>
  <c r="AA1004" i="12" s="1"/>
  <c r="AB1004" i="12" s="1"/>
  <c r="AC1004" i="12" s="1"/>
  <c r="Z1100" i="12"/>
  <c r="AA1100" i="12" s="1"/>
  <c r="AB1100" i="12" s="1"/>
  <c r="AC1100" i="12" s="1"/>
  <c r="Y1100" i="12"/>
  <c r="Y417" i="12"/>
  <c r="Y478" i="12"/>
  <c r="Y164" i="12"/>
  <c r="Y513" i="12"/>
  <c r="Y824" i="12"/>
  <c r="Z513" i="12"/>
  <c r="AA513" i="12" s="1"/>
  <c r="AB513" i="12" s="1"/>
  <c r="AC513" i="12" s="1"/>
  <c r="Z478" i="12"/>
  <c r="AA478" i="12" s="1"/>
  <c r="AB478" i="12" s="1"/>
  <c r="AC478" i="12" s="1"/>
  <c r="Z417" i="12"/>
  <c r="AA417" i="12" s="1"/>
  <c r="AB417" i="12" s="1"/>
  <c r="AC417" i="12" s="1"/>
  <c r="Y536" i="12"/>
  <c r="Y591" i="12"/>
  <c r="Z164" i="12"/>
  <c r="AA164" i="12" s="1"/>
  <c r="AB164" i="12" s="1"/>
  <c r="AC164" i="12" s="1"/>
  <c r="Z591" i="12"/>
  <c r="AA591" i="12" s="1"/>
  <c r="AB591" i="12" s="1"/>
  <c r="AC591" i="12" s="1"/>
  <c r="Y472" i="12"/>
  <c r="Y594" i="12"/>
  <c r="Y1132" i="12"/>
  <c r="Z1132" i="12"/>
  <c r="AA1132" i="12" s="1"/>
  <c r="AB1132" i="12" s="1"/>
  <c r="AC1132" i="12" s="1"/>
  <c r="Z472" i="12"/>
  <c r="AA472" i="12" s="1"/>
  <c r="AB472" i="12" s="1"/>
  <c r="AC472" i="12" s="1"/>
  <c r="Y585" i="12"/>
  <c r="Z594" i="12"/>
  <c r="AA594" i="12" s="1"/>
  <c r="AB594" i="12" s="1"/>
  <c r="AC594" i="12" s="1"/>
  <c r="Z536" i="12"/>
  <c r="AA536" i="12" s="1"/>
  <c r="AB536" i="12" s="1"/>
  <c r="AC536" i="12" s="1"/>
  <c r="Z585" i="12"/>
  <c r="AA585" i="12" s="1"/>
  <c r="AB585" i="12" s="1"/>
  <c r="AC585" i="12" s="1"/>
  <c r="Y1113" i="12"/>
  <c r="Z824" i="12"/>
  <c r="AA824" i="12" s="1"/>
  <c r="AB824" i="12" s="1"/>
  <c r="AC824" i="12" s="1"/>
  <c r="Y1088" i="12"/>
  <c r="Z1113" i="12"/>
  <c r="AA1113" i="12" s="1"/>
  <c r="AB1113" i="12" s="1"/>
  <c r="AC1113" i="12" s="1"/>
  <c r="Y936" i="12"/>
  <c r="Z1088" i="12"/>
  <c r="AA1088" i="12" s="1"/>
  <c r="AB1088" i="12" s="1"/>
  <c r="AC1088" i="12" s="1"/>
  <c r="Y1091" i="12"/>
  <c r="Z936" i="12"/>
  <c r="AA936" i="12" s="1"/>
  <c r="AB936" i="12" s="1"/>
  <c r="AC936" i="12" s="1"/>
  <c r="Z1091" i="12"/>
  <c r="AA1091" i="12" s="1"/>
  <c r="AB1091" i="12" s="1"/>
  <c r="AC1091" i="12" s="1"/>
  <c r="Y1136" i="12"/>
  <c r="Y923" i="12"/>
  <c r="Y1117" i="12"/>
  <c r="Y1011" i="12"/>
  <c r="Z923" i="12"/>
  <c r="AA923" i="12" s="1"/>
  <c r="AB923" i="12" s="1"/>
  <c r="AC923" i="12" s="1"/>
  <c r="Y944" i="12"/>
  <c r="Z944" i="12"/>
  <c r="AA944" i="12" s="1"/>
  <c r="AB944" i="12" s="1"/>
  <c r="AC944" i="12" s="1"/>
  <c r="Z1011" i="12"/>
  <c r="AA1011" i="12" s="1"/>
  <c r="AB1011" i="12" s="1"/>
  <c r="AC1011" i="12" s="1"/>
  <c r="Y729" i="12"/>
  <c r="Y1062" i="12"/>
  <c r="Z729" i="12"/>
  <c r="AA729" i="12" s="1"/>
  <c r="AB729" i="12" s="1"/>
  <c r="AC729" i="12" s="1"/>
  <c r="Y1045" i="12"/>
  <c r="Z1062" i="12"/>
  <c r="AA1062" i="12" s="1"/>
  <c r="AB1062" i="12" s="1"/>
  <c r="AC1062" i="12" s="1"/>
  <c r="Y1097" i="12"/>
  <c r="Z1117" i="12"/>
  <c r="AA1117" i="12" s="1"/>
  <c r="AB1117" i="12" s="1"/>
  <c r="AC1117" i="12" s="1"/>
  <c r="Z1136" i="12"/>
  <c r="AA1136" i="12" s="1"/>
  <c r="AB1136" i="12" s="1"/>
  <c r="AC1136" i="12" s="1"/>
  <c r="Z1097" i="12"/>
  <c r="AA1097" i="12" s="1"/>
  <c r="AB1097" i="12" s="1"/>
  <c r="AC1097" i="12" s="1"/>
  <c r="Z609" i="12"/>
  <c r="AA609" i="12" s="1"/>
  <c r="AB609" i="12" s="1"/>
  <c r="AC609" i="12" s="1"/>
  <c r="Z1045" i="12"/>
  <c r="AA1045" i="12" s="1"/>
  <c r="AB1045" i="12" s="1"/>
  <c r="AC1045" i="12" s="1"/>
  <c r="Y609" i="12"/>
  <c r="Y46" i="12"/>
  <c r="Y69" i="12"/>
  <c r="Y41" i="12"/>
  <c r="Z46" i="12"/>
  <c r="AA46" i="12" s="1"/>
  <c r="AB46" i="12" s="1"/>
  <c r="AC46" i="12" s="1"/>
  <c r="Z69" i="12"/>
  <c r="AA69" i="12" s="1"/>
  <c r="AB69" i="12" s="1"/>
  <c r="AC69" i="12" s="1"/>
  <c r="Y5" i="12"/>
  <c r="Z41" i="12"/>
  <c r="AA41" i="12" s="1"/>
  <c r="AB41" i="12" s="1"/>
  <c r="AC41" i="12" s="1"/>
  <c r="Z5" i="12"/>
  <c r="AA5" i="12" s="1"/>
  <c r="AB5" i="12" s="1"/>
  <c r="AC5" i="12" s="1"/>
  <c r="Z143" i="12"/>
  <c r="AA143" i="12" s="1"/>
  <c r="AB143" i="12" s="1"/>
  <c r="AC143" i="12" s="1"/>
  <c r="Y286" i="12"/>
  <c r="Z291" i="12"/>
  <c r="AA291" i="12" s="1"/>
  <c r="AB291" i="12" s="1"/>
  <c r="AC291" i="12" s="1"/>
  <c r="Z363" i="12"/>
  <c r="AA363" i="12" s="1"/>
  <c r="AB363" i="12" s="1"/>
  <c r="AC363" i="12" s="1"/>
  <c r="Y68" i="12"/>
  <c r="Z286" i="12"/>
  <c r="AA286" i="12" s="1"/>
  <c r="AB286" i="12" s="1"/>
  <c r="AC286" i="12" s="1"/>
  <c r="Y329" i="12"/>
  <c r="Y440" i="12"/>
  <c r="Z68" i="12"/>
  <c r="AA68" i="12" s="1"/>
  <c r="AB68" i="12" s="1"/>
  <c r="AC68" i="12" s="1"/>
  <c r="Z329" i="12"/>
  <c r="AA329" i="12" s="1"/>
  <c r="AB329" i="12" s="1"/>
  <c r="AC329" i="12" s="1"/>
  <c r="Y47" i="12"/>
  <c r="Y140" i="12"/>
  <c r="Y42" i="12"/>
  <c r="Z47" i="12"/>
  <c r="AA47" i="12" s="1"/>
  <c r="AB47" i="12" s="1"/>
  <c r="AC47" i="12" s="1"/>
  <c r="Z42" i="12"/>
  <c r="AA42" i="12" s="1"/>
  <c r="AB42" i="12" s="1"/>
  <c r="AC42" i="12" s="1"/>
  <c r="Z105" i="12"/>
  <c r="AA105" i="12" s="1"/>
  <c r="AB105" i="12" s="1"/>
  <c r="AC105" i="12" s="1"/>
  <c r="Y129" i="12"/>
  <c r="Z129" i="12"/>
  <c r="AA129" i="12" s="1"/>
  <c r="AB129" i="12" s="1"/>
  <c r="AC129" i="12" s="1"/>
  <c r="Y134" i="12"/>
  <c r="Z233" i="12"/>
  <c r="AA233" i="12" s="1"/>
  <c r="AB233" i="12" s="1"/>
  <c r="AC233" i="12" s="1"/>
  <c r="Z352" i="12"/>
  <c r="AA352" i="12" s="1"/>
  <c r="AB352" i="12" s="1"/>
  <c r="AC352" i="12" s="1"/>
  <c r="Z399" i="12"/>
  <c r="AA399" i="12" s="1"/>
  <c r="AB399" i="12" s="1"/>
  <c r="AC399" i="12" s="1"/>
  <c r="Z705" i="12"/>
  <c r="AA705" i="12" s="1"/>
  <c r="AB705" i="12" s="1"/>
  <c r="AC705" i="12" s="1"/>
  <c r="Z810" i="12"/>
  <c r="AA810" i="12" s="1"/>
  <c r="AB810" i="12" s="1"/>
  <c r="AC810" i="12" s="1"/>
  <c r="Y143" i="12"/>
  <c r="Y639" i="12"/>
  <c r="Y347" i="12"/>
  <c r="Z440" i="12"/>
  <c r="AA440" i="12" s="1"/>
  <c r="AB440" i="12" s="1"/>
  <c r="AC440" i="12" s="1"/>
  <c r="Z639" i="12"/>
  <c r="AA639" i="12" s="1"/>
  <c r="AB639" i="12" s="1"/>
  <c r="AC639" i="12" s="1"/>
  <c r="Z347" i="12"/>
  <c r="AA347" i="12" s="1"/>
  <c r="AB347" i="12" s="1"/>
  <c r="AC347" i="12" s="1"/>
  <c r="Z134" i="12"/>
  <c r="AA134" i="12" s="1"/>
  <c r="AB134" i="12" s="1"/>
  <c r="AC134" i="12" s="1"/>
  <c r="Y363" i="12"/>
  <c r="Y268" i="12"/>
  <c r="Z140" i="12"/>
  <c r="AA140" i="12" s="1"/>
  <c r="AB140" i="12" s="1"/>
  <c r="AC140" i="12" s="1"/>
  <c r="Z268" i="12"/>
  <c r="AA268" i="12" s="1"/>
  <c r="AB268" i="12" s="1"/>
  <c r="AC268" i="12" s="1"/>
  <c r="Z502" i="12"/>
  <c r="AA502" i="12" s="1"/>
  <c r="AB502" i="12" s="1"/>
  <c r="AC502" i="12" s="1"/>
  <c r="Z626" i="12"/>
  <c r="AA626" i="12" s="1"/>
  <c r="AB626" i="12" s="1"/>
  <c r="AC626" i="12" s="1"/>
  <c r="Y105" i="12"/>
  <c r="Y194" i="12"/>
  <c r="Y263" i="12"/>
  <c r="Y330" i="12"/>
  <c r="Z194" i="12"/>
  <c r="AA194" i="12" s="1"/>
  <c r="AB194" i="12" s="1"/>
  <c r="AC194" i="12" s="1"/>
  <c r="Z263" i="12"/>
  <c r="AA263" i="12" s="1"/>
  <c r="AB263" i="12" s="1"/>
  <c r="AC263" i="12" s="1"/>
  <c r="Z330" i="12"/>
  <c r="AA330" i="12" s="1"/>
  <c r="AB330" i="12" s="1"/>
  <c r="AC330" i="12" s="1"/>
  <c r="Y341" i="12"/>
  <c r="Y328" i="12"/>
  <c r="Z341" i="12"/>
  <c r="AA341" i="12" s="1"/>
  <c r="AB341" i="12" s="1"/>
  <c r="AC341" i="12" s="1"/>
  <c r="Y389" i="12"/>
  <c r="Y412" i="12"/>
  <c r="Y693" i="12"/>
  <c r="Y698" i="12"/>
  <c r="Z708" i="12"/>
  <c r="AA708" i="12" s="1"/>
  <c r="AB708" i="12" s="1"/>
  <c r="AC708" i="12" s="1"/>
  <c r="Y211" i="12"/>
  <c r="Z328" i="12"/>
  <c r="AA328" i="12" s="1"/>
  <c r="AB328" i="12" s="1"/>
  <c r="AC328" i="12" s="1"/>
  <c r="Z389" i="12"/>
  <c r="AA389" i="12" s="1"/>
  <c r="AB389" i="12" s="1"/>
  <c r="AC389" i="12" s="1"/>
  <c r="Z412" i="12"/>
  <c r="AA412" i="12" s="1"/>
  <c r="AB412" i="12" s="1"/>
  <c r="AC412" i="12" s="1"/>
  <c r="Z693" i="12"/>
  <c r="AA693" i="12" s="1"/>
  <c r="AB693" i="12" s="1"/>
  <c r="AC693" i="12" s="1"/>
  <c r="Z698" i="12"/>
  <c r="AA698" i="12" s="1"/>
  <c r="AB698" i="12" s="1"/>
  <c r="AC698" i="12" s="1"/>
  <c r="Y715" i="12"/>
  <c r="Y841" i="12"/>
  <c r="Y865" i="12"/>
  <c r="Z904" i="12"/>
  <c r="AA904" i="12" s="1"/>
  <c r="AB904" i="12" s="1"/>
  <c r="AC904" i="12" s="1"/>
  <c r="Z958" i="12"/>
  <c r="AA958" i="12" s="1"/>
  <c r="AB958" i="12" s="1"/>
  <c r="AC958" i="12" s="1"/>
  <c r="Y1069" i="12"/>
  <c r="Z1074" i="12"/>
  <c r="AA1074" i="12" s="1"/>
  <c r="AB1074" i="12" s="1"/>
  <c r="AC1074" i="12" s="1"/>
  <c r="Z841" i="12"/>
  <c r="AA841" i="12" s="1"/>
  <c r="AB841" i="12" s="1"/>
  <c r="AC841" i="12" s="1"/>
  <c r="Y843" i="12"/>
  <c r="Y860" i="12"/>
  <c r="Z865" i="12"/>
  <c r="AA865" i="12" s="1"/>
  <c r="AB865" i="12" s="1"/>
  <c r="AC865" i="12" s="1"/>
  <c r="Y909" i="12"/>
  <c r="Y919" i="12"/>
  <c r="Z1069" i="12"/>
  <c r="AA1069" i="12" s="1"/>
  <c r="AB1069" i="12" s="1"/>
  <c r="AC1069" i="12" s="1"/>
  <c r="Z843" i="12"/>
  <c r="AA843" i="12" s="1"/>
  <c r="AB843" i="12" s="1"/>
  <c r="AC843" i="12" s="1"/>
  <c r="Z860" i="12"/>
  <c r="AA860" i="12" s="1"/>
  <c r="AB860" i="12" s="1"/>
  <c r="AC860" i="12" s="1"/>
  <c r="Z909" i="12"/>
  <c r="AA909" i="12" s="1"/>
  <c r="AB909" i="12" s="1"/>
  <c r="AC909" i="12" s="1"/>
  <c r="Z919" i="12"/>
  <c r="AA919" i="12" s="1"/>
  <c r="AB919" i="12" s="1"/>
  <c r="AC919" i="12" s="1"/>
  <c r="Y914" i="12"/>
  <c r="Z914" i="12"/>
  <c r="AA914" i="12" s="1"/>
  <c r="AB914" i="12" s="1"/>
  <c r="AC914" i="12" s="1"/>
  <c r="Y969" i="12"/>
  <c r="Y352" i="12"/>
  <c r="Y964" i="12"/>
  <c r="Z969" i="12"/>
  <c r="AA969" i="12" s="1"/>
  <c r="AB969" i="12" s="1"/>
  <c r="AC969" i="12" s="1"/>
  <c r="Z964" i="12"/>
  <c r="AA964" i="12" s="1"/>
  <c r="AB964" i="12" s="1"/>
  <c r="AC964" i="12" s="1"/>
  <c r="Y233" i="12"/>
  <c r="Y589" i="12"/>
  <c r="Y645" i="12"/>
  <c r="Y705" i="12"/>
  <c r="Y291" i="12"/>
  <c r="Y399" i="12"/>
  <c r="Z589" i="12"/>
  <c r="AA589" i="12" s="1"/>
  <c r="AB589" i="12" s="1"/>
  <c r="AC589" i="12" s="1"/>
  <c r="Z645" i="12"/>
  <c r="AA645" i="12" s="1"/>
  <c r="AB645" i="12" s="1"/>
  <c r="AC645" i="12" s="1"/>
  <c r="Y694" i="12"/>
  <c r="Y1040" i="12"/>
  <c r="Y502" i="12"/>
  <c r="Z694" i="12"/>
  <c r="AA694" i="12" s="1"/>
  <c r="AB694" i="12" s="1"/>
  <c r="AC694" i="12" s="1"/>
  <c r="Y810" i="12"/>
  <c r="Z1040" i="12"/>
  <c r="AA1040" i="12" s="1"/>
  <c r="AB1040" i="12" s="1"/>
  <c r="AC1040" i="12" s="1"/>
  <c r="Z715" i="12"/>
  <c r="AA715" i="12" s="1"/>
  <c r="AB715" i="12" s="1"/>
  <c r="AC715" i="12" s="1"/>
  <c r="Y626" i="12"/>
  <c r="Y814" i="12"/>
  <c r="Y899" i="12"/>
  <c r="Y958" i="12"/>
  <c r="Z899" i="12"/>
  <c r="AA899" i="12" s="1"/>
  <c r="AB899" i="12" s="1"/>
  <c r="AC899" i="12" s="1"/>
  <c r="Y1074" i="12"/>
  <c r="Z211" i="12"/>
  <c r="AA211" i="12" s="1"/>
  <c r="AB211" i="12" s="1"/>
  <c r="AC211" i="12" s="1"/>
  <c r="Y904" i="12"/>
  <c r="Z814" i="12"/>
  <c r="AA814" i="12" s="1"/>
  <c r="AB814" i="12" s="1"/>
  <c r="AC814" i="12" s="1"/>
  <c r="Y708" i="12"/>
  <c r="Y894" i="12"/>
  <c r="Z894" i="12"/>
  <c r="AA894" i="12" s="1"/>
  <c r="AB894" i="12" s="1"/>
  <c r="AC894" i="12" s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6" i="6"/>
  <c r="M47" i="6"/>
  <c r="M48" i="6"/>
  <c r="M49" i="6"/>
  <c r="M50" i="6"/>
  <c r="M51" i="6"/>
  <c r="M52" i="6"/>
  <c r="M53" i="6"/>
  <c r="M54" i="6"/>
  <c r="M56" i="6"/>
  <c r="M57" i="6"/>
  <c r="M58" i="6"/>
  <c r="M3" i="6"/>
  <c r="D112" i="2"/>
  <c r="J561" i="12" l="1"/>
  <c r="J601" i="12"/>
  <c r="J643" i="12"/>
  <c r="J567" i="12"/>
  <c r="J436" i="12"/>
  <c r="J617" i="12"/>
  <c r="J659" i="12"/>
  <c r="J801" i="12"/>
  <c r="J663" i="12"/>
  <c r="J416" i="12"/>
  <c r="J507" i="12"/>
  <c r="J546" i="12"/>
  <c r="J651" i="12"/>
  <c r="J515" i="12"/>
  <c r="J704" i="12"/>
  <c r="N21" i="6"/>
  <c r="N22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8" i="6"/>
  <c r="N49" i="6"/>
  <c r="N52" i="6"/>
  <c r="N53" i="6"/>
  <c r="N56" i="6"/>
  <c r="N57" i="6"/>
  <c r="N58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3" i="6"/>
  <c r="Q55" i="6" l="1"/>
  <c r="O52" i="6" l="1"/>
  <c r="O53" i="6"/>
  <c r="Q53" i="6" l="1"/>
  <c r="Q52" i="6"/>
  <c r="B3" i="6" l="1"/>
  <c r="B4" i="6"/>
  <c r="O6" i="6"/>
  <c r="O7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" i="6" l="1"/>
  <c r="I4" i="6"/>
  <c r="G4" i="6" s="1"/>
  <c r="O3" i="6"/>
  <c r="I3" i="6"/>
  <c r="G3" i="6" s="1"/>
  <c r="Q41" i="6"/>
  <c r="Q13" i="6"/>
  <c r="P13" i="6"/>
  <c r="Q12" i="6"/>
  <c r="P12" i="6"/>
  <c r="Q25" i="6"/>
  <c r="P25" i="6"/>
  <c r="Q24" i="6"/>
  <c r="P24" i="6"/>
  <c r="Q37" i="6"/>
  <c r="P37" i="6"/>
  <c r="Q22" i="6"/>
  <c r="P22" i="6"/>
  <c r="Q35" i="6"/>
  <c r="P35" i="6"/>
  <c r="Q20" i="6"/>
  <c r="P20" i="6"/>
  <c r="Q6" i="6"/>
  <c r="P6" i="6"/>
  <c r="Q29" i="6"/>
  <c r="P29" i="6"/>
  <c r="Q28" i="6"/>
  <c r="P28" i="6"/>
  <c r="Q40" i="6"/>
  <c r="P40" i="6"/>
  <c r="Q11" i="6"/>
  <c r="P11" i="6"/>
  <c r="Q23" i="6"/>
  <c r="P23" i="6"/>
  <c r="Q21" i="6"/>
  <c r="Q4" i="6"/>
  <c r="P4" i="6"/>
  <c r="Q15" i="6"/>
  <c r="P15" i="6"/>
  <c r="Q42" i="6"/>
  <c r="Q27" i="6"/>
  <c r="P27" i="6"/>
  <c r="Q26" i="6"/>
  <c r="P26" i="6"/>
  <c r="Q39" i="6"/>
  <c r="P39" i="6"/>
  <c r="Q38" i="6"/>
  <c r="P38" i="6"/>
  <c r="Q10" i="6"/>
  <c r="P10" i="6"/>
  <c r="Q9" i="6"/>
  <c r="P9" i="6"/>
  <c r="Q36" i="6"/>
  <c r="P36" i="6"/>
  <c r="Q8" i="6"/>
  <c r="Q7" i="6"/>
  <c r="P7" i="6"/>
  <c r="Q34" i="6"/>
  <c r="P34" i="6"/>
  <c r="Q33" i="6"/>
  <c r="P33" i="6"/>
  <c r="Q19" i="6"/>
  <c r="P19" i="6"/>
  <c r="Q5" i="6"/>
  <c r="Q32" i="6"/>
  <c r="P32" i="6"/>
  <c r="Q18" i="6"/>
  <c r="P18" i="6"/>
  <c r="Q31" i="6"/>
  <c r="P31" i="6"/>
  <c r="Q17" i="6"/>
  <c r="P17" i="6"/>
  <c r="Q3" i="6"/>
  <c r="P3" i="6"/>
  <c r="Q30" i="6"/>
  <c r="P30" i="6"/>
  <c r="Q16" i="6"/>
  <c r="P16" i="6"/>
  <c r="Q48" i="6"/>
  <c r="P48" i="6"/>
  <c r="Q14" i="6"/>
  <c r="P14" i="6"/>
  <c r="Z1460" i="12" l="1"/>
  <c r="AA1460" i="12" s="1"/>
  <c r="AB1460" i="12" s="1"/>
  <c r="AC1460" i="12" s="1"/>
  <c r="Y1460" i="12"/>
  <c r="Y1448" i="12"/>
  <c r="Z1448" i="12"/>
  <c r="AA1448" i="12" s="1"/>
  <c r="AB1448" i="12" s="1"/>
  <c r="AC1448" i="12" s="1"/>
  <c r="Y1449" i="12"/>
  <c r="Z1449" i="12"/>
  <c r="AA1449" i="12" s="1"/>
  <c r="AB1449" i="12" s="1"/>
  <c r="AC1449" i="12" s="1"/>
  <c r="Y1447" i="12"/>
  <c r="Z1447" i="12"/>
  <c r="AA1447" i="12" s="1"/>
  <c r="AB1447" i="12" s="1"/>
  <c r="AC1447" i="12" s="1"/>
  <c r="Y1437" i="12"/>
  <c r="Y1443" i="12"/>
  <c r="Y1440" i="12"/>
  <c r="Z1443" i="12"/>
  <c r="AA1443" i="12" s="1"/>
  <c r="AB1443" i="12" s="1"/>
  <c r="AC1443" i="12" s="1"/>
  <c r="Z1440" i="12"/>
  <c r="AA1440" i="12" s="1"/>
  <c r="AB1440" i="12" s="1"/>
  <c r="AC1440" i="12" s="1"/>
  <c r="Z1437" i="12"/>
  <c r="AA1437" i="12" s="1"/>
  <c r="AB1437" i="12" s="1"/>
  <c r="AC1437" i="12" s="1"/>
  <c r="Y1410" i="12"/>
  <c r="Z1410" i="12"/>
  <c r="AA1410" i="12" s="1"/>
  <c r="AB1410" i="12" s="1"/>
  <c r="AC1410" i="12" s="1"/>
  <c r="Y1409" i="12"/>
  <c r="Z1409" i="12"/>
  <c r="AA1409" i="12" s="1"/>
  <c r="AB1409" i="12" s="1"/>
  <c r="AC1409" i="12" s="1"/>
  <c r="Y1407" i="12"/>
  <c r="Z1407" i="12"/>
  <c r="AA1407" i="12" s="1"/>
  <c r="AB1407" i="12" s="1"/>
  <c r="AC1407" i="12" s="1"/>
  <c r="Y1405" i="12"/>
  <c r="Z1405" i="12"/>
  <c r="AA1405" i="12" s="1"/>
  <c r="AB1405" i="12" s="1"/>
  <c r="AC1405" i="12" s="1"/>
  <c r="Y1388" i="12"/>
  <c r="Z1388" i="12"/>
  <c r="AA1388" i="12" s="1"/>
  <c r="AB1388" i="12" s="1"/>
  <c r="AC1388" i="12" s="1"/>
  <c r="Y1383" i="12"/>
  <c r="Z1383" i="12"/>
  <c r="AA1383" i="12" s="1"/>
  <c r="AB1383" i="12" s="1"/>
  <c r="AC1383" i="12" s="1"/>
  <c r="Y1377" i="12"/>
  <c r="Z1377" i="12"/>
  <c r="AA1377" i="12" s="1"/>
  <c r="AB1377" i="12" s="1"/>
  <c r="AC1377" i="12" s="1"/>
  <c r="Z1368" i="12"/>
  <c r="AA1368" i="12" s="1"/>
  <c r="AB1368" i="12" s="1"/>
  <c r="AC1368" i="12" s="1"/>
  <c r="Y1368" i="12"/>
  <c r="Y1370" i="12"/>
  <c r="Z1366" i="12"/>
  <c r="AA1366" i="12" s="1"/>
  <c r="AB1366" i="12" s="1"/>
  <c r="AC1366" i="12" s="1"/>
  <c r="Z1370" i="12"/>
  <c r="AA1370" i="12" s="1"/>
  <c r="AB1370" i="12" s="1"/>
  <c r="AC1370" i="12" s="1"/>
  <c r="Y1366" i="12"/>
  <c r="Y1344" i="12"/>
  <c r="Y1338" i="12"/>
  <c r="Z1338" i="12"/>
  <c r="AA1338" i="12" s="1"/>
  <c r="AB1338" i="12" s="1"/>
  <c r="AC1338" i="12" s="1"/>
  <c r="Z1344" i="12"/>
  <c r="AA1344" i="12" s="1"/>
  <c r="AB1344" i="12" s="1"/>
  <c r="AC1344" i="12" s="1"/>
  <c r="Y1339" i="12"/>
  <c r="Y1345" i="12"/>
  <c r="Z1345" i="12"/>
  <c r="AA1345" i="12" s="1"/>
  <c r="AB1345" i="12" s="1"/>
  <c r="AC1345" i="12" s="1"/>
  <c r="Z1339" i="12"/>
  <c r="AA1339" i="12" s="1"/>
  <c r="AB1339" i="12" s="1"/>
  <c r="AC1339" i="12" s="1"/>
  <c r="Y1295" i="12"/>
  <c r="Z1295" i="12"/>
  <c r="AA1295" i="12" s="1"/>
  <c r="AB1295" i="12" s="1"/>
  <c r="AC1295" i="12" s="1"/>
  <c r="Y1291" i="12"/>
  <c r="Z1291" i="12"/>
  <c r="AA1291" i="12" s="1"/>
  <c r="AB1291" i="12" s="1"/>
  <c r="AC1291" i="12" s="1"/>
  <c r="Y1292" i="12"/>
  <c r="Z1292" i="12"/>
  <c r="AA1292" i="12" s="1"/>
  <c r="AB1292" i="12" s="1"/>
  <c r="AC1292" i="12" s="1"/>
  <c r="Y1284" i="12"/>
  <c r="Z1284" i="12"/>
  <c r="AA1284" i="12" s="1"/>
  <c r="AB1284" i="12" s="1"/>
  <c r="AC1284" i="12" s="1"/>
  <c r="Y1285" i="12"/>
  <c r="Z1285" i="12"/>
  <c r="AA1285" i="12" s="1"/>
  <c r="AB1285" i="12" s="1"/>
  <c r="AC1285" i="12" s="1"/>
  <c r="Y1273" i="12"/>
  <c r="Z1273" i="12"/>
  <c r="AA1273" i="12" s="1"/>
  <c r="AB1273" i="12" s="1"/>
  <c r="AC1273" i="12" s="1"/>
  <c r="Y1275" i="12"/>
  <c r="Z1275" i="12"/>
  <c r="AA1275" i="12" s="1"/>
  <c r="AB1275" i="12" s="1"/>
  <c r="AC1275" i="12" s="1"/>
  <c r="Y1263" i="12"/>
  <c r="Z1263" i="12"/>
  <c r="AA1263" i="12" s="1"/>
  <c r="AB1263" i="12" s="1"/>
  <c r="AC1263" i="12" s="1"/>
  <c r="Y1241" i="12"/>
  <c r="Z1241" i="12"/>
  <c r="AA1241" i="12" s="1"/>
  <c r="AB1241" i="12" s="1"/>
  <c r="AC1241" i="12" s="1"/>
  <c r="Y1212" i="12"/>
  <c r="Z1212" i="12"/>
  <c r="AA1212" i="12" s="1"/>
  <c r="AB1212" i="12" s="1"/>
  <c r="AC1212" i="12" s="1"/>
  <c r="Y1213" i="12"/>
  <c r="Z1213" i="12"/>
  <c r="AA1213" i="12" s="1"/>
  <c r="AB1213" i="12" s="1"/>
  <c r="AC1213" i="12" s="1"/>
  <c r="Z1196" i="12"/>
  <c r="AA1196" i="12" s="1"/>
  <c r="AB1196" i="12" s="1"/>
  <c r="AC1196" i="12" s="1"/>
  <c r="Y1196" i="12"/>
  <c r="Y1177" i="12"/>
  <c r="Z1177" i="12"/>
  <c r="AA1177" i="12" s="1"/>
  <c r="AB1177" i="12" s="1"/>
  <c r="AC1177" i="12" s="1"/>
  <c r="Y1176" i="12"/>
  <c r="Z1176" i="12"/>
  <c r="AA1176" i="12" s="1"/>
  <c r="AB1176" i="12" s="1"/>
  <c r="AC1176" i="12" s="1"/>
  <c r="Y1170" i="12"/>
  <c r="Z1170" i="12"/>
  <c r="AA1170" i="12" s="1"/>
  <c r="AB1170" i="12" s="1"/>
  <c r="AC1170" i="12" s="1"/>
  <c r="Y1165" i="12"/>
  <c r="Z1165" i="12"/>
  <c r="AA1165" i="12" s="1"/>
  <c r="AB1165" i="12" s="1"/>
  <c r="AC1165" i="12" s="1"/>
  <c r="Y1167" i="12"/>
  <c r="Z1167" i="12"/>
  <c r="AA1167" i="12" s="1"/>
  <c r="AB1167" i="12" s="1"/>
  <c r="AC1167" i="12" s="1"/>
  <c r="Y1162" i="12"/>
  <c r="Z1162" i="12"/>
  <c r="AA1162" i="12" s="1"/>
  <c r="AB1162" i="12" s="1"/>
  <c r="AC1162" i="12" s="1"/>
  <c r="Y24" i="12"/>
  <c r="Z102" i="12"/>
  <c r="AA102" i="12" s="1"/>
  <c r="AB102" i="12" s="1"/>
  <c r="AC102" i="12" s="1"/>
  <c r="Z24" i="12"/>
  <c r="AA24" i="12" s="1"/>
  <c r="AB24" i="12" s="1"/>
  <c r="AC24" i="12" s="1"/>
  <c r="Y106" i="12"/>
  <c r="Z106" i="12"/>
  <c r="AA106" i="12" s="1"/>
  <c r="AB106" i="12" s="1"/>
  <c r="AC106" i="12" s="1"/>
  <c r="Y148" i="12"/>
  <c r="Z262" i="12"/>
  <c r="AA262" i="12" s="1"/>
  <c r="AB262" i="12" s="1"/>
  <c r="AC262" i="12" s="1"/>
  <c r="Z267" i="12"/>
  <c r="AA267" i="12" s="1"/>
  <c r="AB267" i="12" s="1"/>
  <c r="AC267" i="12" s="1"/>
  <c r="Z353" i="12"/>
  <c r="AA353" i="12" s="1"/>
  <c r="AB353" i="12" s="1"/>
  <c r="AC353" i="12" s="1"/>
  <c r="Y2" i="12"/>
  <c r="Z148" i="12"/>
  <c r="AA148" i="12" s="1"/>
  <c r="AB148" i="12" s="1"/>
  <c r="AC148" i="12" s="1"/>
  <c r="Y150" i="12"/>
  <c r="Y234" i="12"/>
  <c r="Y348" i="12"/>
  <c r="Z2" i="12"/>
  <c r="AA2" i="12" s="1"/>
  <c r="AB2" i="12" s="1"/>
  <c r="AC2" i="12" s="1"/>
  <c r="Y130" i="12"/>
  <c r="Y135" i="12"/>
  <c r="Z150" i="12"/>
  <c r="AA150" i="12" s="1"/>
  <c r="AB150" i="12" s="1"/>
  <c r="AC150" i="12" s="1"/>
  <c r="Y152" i="12"/>
  <c r="Z234" i="12"/>
  <c r="AA234" i="12" s="1"/>
  <c r="AB234" i="12" s="1"/>
  <c r="AC234" i="12" s="1"/>
  <c r="Y32" i="12"/>
  <c r="Y65" i="12"/>
  <c r="Y70" i="12"/>
  <c r="Z130" i="12"/>
  <c r="AA130" i="12" s="1"/>
  <c r="AB130" i="12" s="1"/>
  <c r="AC130" i="12" s="1"/>
  <c r="Z135" i="12"/>
  <c r="AA135" i="12" s="1"/>
  <c r="AB135" i="12" s="1"/>
  <c r="AC135" i="12" s="1"/>
  <c r="Z152" i="12"/>
  <c r="AA152" i="12" s="1"/>
  <c r="AB152" i="12" s="1"/>
  <c r="AC152" i="12" s="1"/>
  <c r="Z32" i="12"/>
  <c r="AA32" i="12" s="1"/>
  <c r="AB32" i="12" s="1"/>
  <c r="AC32" i="12" s="1"/>
  <c r="Z65" i="12"/>
  <c r="AA65" i="12" s="1"/>
  <c r="AB65" i="12" s="1"/>
  <c r="AC65" i="12" s="1"/>
  <c r="Z70" i="12"/>
  <c r="AA70" i="12" s="1"/>
  <c r="AB70" i="12" s="1"/>
  <c r="AC70" i="12" s="1"/>
  <c r="Y67" i="12"/>
  <c r="Y22" i="12"/>
  <c r="Z67" i="12"/>
  <c r="AA67" i="12" s="1"/>
  <c r="AB67" i="12" s="1"/>
  <c r="AC67" i="12" s="1"/>
  <c r="Z22" i="12"/>
  <c r="AA22" i="12" s="1"/>
  <c r="AB22" i="12" s="1"/>
  <c r="AC22" i="12" s="1"/>
  <c r="Y102" i="12"/>
  <c r="Z193" i="12"/>
  <c r="AA193" i="12" s="1"/>
  <c r="AB193" i="12" s="1"/>
  <c r="AC193" i="12" s="1"/>
  <c r="Y320" i="12"/>
  <c r="Y340" i="12"/>
  <c r="Z551" i="12"/>
  <c r="AA551" i="12" s="1"/>
  <c r="AB551" i="12" s="1"/>
  <c r="AC551" i="12" s="1"/>
  <c r="Y237" i="12"/>
  <c r="Y262" i="12"/>
  <c r="Z320" i="12"/>
  <c r="AA320" i="12" s="1"/>
  <c r="AB320" i="12" s="1"/>
  <c r="AC320" i="12" s="1"/>
  <c r="Z340" i="12"/>
  <c r="AA340" i="12" s="1"/>
  <c r="AB340" i="12" s="1"/>
  <c r="AC340" i="12" s="1"/>
  <c r="Y411" i="12"/>
  <c r="Y498" i="12"/>
  <c r="Y539" i="12"/>
  <c r="Y692" i="12"/>
  <c r="Z237" i="12"/>
  <c r="AA237" i="12" s="1"/>
  <c r="AB237" i="12" s="1"/>
  <c r="AC237" i="12" s="1"/>
  <c r="Z411" i="12"/>
  <c r="AA411" i="12" s="1"/>
  <c r="AB411" i="12" s="1"/>
  <c r="AC411" i="12" s="1"/>
  <c r="Z498" i="12"/>
  <c r="AA498" i="12" s="1"/>
  <c r="AB498" i="12" s="1"/>
  <c r="AC498" i="12" s="1"/>
  <c r="Z539" i="12"/>
  <c r="AA539" i="12" s="1"/>
  <c r="AB539" i="12" s="1"/>
  <c r="AC539" i="12" s="1"/>
  <c r="Y590" i="12"/>
  <c r="Y646" i="12"/>
  <c r="Z692" i="12"/>
  <c r="AA692" i="12" s="1"/>
  <c r="AB692" i="12" s="1"/>
  <c r="AC692" i="12" s="1"/>
  <c r="Y468" i="12"/>
  <c r="Z590" i="12"/>
  <c r="AA590" i="12" s="1"/>
  <c r="AB590" i="12" s="1"/>
  <c r="AC590" i="12" s="1"/>
  <c r="Z646" i="12"/>
  <c r="AA646" i="12" s="1"/>
  <c r="AB646" i="12" s="1"/>
  <c r="AC646" i="12" s="1"/>
  <c r="Y709" i="12"/>
  <c r="Y290" i="12"/>
  <c r="Y390" i="12"/>
  <c r="Z468" i="12"/>
  <c r="AA468" i="12" s="1"/>
  <c r="AB468" i="12" s="1"/>
  <c r="AC468" i="12" s="1"/>
  <c r="Z290" i="12"/>
  <c r="AA290" i="12" s="1"/>
  <c r="AB290" i="12" s="1"/>
  <c r="AC290" i="12" s="1"/>
  <c r="Z390" i="12"/>
  <c r="AA390" i="12" s="1"/>
  <c r="AB390" i="12" s="1"/>
  <c r="AC390" i="12" s="1"/>
  <c r="Y353" i="12"/>
  <c r="Z429" i="12"/>
  <c r="AA429" i="12" s="1"/>
  <c r="AB429" i="12" s="1"/>
  <c r="AC429" i="12" s="1"/>
  <c r="Y681" i="12"/>
  <c r="Z723" i="12"/>
  <c r="AA723" i="12" s="1"/>
  <c r="AB723" i="12" s="1"/>
  <c r="AC723" i="12" s="1"/>
  <c r="Z752" i="12"/>
  <c r="AA752" i="12" s="1"/>
  <c r="AB752" i="12" s="1"/>
  <c r="AC752" i="12" s="1"/>
  <c r="Y778" i="12"/>
  <c r="Z823" i="12"/>
  <c r="AA823" i="12" s="1"/>
  <c r="AB823" i="12" s="1"/>
  <c r="AC823" i="12" s="1"/>
  <c r="Y285" i="12"/>
  <c r="Z285" i="12"/>
  <c r="AA285" i="12" s="1"/>
  <c r="AB285" i="12" s="1"/>
  <c r="AC285" i="12" s="1"/>
  <c r="Z348" i="12"/>
  <c r="AA348" i="12" s="1"/>
  <c r="AB348" i="12" s="1"/>
  <c r="AC348" i="12" s="1"/>
  <c r="Y362" i="12"/>
  <c r="Z566" i="12"/>
  <c r="AA566" i="12" s="1"/>
  <c r="AB566" i="12" s="1"/>
  <c r="AC566" i="12" s="1"/>
  <c r="Z688" i="12"/>
  <c r="AA688" i="12" s="1"/>
  <c r="AB688" i="12" s="1"/>
  <c r="AC688" i="12" s="1"/>
  <c r="Y137" i="12"/>
  <c r="Z362" i="12"/>
  <c r="AA362" i="12" s="1"/>
  <c r="AB362" i="12" s="1"/>
  <c r="AC362" i="12" s="1"/>
  <c r="Y678" i="12"/>
  <c r="Y752" i="12"/>
  <c r="Y820" i="12"/>
  <c r="Y982" i="12"/>
  <c r="Z985" i="12"/>
  <c r="AA985" i="12" s="1"/>
  <c r="AB985" i="12" s="1"/>
  <c r="AC985" i="12" s="1"/>
  <c r="Y1005" i="12"/>
  <c r="Y1039" i="12"/>
  <c r="Z1150" i="12"/>
  <c r="AA1150" i="12" s="1"/>
  <c r="AB1150" i="12" s="1"/>
  <c r="AC1150" i="12" s="1"/>
  <c r="Z1039" i="12"/>
  <c r="AA1039" i="12" s="1"/>
  <c r="AB1039" i="12" s="1"/>
  <c r="AC1039" i="12" s="1"/>
  <c r="Y1104" i="12"/>
  <c r="Y776" i="12"/>
  <c r="Z820" i="12"/>
  <c r="AA820" i="12" s="1"/>
  <c r="AB820" i="12" s="1"/>
  <c r="AC820" i="12" s="1"/>
  <c r="Y896" i="12"/>
  <c r="Y901" i="12"/>
  <c r="Z982" i="12"/>
  <c r="AA982" i="12" s="1"/>
  <c r="AB982" i="12" s="1"/>
  <c r="AC982" i="12" s="1"/>
  <c r="Z1005" i="12"/>
  <c r="AA1005" i="12" s="1"/>
  <c r="AB1005" i="12" s="1"/>
  <c r="AC1005" i="12" s="1"/>
  <c r="Z137" i="12"/>
  <c r="AA137" i="12" s="1"/>
  <c r="AB137" i="12" s="1"/>
  <c r="AC137" i="12" s="1"/>
  <c r="Z776" i="12"/>
  <c r="AA776" i="12" s="1"/>
  <c r="AB776" i="12" s="1"/>
  <c r="AC776" i="12" s="1"/>
  <c r="Z778" i="12"/>
  <c r="AA778" i="12" s="1"/>
  <c r="AB778" i="12" s="1"/>
  <c r="AC778" i="12" s="1"/>
  <c r="Z896" i="12"/>
  <c r="AA896" i="12" s="1"/>
  <c r="AB896" i="12" s="1"/>
  <c r="AC896" i="12" s="1"/>
  <c r="Z901" i="12"/>
  <c r="AA901" i="12" s="1"/>
  <c r="AB901" i="12" s="1"/>
  <c r="AC901" i="12" s="1"/>
  <c r="Z1104" i="12"/>
  <c r="AA1104" i="12" s="1"/>
  <c r="AB1104" i="12" s="1"/>
  <c r="AC1104" i="12" s="1"/>
  <c r="Y716" i="12"/>
  <c r="Y566" i="12"/>
  <c r="Z678" i="12"/>
  <c r="AA678" i="12" s="1"/>
  <c r="AB678" i="12" s="1"/>
  <c r="AC678" i="12" s="1"/>
  <c r="Z716" i="12"/>
  <c r="AA716" i="12" s="1"/>
  <c r="AB716" i="12" s="1"/>
  <c r="AC716" i="12" s="1"/>
  <c r="Y862" i="12"/>
  <c r="Y906" i="12"/>
  <c r="Y911" i="12"/>
  <c r="Y994" i="12"/>
  <c r="Y637" i="12"/>
  <c r="Y857" i="12"/>
  <c r="Z862" i="12"/>
  <c r="AA862" i="12" s="1"/>
  <c r="AB862" i="12" s="1"/>
  <c r="AC862" i="12" s="1"/>
  <c r="Z906" i="12"/>
  <c r="AA906" i="12" s="1"/>
  <c r="AB906" i="12" s="1"/>
  <c r="AC906" i="12" s="1"/>
  <c r="Z911" i="12"/>
  <c r="AA911" i="12" s="1"/>
  <c r="AB911" i="12" s="1"/>
  <c r="AC911" i="12" s="1"/>
  <c r="Y916" i="12"/>
  <c r="Z994" i="12"/>
  <c r="AA994" i="12" s="1"/>
  <c r="AB994" i="12" s="1"/>
  <c r="AC994" i="12" s="1"/>
  <c r="Z637" i="12"/>
  <c r="AA637" i="12" s="1"/>
  <c r="AB637" i="12" s="1"/>
  <c r="AC637" i="12" s="1"/>
  <c r="Y688" i="12"/>
  <c r="Z709" i="12"/>
  <c r="AA709" i="12" s="1"/>
  <c r="AB709" i="12" s="1"/>
  <c r="AC709" i="12" s="1"/>
  <c r="Z857" i="12"/>
  <c r="AA857" i="12" s="1"/>
  <c r="AB857" i="12" s="1"/>
  <c r="AC857" i="12" s="1"/>
  <c r="Z916" i="12"/>
  <c r="AA916" i="12" s="1"/>
  <c r="AB916" i="12" s="1"/>
  <c r="AC916" i="12" s="1"/>
  <c r="Y231" i="12"/>
  <c r="Y991" i="12"/>
  <c r="Y1070" i="12"/>
  <c r="Z231" i="12"/>
  <c r="AA231" i="12" s="1"/>
  <c r="AB231" i="12" s="1"/>
  <c r="AC231" i="12" s="1"/>
  <c r="Y267" i="12"/>
  <c r="Y551" i="12"/>
  <c r="Z991" i="12"/>
  <c r="AA991" i="12" s="1"/>
  <c r="AB991" i="12" s="1"/>
  <c r="AC991" i="12" s="1"/>
  <c r="Y193" i="12"/>
  <c r="Y429" i="12"/>
  <c r="Y725" i="12"/>
  <c r="Y823" i="12"/>
  <c r="Y968" i="12"/>
  <c r="Y723" i="12"/>
  <c r="Z725" i="12"/>
  <c r="AA725" i="12" s="1"/>
  <c r="AB725" i="12" s="1"/>
  <c r="AC725" i="12" s="1"/>
  <c r="Y891" i="12"/>
  <c r="Y963" i="12"/>
  <c r="Z968" i="12"/>
  <c r="AA968" i="12" s="1"/>
  <c r="AB968" i="12" s="1"/>
  <c r="AC968" i="12" s="1"/>
  <c r="Y988" i="12"/>
  <c r="Y685" i="12"/>
  <c r="Z988" i="12"/>
  <c r="AA988" i="12" s="1"/>
  <c r="AB988" i="12" s="1"/>
  <c r="AC988" i="12" s="1"/>
  <c r="Z685" i="12"/>
  <c r="AA685" i="12" s="1"/>
  <c r="AB685" i="12" s="1"/>
  <c r="AC685" i="12" s="1"/>
  <c r="Z1075" i="12"/>
  <c r="AA1075" i="12" s="1"/>
  <c r="AB1075" i="12" s="1"/>
  <c r="AC1075" i="12" s="1"/>
  <c r="Z681" i="12"/>
  <c r="AA681" i="12" s="1"/>
  <c r="AB681" i="12" s="1"/>
  <c r="AC681" i="12" s="1"/>
  <c r="Z891" i="12"/>
  <c r="AA891" i="12" s="1"/>
  <c r="AB891" i="12" s="1"/>
  <c r="AC891" i="12" s="1"/>
  <c r="Z963" i="12"/>
  <c r="AA963" i="12" s="1"/>
  <c r="AB963" i="12" s="1"/>
  <c r="AC963" i="12" s="1"/>
  <c r="Z1102" i="12"/>
  <c r="AA1102" i="12" s="1"/>
  <c r="AB1102" i="12" s="1"/>
  <c r="AC1102" i="12" s="1"/>
  <c r="Z1070" i="12"/>
  <c r="AA1070" i="12" s="1"/>
  <c r="AB1070" i="12" s="1"/>
  <c r="AC1070" i="12" s="1"/>
  <c r="Y1150" i="12"/>
  <c r="Y985" i="12"/>
  <c r="Y1075" i="12"/>
  <c r="Y1102" i="12"/>
  <c r="Y3" i="12"/>
  <c r="Z3" i="12"/>
  <c r="AA3" i="12" s="1"/>
  <c r="AB3" i="12" s="1"/>
  <c r="AC3" i="12" s="1"/>
  <c r="Y12" i="12"/>
  <c r="Z12" i="12"/>
  <c r="AA12" i="12" s="1"/>
  <c r="AB12" i="12" s="1"/>
  <c r="AC12" i="12" s="1"/>
  <c r="Y138" i="12"/>
  <c r="Y239" i="12"/>
  <c r="Y410" i="12"/>
  <c r="Z499" i="12"/>
  <c r="AA499" i="12" s="1"/>
  <c r="AB499" i="12" s="1"/>
  <c r="AC499" i="12" s="1"/>
  <c r="Y55" i="12"/>
  <c r="Z138" i="12"/>
  <c r="AA138" i="12" s="1"/>
  <c r="AB138" i="12" s="1"/>
  <c r="AC138" i="12" s="1"/>
  <c r="Z239" i="12"/>
  <c r="AA239" i="12" s="1"/>
  <c r="AB239" i="12" s="1"/>
  <c r="AC239" i="12" s="1"/>
  <c r="Z410" i="12"/>
  <c r="AA410" i="12" s="1"/>
  <c r="AB410" i="12" s="1"/>
  <c r="AC410" i="12" s="1"/>
  <c r="Z55" i="12"/>
  <c r="AA55" i="12" s="1"/>
  <c r="AB55" i="12" s="1"/>
  <c r="AC55" i="12" s="1"/>
  <c r="Y103" i="12"/>
  <c r="Y293" i="12"/>
  <c r="Z103" i="12"/>
  <c r="AA103" i="12" s="1"/>
  <c r="AB103" i="12" s="1"/>
  <c r="AC103" i="12" s="1"/>
  <c r="Y236" i="12"/>
  <c r="Z293" i="12"/>
  <c r="AA293" i="12" s="1"/>
  <c r="AB293" i="12" s="1"/>
  <c r="AC293" i="12" s="1"/>
  <c r="Y127" i="12"/>
  <c r="Z127" i="12"/>
  <c r="AA127" i="12" s="1"/>
  <c r="AB127" i="12" s="1"/>
  <c r="AC127" i="12" s="1"/>
  <c r="Z132" i="12"/>
  <c r="AA132" i="12" s="1"/>
  <c r="AB132" i="12" s="1"/>
  <c r="AC132" i="12" s="1"/>
  <c r="Z142" i="12"/>
  <c r="AA142" i="12" s="1"/>
  <c r="AB142" i="12" s="1"/>
  <c r="AC142" i="12" s="1"/>
  <c r="Z588" i="12"/>
  <c r="AA588" i="12" s="1"/>
  <c r="AB588" i="12" s="1"/>
  <c r="AC588" i="12" s="1"/>
  <c r="Y644" i="12"/>
  <c r="Z690" i="12"/>
  <c r="AA690" i="12" s="1"/>
  <c r="AB690" i="12" s="1"/>
  <c r="AC690" i="12" s="1"/>
  <c r="Y724" i="12"/>
  <c r="Y839" i="12"/>
  <c r="Y345" i="12"/>
  <c r="Y361" i="12"/>
  <c r="Z644" i="12"/>
  <c r="AA644" i="12" s="1"/>
  <c r="AB644" i="12" s="1"/>
  <c r="AC644" i="12" s="1"/>
  <c r="Z724" i="12"/>
  <c r="AA724" i="12" s="1"/>
  <c r="AB724" i="12" s="1"/>
  <c r="AC724" i="12" s="1"/>
  <c r="Z345" i="12"/>
  <c r="AA345" i="12" s="1"/>
  <c r="AB345" i="12" s="1"/>
  <c r="AC345" i="12" s="1"/>
  <c r="Z361" i="12"/>
  <c r="AA361" i="12" s="1"/>
  <c r="AB361" i="12" s="1"/>
  <c r="AC361" i="12" s="1"/>
  <c r="Y553" i="12"/>
  <c r="Y132" i="12"/>
  <c r="Z553" i="12"/>
  <c r="AA553" i="12" s="1"/>
  <c r="AB553" i="12" s="1"/>
  <c r="AC553" i="12" s="1"/>
  <c r="Y714" i="12"/>
  <c r="Y266" i="12"/>
  <c r="Y541" i="12"/>
  <c r="Y192" i="12"/>
  <c r="Z266" i="12"/>
  <c r="AA266" i="12" s="1"/>
  <c r="AB266" i="12" s="1"/>
  <c r="AC266" i="12" s="1"/>
  <c r="Y319" i="12"/>
  <c r="Y339" i="12"/>
  <c r="Z192" i="12"/>
  <c r="AA192" i="12" s="1"/>
  <c r="AB192" i="12" s="1"/>
  <c r="AC192" i="12" s="1"/>
  <c r="Y261" i="12"/>
  <c r="Z319" i="12"/>
  <c r="AA319" i="12" s="1"/>
  <c r="AB319" i="12" s="1"/>
  <c r="AC319" i="12" s="1"/>
  <c r="Z339" i="12"/>
  <c r="AA339" i="12" s="1"/>
  <c r="AB339" i="12" s="1"/>
  <c r="AC339" i="12" s="1"/>
  <c r="Z236" i="12"/>
  <c r="AA236" i="12" s="1"/>
  <c r="AB236" i="12" s="1"/>
  <c r="AC236" i="12" s="1"/>
  <c r="Z261" i="12"/>
  <c r="AA261" i="12" s="1"/>
  <c r="AB261" i="12" s="1"/>
  <c r="AC261" i="12" s="1"/>
  <c r="Y387" i="12"/>
  <c r="Y686" i="12"/>
  <c r="Y706" i="12"/>
  <c r="Y818" i="12"/>
  <c r="Y835" i="12"/>
  <c r="Y142" i="12"/>
  <c r="Z387" i="12"/>
  <c r="AA387" i="12" s="1"/>
  <c r="AB387" i="12" s="1"/>
  <c r="AC387" i="12" s="1"/>
  <c r="Y289" i="12"/>
  <c r="Z431" i="12"/>
  <c r="AA431" i="12" s="1"/>
  <c r="AB431" i="12" s="1"/>
  <c r="AC431" i="12" s="1"/>
  <c r="Y499" i="12"/>
  <c r="Z676" i="12"/>
  <c r="AA676" i="12" s="1"/>
  <c r="AB676" i="12" s="1"/>
  <c r="AC676" i="12" s="1"/>
  <c r="Y683" i="12"/>
  <c r="Z289" i="12"/>
  <c r="AA289" i="12" s="1"/>
  <c r="AB289" i="12" s="1"/>
  <c r="AC289" i="12" s="1"/>
  <c r="Y350" i="12"/>
  <c r="Z683" i="12"/>
  <c r="AA683" i="12" s="1"/>
  <c r="AB683" i="12" s="1"/>
  <c r="AC683" i="12" s="1"/>
  <c r="Y808" i="12"/>
  <c r="Z706" i="12"/>
  <c r="AA706" i="12" s="1"/>
  <c r="AB706" i="12" s="1"/>
  <c r="AC706" i="12" s="1"/>
  <c r="Y774" i="12"/>
  <c r="Z858" i="12"/>
  <c r="AA858" i="12" s="1"/>
  <c r="AB858" i="12" s="1"/>
  <c r="AC858" i="12" s="1"/>
  <c r="Z912" i="12"/>
  <c r="AA912" i="12" s="1"/>
  <c r="AB912" i="12" s="1"/>
  <c r="AC912" i="12" s="1"/>
  <c r="Z917" i="12"/>
  <c r="AA917" i="12" s="1"/>
  <c r="AB917" i="12" s="1"/>
  <c r="AC917" i="12" s="1"/>
  <c r="Z774" i="12"/>
  <c r="AA774" i="12" s="1"/>
  <c r="AB774" i="12" s="1"/>
  <c r="AC774" i="12" s="1"/>
  <c r="Y992" i="12"/>
  <c r="Y284" i="12"/>
  <c r="Y967" i="12"/>
  <c r="Z992" i="12"/>
  <c r="AA992" i="12" s="1"/>
  <c r="AB992" i="12" s="1"/>
  <c r="AC992" i="12" s="1"/>
  <c r="Z284" i="12"/>
  <c r="AA284" i="12" s="1"/>
  <c r="AB284" i="12" s="1"/>
  <c r="AC284" i="12" s="1"/>
  <c r="Z714" i="12"/>
  <c r="AA714" i="12" s="1"/>
  <c r="AB714" i="12" s="1"/>
  <c r="AC714" i="12" s="1"/>
  <c r="Y833" i="12"/>
  <c r="Y962" i="12"/>
  <c r="Z967" i="12"/>
  <c r="AA967" i="12" s="1"/>
  <c r="AB967" i="12" s="1"/>
  <c r="AC967" i="12" s="1"/>
  <c r="Y676" i="12"/>
  <c r="Z833" i="12"/>
  <c r="AA833" i="12" s="1"/>
  <c r="AB833" i="12" s="1"/>
  <c r="AC833" i="12" s="1"/>
  <c r="Z962" i="12"/>
  <c r="AA962" i="12" s="1"/>
  <c r="AB962" i="12" s="1"/>
  <c r="AC962" i="12" s="1"/>
  <c r="Y989" i="12"/>
  <c r="Z350" i="12"/>
  <c r="AA350" i="12" s="1"/>
  <c r="AB350" i="12" s="1"/>
  <c r="AC350" i="12" s="1"/>
  <c r="Z835" i="12"/>
  <c r="AA835" i="12" s="1"/>
  <c r="AB835" i="12" s="1"/>
  <c r="AC835" i="12" s="1"/>
  <c r="Y892" i="12"/>
  <c r="Z989" i="12"/>
  <c r="AA989" i="12" s="1"/>
  <c r="AB989" i="12" s="1"/>
  <c r="AC989" i="12" s="1"/>
  <c r="Y1038" i="12"/>
  <c r="Z686" i="12"/>
  <c r="AA686" i="12" s="1"/>
  <c r="AB686" i="12" s="1"/>
  <c r="AC686" i="12" s="1"/>
  <c r="Y837" i="12"/>
  <c r="Z892" i="12"/>
  <c r="AA892" i="12" s="1"/>
  <c r="AB892" i="12" s="1"/>
  <c r="AC892" i="12" s="1"/>
  <c r="Y986" i="12"/>
  <c r="Z1038" i="12"/>
  <c r="AA1038" i="12" s="1"/>
  <c r="AB1038" i="12" s="1"/>
  <c r="AC1038" i="12" s="1"/>
  <c r="Z986" i="12"/>
  <c r="AA986" i="12" s="1"/>
  <c r="AB986" i="12" s="1"/>
  <c r="AC986" i="12" s="1"/>
  <c r="Z541" i="12"/>
  <c r="AA541" i="12" s="1"/>
  <c r="AB541" i="12" s="1"/>
  <c r="AC541" i="12" s="1"/>
  <c r="Y713" i="12"/>
  <c r="Z808" i="12"/>
  <c r="AA808" i="12" s="1"/>
  <c r="AB808" i="12" s="1"/>
  <c r="AC808" i="12" s="1"/>
  <c r="Z837" i="12"/>
  <c r="AA837" i="12" s="1"/>
  <c r="AB837" i="12" s="1"/>
  <c r="AC837" i="12" s="1"/>
  <c r="Y983" i="12"/>
  <c r="Y690" i="12"/>
  <c r="Z713" i="12"/>
  <c r="AA713" i="12" s="1"/>
  <c r="AB713" i="12" s="1"/>
  <c r="AC713" i="12" s="1"/>
  <c r="Y812" i="12"/>
  <c r="Y897" i="12"/>
  <c r="Y902" i="12"/>
  <c r="Z983" i="12"/>
  <c r="AA983" i="12" s="1"/>
  <c r="AB983" i="12" s="1"/>
  <c r="AC983" i="12" s="1"/>
  <c r="Z812" i="12"/>
  <c r="AA812" i="12" s="1"/>
  <c r="AB812" i="12" s="1"/>
  <c r="AC812" i="12" s="1"/>
  <c r="Z897" i="12"/>
  <c r="AA897" i="12" s="1"/>
  <c r="AB897" i="12" s="1"/>
  <c r="AC897" i="12" s="1"/>
  <c r="Z902" i="12"/>
  <c r="AA902" i="12" s="1"/>
  <c r="AB902" i="12" s="1"/>
  <c r="AC902" i="12" s="1"/>
  <c r="Y956" i="12"/>
  <c r="Y1067" i="12"/>
  <c r="Y1072" i="12"/>
  <c r="Y431" i="12"/>
  <c r="Y679" i="12"/>
  <c r="Z956" i="12"/>
  <c r="AA956" i="12" s="1"/>
  <c r="AB956" i="12" s="1"/>
  <c r="AC956" i="12" s="1"/>
  <c r="Y980" i="12"/>
  <c r="Z1067" i="12"/>
  <c r="AA1067" i="12" s="1"/>
  <c r="AB1067" i="12" s="1"/>
  <c r="AC1067" i="12" s="1"/>
  <c r="Z1072" i="12"/>
  <c r="AA1072" i="12" s="1"/>
  <c r="AB1072" i="12" s="1"/>
  <c r="AC1072" i="12" s="1"/>
  <c r="Y917" i="12"/>
  <c r="Z980" i="12"/>
  <c r="AA980" i="12" s="1"/>
  <c r="AB980" i="12" s="1"/>
  <c r="AC980" i="12" s="1"/>
  <c r="Y907" i="12"/>
  <c r="Z679" i="12"/>
  <c r="AA679" i="12" s="1"/>
  <c r="AB679" i="12" s="1"/>
  <c r="AC679" i="12" s="1"/>
  <c r="Z907" i="12"/>
  <c r="AA907" i="12" s="1"/>
  <c r="AB907" i="12" s="1"/>
  <c r="AC907" i="12" s="1"/>
  <c r="Y858" i="12"/>
  <c r="Z839" i="12"/>
  <c r="AA839" i="12" s="1"/>
  <c r="AB839" i="12" s="1"/>
  <c r="AC839" i="12" s="1"/>
  <c r="Z818" i="12"/>
  <c r="AA818" i="12" s="1"/>
  <c r="AB818" i="12" s="1"/>
  <c r="AC818" i="12" s="1"/>
  <c r="Y912" i="12"/>
  <c r="Y863" i="12"/>
  <c r="Z863" i="12"/>
  <c r="AA863" i="12" s="1"/>
  <c r="AB863" i="12" s="1"/>
  <c r="AC863" i="12" s="1"/>
  <c r="Y588" i="12"/>
  <c r="P76" i="6"/>
  <c r="P77" i="6" s="1"/>
  <c r="U40" i="6"/>
  <c r="U41" i="6"/>
  <c r="U42" i="6"/>
  <c r="T40" i="6"/>
  <c r="T41" i="6"/>
  <c r="T42" i="6"/>
  <c r="Y42" i="6" l="1"/>
  <c r="Z42" i="6" s="1"/>
  <c r="Y41" i="6"/>
  <c r="Z41" i="6" s="1"/>
  <c r="Y16" i="6"/>
  <c r="Z16" i="6" s="1"/>
  <c r="Y15" i="6"/>
  <c r="Z15" i="6" s="1"/>
  <c r="Y14" i="6"/>
  <c r="Z14" i="6" s="1"/>
  <c r="Y13" i="6"/>
  <c r="Z13" i="6" s="1"/>
  <c r="Y12" i="6"/>
  <c r="Z12" i="6" s="1"/>
  <c r="Y11" i="6"/>
  <c r="Z11" i="6" s="1"/>
  <c r="Y10" i="6"/>
  <c r="Z10" i="6" s="1"/>
  <c r="Y9" i="6"/>
  <c r="Z9" i="6" s="1"/>
  <c r="Y8" i="6"/>
  <c r="Z8" i="6" s="1"/>
  <c r="Y7" i="6"/>
  <c r="Z7" i="6" s="1"/>
  <c r="Y4" i="6"/>
  <c r="Z4" i="6" s="1"/>
  <c r="Y3" i="6"/>
  <c r="Z3" i="6" s="1"/>
  <c r="W19" i="6" l="1"/>
  <c r="Y19" i="6"/>
  <c r="Z19" i="6" s="1"/>
  <c r="W31" i="6"/>
  <c r="Y31" i="6"/>
  <c r="Z31" i="6" s="1"/>
  <c r="W22" i="6"/>
  <c r="Y22" i="6"/>
  <c r="Z22" i="6" s="1"/>
  <c r="W34" i="6"/>
  <c r="Y34" i="6"/>
  <c r="Z34" i="6" s="1"/>
  <c r="W23" i="6"/>
  <c r="Y23" i="6"/>
  <c r="Z23" i="6" s="1"/>
  <c r="W35" i="6"/>
  <c r="Y35" i="6"/>
  <c r="Z35" i="6" s="1"/>
  <c r="W20" i="6"/>
  <c r="Y20" i="6"/>
  <c r="Z20" i="6" s="1"/>
  <c r="W32" i="6"/>
  <c r="Y32" i="6"/>
  <c r="Z32" i="6" s="1"/>
  <c r="W21" i="6"/>
  <c r="Y21" i="6"/>
  <c r="Z21" i="6" s="1"/>
  <c r="W24" i="6"/>
  <c r="Y24" i="6"/>
  <c r="Z24" i="6" s="1"/>
  <c r="W36" i="6"/>
  <c r="Y36" i="6"/>
  <c r="Z36" i="6" s="1"/>
  <c r="W33" i="6"/>
  <c r="Y33" i="6"/>
  <c r="Z33" i="6" s="1"/>
  <c r="W25" i="6"/>
  <c r="Y25" i="6"/>
  <c r="Z25" i="6" s="1"/>
  <c r="W37" i="6"/>
  <c r="Y37" i="6"/>
  <c r="Z37" i="6" s="1"/>
  <c r="W5" i="6"/>
  <c r="Y5" i="6"/>
  <c r="Z5" i="6" s="1"/>
  <c r="W17" i="6"/>
  <c r="Y17" i="6"/>
  <c r="Z17" i="6" s="1"/>
  <c r="W29" i="6"/>
  <c r="Y29" i="6"/>
  <c r="Z29" i="6" s="1"/>
  <c r="W6" i="6"/>
  <c r="Y6" i="6"/>
  <c r="Z6" i="6" s="1"/>
  <c r="W18" i="6"/>
  <c r="Y18" i="6"/>
  <c r="Z18" i="6" s="1"/>
  <c r="W30" i="6"/>
  <c r="Y30" i="6"/>
  <c r="Z30" i="6" s="1"/>
  <c r="W26" i="6"/>
  <c r="Y26" i="6"/>
  <c r="Z26" i="6" s="1"/>
  <c r="W38" i="6"/>
  <c r="Y38" i="6"/>
  <c r="Z38" i="6" s="1"/>
  <c r="W27" i="6"/>
  <c r="Y27" i="6"/>
  <c r="Z27" i="6" s="1"/>
  <c r="W39" i="6"/>
  <c r="Y39" i="6"/>
  <c r="Z39" i="6" s="1"/>
  <c r="W28" i="6"/>
  <c r="Y28" i="6"/>
  <c r="Z28" i="6" s="1"/>
  <c r="W40" i="6"/>
  <c r="Y40" i="6"/>
  <c r="Z40" i="6" s="1"/>
  <c r="W12" i="6"/>
  <c r="W42" i="6"/>
  <c r="W16" i="6"/>
  <c r="W9" i="6"/>
  <c r="W11" i="6"/>
  <c r="W14" i="6"/>
  <c r="W7" i="6"/>
  <c r="W4" i="6"/>
  <c r="W10" i="6"/>
  <c r="W8" i="6"/>
  <c r="W15" i="6"/>
  <c r="W41" i="6"/>
  <c r="W13" i="6"/>
  <c r="U16" i="6" l="1"/>
  <c r="U15" i="6"/>
  <c r="U14" i="6"/>
  <c r="U13" i="6"/>
  <c r="U12" i="6"/>
  <c r="U11" i="6"/>
  <c r="U10" i="6"/>
  <c r="U9" i="6"/>
  <c r="U8" i="6"/>
  <c r="U7" i="6"/>
  <c r="U6" i="6"/>
  <c r="U5" i="6"/>
  <c r="U4" i="6"/>
  <c r="U3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U17" i="6" l="1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V26" i="6" l="1"/>
  <c r="X26" i="6" s="1"/>
  <c r="V38" i="6"/>
  <c r="X38" i="6" s="1"/>
  <c r="V17" i="6"/>
  <c r="X17" i="6" s="1"/>
  <c r="V20" i="6"/>
  <c r="X20" i="6" s="1"/>
  <c r="V32" i="6"/>
  <c r="X32" i="6" s="1"/>
  <c r="V21" i="6"/>
  <c r="X21" i="6" s="1"/>
  <c r="V33" i="6"/>
  <c r="X33" i="6" s="1"/>
  <c r="V34" i="6"/>
  <c r="X34" i="6" s="1"/>
  <c r="V23" i="6"/>
  <c r="X23" i="6" s="1"/>
  <c r="V35" i="6"/>
  <c r="X35" i="6" s="1"/>
  <c r="V5" i="6"/>
  <c r="X5" i="6" s="1"/>
  <c r="V6" i="6"/>
  <c r="X6" i="6" s="1"/>
  <c r="V19" i="6"/>
  <c r="X19" i="6" s="1"/>
  <c r="V31" i="6"/>
  <c r="X31" i="6" s="1"/>
  <c r="V24" i="6"/>
  <c r="X24" i="6" s="1"/>
  <c r="V36" i="6"/>
  <c r="X36" i="6" s="1"/>
  <c r="V27" i="6"/>
  <c r="X27" i="6" s="1"/>
  <c r="V39" i="6"/>
  <c r="X39" i="6" s="1"/>
  <c r="V4" i="6"/>
  <c r="X4" i="6" s="1"/>
  <c r="V28" i="6"/>
  <c r="X28" i="6" s="1"/>
  <c r="V29" i="6"/>
  <c r="X29" i="6" s="1"/>
  <c r="V18" i="6"/>
  <c r="X18" i="6" s="1"/>
  <c r="V30" i="6"/>
  <c r="X30" i="6" s="1"/>
  <c r="V22" i="6"/>
  <c r="X22" i="6" s="1"/>
  <c r="V25" i="6"/>
  <c r="X25" i="6" s="1"/>
  <c r="V37" i="6"/>
  <c r="X37" i="6" s="1"/>
  <c r="V14" i="6"/>
  <c r="X14" i="6" s="1"/>
  <c r="V15" i="6" l="1"/>
  <c r="X15" i="6" s="1"/>
  <c r="V11" i="6"/>
  <c r="X11" i="6" s="1"/>
  <c r="V13" i="6"/>
  <c r="X13" i="6" s="1"/>
  <c r="V41" i="6"/>
  <c r="X41" i="6" s="1"/>
  <c r="V12" i="6"/>
  <c r="X12" i="6" s="1"/>
  <c r="V40" i="6"/>
  <c r="X40" i="6" s="1"/>
  <c r="V7" i="6"/>
  <c r="X7" i="6" s="1"/>
  <c r="V10" i="6"/>
  <c r="X10" i="6" s="1"/>
  <c r="V3" i="6"/>
  <c r="V42" i="6"/>
  <c r="X42" i="6" s="1"/>
  <c r="V9" i="6"/>
  <c r="X9" i="6" s="1"/>
  <c r="V8" i="6"/>
  <c r="X8" i="6" s="1"/>
  <c r="V16" i="6"/>
  <c r="X16" i="6" s="1"/>
  <c r="W3" i="6" l="1"/>
  <c r="X3" i="6" l="1"/>
  <c r="R4" i="6" l="1"/>
  <c r="R5" i="6"/>
  <c r="R6" i="6"/>
  <c r="R7" i="6"/>
  <c r="R8" i="6"/>
  <c r="R9" i="6"/>
  <c r="R21" i="6"/>
  <c r="R33" i="6"/>
  <c r="R34" i="6"/>
  <c r="R10" i="6"/>
  <c r="R11" i="6"/>
  <c r="R12" i="6"/>
  <c r="R24" i="6"/>
  <c r="R36" i="6"/>
  <c r="R25" i="6"/>
  <c r="R37" i="6"/>
  <c r="R30" i="6"/>
  <c r="R19" i="6"/>
  <c r="R32" i="6"/>
  <c r="R23" i="6"/>
  <c r="R13" i="6"/>
  <c r="R14" i="6"/>
  <c r="R26" i="6"/>
  <c r="R38" i="6"/>
  <c r="R29" i="6"/>
  <c r="R42" i="6"/>
  <c r="R3" i="6"/>
  <c r="R35" i="6"/>
  <c r="R15" i="6"/>
  <c r="R27" i="6"/>
  <c r="R39" i="6"/>
  <c r="R16" i="6"/>
  <c r="R28" i="6"/>
  <c r="R40" i="6"/>
  <c r="R17" i="6"/>
  <c r="R41" i="6"/>
  <c r="R18" i="6"/>
  <c r="R31" i="6"/>
  <c r="R2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 Shamara Martinez Montero</author>
  </authors>
  <commentList>
    <comment ref="I74" authorId="0" shapeId="0" xr:uid="{54894390-1429-456F-A61D-3F14C8EF9369}">
      <text>
        <r>
          <rPr>
            <b/>
            <sz val="9"/>
            <color indexed="81"/>
            <rFont val="Tahoma"/>
            <family val="2"/>
          </rPr>
          <t>Mari Shamara Martinez Montero:</t>
        </r>
        <r>
          <rPr>
            <sz val="9"/>
            <color indexed="81"/>
            <rFont val="Tahoma"/>
            <family val="2"/>
          </rPr>
          <t xml:space="preserve">
precio promedio ponderado</t>
        </r>
      </text>
    </comment>
  </commentList>
</comments>
</file>

<file path=xl/sharedStrings.xml><?xml version="1.0" encoding="utf-8"?>
<sst xmlns="http://schemas.openxmlformats.org/spreadsheetml/2006/main" count="8774" uniqueCount="1137">
  <si>
    <t xml:space="preserve">No. Cantera </t>
  </si>
  <si>
    <t xml:space="preserve">Nombre Cantera </t>
  </si>
  <si>
    <t>Material</t>
  </si>
  <si>
    <t>Denominación</t>
  </si>
  <si>
    <t xml:space="preserve">PV </t>
  </si>
  <si>
    <t>D813</t>
  </si>
  <si>
    <t>MX-CANTERA SAN VICENTE</t>
  </si>
  <si>
    <t>Grava Triturada Andesita 10 mm</t>
  </si>
  <si>
    <t>Grava Triturada Andesita 20 mm</t>
  </si>
  <si>
    <t>Arena Triturada Andesita Malla</t>
  </si>
  <si>
    <t>Balasto Triturado Andesita 150</t>
  </si>
  <si>
    <t>Grava Triturada Andesita 10mm-</t>
  </si>
  <si>
    <t>Grava Triturada Andesita 50 mm</t>
  </si>
  <si>
    <t>Tepetate Clasificado Tierra</t>
  </si>
  <si>
    <t>D816</t>
  </si>
  <si>
    <t>MX-CANTERA MONTERREY</t>
  </si>
  <si>
    <t>Arena Triturada Caliza Malla 4</t>
  </si>
  <si>
    <t>Grava Triturada Caliza 10 mm -</t>
  </si>
  <si>
    <t>Grava Triturada Caliza 20 mm -</t>
  </si>
  <si>
    <t>Grava Triturada Caliza 40-20 m</t>
  </si>
  <si>
    <t>Arena Triturada Caliza Malla 5</t>
  </si>
  <si>
    <t>No Clasificado Triturado Caliz</t>
  </si>
  <si>
    <t>ARENA TRITURADA CALIZA MALLA 4</t>
  </si>
  <si>
    <t>Grava Triturada Caliza 40- 4mm</t>
  </si>
  <si>
    <t>Grava Triturada Caliza 13 mm -</t>
  </si>
  <si>
    <t>Base H Triturada Caliza 1 1/2"</t>
  </si>
  <si>
    <t>Base H Trit Caliza 3/4" a Fino</t>
  </si>
  <si>
    <t>D824</t>
  </si>
  <si>
    <t>MX-CANTERA LEON</t>
  </si>
  <si>
    <t>Arena Triturada Basalto  Malla</t>
  </si>
  <si>
    <t>Grava Triturada Basalto  20 mm</t>
  </si>
  <si>
    <t>Grava Triturada Basalto  10 mm</t>
  </si>
  <si>
    <t>Grava Triturada Basalto  40 mm</t>
  </si>
  <si>
    <t>Arena Triturada Basalto Malla</t>
  </si>
  <si>
    <t>GRAVA TRITURADA BASALTO 20 MM</t>
  </si>
  <si>
    <t>D852</t>
  </si>
  <si>
    <t>MX-CANTERA TORREON II</t>
  </si>
  <si>
    <t>Grava Triturada Caliza 40 mm -</t>
  </si>
  <si>
    <t>Arena Triturada Caliza Malla 8</t>
  </si>
  <si>
    <t>Sello Triturado Caliza 6MM - 1</t>
  </si>
  <si>
    <t>ARENA 8 RECICLADA</t>
  </si>
  <si>
    <t>GRAVA 40 MM RECICLADA</t>
  </si>
  <si>
    <t>GRAVA 20 MM RECICLADA</t>
  </si>
  <si>
    <t>D861</t>
  </si>
  <si>
    <t>MX-CANTERA QUERETARO</t>
  </si>
  <si>
    <t>Grava Triturada Basalto 20 mm</t>
  </si>
  <si>
    <t>Grava Triturada Basalto 13 mm</t>
  </si>
  <si>
    <t>Polvos Triturado Basalto 3/4"</t>
  </si>
  <si>
    <t>BALASTRO TRITURADO BASALTO</t>
  </si>
  <si>
    <t>GRAVA TRITURADA BASALTO DE 40</t>
  </si>
  <si>
    <t>BASALTO SELECCIONADO</t>
  </si>
  <si>
    <t>POLVO DE TRITURACIÓN BASALTO M</t>
  </si>
  <si>
    <t>D863</t>
  </si>
  <si>
    <t>MX-CANTERA TAMUIN</t>
  </si>
  <si>
    <t>D864</t>
  </si>
  <si>
    <t>MX-CANTERA CERRO JARDIN</t>
  </si>
  <si>
    <t>Desperdicio Triturado Caliza</t>
  </si>
  <si>
    <t>BALASTO DE 3 PULGADAS A FINOS</t>
  </si>
  <si>
    <t>BALASTO TRITURADO CALIZA 6"</t>
  </si>
  <si>
    <t>BASE HIDRÁULICA 60%FINOS-40%GR</t>
  </si>
  <si>
    <t>BASE HIDRÁULICA 80%FINOS-20%GR</t>
  </si>
  <si>
    <t>D866</t>
  </si>
  <si>
    <t>MX-CANTERA PONCITLAN</t>
  </si>
  <si>
    <t>Grava Triturada Basalto 10mm -</t>
  </si>
  <si>
    <t>Polvos Triturado Basalto 3/8"</t>
  </si>
  <si>
    <t>SELLO 3A SUB-PRODUCTO TRITURAD</t>
  </si>
  <si>
    <t>D873</t>
  </si>
  <si>
    <t>MX-VIRTUAL VALLEJO</t>
  </si>
  <si>
    <t>D879</t>
  </si>
  <si>
    <t>MX-EPV Agg Tamuin</t>
  </si>
  <si>
    <t>D893</t>
  </si>
  <si>
    <t>MX-CANTERA TIJUANA II</t>
  </si>
  <si>
    <t>Grava Triturada Basalto 40 mm</t>
  </si>
  <si>
    <t>Grava Triturada Basalto 10 mm</t>
  </si>
  <si>
    <t>GRAVA TRITURADA BASALTO 40-20M</t>
  </si>
  <si>
    <t>ARENA BASALTO SÍLICE/CUARZO BL</t>
  </si>
  <si>
    <t>BASE HIDRAULICA</t>
  </si>
  <si>
    <t>GRAVA TRITURADA BASALTO 40-4MM</t>
  </si>
  <si>
    <t>D902</t>
  </si>
  <si>
    <t>MX-CALKINI</t>
  </si>
  <si>
    <t>GRAVA 20MM</t>
  </si>
  <si>
    <t>ARENA 4</t>
  </si>
  <si>
    <t>SCREEN (DESPOLVE NOCLA)</t>
  </si>
  <si>
    <t>D917</t>
  </si>
  <si>
    <t>MX-CANTERA VALLES AGG</t>
  </si>
  <si>
    <t>ARENA NO. 4</t>
  </si>
  <si>
    <t>DU07</t>
  </si>
  <si>
    <t>MX-CANCÚN III</t>
  </si>
  <si>
    <t>Grava Triturada Caliza 40mm -1</t>
  </si>
  <si>
    <t>ARENA TRITURADA CALIZA 10MM -3</t>
  </si>
  <si>
    <t>Grava Triturada Caliza 20 mm - 3/4"</t>
  </si>
  <si>
    <t>PV</t>
  </si>
  <si>
    <t>M3</t>
  </si>
  <si>
    <t>TN</t>
  </si>
  <si>
    <t>Centro</t>
  </si>
  <si>
    <t>Nombre planta</t>
  </si>
  <si>
    <t>Nueva ZONA</t>
  </si>
  <si>
    <t>Dest.mercancías</t>
  </si>
  <si>
    <t>Nombre del Destinatario</t>
  </si>
  <si>
    <t>Nombre de Material</t>
  </si>
  <si>
    <t>UM</t>
  </si>
  <si>
    <t>Válido de</t>
  </si>
  <si>
    <t>Validez a</t>
  </si>
  <si>
    <t>desc prod</t>
  </si>
  <si>
    <t>desc Tamaño</t>
  </si>
  <si>
    <t>Desc Contado</t>
  </si>
  <si>
    <t>GAP</t>
  </si>
  <si>
    <t>Precio Final Sistema</t>
  </si>
  <si>
    <t>Flete</t>
  </si>
  <si>
    <t>Modalidad (01 Entregado,02 Recogido)</t>
  </si>
  <si>
    <t>Precio Total</t>
  </si>
  <si>
    <t xml:space="preserve">CENTRO </t>
  </si>
  <si>
    <t xml:space="preserve">SURESTE </t>
  </si>
  <si>
    <t>31.12.9999</t>
  </si>
  <si>
    <t>SURESTE</t>
  </si>
  <si>
    <t>Región</t>
  </si>
  <si>
    <t>llave</t>
  </si>
  <si>
    <t>UO</t>
  </si>
  <si>
    <t>Cantera</t>
  </si>
  <si>
    <t>CENTRO</t>
  </si>
  <si>
    <t>Grava Triturada Caliza 10 mm - 3/8"</t>
  </si>
  <si>
    <t>Grava Triturada Caliza 40 mm - 1 1/2"</t>
  </si>
  <si>
    <t>Arena Triturada Basalto  Malla 4</t>
  </si>
  <si>
    <t>Grava Triturada Basalto  10 mm - 3/8"</t>
  </si>
  <si>
    <t>Grava Triturada Basalto  20 mm - 3/4"</t>
  </si>
  <si>
    <t>Grava Triturada Basalto  40 mm - 1 1/2"</t>
  </si>
  <si>
    <t>Arena Triturada Andesita Malla 4</t>
  </si>
  <si>
    <t>Grava Triturada Andesita 20 mm - 3/4"</t>
  </si>
  <si>
    <t>NORESTE</t>
  </si>
  <si>
    <t>ARENA TRITURADA CALIZA MALLA 4 B47 FILIA</t>
  </si>
  <si>
    <t>PACIFICO</t>
  </si>
  <si>
    <t>Arena Triturada Basalto Malla 5</t>
  </si>
  <si>
    <t>Grava Triturada Caliza 13 mm - 1/2"</t>
  </si>
  <si>
    <t xml:space="preserve">VOBO SOLICITADO </t>
  </si>
  <si>
    <t xml:space="preserve">Precio Referencia </t>
  </si>
  <si>
    <t xml:space="preserve">% de Descuento </t>
  </si>
  <si>
    <t>Validación 1</t>
  </si>
  <si>
    <t>Validación 2</t>
  </si>
  <si>
    <t>Base Hidraúlica Basalto de 1 /1/2</t>
  </si>
  <si>
    <t xml:space="preserve">Filial </t>
  </si>
  <si>
    <t xml:space="preserve">MARZO </t>
  </si>
  <si>
    <t xml:space="preserve">ABRIL </t>
  </si>
  <si>
    <t>Var</t>
  </si>
  <si>
    <t xml:space="preserve">RICARDO </t>
  </si>
  <si>
    <t>EDUARDO</t>
  </si>
  <si>
    <t>CONCRETOS HIDALGO</t>
  </si>
  <si>
    <t>PARQUE PYME RECOGIDO</t>
  </si>
  <si>
    <t>PENDIENTE VOBO DE LALO LÓPEZ</t>
  </si>
  <si>
    <t xml:space="preserve">Observaciones </t>
  </si>
  <si>
    <t>CORREO SANDRA</t>
  </si>
  <si>
    <t>ASFALTO CAÑADA</t>
  </si>
  <si>
    <t xml:space="preserve">CORREO CARLOS </t>
  </si>
  <si>
    <t>LA ROCA MAYORAZGO</t>
  </si>
  <si>
    <t>Gerente</t>
  </si>
  <si>
    <t xml:space="preserve">PENDIENTE VOBO DE JORGE/ RICARDO </t>
  </si>
  <si>
    <t>OBR-AGR IBM (DLC)</t>
  </si>
  <si>
    <t xml:space="preserve">SOLO PIDEN CAMBIO EN FLETE </t>
  </si>
  <si>
    <t>CEMENTOS MOCTEZUMA</t>
  </si>
  <si>
    <t>CASETA</t>
  </si>
  <si>
    <t>Javer Kusamil 2025</t>
  </si>
  <si>
    <t>Base H Triturada Caliza 1 1/2" a Finos</t>
  </si>
  <si>
    <t xml:space="preserve">Precio solicitado </t>
  </si>
  <si>
    <t>CONCRETOS PILARES PLANTA TONANITLA</t>
  </si>
  <si>
    <t>Concretos Pilares Planta Texcoco</t>
  </si>
  <si>
    <t xml:space="preserve">QUEDO PENDIENTE YA QUE COMERCIAL VOLVERIA A REVISARLO </t>
  </si>
  <si>
    <t>PREFAMOVIL ZUMPANGO</t>
  </si>
  <si>
    <t>OBR-AGR EPCA (LOBS)</t>
  </si>
  <si>
    <t>Arena Triturada Basalto Malla 4  -Mezcla</t>
  </si>
  <si>
    <t xml:space="preserve">PENDIENTE VOBO LALO Y RICARDO </t>
  </si>
  <si>
    <t xml:space="preserve">PENDIENTE VOBO DE RICARDO </t>
  </si>
  <si>
    <t>FORTALEZA VISE</t>
  </si>
  <si>
    <t>EL CAMPANARIO</t>
  </si>
  <si>
    <t>PENDIENTE VOBO DE RICARDO Y LALO</t>
  </si>
  <si>
    <t>Concretos Pilares S.A. De C.V.</t>
  </si>
  <si>
    <t>Agreg – Premoso</t>
  </si>
  <si>
    <t>AGACEL DESPOLVE</t>
  </si>
  <si>
    <t>Prebloquim</t>
  </si>
  <si>
    <t>OBRA FORD</t>
  </si>
  <si>
    <t>CONSTRUCCIONES Y ASFALTOS</t>
  </si>
  <si>
    <t>Fortaleza VISE</t>
  </si>
  <si>
    <t>Fortaleza Naucalpan</t>
  </si>
  <si>
    <t>Fortaleza Rosarinos</t>
  </si>
  <si>
    <t>Fortaleza Interlomas</t>
  </si>
  <si>
    <t>Grava Triturada Andesita 10mm-3/8"</t>
  </si>
  <si>
    <t>$ Ref May'25</t>
  </si>
  <si>
    <t>BICUPSA</t>
  </si>
  <si>
    <t>EXCANORTE</t>
  </si>
  <si>
    <t>CITARA CASAS ARA</t>
  </si>
  <si>
    <t xml:space="preserve"> ERIC RICARDO SORIANO DURAN</t>
  </si>
  <si>
    <t>ANA LETICIA CARMONA GARCIA</t>
  </si>
  <si>
    <t>PRECIOS DE VENTA</t>
  </si>
  <si>
    <t>Cambio en obra específica</t>
  </si>
  <si>
    <t>Org Vtas</t>
  </si>
  <si>
    <t>Sucursal obra</t>
  </si>
  <si>
    <t xml:space="preserve">Centro </t>
  </si>
  <si>
    <t>GAP Importe</t>
  </si>
  <si>
    <t>Clase condición</t>
  </si>
  <si>
    <t>flete</t>
  </si>
  <si>
    <t>Condición</t>
  </si>
  <si>
    <t>Modalidad</t>
  </si>
  <si>
    <t>PAVIMENTOS Y URBANIZACIONES DE QRO SA</t>
  </si>
  <si>
    <t>31.12.2999</t>
  </si>
  <si>
    <t>CONSTRUCCIONES Y ASFALTOS SOTO'S</t>
  </si>
  <si>
    <t>MAYO</t>
  </si>
  <si>
    <t>SOLUCIONES INTEGRALES DE INGENIERIA</t>
  </si>
  <si>
    <t>JAC AUTOTRANSPORTE RECOGIDO</t>
  </si>
  <si>
    <t>JUAN ROMERO RECOG</t>
  </si>
  <si>
    <t>Gab Rio Remedios</t>
  </si>
  <si>
    <t>Gab Los Reyes La Paz</t>
  </si>
  <si>
    <t>casas ara tizayuca (MJRM)</t>
  </si>
  <si>
    <t>CLIENTE GLOBAL SOLUTION TORREBELL</t>
  </si>
  <si>
    <t>PLANTA SJR (Concretos Mixerplus)</t>
  </si>
  <si>
    <t xml:space="preserve">Planta la Griega (Concretos Mixerplus) </t>
  </si>
  <si>
    <t xml:space="preserve">Planta El Castillo (Concretos Mixerplus) </t>
  </si>
  <si>
    <t>Planta Centro Celaya (Concretos Mixerplus)</t>
  </si>
  <si>
    <t>Atizapan</t>
  </si>
  <si>
    <t>GRAVA TRITURADA BASALTO DE 40 A 4 MM</t>
  </si>
  <si>
    <t>$ Ref Junio '25</t>
  </si>
  <si>
    <t>Tejocote</t>
  </si>
  <si>
    <t>Grava Triturada Basalto 20 mm - 3/4"-Puq</t>
  </si>
  <si>
    <t>CAMOMO</t>
  </si>
  <si>
    <t>CATSA IXTAPALUCA</t>
  </si>
  <si>
    <t>C2602 PLANTA ARA CANCUN</t>
  </si>
  <si>
    <t>UNAI WEZLEY DOMINGUEZ ALONSO</t>
  </si>
  <si>
    <t>CONCRETOS Y PAVIMENTOS EXTERIORES</t>
  </si>
  <si>
    <t>Desperdicio Triturado Andesita</t>
  </si>
  <si>
    <t>(P) CONCRETOS TANCOL CANCUN-ABC</t>
  </si>
  <si>
    <t>MOV GRAVA TRITURADA CALIZA 20MM 3/4 INTE</t>
  </si>
  <si>
    <t>Arena Triturada Caliza Malla 4 -Especial</t>
  </si>
  <si>
    <t>GRAVA TRITURADA CALIZA 20 MM “3/4"–INTEG</t>
  </si>
  <si>
    <t>MOV ARENA TRITURADA CALIZA MALLA 4</t>
  </si>
  <si>
    <t>PROYECTO TRIVESA</t>
  </si>
  <si>
    <t>Carretera Mexico-Querétaro</t>
  </si>
  <si>
    <t>C2602 GRAN KABAH - AGG</t>
  </si>
  <si>
    <t>MOV BASE H TRITURADA CALIZA 1 1/2</t>
  </si>
  <si>
    <t>CRAT</t>
  </si>
  <si>
    <t>ZEA TEPEJI</t>
  </si>
  <si>
    <t>CONCRETOS MR-J</t>
  </si>
  <si>
    <t>Adolfo Sanchez Luna</t>
  </si>
  <si>
    <t>OBR-AGR IMPULSORA TLAXCALTECA DE</t>
  </si>
  <si>
    <t>CONCRETERA IXTAPALUCA (ARRZ)</t>
  </si>
  <si>
    <t xml:space="preserve">Casa Maestra - Planta 1 </t>
  </si>
  <si>
    <t>Casa Maestra - Planta 2</t>
  </si>
  <si>
    <t>$ Julio '25</t>
  </si>
  <si>
    <t>OBR AGR AGREGADOS ASL</t>
  </si>
  <si>
    <t>MENYAH PLANTA</t>
  </si>
  <si>
    <t>OBR AGR PRIMERO DE MAYO DCM</t>
  </si>
  <si>
    <t>AGREGADO AGACEL RECOGIDO</t>
  </si>
  <si>
    <t>AGREGADO PLANTA TEZOYUCA CALIZA</t>
  </si>
  <si>
    <t>ADRIANA YAMIL JIMENEZ ALAMILLA</t>
  </si>
  <si>
    <t xml:space="preserve">VOLVO CONSTRUCCION </t>
  </si>
  <si>
    <t>Concretos MACMA</t>
  </si>
  <si>
    <t>REVOLUCION URBANA</t>
  </si>
  <si>
    <t>CANTERA TIJUANA II</t>
  </si>
  <si>
    <t xml:space="preserve">Guillermo Gomez </t>
  </si>
  <si>
    <t>BLOQUERA CEMENQUIN</t>
  </si>
  <si>
    <t>PARQUE PYME ENTREGADO</t>
  </si>
  <si>
    <t xml:space="preserve">IC QUBA JURIQUILLA </t>
  </si>
  <si>
    <t>Agregados Tezo (WERK)</t>
  </si>
  <si>
    <t>CONSHER</t>
  </si>
  <si>
    <t>CORIPASA TRAMO AIFA-LECHERIA</t>
  </si>
  <si>
    <t>Casa Maestra - Planta 3</t>
  </si>
  <si>
    <t>CARR MEX - QRO</t>
  </si>
  <si>
    <t>CHRISTIAN IVAN ORTEGA MIRANDA</t>
  </si>
  <si>
    <t>Global Solution Torrebell</t>
  </si>
  <si>
    <t>INMCER-MIXER</t>
  </si>
  <si>
    <t>FACHADAS PREFABRICADAS</t>
  </si>
  <si>
    <t>$ Agosto '25</t>
  </si>
  <si>
    <t>CIUDAD MADERAS CANCUN</t>
  </si>
  <si>
    <t>PYME ASFALTOS</t>
  </si>
  <si>
    <t>LASTMILE</t>
  </si>
  <si>
    <t>CONSTRUCCIONES ORKAVs </t>
  </si>
  <si>
    <t>67285951</t>
  </si>
  <si>
    <t xml:space="preserve">CAYCO QRO </t>
  </si>
  <si>
    <t>Prefamovil Arroyo Zarco</t>
  </si>
  <si>
    <t>TEKKNE DESING AND BUILDING</t>
  </si>
  <si>
    <t>EDIFICACIONES DE OBRAS PARA CONSTRUCCION</t>
  </si>
  <si>
    <t>Demoliendo Mexico</t>
  </si>
  <si>
    <t>ARMACON DEL SURESTE S.A DE C.V</t>
  </si>
  <si>
    <t>67277158</t>
  </si>
  <si>
    <t>EQ86</t>
  </si>
  <si>
    <t>MX-PD0457 AEROPUERTO CANCUN</t>
  </si>
  <si>
    <t>Distribuidora Central</t>
  </si>
  <si>
    <t>OBR AGR ASFALTOS Y CONCRETOS</t>
  </si>
  <si>
    <t>MEZCLA ALSFALTO</t>
  </si>
  <si>
    <t xml:space="preserve">PROVEEDORA ROGMAI </t>
  </si>
  <si>
    <t xml:space="preserve">OBR-AGR-PLANTA CONCREVA ATIZAPAN </t>
  </si>
  <si>
    <t>C 2502 HOME DEPOT - SIMEX</t>
  </si>
  <si>
    <t>Cant Monterrey</t>
  </si>
  <si>
    <t>COMARCA PLANTA NAULCALPAN</t>
  </si>
  <si>
    <t>BD MCA GROUP</t>
  </si>
  <si>
    <t>BLOCKERA GONZALITOS SA DE CV</t>
  </si>
  <si>
    <t>Arena Triturada Caliza Block</t>
  </si>
  <si>
    <t>PLANTA DE ASFALTO CONIN</t>
  </si>
  <si>
    <t>PLANTA AGACEL CERRO DE LAS BRUJAS</t>
  </si>
  <si>
    <t>PREFABRICADOS 2</t>
  </si>
  <si>
    <t>TICOMAN</t>
  </si>
  <si>
    <t>PARQUE PYME</t>
  </si>
  <si>
    <t>CORIPASA ESTADO DE MEXICO CONCRETOS</t>
  </si>
  <si>
    <t>PLANTA TRAMO AIFA LECHERIA</t>
  </si>
  <si>
    <t>ES FRENTE SOLO ALTA DE FLETE</t>
  </si>
  <si>
    <t>67247932</t>
  </si>
  <si>
    <t xml:space="preserve">EDUARDO HERBERT  URQUIZA </t>
  </si>
  <si>
    <t xml:space="preserve">PLANTA MIXER PLUS CASTILLO AGG </t>
  </si>
  <si>
    <t xml:space="preserve">Planta la Griega AGG </t>
  </si>
  <si>
    <t xml:space="preserve">PLANTA SJR </t>
  </si>
  <si>
    <t>Planta la Griega</t>
  </si>
  <si>
    <t xml:space="preserve">Planta El Castillo </t>
  </si>
  <si>
    <t xml:space="preserve">Planta Centro Celaya </t>
  </si>
  <si>
    <t>,15,0</t>
  </si>
  <si>
    <t>FORVIA </t>
  </si>
  <si>
    <t>FACHADAS PREFABRICADAS SA DE CV.</t>
  </si>
  <si>
    <t>$ Sep '25</t>
  </si>
  <si>
    <t>SUBRASANTE</t>
  </si>
  <si>
    <t>ES PARA INFRA</t>
  </si>
  <si>
    <t>COMERCIALIZADORA MARTINEZ CARBAJAL</t>
  </si>
  <si>
    <t>ETAPA 2 NAVE K4, KAIZEN</t>
  </si>
  <si>
    <t>Central de Abastos Tecámac Domus Z030</t>
  </si>
  <si>
    <t>TEKKNE BUILDING / Planta Axapusco</t>
  </si>
  <si>
    <t>GRUPO FERRETERO VALMAR</t>
  </si>
  <si>
    <t>BALASTO DE 2 ½#</t>
  </si>
  <si>
    <t>CENTRO DE TRANSFERENCIA DE CARGA POXILA</t>
  </si>
  <si>
    <t>TERMINAL DE CARGA CANCÚN</t>
  </si>
  <si>
    <t>$ Oct '25</t>
  </si>
  <si>
    <t>SOLIUCIONESINTEGRALES DE INGENIERA SIIAE</t>
  </si>
  <si>
    <t>(P) OBR-AGR MOSECA PLANTA (HACM)</t>
  </si>
  <si>
    <t>ALTA TECNOLOGIA EN PLANEACION - SINDICATO</t>
  </si>
  <si>
    <t>ESMERALDA</t>
  </si>
  <si>
    <t>MCA huixquilucan</t>
  </si>
  <si>
    <t xml:space="preserve">originalmente el costo solicitado era de 120.5 y se comento al champion y dijo que se colocara el precio de referencia </t>
  </si>
  <si>
    <t xml:space="preserve">precio mp en sistema / solo cambiar flete </t>
  </si>
  <si>
    <t>precio de mp en sistema / solo cambiar flete</t>
  </si>
  <si>
    <t>Alta precio mp y flete</t>
  </si>
  <si>
    <t>precio de MP en $137 VOBO de Ricardo /cambiar flete</t>
  </si>
  <si>
    <t>precio de MP en 137 VOBO de Ricardo /cambiar flete</t>
  </si>
  <si>
    <t>Alta precio mp requiere VOBO de Ricardo y Lalo/  flete</t>
  </si>
  <si>
    <t xml:space="preserve">SE PIDE EL CAMBIO DE PRECIO A SUCURSAL </t>
  </si>
  <si>
    <t>Planta Qro</t>
  </si>
  <si>
    <t>TRANSPORTES VANGUARDISTAS DE TEOTIHUACAN</t>
  </si>
  <si>
    <t>Logistica PTAR Norponiente</t>
  </si>
  <si>
    <t>CONCRETOS CONACO</t>
  </si>
  <si>
    <t>ABRAHAM MILLAN RODRIGUEZ</t>
  </si>
  <si>
    <t>INFRA</t>
  </si>
  <si>
    <t>Terapex</t>
  </si>
  <si>
    <t>C2002 Amistad BR Cementante</t>
  </si>
  <si>
    <t>REPARACION CAMINO TUBERIA CANTERA</t>
  </si>
  <si>
    <t>DISTRIBUIDORA CENTRAL DE MATERIALES</t>
  </si>
  <si>
    <t xml:space="preserve">TN </t>
  </si>
  <si>
    <t>Company Blockera</t>
  </si>
  <si>
    <t>Proyecto Terremoto - FORD</t>
  </si>
  <si>
    <t>UR CART</t>
  </si>
  <si>
    <t>Precio de lista</t>
  </si>
  <si>
    <t>BASE HIDRÁULICA 80%GRUESOS-20%FINOS</t>
  </si>
  <si>
    <t>66433511</t>
  </si>
  <si>
    <t>OBRA AGR HUDASA CHILUCA</t>
  </si>
  <si>
    <t>Nave PYME</t>
  </si>
  <si>
    <t>31.12.3000</t>
  </si>
  <si>
    <t>NORTON BROS</t>
  </si>
  <si>
    <t>INFRAESTRUCTURA URBANA KUBRI</t>
  </si>
  <si>
    <t>Pacifico</t>
  </si>
  <si>
    <t xml:space="preserve">D917 </t>
  </si>
  <si>
    <t>CANTERA VALLES</t>
  </si>
  <si>
    <t>Noreste</t>
  </si>
  <si>
    <t>MYM AGREGADOS</t>
  </si>
  <si>
    <t>MAYTE URBIOLA</t>
  </si>
  <si>
    <t>GRAVA TRITURADA CALIZA 20MM</t>
  </si>
  <si>
    <t>PLANTA CHALCO// DEL CARMEN  CARRETERAS Y</t>
  </si>
  <si>
    <t>AGG CICLOVIA SAN JUAN BOSCO</t>
  </si>
  <si>
    <t xml:space="preserve">MATERIALES GONZALITOS </t>
  </si>
  <si>
    <t>$ Nov '25</t>
  </si>
  <si>
    <t>UNDER PLANTA CANCUN</t>
  </si>
  <si>
    <t>GRAVA TRITURADA CALIZA 20 MM - 3/4"–CAPA</t>
  </si>
  <si>
    <t>UNDER AGREGADOS</t>
  </si>
  <si>
    <t xml:space="preserve">Junio </t>
  </si>
  <si>
    <t>Junio</t>
  </si>
  <si>
    <t>Septiembre</t>
  </si>
  <si>
    <t>Octubre</t>
  </si>
  <si>
    <t>Noviembre</t>
  </si>
  <si>
    <t xml:space="preserve">Julio </t>
  </si>
  <si>
    <t xml:space="preserve">Agosto </t>
  </si>
  <si>
    <t>Mes de solicitud</t>
  </si>
  <si>
    <t>Llave</t>
  </si>
  <si>
    <t xml:space="preserve">No. </t>
  </si>
  <si>
    <t>C1802 PIN CIENEGA DE FLORES  GP JFVE</t>
  </si>
  <si>
    <t>ARENA No 4</t>
  </si>
  <si>
    <t>ICA Planta 3 AT-AT</t>
  </si>
  <si>
    <t>Crudo Basalto</t>
  </si>
  <si>
    <t>BALASTO 6# A 3#</t>
  </si>
  <si>
    <t>Desperdicio Triturado Basalto</t>
  </si>
  <si>
    <t>Diciembre</t>
  </si>
  <si>
    <t>LOS AGAVES AGREGADOS</t>
  </si>
  <si>
    <t>Base H Triturada Basalto  1 1/2" a Finos</t>
  </si>
  <si>
    <t>MG Antiguo Aeropuerto</t>
  </si>
  <si>
    <t xml:space="preserve">DAR DE ALTA LA MP </t>
  </si>
  <si>
    <t xml:space="preserve">DAR DE ALTA EL FLETE </t>
  </si>
  <si>
    <t>AGREGADOS MAYTE VALLES</t>
  </si>
  <si>
    <t>MYM AGREGADOS VALLES</t>
  </si>
  <si>
    <t>Recogido Poncitlán</t>
  </si>
  <si>
    <t>AGREGADOS Y MEZCLAS DEL NORTE</t>
  </si>
  <si>
    <t>PENDIENTE POR VOBO DE GERENTE</t>
  </si>
  <si>
    <t xml:space="preserve">SE MOVIO EL PRECIO SOLICITADO POR CAMBIO EN COND. DE PAGO /CREARAN NUEVA SUCURSAL </t>
  </si>
  <si>
    <t>AGG AGP</t>
  </si>
  <si>
    <t xml:space="preserve"> GRAVA TRITURADA CALIZA 20 MM - 3/4"–CAPA</t>
  </si>
  <si>
    <t>CARR MEX - QRO-contado</t>
  </si>
  <si>
    <t xml:space="preserve">GABRIELA GUADALUPE RODRIGUEZ SAUCEDA </t>
  </si>
  <si>
    <t>PCAVM TECNOLOGIA EN CONCRETOS SA DE</t>
  </si>
  <si>
    <t>GRAN KABAH - AGG – GLYS</t>
  </si>
  <si>
    <t>OBR-AGR ASFALTO -ENTREGADO ( OJRV)</t>
  </si>
  <si>
    <t>AMERICAN INDUSTRIES NAVE 8 JFVE</t>
  </si>
  <si>
    <t>PARKER HANNIFIN SAN NICOLAS</t>
  </si>
  <si>
    <t>Sub-base Triturado Caliza 1 1/2" a Finos</t>
  </si>
  <si>
    <t>ARENAS Y GRAVAS DE GPE</t>
  </si>
  <si>
    <t>No. Material</t>
  </si>
  <si>
    <t>Precio ponderado</t>
  </si>
  <si>
    <t xml:space="preserve">Nombre Material </t>
  </si>
  <si>
    <t>$ Dic '25</t>
  </si>
  <si>
    <t>c</t>
  </si>
  <si>
    <t>n</t>
  </si>
  <si>
    <t>IRMA LAURA CHAVEZ ARISTIGUI</t>
  </si>
  <si>
    <t>D278</t>
  </si>
  <si>
    <t>PD055 CANCUN</t>
  </si>
  <si>
    <t>D343</t>
  </si>
  <si>
    <t>PD0270 RIVIERA MAYA</t>
  </si>
  <si>
    <t>D349</t>
  </si>
  <si>
    <t>PD0300 PETEMPICH</t>
  </si>
  <si>
    <t>D358</t>
  </si>
  <si>
    <t>PD0509 COLOSIO</t>
  </si>
  <si>
    <t>SOLO ALTA DE FLETE</t>
  </si>
  <si>
    <t>HEB LA FE</t>
  </si>
  <si>
    <t>BALASTO PIEDRA CALIZA 2"-4"</t>
  </si>
  <si>
    <t>BALASTO PIEDRA CALIZA 4"-6"</t>
  </si>
  <si>
    <t>Mixto Grava 3/4 - Arena 4</t>
  </si>
  <si>
    <t>No Clasificado Triturado Caliza</t>
  </si>
  <si>
    <t>D300</t>
  </si>
  <si>
    <t>PD0469 VILLA DE TEZONTEPEC</t>
  </si>
  <si>
    <t>D815</t>
  </si>
  <si>
    <t>CANTERA TESISTAN</t>
  </si>
  <si>
    <t>EPV AGG TAMUIN</t>
  </si>
  <si>
    <t>CRUZ DE PALMA</t>
  </si>
  <si>
    <t>AGREGADO GALVANIZADO 2 TERNIUM PESQ</t>
  </si>
  <si>
    <t>TAIGENE AGREGADO</t>
  </si>
  <si>
    <t xml:space="preserve">Enero </t>
  </si>
  <si>
    <t>Carretera Mex-Qro Crédito</t>
  </si>
  <si>
    <t>Carretera Mex-Qro Contado</t>
  </si>
  <si>
    <t>Enero</t>
  </si>
  <si>
    <t>MOCTEZUMA TLAQUEPAQUE AGREGADO PONCITLAN</t>
  </si>
  <si>
    <t>MOCTEZUMA ZAPOPAN AGREGADO PONCITLAN</t>
  </si>
  <si>
    <t>No procede hasta no tener el VOBO de Oswaldo ya que fue autorizado con un incremento del 6%</t>
  </si>
  <si>
    <t>SAN FRANCISCO JUAREZ GPME JFVE</t>
  </si>
  <si>
    <t>ICA Planta 1 Cemento AT-AT</t>
  </si>
  <si>
    <t>PAV LUCAS ALEMÁN (RBCR)</t>
  </si>
  <si>
    <t>No procede ya que los precios estan correctos en sistema, se pidio que si existia incidencia se nos compartiera</t>
  </si>
  <si>
    <t>EVLOK CANCUN</t>
  </si>
  <si>
    <t>ICA Planta 4 Cemento AT-AT</t>
  </si>
  <si>
    <t>SE PIDE PROTECCIÓN PARA ESTE CLIENTE</t>
  </si>
  <si>
    <t>PARQUE DUEÑAS (RBCR)</t>
  </si>
  <si>
    <t>ROBERTO OSEGUERA MENDOZA</t>
  </si>
  <si>
    <t>NO CLASIFICADO BALASTO B9</t>
  </si>
  <si>
    <t>MAEBA</t>
  </si>
  <si>
    <t xml:space="preserve">SE PIDE VOBO DE OSWALDO PARA PROCEDER YA QUE ESTA DENTRO DEL CONSOLIDADO DE INCREMENTOS AUTORIZADOS </t>
  </si>
  <si>
    <t>BC CONCRETOS Y SERVICIOS</t>
  </si>
  <si>
    <t>SE REVISA PRECIO REFERENCIA Y SE DA DE ALTA</t>
  </si>
  <si>
    <t>Ramal Poxilá-Mérida</t>
  </si>
  <si>
    <t>Yaz Robledo</t>
  </si>
  <si>
    <t>ROMUALDO AGREGADOS TAMUIN</t>
  </si>
  <si>
    <t>GABRIEL  AGREGADOS TAMUIN</t>
  </si>
  <si>
    <t xml:space="preserve">SE OTORGA VOBO DE RICARDO </t>
  </si>
  <si>
    <t>AGREGADO GALVANIZADO 2 TERNIUM</t>
  </si>
  <si>
    <t>INDUSTRIAL BLOQUERA MEXICANA SA DE (DLC)</t>
  </si>
  <si>
    <t>RAMAL POXILÁ-MÉRIDA</t>
  </si>
  <si>
    <t>BALASTO DE 2 ½” DESPERDICIO</t>
  </si>
  <si>
    <t>P. DEL TIGRE (RBCR)</t>
  </si>
  <si>
    <t>TESTARROSA TREDEC CARRIL INCORP JFVE</t>
  </si>
  <si>
    <t>AGG UCSA</t>
  </si>
  <si>
    <t>DHOLLANDIA GPME JFVE</t>
  </si>
  <si>
    <t>Conseer Puerto de Altamira</t>
  </si>
  <si>
    <t>SOBRETAMAÑO ROCA NATURAL DE 0.5 A 0.80TN</t>
  </si>
  <si>
    <t>SOBRETAMAÑO ROCA NATURAL DE 0.8 A 1.2 TN</t>
  </si>
  <si>
    <t>SOBRETAMAÑO ROCA NATURAL DE 0.2 A 0.56TN</t>
  </si>
  <si>
    <t>SOBRETAMAÑO ROCA NATURAL DE 0.56 A 1TN</t>
  </si>
  <si>
    <t>Se procesa con un vobo de champion ya que el precio solicitado es mayor al precio de lista</t>
  </si>
  <si>
    <t>PENDIENTE PORQUE ESTA EN EL ARCHIVO DE INCREMENTOS</t>
  </si>
  <si>
    <t>Se procesa ya que no contemplaron este material dentro de la protección estaba en la parte de nuevo</t>
  </si>
  <si>
    <t>PARQUE INDUSTRIAL MILENIUM CENTER NAVE 3</t>
  </si>
  <si>
    <t xml:space="preserve"> SERGIO RODRIGUEZ</t>
  </si>
  <si>
    <t>UNDER COSTA MUJERES</t>
  </si>
  <si>
    <t xml:space="preserve">SE PROCESA DE ACUERDO AL PPP </t>
  </si>
  <si>
    <t>AGG GUARNICIONES GKA</t>
  </si>
  <si>
    <t>“Planta Mogue”</t>
  </si>
  <si>
    <t>Central de Abastos Tecámac Dolmen</t>
  </si>
  <si>
    <t xml:space="preserve">Central de Abastos Tecámac Domus Z030 </t>
  </si>
  <si>
    <t>LUIS ENRIQUE RIOS GRAJALES</t>
  </si>
  <si>
    <t>PTARM SAPAL</t>
  </si>
  <si>
    <t>AGG PARQUE ANTORCHA</t>
  </si>
  <si>
    <t>Marruecos</t>
  </si>
  <si>
    <t>Planta Interlomas</t>
  </si>
  <si>
    <t>FORTALEZA VALLEJO</t>
  </si>
  <si>
    <t>fortaleza Naucalpan</t>
  </si>
  <si>
    <t>NO DIERON VOBO Y NO DEFINIERON PRECIO, SE LE ENVIÓ CORREO AL SOLICITANTE</t>
  </si>
  <si>
    <t>Gab Los Reyes la Paz</t>
  </si>
  <si>
    <t xml:space="preserve">PENDIENTE DE VOBO DE CHAMPION </t>
  </si>
  <si>
    <t>Tacana</t>
  </si>
  <si>
    <t>PREFAMOVIL ARROYO ZARCO</t>
  </si>
  <si>
    <t xml:space="preserve">Febrero </t>
  </si>
  <si>
    <t>MOCTEZUMA</t>
  </si>
  <si>
    <t>Febrero</t>
  </si>
  <si>
    <t>sólidos</t>
  </si>
  <si>
    <t>BATI HEAT</t>
  </si>
  <si>
    <t>Concretos AM</t>
  </si>
  <si>
    <t>ILDEFONSO GAMEZ COVARRUBIAS</t>
  </si>
  <si>
    <t>EL PRECIO YA SE ENCONTRABA EN SISTEMA</t>
  </si>
  <si>
    <t>OVR-AGR ARO ASFALTOS Y RIEGOS DE OC</t>
  </si>
  <si>
    <t>PLANTA PARQUE BALVANERA MOCTEZ</t>
  </si>
  <si>
    <t>PLANTA QUERETARO MOCTEZUMA</t>
  </si>
  <si>
    <t>OBRA QUANTUM "2"</t>
  </si>
  <si>
    <t>OBRA QUANTUM</t>
  </si>
  <si>
    <t>PLANTA AEROPUERTO MOCTEZUMA</t>
  </si>
  <si>
    <t xml:space="preserve">   Data Microsoft</t>
  </si>
  <si>
    <t>LUXCRETE EVOLUTION</t>
  </si>
  <si>
    <t>PLANTA AGACEL CERRO DE LAS BRU</t>
  </si>
  <si>
    <t>PLANTA DE ASFALTO BUENA VISTA</t>
  </si>
  <si>
    <t xml:space="preserve">NO SE REALIZA SOLICITUD, YA QUE ES EL PRECIO ACTUAL DE SAP </t>
  </si>
  <si>
    <t>Fabiola Belen Gonzalez Diaz</t>
  </si>
  <si>
    <t>BLOQUERA STAR DE BC</t>
  </si>
  <si>
    <t xml:space="preserve">LES DA EL VOBO RICARDO Y OSWALDO </t>
  </si>
  <si>
    <t>casas ara tizayuca (MJRM)</t>
  </si>
  <si>
    <t xml:space="preserve">CONTRATO PUNTUAL / POR 8.67 TN </t>
  </si>
  <si>
    <t>OBR-AGR PLANTA BLOCK MULTIACEROS</t>
  </si>
  <si>
    <t xml:space="preserve">CONTRATO PUNTUAL / POR 56.12 TN </t>
  </si>
  <si>
    <t>FERRETERIA CABI DE MEXICO SA DE CV</t>
  </si>
  <si>
    <t xml:space="preserve">CONTRATO PUNTUAL / POR 2.87 TN </t>
  </si>
  <si>
    <t xml:space="preserve">SE REVISA CON OSCAR PUC Y NO APLICARA CAMBIO A LA BAJA </t>
  </si>
  <si>
    <t>SE REVISA CON OSCAR PUC Y SOLO SE IGUALARA EL PRECIO CON LA SUCURSAL DE UNDER $294.42 QUE ES EL PRECIO CON INCREMENTO DEL 4%</t>
  </si>
  <si>
    <t>Bloquera Universidad</t>
  </si>
  <si>
    <t>31.12.3001</t>
  </si>
  <si>
    <t>31.12.3002</t>
  </si>
  <si>
    <t>31.12.3003</t>
  </si>
  <si>
    <t>31.12.3004</t>
  </si>
  <si>
    <t>31.12.3005</t>
  </si>
  <si>
    <t>31.12.3006</t>
  </si>
  <si>
    <t>Moncayo Tecamac </t>
  </si>
  <si>
    <t>Moncayo Pachuca</t>
  </si>
  <si>
    <t>FORTALEZA TOREO</t>
  </si>
  <si>
    <t>66891467</t>
  </si>
  <si>
    <t>HTR Infraestructura</t>
  </si>
  <si>
    <t>65232687  </t>
  </si>
  <si>
    <t>PCAVM TECNOLOGIA EN CONCRETOS S</t>
  </si>
  <si>
    <t>PROYECTO CIENEGA DE FLORES</t>
  </si>
  <si>
    <t>JESUS ANGEL ESQUIVEL YAÑEZ</t>
  </si>
  <si>
    <t>OBR-AGR FORTE BLOCK  (EAGF)</t>
  </si>
  <si>
    <t>$Enero26</t>
  </si>
  <si>
    <t>ARENA 4BLOCK MEZCLA ESP</t>
  </si>
  <si>
    <t>FINSA MULTI I</t>
  </si>
  <si>
    <t>KAERSER</t>
  </si>
  <si>
    <t>Moncayo Cedillo – Lecheria Tex</t>
  </si>
  <si>
    <t>Moncayo Cedillo S.A de CV</t>
  </si>
  <si>
    <t>INFRAESTRUCTURA-APO II -PIFMAR</t>
  </si>
  <si>
    <t>MULTI I - APO II - PIFMAR</t>
  </si>
  <si>
    <t>MULTI I - APO II - CML</t>
  </si>
  <si>
    <t>Planta Queretaro Contado</t>
  </si>
  <si>
    <t>CAYCO ZUMPANGO</t>
  </si>
  <si>
    <t>EPCA CPRO</t>
  </si>
  <si>
    <t>EPCA CPRO 2</t>
  </si>
  <si>
    <t>NO SE REALIZA NINGÚN CAMBIO YA QUE ES EL PRECIO QUE ESTA EN SISTEMA ACTUALMENT</t>
  </si>
  <si>
    <t>NO SE PIDE VOBO DE RICARDO YA QUE EL PRECIO ANTES DE ESTA SOLICITUD ERA DE $200 POR tn</t>
  </si>
  <si>
    <t>FINSA MMI</t>
  </si>
  <si>
    <t xml:space="preserve">Marzo </t>
  </si>
  <si>
    <t>67298855</t>
  </si>
  <si>
    <t>PLANTA GC CONCRETOS</t>
  </si>
  <si>
    <t xml:space="preserve">Pavimentos y Urbanizaciones de Qro </t>
  </si>
  <si>
    <t>Concretos Tancol</t>
  </si>
  <si>
    <t>Marzo</t>
  </si>
  <si>
    <t>OBR-AGR SAICER CONSTRUCTORA</t>
  </si>
  <si>
    <t xml:space="preserve"> OBR-AGR PRESFORZADOS MEXICANOS DE TIZAYUCA SA DE CV.</t>
  </si>
  <si>
    <t>CONCRETOS DE HIDALGO</t>
  </si>
  <si>
    <t>VTL CAYCO HUACHINANGO</t>
  </si>
  <si>
    <t>CAYCO PACHUCA</t>
  </si>
  <si>
    <t>CONCRETERA CAYCO (PPC)</t>
  </si>
  <si>
    <t>(P) CONCRETERA CAYCO (EOTV)</t>
  </si>
  <si>
    <t>BLOKASA PREFABRICADOS</t>
  </si>
  <si>
    <t>I16 BLOQUES INTERNACIONALES DE MATA</t>
  </si>
  <si>
    <t>ASOCIACION DE COLONOS DEL FRACCIONAMIENTO HUERTAS LA JOYA</t>
  </si>
  <si>
    <t>Concretos Huasteca</t>
  </si>
  <si>
    <t>Blques Internacionales de Matamoros</t>
  </si>
  <si>
    <t>Bloques Internacionales de Matamoros</t>
  </si>
  <si>
    <t>AKI ADALIA -RVZ</t>
  </si>
  <si>
    <t>HOSPITAL INFANTIL DHN JFVE</t>
  </si>
  <si>
    <t>FINSA MULTI VI ( BJLD )</t>
  </si>
  <si>
    <t>OBR-AGR TANCOL</t>
  </si>
  <si>
    <t>MONCAYO LECHERIA</t>
  </si>
  <si>
    <t>SE HOMOLOGAN LAS SUCURSALES DE MONCAYO</t>
  </si>
  <si>
    <t>NO HAY PRECIO DE REFERENCIA SIN EMBARGO SE DETERMINA QUE NO NECESITA VOBO DE GERENTE YA QUE SE REVISA EL PRECIO REFERENCIA DEL 2025 Y ES MAYOR AL 4 %</t>
  </si>
  <si>
    <t>TICONSA INFRAESTRUCTURA</t>
  </si>
  <si>
    <t>MAGNO GARCIA</t>
  </si>
  <si>
    <t xml:space="preserve">MAGNO GARCIA </t>
  </si>
  <si>
    <t>MAGNO MTY</t>
  </si>
  <si>
    <t xml:space="preserve"> AGREGADOS PREFABRICA</t>
  </si>
  <si>
    <t xml:space="preserve"> ICA PLANTA 1 CEMENTO</t>
  </si>
  <si>
    <t xml:space="preserve"> ICA PLANTA 2 CEMENTO</t>
  </si>
  <si>
    <t>ICA PLANTA 3 AT-AT</t>
  </si>
  <si>
    <t>ICA PLANTA 4 AT-AT</t>
  </si>
  <si>
    <t>GEROBA AEROPUERTO</t>
  </si>
  <si>
    <t>C. HUASTECA CANTERA VALLES</t>
  </si>
  <si>
    <t>ES UN FRENTE HEREDA LOS PRECIOS DE LA SUCURSAL, SOLO SE PIDE EL FLETE</t>
  </si>
  <si>
    <t>ES UN FRENTE HEREDA LOS PRECIOS DE LA SUCURSAL</t>
  </si>
  <si>
    <t xml:space="preserve">SE PIDE EL VOBO DE OSWALDO </t>
  </si>
  <si>
    <t xml:space="preserve">Prefabricados del centro </t>
  </si>
  <si>
    <t>C. TANCOL CANTERA VALLES</t>
  </si>
  <si>
    <t>PENDIENTE POR VOB DE JORGE Y EXT. A SEC 04</t>
  </si>
  <si>
    <t xml:space="preserve">PRECIO POR ARRIBA DEL PRECIO DE LISTA </t>
  </si>
  <si>
    <t>I8 LA PURISIMA</t>
  </si>
  <si>
    <t>$precio26</t>
  </si>
  <si>
    <t>AGG SOLUCIONES CASANA</t>
  </si>
  <si>
    <t xml:space="preserve">NO SE PIDE VOBO YA QUE EL PRECIO DE LISTA ES MENOR AL PRECIO QUE SE LE VENDERA AL CLIENTE </t>
  </si>
  <si>
    <t>Aldea Nizuc</t>
  </si>
  <si>
    <t>Crudo Caliza</t>
  </si>
  <si>
    <t xml:space="preserve">Carretera Mex-Qro </t>
  </si>
  <si>
    <t>MATERIALES SOLIDOS</t>
  </si>
  <si>
    <t>planta tonatitla (CSAN)</t>
  </si>
  <si>
    <t>COSTCO ESCOBEDO JFVE</t>
  </si>
  <si>
    <t xml:space="preserve">OSCAR ARTURO ROSALES </t>
  </si>
  <si>
    <t xml:space="preserve">Promexma tijuana </t>
  </si>
  <si>
    <t>Concretos Pilares S.A. De C.V</t>
  </si>
  <si>
    <t>0017.001 ENVA CAPITAL TORRE 1 JFVE</t>
  </si>
  <si>
    <t>UCA-CRETO</t>
  </si>
  <si>
    <t xml:space="preserve">SE LE PIDE EL VOBO DEL GERENTE DE CONCRETOS </t>
  </si>
  <si>
    <t>Zivalam AGG</t>
  </si>
  <si>
    <t>ELECTRO SERVICIOS HR</t>
  </si>
  <si>
    <t>MATS. PARA CONST. LOS CEPILLOS, S.A</t>
  </si>
  <si>
    <t>PLANTA ITISA CADEREYTA</t>
  </si>
  <si>
    <t>Arsa concretos</t>
  </si>
  <si>
    <t>VOBO DE RICARDO</t>
  </si>
  <si>
    <t>Ticonsa Tepojaco</t>
  </si>
  <si>
    <t>Ticonsa Teotihuacán</t>
  </si>
  <si>
    <t>VOLVO BASE JFVE</t>
  </si>
  <si>
    <t xml:space="preserve">EPCA CPRO </t>
  </si>
  <si>
    <t>ECPA CPRO2</t>
  </si>
  <si>
    <t>SUPERBARA TERRANOVA JUAREZ</t>
  </si>
  <si>
    <t>BLOKASA MATERIALES, S.A. DE C.V.</t>
  </si>
  <si>
    <t>Agregados ABCHIRO</t>
  </si>
  <si>
    <t>Agregados WINACO</t>
  </si>
  <si>
    <t xml:space="preserve">Abril </t>
  </si>
  <si>
    <t>Abril</t>
  </si>
  <si>
    <t>Amistad bienes y Servicios</t>
  </si>
  <si>
    <t xml:space="preserve">SE PIDE EL VOBO DE RICARDO </t>
  </si>
  <si>
    <t xml:space="preserve">VOLVIERON A SOLICITAR AJUSTAR EL PRECIO </t>
  </si>
  <si>
    <t>TREN MEX-QRO F12</t>
  </si>
  <si>
    <t>PUNTO SUR</t>
  </si>
  <si>
    <t xml:space="preserve">RICARDO PROPORCIONA EL VOBO </t>
  </si>
  <si>
    <t xml:space="preserve">SIN VOBO DE GERENTE YA QUE PASA DENTRO DEL 4 % DE INCREMENTO </t>
  </si>
  <si>
    <t>AGREGADO PLANTA TEZOYUCA (Andesita)</t>
  </si>
  <si>
    <t>AGREGADO PLANTA TEZOYUCA (Caliza)</t>
  </si>
  <si>
    <t>GRAN KABAH - AGG - GLYS</t>
  </si>
  <si>
    <t>31.12.3007</t>
  </si>
  <si>
    <t>31.12.3008</t>
  </si>
  <si>
    <t>31.12.3009</t>
  </si>
  <si>
    <t>31.12.3010</t>
  </si>
  <si>
    <t>31.12.3011</t>
  </si>
  <si>
    <t>31.12.3012</t>
  </si>
  <si>
    <t>31.12.3013</t>
  </si>
  <si>
    <t>31.12.3014</t>
  </si>
  <si>
    <t>31.12.3015</t>
  </si>
  <si>
    <t>31.12.3016</t>
  </si>
  <si>
    <t>31.12.3017</t>
  </si>
  <si>
    <t>31.12.3018</t>
  </si>
  <si>
    <t>31.12.3019</t>
  </si>
  <si>
    <t>31.12.3020</t>
  </si>
  <si>
    <t>31.12.3021</t>
  </si>
  <si>
    <t>31.12.3022</t>
  </si>
  <si>
    <t>31.12.3023</t>
  </si>
  <si>
    <t>31.12.3024</t>
  </si>
  <si>
    <t>31.12.3025</t>
  </si>
  <si>
    <t>31.12.3026</t>
  </si>
  <si>
    <t>31.12.3027</t>
  </si>
  <si>
    <t>31.12.3028</t>
  </si>
  <si>
    <t>31.12.3029</t>
  </si>
  <si>
    <t>31.12.3030</t>
  </si>
  <si>
    <t>31.12.3031</t>
  </si>
  <si>
    <t>31.12.3032</t>
  </si>
  <si>
    <t>31.12.3033</t>
  </si>
  <si>
    <t>31.12.3034</t>
  </si>
  <si>
    <t>31.12.3035</t>
  </si>
  <si>
    <t>31.12.3036</t>
  </si>
  <si>
    <t>31.12.3037</t>
  </si>
  <si>
    <t>31.12.3038</t>
  </si>
  <si>
    <t>31.12.3039</t>
  </si>
  <si>
    <t>31.12.3040</t>
  </si>
  <si>
    <t>31.12.3041</t>
  </si>
  <si>
    <t>31.12.3042</t>
  </si>
  <si>
    <t>31.12.3043</t>
  </si>
  <si>
    <t>31.12.3045</t>
  </si>
  <si>
    <t>31.12.3046</t>
  </si>
  <si>
    <t>31.12.3047</t>
  </si>
  <si>
    <t>31.12.3048</t>
  </si>
  <si>
    <t>31.12.3049</t>
  </si>
  <si>
    <t>31.12.3050</t>
  </si>
  <si>
    <t>31.12.3051</t>
  </si>
  <si>
    <t>31.12.3052</t>
  </si>
  <si>
    <t>31.12.3053</t>
  </si>
  <si>
    <t>31.12.3054</t>
  </si>
  <si>
    <t>31.12.3055</t>
  </si>
  <si>
    <t>31.12.3056</t>
  </si>
  <si>
    <t>31.12.3057</t>
  </si>
  <si>
    <t>31.12.3058</t>
  </si>
  <si>
    <t>31.12.3059</t>
  </si>
  <si>
    <t>31.12.3060</t>
  </si>
  <si>
    <t>31.12.3061</t>
  </si>
  <si>
    <t>31.12.3062</t>
  </si>
  <si>
    <t>31.12.3063</t>
  </si>
  <si>
    <t>31.12.3064</t>
  </si>
  <si>
    <t>31.12.3065</t>
  </si>
  <si>
    <t>31.12.3066</t>
  </si>
  <si>
    <t>31.12.3067</t>
  </si>
  <si>
    <t>31.12.3068</t>
  </si>
  <si>
    <t>31.12.3069</t>
  </si>
  <si>
    <t>31.12.3070</t>
  </si>
  <si>
    <t>31.12.3071</t>
  </si>
  <si>
    <t>31.12.3072</t>
  </si>
  <si>
    <t>31.12.3073</t>
  </si>
  <si>
    <t>31.12.3074</t>
  </si>
  <si>
    <t>31.12.3075</t>
  </si>
  <si>
    <t>31.12.3076</t>
  </si>
  <si>
    <t>31.12.3077</t>
  </si>
  <si>
    <t>31.12.3078</t>
  </si>
  <si>
    <t>31.12.3079</t>
  </si>
  <si>
    <t>31.12.3080</t>
  </si>
  <si>
    <t>31.12.3081</t>
  </si>
  <si>
    <t>31.12.3082</t>
  </si>
  <si>
    <t>31.12.3083</t>
  </si>
  <si>
    <t>31.12.3084</t>
  </si>
  <si>
    <t>31.12.3085</t>
  </si>
  <si>
    <t>31.12.3086</t>
  </si>
  <si>
    <t>31.12.3087</t>
  </si>
  <si>
    <t>31.12.3088</t>
  </si>
  <si>
    <t>31.12.3089</t>
  </si>
  <si>
    <t>31.12.3090</t>
  </si>
  <si>
    <t>31.12.3091</t>
  </si>
  <si>
    <t>31.12.3092</t>
  </si>
  <si>
    <t>31.12.3093</t>
  </si>
  <si>
    <t>31.12.3094</t>
  </si>
  <si>
    <t>31.12.3095</t>
  </si>
  <si>
    <t>31.12.3096</t>
  </si>
  <si>
    <t>31.12.3097</t>
  </si>
  <si>
    <t>31.12.3098</t>
  </si>
  <si>
    <t>31.12.3099</t>
  </si>
  <si>
    <t>31.12.3100</t>
  </si>
  <si>
    <t>31.12.3101</t>
  </si>
  <si>
    <t>31.12.3102</t>
  </si>
  <si>
    <t>31.12.3103</t>
  </si>
  <si>
    <t>31.12.3104</t>
  </si>
  <si>
    <t>31.12.3105</t>
  </si>
  <si>
    <t>31.12.3106</t>
  </si>
  <si>
    <t>31.12.3107</t>
  </si>
  <si>
    <t>31.12.3108</t>
  </si>
  <si>
    <t>31.12.3109</t>
  </si>
  <si>
    <t>31.12.3110</t>
  </si>
  <si>
    <t>31.12.3111</t>
  </si>
  <si>
    <t>31.12.3112</t>
  </si>
  <si>
    <t>31.12.3113</t>
  </si>
  <si>
    <t>31.12.3114</t>
  </si>
  <si>
    <t>31.12.3115</t>
  </si>
  <si>
    <t>31.12.3116</t>
  </si>
  <si>
    <t>31.12.3117</t>
  </si>
  <si>
    <t>31.12.3118</t>
  </si>
  <si>
    <t>31.12.3119</t>
  </si>
  <si>
    <t>31.12.3120</t>
  </si>
  <si>
    <t>31.12.3121</t>
  </si>
  <si>
    <t>31.12.3122</t>
  </si>
  <si>
    <t>31.12.3123</t>
  </si>
  <si>
    <t>31.12.3124</t>
  </si>
  <si>
    <t>31.12.3125</t>
  </si>
  <si>
    <t>31.12.3126</t>
  </si>
  <si>
    <t>31.12.3127</t>
  </si>
  <si>
    <t>31.12.3128</t>
  </si>
  <si>
    <t>31.12.3129</t>
  </si>
  <si>
    <t>31.12.3130</t>
  </si>
  <si>
    <t>31.12.3131</t>
  </si>
  <si>
    <t>31.12.3132</t>
  </si>
  <si>
    <t>31.12.3133</t>
  </si>
  <si>
    <t>31.12.3134</t>
  </si>
  <si>
    <t>31.12.3135</t>
  </si>
  <si>
    <t>31.12.3136</t>
  </si>
  <si>
    <t>31.12.3137</t>
  </si>
  <si>
    <t>31.12.3138</t>
  </si>
  <si>
    <t>31.12.3139</t>
  </si>
  <si>
    <t>31.12.3140</t>
  </si>
  <si>
    <t>31.12.3141</t>
  </si>
  <si>
    <t>31.12.3142</t>
  </si>
  <si>
    <t>31.12.3143</t>
  </si>
  <si>
    <t>31.12.3144</t>
  </si>
  <si>
    <t>31.12.3145</t>
  </si>
  <si>
    <t>31.12.3146</t>
  </si>
  <si>
    <t>31.12.3147</t>
  </si>
  <si>
    <t>31.12.3148</t>
  </si>
  <si>
    <t>31.12.3149</t>
  </si>
  <si>
    <t>31.12.3150</t>
  </si>
  <si>
    <t>31.12.3151</t>
  </si>
  <si>
    <t>31.12.3152</t>
  </si>
  <si>
    <t>31.12.3153</t>
  </si>
  <si>
    <t>31.12.3154</t>
  </si>
  <si>
    <t>31.12.3155</t>
  </si>
  <si>
    <t>31.12.3156</t>
  </si>
  <si>
    <t>31.12.3157</t>
  </si>
  <si>
    <t>31.12.3158</t>
  </si>
  <si>
    <t>31.12.3159</t>
  </si>
  <si>
    <t>31.12.3160</t>
  </si>
  <si>
    <t>31.12.3161</t>
  </si>
  <si>
    <t>31.12.3162</t>
  </si>
  <si>
    <t>31.12.3163</t>
  </si>
  <si>
    <t>31.12.3164</t>
  </si>
  <si>
    <t>31.12.3165</t>
  </si>
  <si>
    <t>31.12.3166</t>
  </si>
  <si>
    <t>31.12.3167</t>
  </si>
  <si>
    <t>31.12.3168</t>
  </si>
  <si>
    <t>31.12.3169</t>
  </si>
  <si>
    <t>31.12.3170</t>
  </si>
  <si>
    <t>31.12.3171</t>
  </si>
  <si>
    <t>31.12.3172</t>
  </si>
  <si>
    <t>31.12.3173</t>
  </si>
  <si>
    <t>31.12.3174</t>
  </si>
  <si>
    <t>31.12.3175</t>
  </si>
  <si>
    <t>31.12.3176</t>
  </si>
  <si>
    <t>31.12.3177</t>
  </si>
  <si>
    <t>31.12.3178</t>
  </si>
  <si>
    <t>31.12.3179</t>
  </si>
  <si>
    <t>31.12.3180</t>
  </si>
  <si>
    <t>31.12.3181</t>
  </si>
  <si>
    <t>31.12.3182</t>
  </si>
  <si>
    <t>31.12.3183</t>
  </si>
  <si>
    <t>31.12.3184</t>
  </si>
  <si>
    <t>31.12.3185</t>
  </si>
  <si>
    <t>31.12.3186</t>
  </si>
  <si>
    <t>31.12.3187</t>
  </si>
  <si>
    <t>31.12.3188</t>
  </si>
  <si>
    <t>31.12.3189</t>
  </si>
  <si>
    <t>31.12.3190</t>
  </si>
  <si>
    <t>31.12.3191</t>
  </si>
  <si>
    <t>31.12.3192</t>
  </si>
  <si>
    <t>31.12.3193</t>
  </si>
  <si>
    <t>31.12.3194</t>
  </si>
  <si>
    <t>31.12.3195</t>
  </si>
  <si>
    <t>31.12.3196</t>
  </si>
  <si>
    <t>31.12.3197</t>
  </si>
  <si>
    <t>31.12.3198</t>
  </si>
  <si>
    <t>31.12.3199</t>
  </si>
  <si>
    <t>31.12.3200</t>
  </si>
  <si>
    <t>31.12.3201</t>
  </si>
  <si>
    <t>31.12.3202</t>
  </si>
  <si>
    <t>31.12.3203</t>
  </si>
  <si>
    <t>31.12.3204</t>
  </si>
  <si>
    <t>31.12.3205</t>
  </si>
  <si>
    <t>31.12.3206</t>
  </si>
  <si>
    <t>31.12.3207</t>
  </si>
  <si>
    <t>31.12.3208</t>
  </si>
  <si>
    <t>31.12.3209</t>
  </si>
  <si>
    <t>31.12.3210</t>
  </si>
  <si>
    <t>31.12.3211</t>
  </si>
  <si>
    <t>31.12.3212</t>
  </si>
  <si>
    <t>31.12.3213</t>
  </si>
  <si>
    <t>31.12.3214</t>
  </si>
  <si>
    <t>31.12.3215</t>
  </si>
  <si>
    <t>31.12.3216</t>
  </si>
  <si>
    <t>31.12.3217</t>
  </si>
  <si>
    <t>31.12.3218</t>
  </si>
  <si>
    <t>31.12.3219</t>
  </si>
  <si>
    <t>31.12.3220</t>
  </si>
  <si>
    <t>31.12.3221</t>
  </si>
  <si>
    <t>31.12.3222</t>
  </si>
  <si>
    <t>31.12.3223</t>
  </si>
  <si>
    <t>31.12.3224</t>
  </si>
  <si>
    <t>31.12.3225</t>
  </si>
  <si>
    <t>31.12.3226</t>
  </si>
  <si>
    <t>31.12.3227</t>
  </si>
  <si>
    <t>31.12.3228</t>
  </si>
  <si>
    <t>31.12.3229</t>
  </si>
  <si>
    <t>31.12.3230</t>
  </si>
  <si>
    <t>31.12.3231</t>
  </si>
  <si>
    <t>31.12.3232</t>
  </si>
  <si>
    <t>31.12.3233</t>
  </si>
  <si>
    <t>31.12.3234</t>
  </si>
  <si>
    <t>31.12.3235</t>
  </si>
  <si>
    <t>31.12.3236</t>
  </si>
  <si>
    <t>31.12.3237</t>
  </si>
  <si>
    <t>31.12.3238</t>
  </si>
  <si>
    <t>31.12.3239</t>
  </si>
  <si>
    <t>31.12.3240</t>
  </si>
  <si>
    <t>31.12.3241</t>
  </si>
  <si>
    <t>31.12.3242</t>
  </si>
  <si>
    <t>31.12.3243</t>
  </si>
  <si>
    <t>31.12.3244</t>
  </si>
  <si>
    <t>31.12.3245</t>
  </si>
  <si>
    <t>31.12.3246</t>
  </si>
  <si>
    <t>31.12.3247</t>
  </si>
  <si>
    <t>31.12.3248</t>
  </si>
  <si>
    <t>31.12.3249</t>
  </si>
  <si>
    <t>31.12.3250</t>
  </si>
  <si>
    <t>31.12.3251</t>
  </si>
  <si>
    <t>31.12.3252</t>
  </si>
  <si>
    <t>31.12.3253</t>
  </si>
  <si>
    <t>31.12.3254</t>
  </si>
  <si>
    <t>31.12.3255</t>
  </si>
  <si>
    <t>31.12.3256</t>
  </si>
  <si>
    <t>31.12.3257</t>
  </si>
  <si>
    <t>31.12.3258</t>
  </si>
  <si>
    <t>31.12.3259</t>
  </si>
  <si>
    <t>31.12.3260</t>
  </si>
  <si>
    <t>31.12.3261</t>
  </si>
  <si>
    <t>31.12.3262</t>
  </si>
  <si>
    <t>31.12.3263</t>
  </si>
  <si>
    <t>31.12.3264</t>
  </si>
  <si>
    <t>31.12.3265</t>
  </si>
  <si>
    <t>31.12.3266</t>
  </si>
  <si>
    <t>31.12.3267</t>
  </si>
  <si>
    <t>31.12.3268</t>
  </si>
  <si>
    <t>31.12.3269</t>
  </si>
  <si>
    <t>31.12.3271</t>
  </si>
  <si>
    <t>31.12.3272</t>
  </si>
  <si>
    <t>31.12.3273</t>
  </si>
  <si>
    <t>31.12.3274</t>
  </si>
  <si>
    <t>31.12.3275</t>
  </si>
  <si>
    <t>31.12.3276</t>
  </si>
  <si>
    <t>31.12.3277</t>
  </si>
  <si>
    <t>31.12.3278</t>
  </si>
  <si>
    <t>31.12.3279</t>
  </si>
  <si>
    <t>31.12.3280</t>
  </si>
  <si>
    <t>31.12.3281</t>
  </si>
  <si>
    <t>31.12.3282</t>
  </si>
  <si>
    <t>31.12.3283</t>
  </si>
  <si>
    <t>31.12.3284</t>
  </si>
  <si>
    <t>31.12.3285</t>
  </si>
  <si>
    <t>31.12.3286</t>
  </si>
  <si>
    <t>31.12.3287</t>
  </si>
  <si>
    <t>31.12.3288</t>
  </si>
  <si>
    <t>31.12.3289</t>
  </si>
  <si>
    <t>31.12.3290</t>
  </si>
  <si>
    <t>31.12.3291</t>
  </si>
  <si>
    <t>31.12.3292</t>
  </si>
  <si>
    <t>31.12.3293</t>
  </si>
  <si>
    <t>31.12.3294</t>
  </si>
  <si>
    <t>31.12.3295</t>
  </si>
  <si>
    <t>31.12.3296</t>
  </si>
  <si>
    <t>31.12.3297</t>
  </si>
  <si>
    <t>31.12.3298</t>
  </si>
  <si>
    <t>31.12.3299</t>
  </si>
  <si>
    <t>31.12.3300</t>
  </si>
  <si>
    <t>31.12.3301</t>
  </si>
  <si>
    <t>31.12.3302</t>
  </si>
  <si>
    <t>31.12.3303</t>
  </si>
  <si>
    <t>31.12.3304</t>
  </si>
  <si>
    <t>31.12.3305</t>
  </si>
  <si>
    <t>31.12.3306</t>
  </si>
  <si>
    <t>31.12.3307</t>
  </si>
  <si>
    <t>31.12.3310</t>
  </si>
  <si>
    <t>31.12.3311</t>
  </si>
  <si>
    <t>31.12.3312</t>
  </si>
  <si>
    <t>31.12.3313</t>
  </si>
  <si>
    <t>31.12.3314</t>
  </si>
  <si>
    <t>31.12.3315</t>
  </si>
  <si>
    <t>31.12.3316</t>
  </si>
  <si>
    <t>31.12.3317</t>
  </si>
  <si>
    <t>31.12.3318</t>
  </si>
  <si>
    <t>31.12.3319</t>
  </si>
  <si>
    <t>31.12.3320</t>
  </si>
  <si>
    <t>31.12.3321</t>
  </si>
  <si>
    <t>31.12.3322</t>
  </si>
  <si>
    <t>31.12.3323</t>
  </si>
  <si>
    <t>31.12.3324</t>
  </si>
  <si>
    <t>31.12.3325</t>
  </si>
  <si>
    <t>31.12.3326</t>
  </si>
  <si>
    <t>31.12.3327</t>
  </si>
  <si>
    <t>31.12.3328</t>
  </si>
  <si>
    <t>31.12.3329</t>
  </si>
  <si>
    <t>31.12.3330</t>
  </si>
  <si>
    <t>31.12.3331</t>
  </si>
  <si>
    <t>31.12.3332</t>
  </si>
  <si>
    <t>31.12.3333</t>
  </si>
  <si>
    <t>WILBERT NARANJO AGREGADOS</t>
  </si>
  <si>
    <t>VIDUSA-DELESE LADERAS DE SAN M</t>
  </si>
  <si>
    <t>VIDUSA-DELESE PORTALES 2020</t>
  </si>
  <si>
    <t xml:space="preserve">SE ENCUENTRAN EN SAP TAL COMO ESTA EN SU SOLICITUD. </t>
  </si>
  <si>
    <t>LUGA</t>
  </si>
  <si>
    <t>SE ADJUNTA VOBODE RICARDO</t>
  </si>
  <si>
    <t>MERC. DE FORRAJES Y MATS. S.A. DE CV</t>
  </si>
  <si>
    <t>CENTRAL FERRETERO DE EBANO</t>
  </si>
  <si>
    <t>APLICACIONES TESEMEX</t>
  </si>
  <si>
    <t>Planta Toreo</t>
  </si>
  <si>
    <t>TERMINAL MULTIMODAL PROGRESO</t>
  </si>
  <si>
    <t>ESPEJO DE LA SOLICITUD 67362118-RAMAL POXILA</t>
  </si>
  <si>
    <t>CONCRETOS RICASA, S.A. DEC.V.</t>
  </si>
  <si>
    <t>SE ADJUNTA VOBO DE OSWALDO</t>
  </si>
  <si>
    <t>JESUS ANGEL ESQUIVEL ( TRADING )</t>
  </si>
  <si>
    <t>SALON DE FIESTAS EL EDEN</t>
  </si>
  <si>
    <t>VICTOR MANUEL DELGADO</t>
  </si>
  <si>
    <t>MARIA DE LOURDES MENDOZA OROZCO</t>
  </si>
  <si>
    <t xml:space="preserve"> Asfalto Mexico</t>
  </si>
  <si>
    <t>Armacon Del Sureste</t>
  </si>
  <si>
    <t>PLANTA CONACO</t>
  </si>
  <si>
    <t>D243</t>
  </si>
  <si>
    <t>PD0423 OJO DE AGUA</t>
  </si>
  <si>
    <t>Holcim Xochitepec</t>
  </si>
  <si>
    <t>IMCAMO CANCUN</t>
  </si>
  <si>
    <t>Mayo</t>
  </si>
  <si>
    <t>AYW Solutions</t>
  </si>
  <si>
    <t>Construblock sacos</t>
  </si>
  <si>
    <t>CONSTRUBLOCK AC DEL NORESTE, S.A. D</t>
  </si>
  <si>
    <t>AGREGADOS MAYTE</t>
  </si>
  <si>
    <t>MYM AGREGADOS TAMUIN</t>
  </si>
  <si>
    <t>CONSUMA CONCRETOS</t>
  </si>
  <si>
    <t>ISMAEL FLORES</t>
  </si>
  <si>
    <t>ISMAEL FLORES DCM</t>
  </si>
  <si>
    <t>BENITO CANTU</t>
  </si>
  <si>
    <t>FLETERO CONSTRUBLOCK AC DEL NORESTE</t>
  </si>
  <si>
    <t>66996648</t>
  </si>
  <si>
    <t>FRAGA TRITURADOS</t>
  </si>
  <si>
    <t>BLOQUERA EAGLE</t>
  </si>
  <si>
    <t>Dicsa Block</t>
  </si>
  <si>
    <t>AC20</t>
  </si>
  <si>
    <t>1516.001 QUALTIA NAVE SALCHICHA JFV</t>
  </si>
  <si>
    <t>AGR ISFLOCA PERCHES</t>
  </si>
  <si>
    <t>TRANSPORTE ESPECIALIZADO LANDTOX</t>
  </si>
  <si>
    <t>67379656</t>
  </si>
  <si>
    <t>AROC</t>
  </si>
  <si>
    <t>D059</t>
  </si>
  <si>
    <t>PD0286 San Miguel de Allende</t>
  </si>
  <si>
    <t>67134135</t>
  </si>
  <si>
    <t>URBAC AGREGADOS (LHCB)</t>
  </si>
  <si>
    <t>67347643</t>
  </si>
  <si>
    <t>NORTON BROS INFRAESTRUCTURA</t>
  </si>
  <si>
    <t>67022779</t>
  </si>
  <si>
    <t>SOLIDBLOCK SA DE CV</t>
  </si>
  <si>
    <t>67246784</t>
  </si>
  <si>
    <t>67229808</t>
  </si>
  <si>
    <t>DC CONCRETOS VALLE REDONDO</t>
  </si>
  <si>
    <t>BLOQUERA FERWALL</t>
  </si>
  <si>
    <t>PREXON PREFABRICADOS</t>
  </si>
  <si>
    <t>PREFAMOVIL ZUMPANGO.</t>
  </si>
  <si>
    <t>Grupo Block SA de CV</t>
  </si>
  <si>
    <t>JESUS ALONSO SOTO DELGADO</t>
  </si>
  <si>
    <t xml:space="preserve">CASETA </t>
  </si>
  <si>
    <t>GUDALUPE SALAS CEBALLOS</t>
  </si>
  <si>
    <t>PLANTA CONCRETO (MAC)</t>
  </si>
  <si>
    <t>SANTA ELENA LAS GLORIAS GPME JFVE</t>
  </si>
  <si>
    <t>MATERIALES MARANATA</t>
  </si>
  <si>
    <t>BLOQUERA PRELOSA</t>
  </si>
  <si>
    <t>PRELOSA CONCRETERA</t>
  </si>
  <si>
    <t>JUAN PABLO STRATTA SLIM</t>
  </si>
  <si>
    <t>CONCRETEWORKS</t>
  </si>
  <si>
    <t>AGG JORGE MERCADER</t>
  </si>
  <si>
    <t>AGORA</t>
  </si>
  <si>
    <t>HAMAN-CORP</t>
  </si>
  <si>
    <t>FERR. LA NUEVA VICTORIA</t>
  </si>
  <si>
    <t xml:space="preserve">SE VALIDA EN EL PROMEDIO FACTURADO </t>
  </si>
  <si>
    <t>ANDIEU SERVICIOS ( RECOGIDO )</t>
  </si>
  <si>
    <t>AGG E3C</t>
  </si>
  <si>
    <t>RICASA LOPEZ PORTILLO CANCUN</t>
  </si>
  <si>
    <t>RICASA PUERTO JUAREZ CANCUN</t>
  </si>
  <si>
    <t>CEMPOSA</t>
  </si>
  <si>
    <t>KLAREA</t>
  </si>
  <si>
    <t xml:space="preserve"> TVEGA CONCRETOS</t>
  </si>
  <si>
    <t xml:space="preserve"> GLOBAL SOLUTION TORREBELL</t>
  </si>
  <si>
    <t xml:space="preserve">EL CAMBIO SOLO ES EN EL FLETE </t>
  </si>
  <si>
    <t xml:space="preserve">MANTENIMIENTO Y CIVIL </t>
  </si>
  <si>
    <t>ASFALTOS Y TRITURADOS BASALTIC</t>
  </si>
  <si>
    <t>TREN MEX-QRO F3 (H)</t>
  </si>
  <si>
    <t>CRUDO CALIZA TIPO B</t>
  </si>
  <si>
    <t>CAMOMO AGREGADOS</t>
  </si>
  <si>
    <t>65251399</t>
  </si>
  <si>
    <t>OBR-AGR   PLANTA COMARCA (JARV)</t>
  </si>
  <si>
    <t>DA04</t>
  </si>
  <si>
    <t xml:space="preserve"> PD0989 CELAYA CX MOTA-TQI</t>
  </si>
  <si>
    <t>0020.001 PUNTO PRINCIPAL (CARPETA ASFALTICA)</t>
  </si>
  <si>
    <t xml:space="preserve">67383337	</t>
  </si>
  <si>
    <t>ORIENTAL YUHON IT (DSF)</t>
  </si>
  <si>
    <t>Medilaf</t>
  </si>
  <si>
    <t>ESMA SJR</t>
  </si>
  <si>
    <t>FEDETA</t>
  </si>
  <si>
    <t>Estrategias Avanzadas</t>
  </si>
  <si>
    <t>ULTRACONCRETO S.A. DE C.V.</t>
  </si>
  <si>
    <t>Agg Ocean leader (Promexma Cancun)</t>
  </si>
  <si>
    <t>31.12.3308</t>
  </si>
  <si>
    <t>31.12.3309</t>
  </si>
  <si>
    <t>OJO EL FLETE VA AL FRENTE 67386636</t>
  </si>
  <si>
    <t>ANSA AGREGADOS CALERO</t>
  </si>
  <si>
    <t>Grava Triturada Basalto 20 mm - 3/4"</t>
  </si>
  <si>
    <t>Base Hidraúlica Basalto de 1 1/2 a finos</t>
  </si>
  <si>
    <t>Polvos Triturados Basalto 3/4¨a finos</t>
  </si>
  <si>
    <t>PARKER HANNIFIN JFVE</t>
  </si>
  <si>
    <t>CASA MAESTRA - PLANTA 1</t>
  </si>
  <si>
    <t>CASA MAESTRA - PLANTA 2</t>
  </si>
  <si>
    <t>CASA MAESTRA - PLANTA 3</t>
  </si>
  <si>
    <t>FINSA FULLER 2</t>
  </si>
  <si>
    <t>CONCRETEX</t>
  </si>
  <si>
    <t>31.12.3334</t>
  </si>
  <si>
    <t>31.12.3335</t>
  </si>
  <si>
    <t>31.12.3336</t>
  </si>
  <si>
    <t>31.12.3337</t>
  </si>
  <si>
    <t>31.12.3338</t>
  </si>
  <si>
    <t>31.12.3339</t>
  </si>
  <si>
    <t>31.12.3340</t>
  </si>
  <si>
    <t>31.12.3341</t>
  </si>
  <si>
    <t>31.12.3342</t>
  </si>
  <si>
    <t>31.12.3343</t>
  </si>
  <si>
    <t>31.12.3344</t>
  </si>
  <si>
    <t>31.12.3345</t>
  </si>
  <si>
    <t>31.12.3346</t>
  </si>
  <si>
    <t>31.12.3347</t>
  </si>
  <si>
    <t>31.12.3348</t>
  </si>
  <si>
    <t>31.12.3349</t>
  </si>
  <si>
    <t>31.12.3350</t>
  </si>
  <si>
    <t>31.12.3351</t>
  </si>
  <si>
    <t>31.12.3352</t>
  </si>
  <si>
    <t>31.12.3353</t>
  </si>
  <si>
    <t>31.12.3354</t>
  </si>
  <si>
    <t>31.12.3355</t>
  </si>
  <si>
    <t>31.12.3356</t>
  </si>
  <si>
    <t>31.12.3357</t>
  </si>
  <si>
    <t>31.12.3358</t>
  </si>
  <si>
    <t>31.12.3359</t>
  </si>
  <si>
    <t>31.12.3360</t>
  </si>
  <si>
    <t>31.12.3361</t>
  </si>
  <si>
    <t>31.12.3362</t>
  </si>
  <si>
    <t>31.12.3363</t>
  </si>
  <si>
    <t>31.12.3364</t>
  </si>
  <si>
    <t>Grava Triturada Caliza 40- 4mm - 1 1/2-4</t>
  </si>
  <si>
    <t>ETAPA 2 NAVE K4 KAIZEN</t>
  </si>
  <si>
    <t>TRANSPORTES MARMOR JM</t>
  </si>
  <si>
    <t>Julio</t>
  </si>
  <si>
    <t>OBRA BATI (NIRAM)</t>
  </si>
  <si>
    <t>CONCRETOS LOGO Gomez Palacio</t>
  </si>
  <si>
    <t>67386704 </t>
  </si>
  <si>
    <t>MUROS DE CONCRETO GALINDILLO</t>
  </si>
  <si>
    <t xml:space="preserve"> </t>
  </si>
  <si>
    <t>CONCRETOS SAN JOSÉ</t>
  </si>
  <si>
    <t>Concretos Delese Portales</t>
  </si>
  <si>
    <t>OMEGA</t>
  </si>
  <si>
    <t>D218</t>
  </si>
  <si>
    <t>Cemex Concretos Colima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</si>
</sst>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0"/>
    <numFmt numFmtId="167" formatCode="_-* #,##0.0_-;\-* #,##0.0_-;_-* &quot;-&quot;??_-;_-@_-"/>
    <numFmt numFmtId="168" formatCode="0.0%"/>
    <numFmt numFmtId="169" formatCode="0.0000"/>
    <numFmt numFmtId="170" formatCode="_(&quot;$&quot;* #,##0.0_);[Red]_(\-&quot;$&quot;* #,##0.0_);\-"/>
    <numFmt numFmtId="171" formatCode="&quot;$&quot;#,##0.00"/>
    <numFmt numFmtId="176" formatCode="&quot;$&quot;\ #,##0.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indexed="56"/>
      <name val="Calibri"/>
      <family val="2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0"/>
      <color rgb="FF201F1E"/>
      <name val="Aptos Narrow"/>
      <family val="2"/>
      <scheme val="minor"/>
    </font>
    <font>
      <b/>
      <sz val="10"/>
      <name val="Arial"/>
      <family val="2"/>
    </font>
    <font>
      <sz val="10"/>
      <name val="Aptos Narrow"/>
      <family val="2"/>
      <scheme val="minor"/>
    </font>
    <font>
      <sz val="10"/>
      <name val="Calibri"/>
      <family val="2"/>
    </font>
    <font>
      <sz val="9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indexed="8"/>
      <name val="Calibri"/>
      <family val="2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FF0000"/>
      <name val="Calibri"/>
      <family val="2"/>
    </font>
    <font>
      <sz val="9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41">
    <xf numFmtId="0" fontId="0" fillId="0" borderId="0" xfId="0"/>
    <xf numFmtId="0" fontId="4" fillId="0" borderId="0" xfId="0" applyFont="1"/>
    <xf numFmtId="166" fontId="0" fillId="0" borderId="0" xfId="0" applyNumberFormat="1"/>
    <xf numFmtId="0" fontId="4" fillId="2" borderId="0" xfId="0" applyFont="1" applyFill="1"/>
    <xf numFmtId="0" fontId="0" fillId="2" borderId="0" xfId="0" applyFill="1"/>
    <xf numFmtId="0" fontId="7" fillId="0" borderId="0" xfId="0" applyFont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/>
    <xf numFmtId="9" fontId="9" fillId="6" borderId="4" xfId="2" applyFont="1" applyFill="1" applyBorder="1" applyAlignment="1">
      <alignment horizontal="center" vertical="top"/>
    </xf>
    <xf numFmtId="9" fontId="9" fillId="6" borderId="6" xfId="2" applyFont="1" applyFill="1" applyBorder="1" applyAlignment="1">
      <alignment horizontal="center" vertical="top"/>
    </xf>
    <xf numFmtId="164" fontId="0" fillId="0" borderId="0" xfId="1" applyFont="1"/>
    <xf numFmtId="0" fontId="7" fillId="0" borderId="0" xfId="0" applyFont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164" fontId="0" fillId="0" borderId="0" xfId="1" applyFont="1" applyFill="1"/>
    <xf numFmtId="164" fontId="3" fillId="0" borderId="0" xfId="1" applyFont="1" applyFill="1"/>
    <xf numFmtId="164" fontId="3" fillId="2" borderId="1" xfId="1" applyFont="1" applyFill="1" applyBorder="1" applyAlignment="1">
      <alignment horizontal="center" vertical="center"/>
    </xf>
    <xf numFmtId="164" fontId="3" fillId="7" borderId="0" xfId="1" applyFont="1" applyFill="1" applyBorder="1" applyAlignment="1">
      <alignment horizontal="center"/>
    </xf>
    <xf numFmtId="164" fontId="3" fillId="9" borderId="0" xfId="1" applyFont="1" applyFill="1"/>
    <xf numFmtId="164" fontId="3" fillId="9" borderId="0" xfId="1" applyFont="1" applyFill="1" applyBorder="1" applyAlignment="1">
      <alignment horizontal="center"/>
    </xf>
    <xf numFmtId="164" fontId="13" fillId="9" borderId="0" xfId="1" applyFont="1" applyFill="1" applyAlignment="1">
      <alignment vertical="top"/>
    </xf>
    <xf numFmtId="170" fontId="0" fillId="7" borderId="0" xfId="5" applyNumberFormat="1" applyFont="1" applyFill="1" applyBorder="1" applyAlignment="1">
      <alignment horizontal="center"/>
    </xf>
    <xf numFmtId="0" fontId="14" fillId="2" borderId="0" xfId="0" applyFont="1" applyFill="1"/>
    <xf numFmtId="0" fontId="10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64" fontId="0" fillId="2" borderId="0" xfId="1" applyFont="1" applyFill="1"/>
    <xf numFmtId="0" fontId="0" fillId="2" borderId="0" xfId="0" applyFill="1" applyAlignment="1">
      <alignment horizontal="center"/>
    </xf>
    <xf numFmtId="0" fontId="8" fillId="2" borderId="0" xfId="0" applyFont="1" applyFill="1"/>
    <xf numFmtId="164" fontId="8" fillId="2" borderId="0" xfId="1" applyFont="1" applyFill="1" applyBorder="1"/>
    <xf numFmtId="0" fontId="10" fillId="2" borderId="0" xfId="0" applyFont="1" applyFill="1" applyAlignment="1">
      <alignment horizontal="left" vertical="center"/>
    </xf>
    <xf numFmtId="0" fontId="8" fillId="11" borderId="0" xfId="0" applyFont="1" applyFill="1"/>
    <xf numFmtId="0" fontId="10" fillId="11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left" vertical="center"/>
    </xf>
    <xf numFmtId="14" fontId="10" fillId="11" borderId="0" xfId="0" applyNumberFormat="1" applyFont="1" applyFill="1" applyAlignment="1">
      <alignment horizontal="center" vertical="center"/>
    </xf>
    <xf numFmtId="167" fontId="8" fillId="11" borderId="0" xfId="3" applyNumberFormat="1" applyFont="1" applyFill="1" applyBorder="1"/>
    <xf numFmtId="9" fontId="8" fillId="11" borderId="0" xfId="2" applyFont="1" applyFill="1" applyBorder="1"/>
    <xf numFmtId="165" fontId="8" fillId="11" borderId="0" xfId="0" applyNumberFormat="1" applyFont="1" applyFill="1"/>
    <xf numFmtId="164" fontId="8" fillId="11" borderId="0" xfId="1" applyFont="1" applyFill="1" applyBorder="1"/>
    <xf numFmtId="168" fontId="8" fillId="11" borderId="0" xfId="2" applyNumberFormat="1" applyFont="1" applyFill="1" applyBorder="1"/>
    <xf numFmtId="164" fontId="8" fillId="11" borderId="0" xfId="0" applyNumberFormat="1" applyFont="1" applyFill="1"/>
    <xf numFmtId="0" fontId="8" fillId="11" borderId="0" xfId="0" applyFont="1" applyFill="1" applyAlignment="1">
      <alignment horizontal="center"/>
    </xf>
    <xf numFmtId="0" fontId="14" fillId="11" borderId="0" xfId="0" applyFont="1" applyFill="1"/>
    <xf numFmtId="0" fontId="15" fillId="11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left" vertical="center"/>
    </xf>
    <xf numFmtId="164" fontId="17" fillId="11" borderId="0" xfId="1" applyFont="1" applyFill="1" applyBorder="1"/>
    <xf numFmtId="14" fontId="15" fillId="11" borderId="0" xfId="0" applyNumberFormat="1" applyFont="1" applyFill="1" applyAlignment="1">
      <alignment horizontal="center" vertical="center"/>
    </xf>
    <xf numFmtId="167" fontId="14" fillId="11" borderId="0" xfId="3" applyNumberFormat="1" applyFont="1" applyFill="1" applyBorder="1"/>
    <xf numFmtId="9" fontId="14" fillId="11" borderId="0" xfId="2" applyFont="1" applyFill="1" applyBorder="1"/>
    <xf numFmtId="164" fontId="14" fillId="11" borderId="0" xfId="1" applyFont="1" applyFill="1" applyBorder="1"/>
    <xf numFmtId="165" fontId="14" fillId="11" borderId="0" xfId="0" applyNumberFormat="1" applyFont="1" applyFill="1"/>
    <xf numFmtId="168" fontId="14" fillId="11" borderId="0" xfId="2" applyNumberFormat="1" applyFont="1" applyFill="1" applyBorder="1"/>
    <xf numFmtId="164" fontId="14" fillId="11" borderId="0" xfId="0" applyNumberFormat="1" applyFont="1" applyFill="1"/>
    <xf numFmtId="0" fontId="8" fillId="11" borderId="0" xfId="0" applyFont="1" applyFill="1" applyAlignment="1">
      <alignment horizontal="right"/>
    </xf>
    <xf numFmtId="0" fontId="18" fillId="11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left" vertical="center"/>
    </xf>
    <xf numFmtId="14" fontId="18" fillId="11" borderId="0" xfId="0" applyNumberFormat="1" applyFont="1" applyFill="1" applyAlignment="1">
      <alignment horizontal="center" vertical="center"/>
    </xf>
    <xf numFmtId="164" fontId="8" fillId="11" borderId="0" xfId="1" applyFont="1" applyFill="1" applyBorder="1" applyAlignment="1">
      <alignment horizontal="center"/>
    </xf>
    <xf numFmtId="167" fontId="8" fillId="11" borderId="0" xfId="3" applyNumberFormat="1" applyFont="1" applyFill="1" applyBorder="1" applyAlignment="1">
      <alignment horizontal="center"/>
    </xf>
    <xf numFmtId="165" fontId="8" fillId="11" borderId="0" xfId="0" applyNumberFormat="1" applyFont="1" applyFill="1" applyAlignment="1">
      <alignment horizontal="center"/>
    </xf>
    <xf numFmtId="0" fontId="8" fillId="11" borderId="0" xfId="0" applyFont="1" applyFill="1" applyAlignment="1">
      <alignment horizontal="left"/>
    </xf>
    <xf numFmtId="168" fontId="8" fillId="11" borderId="0" xfId="2" applyNumberFormat="1" applyFont="1" applyFill="1" applyBorder="1" applyAlignment="1">
      <alignment horizontal="center"/>
    </xf>
    <xf numFmtId="164" fontId="8" fillId="11" borderId="0" xfId="0" applyNumberFormat="1" applyFont="1" applyFill="1" applyAlignment="1">
      <alignment horizontal="center"/>
    </xf>
    <xf numFmtId="0" fontId="0" fillId="11" borderId="0" xfId="0" applyFill="1"/>
    <xf numFmtId="169" fontId="0" fillId="11" borderId="0" xfId="0" applyNumberFormat="1" applyFill="1"/>
    <xf numFmtId="165" fontId="8" fillId="11" borderId="0" xfId="3" applyFont="1" applyFill="1" applyBorder="1"/>
    <xf numFmtId="164" fontId="0" fillId="11" borderId="0" xfId="0" applyNumberFormat="1" applyFill="1"/>
    <xf numFmtId="0" fontId="17" fillId="11" borderId="0" xfId="0" applyFont="1" applyFill="1"/>
    <xf numFmtId="165" fontId="14" fillId="11" borderId="0" xfId="3" applyFont="1" applyFill="1" applyBorder="1"/>
    <xf numFmtId="164" fontId="17" fillId="11" borderId="0" xfId="0" applyNumberFormat="1" applyFont="1" applyFill="1"/>
    <xf numFmtId="0" fontId="22" fillId="11" borderId="0" xfId="0" applyFont="1" applyFill="1"/>
    <xf numFmtId="0" fontId="23" fillId="11" borderId="0" xfId="0" applyFont="1" applyFill="1" applyAlignment="1">
      <alignment horizontal="center" vertical="center"/>
    </xf>
    <xf numFmtId="14" fontId="23" fillId="11" borderId="0" xfId="0" applyNumberFormat="1" applyFont="1" applyFill="1" applyAlignment="1">
      <alignment horizontal="center" vertical="center"/>
    </xf>
    <xf numFmtId="0" fontId="21" fillId="11" borderId="0" xfId="0" applyFont="1" applyFill="1"/>
    <xf numFmtId="165" fontId="22" fillId="11" borderId="0" xfId="3" applyFont="1" applyFill="1" applyBorder="1"/>
    <xf numFmtId="164" fontId="21" fillId="11" borderId="0" xfId="0" applyNumberFormat="1" applyFont="1" applyFill="1"/>
    <xf numFmtId="164" fontId="22" fillId="11" borderId="0" xfId="1" applyFont="1" applyFill="1" applyBorder="1"/>
    <xf numFmtId="168" fontId="22" fillId="11" borderId="0" xfId="2" applyNumberFormat="1" applyFont="1" applyFill="1" applyBorder="1"/>
    <xf numFmtId="164" fontId="22" fillId="11" borderId="0" xfId="0" applyNumberFormat="1" applyFont="1" applyFill="1"/>
    <xf numFmtId="0" fontId="21" fillId="11" borderId="0" xfId="2" applyNumberFormat="1" applyFont="1" applyFill="1"/>
    <xf numFmtId="165" fontId="0" fillId="11" borderId="0" xfId="0" applyNumberFormat="1" applyFill="1"/>
    <xf numFmtId="164" fontId="12" fillId="2" borderId="0" xfId="1" applyFont="1" applyFill="1" applyBorder="1"/>
    <xf numFmtId="164" fontId="0" fillId="2" borderId="0" xfId="1" applyFont="1" applyFill="1" applyBorder="1" applyAlignment="1">
      <alignment horizontal="center"/>
    </xf>
    <xf numFmtId="164" fontId="14" fillId="2" borderId="0" xfId="1" applyFont="1" applyFill="1" applyBorder="1"/>
    <xf numFmtId="164" fontId="11" fillId="2" borderId="0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164" fontId="0" fillId="2" borderId="0" xfId="1" applyFont="1" applyFill="1" applyBorder="1"/>
    <xf numFmtId="164" fontId="17" fillId="2" borderId="0" xfId="1" applyFont="1" applyFill="1" applyBorder="1"/>
    <xf numFmtId="0" fontId="17" fillId="2" borderId="0" xfId="0" applyFont="1" applyFill="1"/>
    <xf numFmtId="164" fontId="21" fillId="2" borderId="0" xfId="1" applyFont="1" applyFill="1"/>
    <xf numFmtId="0" fontId="21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64" fontId="14" fillId="2" borderId="0" xfId="1" applyFont="1" applyFill="1" applyBorder="1" applyAlignment="1">
      <alignment horizontal="center"/>
    </xf>
    <xf numFmtId="164" fontId="11" fillId="2" borderId="0" xfId="1" applyFont="1" applyFill="1" applyAlignment="1">
      <alignment horizontal="center"/>
    </xf>
    <xf numFmtId="0" fontId="14" fillId="12" borderId="0" xfId="0" applyFont="1" applyFill="1"/>
    <xf numFmtId="0" fontId="10" fillId="1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/>
    </xf>
    <xf numFmtId="0" fontId="10" fillId="12" borderId="0" xfId="0" applyFont="1" applyFill="1" applyAlignment="1">
      <alignment horizontal="left"/>
    </xf>
    <xf numFmtId="0" fontId="11" fillId="12" borderId="0" xfId="0" applyFont="1" applyFill="1" applyAlignment="1">
      <alignment horizontal="center"/>
    </xf>
    <xf numFmtId="0" fontId="18" fillId="12" borderId="0" xfId="0" applyFont="1" applyFill="1" applyAlignment="1">
      <alignment horizontal="left" vertical="center"/>
    </xf>
    <xf numFmtId="164" fontId="11" fillId="12" borderId="0" xfId="1" applyFont="1" applyFill="1" applyAlignment="1">
      <alignment horizontal="center"/>
    </xf>
    <xf numFmtId="0" fontId="0" fillId="12" borderId="0" xfId="0" applyFill="1" applyAlignment="1">
      <alignment horizontal="center"/>
    </xf>
    <xf numFmtId="14" fontId="18" fillId="12" borderId="0" xfId="0" applyNumberFormat="1" applyFont="1" applyFill="1" applyAlignment="1">
      <alignment horizontal="center" vertical="center"/>
    </xf>
    <xf numFmtId="0" fontId="8" fillId="12" borderId="0" xfId="0" applyFont="1" applyFill="1"/>
    <xf numFmtId="0" fontId="0" fillId="12" borderId="0" xfId="0" applyFill="1"/>
    <xf numFmtId="0" fontId="17" fillId="12" borderId="0" xfId="0" applyFont="1" applyFill="1"/>
    <xf numFmtId="165" fontId="8" fillId="12" borderId="0" xfId="3" applyFont="1" applyFill="1" applyBorder="1"/>
    <xf numFmtId="164" fontId="17" fillId="12" borderId="0" xfId="1" applyFont="1" applyFill="1" applyBorder="1"/>
    <xf numFmtId="164" fontId="0" fillId="12" borderId="0" xfId="1" applyFont="1" applyFill="1"/>
    <xf numFmtId="164" fontId="0" fillId="12" borderId="0" xfId="0" applyNumberFormat="1" applyFill="1"/>
    <xf numFmtId="164" fontId="8" fillId="12" borderId="0" xfId="1" applyFont="1" applyFill="1" applyBorder="1"/>
    <xf numFmtId="168" fontId="8" fillId="12" borderId="0" xfId="2" applyNumberFormat="1" applyFont="1" applyFill="1" applyBorder="1"/>
    <xf numFmtId="164" fontId="8" fillId="12" borderId="0" xfId="0" applyNumberFormat="1" applyFont="1" applyFill="1"/>
    <xf numFmtId="0" fontId="18" fillId="0" borderId="0" xfId="0" applyFont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11" fillId="8" borderId="0" xfId="0" applyFont="1" applyFill="1" applyAlignment="1">
      <alignment horizontal="center"/>
    </xf>
    <xf numFmtId="0" fontId="18" fillId="8" borderId="0" xfId="0" applyFont="1" applyFill="1" applyAlignment="1">
      <alignment horizontal="left" vertical="center"/>
    </xf>
    <xf numFmtId="0" fontId="0" fillId="13" borderId="0" xfId="0" applyFill="1"/>
    <xf numFmtId="0" fontId="0" fillId="14" borderId="0" xfId="0" applyFill="1"/>
    <xf numFmtId="0" fontId="14" fillId="14" borderId="0" xfId="0" applyFont="1" applyFill="1"/>
    <xf numFmtId="0" fontId="8" fillId="14" borderId="0" xfId="0" applyFont="1" applyFill="1"/>
    <xf numFmtId="0" fontId="0" fillId="14" borderId="0" xfId="0" applyFill="1" applyAlignment="1">
      <alignment horizontal="center"/>
    </xf>
    <xf numFmtId="0" fontId="18" fillId="14" borderId="0" xfId="0" applyFont="1" applyFill="1" applyAlignment="1">
      <alignment horizontal="left" vertical="center"/>
    </xf>
    <xf numFmtId="0" fontId="10" fillId="14" borderId="0" xfId="0" applyFont="1" applyFill="1" applyAlignment="1">
      <alignment horizontal="center" vertical="center"/>
    </xf>
    <xf numFmtId="14" fontId="18" fillId="14" borderId="0" xfId="0" applyNumberFormat="1" applyFont="1" applyFill="1" applyAlignment="1">
      <alignment horizontal="center" vertical="center"/>
    </xf>
    <xf numFmtId="165" fontId="8" fillId="14" borderId="0" xfId="3" applyFont="1" applyFill="1" applyBorder="1"/>
    <xf numFmtId="164" fontId="17" fillId="14" borderId="0" xfId="1" applyFont="1" applyFill="1" applyBorder="1"/>
    <xf numFmtId="164" fontId="0" fillId="14" borderId="0" xfId="1" applyFont="1" applyFill="1"/>
    <xf numFmtId="164" fontId="0" fillId="14" borderId="0" xfId="0" applyNumberFormat="1" applyFill="1"/>
    <xf numFmtId="164" fontId="8" fillId="14" borderId="0" xfId="1" applyFont="1" applyFill="1" applyBorder="1"/>
    <xf numFmtId="168" fontId="8" fillId="14" borderId="0" xfId="2" applyNumberFormat="1" applyFont="1" applyFill="1" applyBorder="1"/>
    <xf numFmtId="164" fontId="8" fillId="14" borderId="0" xfId="0" applyNumberFormat="1" applyFont="1" applyFill="1"/>
    <xf numFmtId="0" fontId="21" fillId="14" borderId="0" xfId="0" applyFont="1" applyFill="1"/>
    <xf numFmtId="0" fontId="22" fillId="14" borderId="0" xfId="0" applyFont="1" applyFill="1"/>
    <xf numFmtId="0" fontId="21" fillId="14" borderId="0" xfId="0" applyFont="1" applyFill="1" applyAlignment="1">
      <alignment horizontal="center"/>
    </xf>
    <xf numFmtId="0" fontId="23" fillId="14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center" vertical="center"/>
    </xf>
    <xf numFmtId="14" fontId="23" fillId="14" borderId="0" xfId="0" applyNumberFormat="1" applyFont="1" applyFill="1" applyAlignment="1">
      <alignment horizontal="center" vertical="center"/>
    </xf>
    <xf numFmtId="165" fontId="22" fillId="14" borderId="0" xfId="3" applyFont="1" applyFill="1" applyBorder="1"/>
    <xf numFmtId="164" fontId="21" fillId="14" borderId="0" xfId="1" applyFont="1" applyFill="1" applyBorder="1"/>
    <xf numFmtId="164" fontId="21" fillId="14" borderId="0" xfId="1" applyFont="1" applyFill="1"/>
    <xf numFmtId="164" fontId="21" fillId="14" borderId="0" xfId="0" applyNumberFormat="1" applyFont="1" applyFill="1"/>
    <xf numFmtId="164" fontId="22" fillId="14" borderId="0" xfId="1" applyFont="1" applyFill="1" applyBorder="1"/>
    <xf numFmtId="168" fontId="22" fillId="14" borderId="0" xfId="2" applyNumberFormat="1" applyFont="1" applyFill="1" applyBorder="1"/>
    <xf numFmtId="164" fontId="22" fillId="14" borderId="0" xfId="0" applyNumberFormat="1" applyFont="1" applyFill="1"/>
    <xf numFmtId="0" fontId="2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left"/>
    </xf>
    <xf numFmtId="0" fontId="24" fillId="2" borderId="0" xfId="0" applyFont="1" applyFill="1" applyAlignment="1">
      <alignment horizontal="center"/>
    </xf>
    <xf numFmtId="0" fontId="23" fillId="11" borderId="0" xfId="0" applyFont="1" applyFill="1" applyAlignment="1">
      <alignment horizontal="left" vertical="center"/>
    </xf>
    <xf numFmtId="164" fontId="24" fillId="2" borderId="0" xfId="1" applyFont="1" applyFill="1" applyAlignment="1">
      <alignment horizontal="center"/>
    </xf>
    <xf numFmtId="164" fontId="21" fillId="11" borderId="0" xfId="1" applyFont="1" applyFill="1" applyBorder="1"/>
    <xf numFmtId="164" fontId="22" fillId="2" borderId="0" xfId="1" applyFont="1" applyFill="1" applyBorder="1"/>
    <xf numFmtId="0" fontId="0" fillId="0" borderId="0" xfId="0" applyAlignment="1">
      <alignment horizontal="center" vertical="center"/>
    </xf>
    <xf numFmtId="164" fontId="5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2" fillId="4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1" fillId="0" borderId="0" xfId="0" applyFont="1"/>
    <xf numFmtId="0" fontId="21" fillId="13" borderId="0" xfId="0" applyFont="1" applyFill="1"/>
    <xf numFmtId="0" fontId="22" fillId="2" borderId="0" xfId="0" applyFont="1" applyFill="1"/>
    <xf numFmtId="164" fontId="21" fillId="0" borderId="0" xfId="0" applyNumberFormat="1" applyFont="1"/>
    <xf numFmtId="0" fontId="17" fillId="0" borderId="0" xfId="0" applyFont="1"/>
    <xf numFmtId="0" fontId="17" fillId="13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164" fontId="16" fillId="2" borderId="0" xfId="1" applyFont="1" applyFill="1" applyAlignment="1">
      <alignment horizontal="center"/>
    </xf>
    <xf numFmtId="164" fontId="17" fillId="2" borderId="0" xfId="1" applyFont="1" applyFill="1"/>
    <xf numFmtId="0" fontId="2" fillId="15" borderId="9" xfId="0" applyFont="1" applyFill="1" applyBorder="1"/>
    <xf numFmtId="0" fontId="0" fillId="16" borderId="9" xfId="0" applyFill="1" applyBorder="1"/>
    <xf numFmtId="0" fontId="0" fillId="0" borderId="9" xfId="0" applyBorder="1"/>
    <xf numFmtId="0" fontId="2" fillId="15" borderId="0" xfId="0" applyFont="1" applyFill="1"/>
    <xf numFmtId="0" fontId="0" fillId="16" borderId="0" xfId="0" applyFill="1"/>
    <xf numFmtId="0" fontId="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14" fontId="18" fillId="2" borderId="0" xfId="0" applyNumberFormat="1" applyFont="1" applyFill="1" applyAlignment="1">
      <alignment horizontal="center" vertical="center"/>
    </xf>
    <xf numFmtId="165" fontId="22" fillId="2" borderId="0" xfId="3" applyFont="1" applyFill="1" applyBorder="1"/>
    <xf numFmtId="164" fontId="0" fillId="2" borderId="0" xfId="0" applyNumberFormat="1" applyFill="1"/>
    <xf numFmtId="168" fontId="8" fillId="2" borderId="0" xfId="2" applyNumberFormat="1" applyFont="1" applyFill="1" applyBorder="1"/>
    <xf numFmtId="164" fontId="8" fillId="2" borderId="0" xfId="0" applyNumberFormat="1" applyFont="1" applyFill="1"/>
    <xf numFmtId="164" fontId="1" fillId="2" borderId="0" xfId="1" applyFont="1" applyFill="1"/>
    <xf numFmtId="164" fontId="1" fillId="2" borderId="0" xfId="1" applyFont="1" applyFill="1" applyAlignment="1">
      <alignment horizontal="center" vertical="center"/>
    </xf>
    <xf numFmtId="164" fontId="0" fillId="17" borderId="0" xfId="1" applyFont="1" applyFill="1"/>
    <xf numFmtId="164" fontId="4" fillId="0" borderId="0" xfId="1" applyFont="1"/>
    <xf numFmtId="9" fontId="0" fillId="0" borderId="0" xfId="2" applyFont="1"/>
    <xf numFmtId="164" fontId="5" fillId="5" borderId="4" xfId="1" applyFont="1" applyFill="1" applyBorder="1" applyAlignment="1">
      <alignment horizontal="center" vertical="center"/>
    </xf>
    <xf numFmtId="0" fontId="14" fillId="13" borderId="0" xfId="0" applyFont="1" applyFill="1"/>
    <xf numFmtId="0" fontId="15" fillId="13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/>
    </xf>
    <xf numFmtId="0" fontId="15" fillId="13" borderId="0" xfId="0" applyFont="1" applyFill="1" applyAlignment="1">
      <alignment horizontal="left"/>
    </xf>
    <xf numFmtId="0" fontId="16" fillId="13" borderId="0" xfId="0" applyFont="1" applyFill="1" applyAlignment="1">
      <alignment horizontal="center"/>
    </xf>
    <xf numFmtId="164" fontId="16" fillId="13" borderId="0" xfId="1" applyFont="1" applyFill="1" applyAlignment="1">
      <alignment horizontal="center"/>
    </xf>
    <xf numFmtId="14" fontId="15" fillId="13" borderId="0" xfId="0" applyNumberFormat="1" applyFont="1" applyFill="1" applyAlignment="1">
      <alignment horizontal="center" vertical="center"/>
    </xf>
    <xf numFmtId="164" fontId="14" fillId="13" borderId="0" xfId="1" applyFont="1" applyFill="1" applyBorder="1"/>
    <xf numFmtId="165" fontId="14" fillId="13" borderId="0" xfId="3" applyFont="1" applyFill="1" applyBorder="1"/>
    <xf numFmtId="164" fontId="17" fillId="13" borderId="0" xfId="1" applyFont="1" applyFill="1" applyBorder="1"/>
    <xf numFmtId="164" fontId="17" fillId="13" borderId="0" xfId="0" applyNumberFormat="1" applyFont="1" applyFill="1"/>
    <xf numFmtId="168" fontId="14" fillId="13" borderId="0" xfId="2" applyNumberFormat="1" applyFont="1" applyFill="1" applyBorder="1"/>
    <xf numFmtId="164" fontId="14" fillId="13" borderId="0" xfId="0" applyNumberFormat="1" applyFont="1" applyFill="1"/>
    <xf numFmtId="0" fontId="10" fillId="13" borderId="0" xfId="0" applyFont="1" applyFill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/>
    </xf>
    <xf numFmtId="0" fontId="10" fillId="13" borderId="0" xfId="0" applyFont="1" applyFill="1" applyAlignment="1">
      <alignment horizontal="left"/>
    </xf>
    <xf numFmtId="0" fontId="11" fillId="13" borderId="0" xfId="0" applyFont="1" applyFill="1" applyAlignment="1">
      <alignment horizontal="center"/>
    </xf>
    <xf numFmtId="164" fontId="11" fillId="13" borderId="0" xfId="1" applyFont="1" applyFill="1" applyAlignment="1">
      <alignment horizontal="center"/>
    </xf>
    <xf numFmtId="14" fontId="18" fillId="13" borderId="0" xfId="0" applyNumberFormat="1" applyFont="1" applyFill="1" applyAlignment="1">
      <alignment horizontal="center" vertical="center"/>
    </xf>
    <xf numFmtId="164" fontId="12" fillId="13" borderId="0" xfId="1" applyFont="1" applyFill="1" applyBorder="1"/>
    <xf numFmtId="165" fontId="8" fillId="13" borderId="0" xfId="3" applyFont="1" applyFill="1" applyBorder="1"/>
    <xf numFmtId="164" fontId="0" fillId="13" borderId="0" xfId="0" applyNumberFormat="1" applyFill="1"/>
    <xf numFmtId="0" fontId="8" fillId="13" borderId="0" xfId="0" applyFont="1" applyFill="1"/>
    <xf numFmtId="164" fontId="8" fillId="13" borderId="0" xfId="1" applyFont="1" applyFill="1" applyBorder="1"/>
    <xf numFmtId="168" fontId="8" fillId="13" borderId="0" xfId="2" applyNumberFormat="1" applyFont="1" applyFill="1" applyBorder="1"/>
    <xf numFmtId="164" fontId="8" fillId="13" borderId="0" xfId="0" applyNumberFormat="1" applyFont="1" applyFill="1"/>
    <xf numFmtId="171" fontId="25" fillId="0" borderId="8" xfId="6" applyNumberFormat="1" applyFont="1" applyBorder="1" applyAlignment="1">
      <alignment horizontal="center" vertical="center"/>
    </xf>
    <xf numFmtId="171" fontId="22" fillId="18" borderId="8" xfId="6" applyNumberFormat="1" applyFont="1" applyFill="1" applyBorder="1" applyAlignment="1">
      <alignment horizontal="center" vertical="center"/>
    </xf>
    <xf numFmtId="0" fontId="14" fillId="18" borderId="0" xfId="0" applyFont="1" applyFill="1"/>
    <xf numFmtId="0" fontId="17" fillId="18" borderId="0" xfId="0" applyFont="1" applyFill="1"/>
    <xf numFmtId="0" fontId="0" fillId="18" borderId="0" xfId="0" applyFill="1"/>
    <xf numFmtId="0" fontId="10" fillId="18" borderId="0" xfId="0" applyFont="1" applyFill="1" applyAlignment="1">
      <alignment horizontal="center" vertical="center"/>
    </xf>
    <xf numFmtId="0" fontId="23" fillId="18" borderId="0" xfId="0" applyFon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10" fillId="18" borderId="0" xfId="0" applyFont="1" applyFill="1" applyAlignment="1">
      <alignment horizontal="left"/>
    </xf>
    <xf numFmtId="0" fontId="11" fillId="18" borderId="0" xfId="0" applyFont="1" applyFill="1" applyAlignment="1">
      <alignment horizontal="center"/>
    </xf>
    <xf numFmtId="14" fontId="18" fillId="18" borderId="0" xfId="0" applyNumberFormat="1" applyFont="1" applyFill="1" applyAlignment="1">
      <alignment horizontal="center" vertical="center"/>
    </xf>
    <xf numFmtId="164" fontId="12" fillId="18" borderId="0" xfId="1" applyFont="1" applyFill="1" applyBorder="1"/>
    <xf numFmtId="165" fontId="8" fillId="18" borderId="0" xfId="3" applyFont="1" applyFill="1" applyBorder="1"/>
    <xf numFmtId="164" fontId="17" fillId="18" borderId="0" xfId="1" applyFont="1" applyFill="1" applyBorder="1"/>
    <xf numFmtId="164" fontId="0" fillId="18" borderId="0" xfId="0" applyNumberFormat="1" applyFill="1"/>
    <xf numFmtId="0" fontId="8" fillId="18" borderId="0" xfId="0" applyFont="1" applyFill="1"/>
    <xf numFmtId="164" fontId="8" fillId="18" borderId="0" xfId="1" applyFont="1" applyFill="1" applyBorder="1"/>
    <xf numFmtId="168" fontId="8" fillId="18" borderId="0" xfId="2" applyNumberFormat="1" applyFont="1" applyFill="1" applyBorder="1"/>
    <xf numFmtId="164" fontId="8" fillId="18" borderId="0" xfId="0" applyNumberFormat="1" applyFont="1" applyFill="1"/>
    <xf numFmtId="171" fontId="22" fillId="0" borderId="8" xfId="6" applyNumberFormat="1" applyFont="1" applyBorder="1" applyAlignment="1">
      <alignment horizontal="center" vertical="center"/>
    </xf>
    <xf numFmtId="164" fontId="21" fillId="2" borderId="0" xfId="0" applyNumberFormat="1" applyFont="1" applyFill="1"/>
    <xf numFmtId="9" fontId="0" fillId="0" borderId="0" xfId="0" applyNumberFormat="1"/>
    <xf numFmtId="0" fontId="8" fillId="2" borderId="0" xfId="0" applyFont="1" applyFill="1" applyAlignment="1">
      <alignment horizontal="left"/>
    </xf>
    <xf numFmtId="165" fontId="1" fillId="19" borderId="0" xfId="8" applyFont="1" applyFill="1" applyAlignment="1">
      <alignment horizontal="center" vertical="center"/>
    </xf>
    <xf numFmtId="165" fontId="1" fillId="19" borderId="0" xfId="8" applyFont="1" applyFill="1"/>
    <xf numFmtId="164" fontId="0" fillId="2" borderId="0" xfId="1" applyFont="1" applyFill="1" applyAlignment="1">
      <alignment horizontal="center"/>
    </xf>
    <xf numFmtId="164" fontId="0" fillId="0" borderId="0" xfId="1" applyFont="1" applyAlignment="1">
      <alignment horizontal="center"/>
    </xf>
    <xf numFmtId="164" fontId="0" fillId="2" borderId="0" xfId="1" applyFont="1" applyFill="1" applyAlignment="1">
      <alignment horizontal="center" vertical="center"/>
    </xf>
    <xf numFmtId="164" fontId="25" fillId="0" borderId="8" xfId="1" applyFont="1" applyBorder="1" applyAlignment="1">
      <alignment horizontal="center" vertical="center"/>
    </xf>
    <xf numFmtId="164" fontId="22" fillId="0" borderId="8" xfId="1" applyFont="1" applyBorder="1" applyAlignment="1">
      <alignment horizontal="center" vertical="center"/>
    </xf>
    <xf numFmtId="0" fontId="17" fillId="14" borderId="0" xfId="0" applyFont="1" applyFill="1"/>
    <xf numFmtId="0" fontId="10" fillId="14" borderId="0" xfId="0" applyFont="1" applyFill="1" applyAlignment="1">
      <alignment horizontal="left"/>
    </xf>
    <xf numFmtId="0" fontId="11" fillId="14" borderId="0" xfId="0" applyFont="1" applyFill="1" applyAlignment="1">
      <alignment horizontal="center"/>
    </xf>
    <xf numFmtId="164" fontId="11" fillId="14" borderId="0" xfId="1" applyFont="1" applyFill="1" applyAlignment="1">
      <alignment horizontal="center"/>
    </xf>
    <xf numFmtId="164" fontId="12" fillId="14" borderId="0" xfId="1" applyFont="1" applyFill="1" applyBorder="1"/>
    <xf numFmtId="0" fontId="14" fillId="9" borderId="0" xfId="0" applyFont="1" applyFill="1"/>
    <xf numFmtId="0" fontId="17" fillId="9" borderId="0" xfId="0" applyFont="1" applyFill="1"/>
    <xf numFmtId="0" fontId="0" fillId="9" borderId="0" xfId="0" applyFill="1"/>
    <xf numFmtId="0" fontId="10" fillId="9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10" fillId="9" borderId="0" xfId="0" applyFont="1" applyFill="1" applyAlignment="1">
      <alignment horizontal="left"/>
    </xf>
    <xf numFmtId="0" fontId="11" fillId="9" borderId="0" xfId="0" applyFont="1" applyFill="1" applyAlignment="1">
      <alignment horizontal="center"/>
    </xf>
    <xf numFmtId="164" fontId="11" fillId="9" borderId="0" xfId="1" applyFont="1" applyFill="1" applyAlignment="1">
      <alignment horizontal="center"/>
    </xf>
    <xf numFmtId="14" fontId="18" fillId="9" borderId="0" xfId="0" applyNumberFormat="1" applyFont="1" applyFill="1" applyAlignment="1">
      <alignment horizontal="center" vertical="center"/>
    </xf>
    <xf numFmtId="164" fontId="12" fillId="9" borderId="0" xfId="1" applyFont="1" applyFill="1" applyBorder="1"/>
    <xf numFmtId="165" fontId="8" fillId="9" borderId="0" xfId="3" applyFont="1" applyFill="1" applyBorder="1"/>
    <xf numFmtId="164" fontId="17" fillId="9" borderId="0" xfId="1" applyFont="1" applyFill="1" applyBorder="1"/>
    <xf numFmtId="164" fontId="0" fillId="9" borderId="0" xfId="0" applyNumberFormat="1" applyFill="1"/>
    <xf numFmtId="0" fontId="8" fillId="9" borderId="0" xfId="0" applyFont="1" applyFill="1"/>
    <xf numFmtId="164" fontId="8" fillId="9" borderId="0" xfId="1" applyFont="1" applyFill="1" applyBorder="1"/>
    <xf numFmtId="168" fontId="8" fillId="9" borderId="0" xfId="2" applyNumberFormat="1" applyFont="1" applyFill="1" applyBorder="1"/>
    <xf numFmtId="164" fontId="8" fillId="9" borderId="0" xfId="0" applyNumberFormat="1" applyFont="1" applyFill="1"/>
    <xf numFmtId="164" fontId="0" fillId="20" borderId="0" xfId="1" applyFont="1" applyFill="1"/>
    <xf numFmtId="0" fontId="14" fillId="21" borderId="0" xfId="0" applyFont="1" applyFill="1"/>
    <xf numFmtId="0" fontId="17" fillId="21" borderId="0" xfId="0" applyFont="1" applyFill="1"/>
    <xf numFmtId="0" fontId="0" fillId="21" borderId="0" xfId="0" applyFill="1"/>
    <xf numFmtId="0" fontId="10" fillId="21" borderId="0" xfId="0" applyFont="1" applyFill="1" applyAlignment="1">
      <alignment horizontal="center" vertical="center"/>
    </xf>
    <xf numFmtId="0" fontId="23" fillId="21" borderId="0" xfId="0" applyFont="1" applyFill="1" applyAlignment="1">
      <alignment horizontal="center" vertical="center"/>
    </xf>
    <xf numFmtId="0" fontId="0" fillId="21" borderId="0" xfId="0" applyFill="1" applyAlignment="1">
      <alignment horizontal="center"/>
    </xf>
    <xf numFmtId="0" fontId="10" fillId="21" borderId="0" xfId="0" applyFont="1" applyFill="1" applyAlignment="1">
      <alignment horizontal="left"/>
    </xf>
    <xf numFmtId="0" fontId="11" fillId="21" borderId="0" xfId="0" applyFont="1" applyFill="1" applyAlignment="1">
      <alignment horizontal="center"/>
    </xf>
    <xf numFmtId="164" fontId="11" fillId="21" borderId="0" xfId="1" applyFont="1" applyFill="1" applyAlignment="1">
      <alignment horizontal="center"/>
    </xf>
    <xf numFmtId="14" fontId="18" fillId="21" borderId="0" xfId="0" applyNumberFormat="1" applyFont="1" applyFill="1" applyAlignment="1">
      <alignment horizontal="center" vertical="center"/>
    </xf>
    <xf numFmtId="164" fontId="12" fillId="21" borderId="0" xfId="1" applyFont="1" applyFill="1" applyBorder="1"/>
    <xf numFmtId="165" fontId="8" fillId="21" borderId="0" xfId="3" applyFont="1" applyFill="1" applyBorder="1"/>
    <xf numFmtId="164" fontId="17" fillId="21" borderId="0" xfId="1" applyFont="1" applyFill="1" applyBorder="1"/>
    <xf numFmtId="164" fontId="0" fillId="21" borderId="0" xfId="0" applyNumberFormat="1" applyFill="1"/>
    <xf numFmtId="0" fontId="8" fillId="21" borderId="0" xfId="0" applyFont="1" applyFill="1"/>
    <xf numFmtId="164" fontId="8" fillId="21" borderId="0" xfId="1" applyFont="1" applyFill="1" applyBorder="1"/>
    <xf numFmtId="168" fontId="8" fillId="21" borderId="0" xfId="2" applyNumberFormat="1" applyFont="1" applyFill="1" applyBorder="1"/>
    <xf numFmtId="164" fontId="8" fillId="21" borderId="0" xfId="0" applyNumberFormat="1" applyFont="1" applyFill="1"/>
    <xf numFmtId="165" fontId="8" fillId="2" borderId="0" xfId="3" applyFont="1" applyFill="1" applyBorder="1"/>
    <xf numFmtId="17" fontId="5" fillId="5" borderId="4" xfId="1" applyNumberFormat="1" applyFont="1" applyFill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164" fontId="12" fillId="12" borderId="0" xfId="1" applyFont="1" applyFill="1" applyBorder="1"/>
    <xf numFmtId="0" fontId="20" fillId="10" borderId="8" xfId="0" applyFont="1" applyFill="1" applyBorder="1" applyAlignment="1">
      <alignment horizontal="center" vertical="center" wrapText="1"/>
    </xf>
    <xf numFmtId="0" fontId="0" fillId="0" borderId="8" xfId="0" applyBorder="1"/>
    <xf numFmtId="4" fontId="0" fillId="0" borderId="0" xfId="0" applyNumberFormat="1"/>
    <xf numFmtId="0" fontId="10" fillId="2" borderId="0" xfId="0" applyFont="1" applyFill="1"/>
    <xf numFmtId="0" fontId="5" fillId="2" borderId="2" xfId="0" applyFont="1" applyFill="1" applyBorder="1" applyAlignment="1">
      <alignment horizontal="center" vertical="center"/>
    </xf>
    <xf numFmtId="44" fontId="0" fillId="0" borderId="0" xfId="0" applyNumberFormat="1"/>
    <xf numFmtId="0" fontId="14" fillId="22" borderId="0" xfId="0" applyFont="1" applyFill="1"/>
    <xf numFmtId="0" fontId="17" fillId="22" borderId="0" xfId="0" applyFont="1" applyFill="1"/>
    <xf numFmtId="0" fontId="0" fillId="22" borderId="0" xfId="0" applyFill="1"/>
    <xf numFmtId="0" fontId="10" fillId="22" borderId="0" xfId="0" applyFont="1" applyFill="1" applyAlignment="1">
      <alignment horizontal="center" vertical="center"/>
    </xf>
    <xf numFmtId="0" fontId="23" fillId="22" borderId="0" xfId="0" applyFont="1" applyFill="1" applyAlignment="1">
      <alignment horizontal="center" vertical="center"/>
    </xf>
    <xf numFmtId="0" fontId="0" fillId="22" borderId="0" xfId="0" applyFill="1" applyAlignment="1">
      <alignment horizontal="center"/>
    </xf>
    <xf numFmtId="0" fontId="0" fillId="22" borderId="0" xfId="0" applyFill="1" applyAlignment="1">
      <alignment horizontal="left"/>
    </xf>
    <xf numFmtId="164" fontId="12" fillId="22" borderId="0" xfId="1" applyFont="1" applyFill="1" applyBorder="1"/>
    <xf numFmtId="14" fontId="18" fillId="22" borderId="0" xfId="0" applyNumberFormat="1" applyFont="1" applyFill="1" applyAlignment="1">
      <alignment horizontal="center" vertical="center"/>
    </xf>
    <xf numFmtId="165" fontId="8" fillId="22" borderId="0" xfId="3" applyFont="1" applyFill="1" applyBorder="1"/>
    <xf numFmtId="164" fontId="17" fillId="22" borderId="0" xfId="1" applyFont="1" applyFill="1" applyBorder="1"/>
    <xf numFmtId="164" fontId="0" fillId="22" borderId="0" xfId="0" applyNumberFormat="1" applyFill="1"/>
    <xf numFmtId="0" fontId="8" fillId="22" borderId="0" xfId="0" applyFont="1" applyFill="1"/>
    <xf numFmtId="164" fontId="8" fillId="22" borderId="0" xfId="1" applyFont="1" applyFill="1" applyBorder="1"/>
    <xf numFmtId="168" fontId="8" fillId="22" borderId="0" xfId="2" applyNumberFormat="1" applyFont="1" applyFill="1" applyBorder="1"/>
    <xf numFmtId="164" fontId="8" fillId="22" borderId="0" xfId="0" applyNumberFormat="1" applyFont="1" applyFill="1"/>
    <xf numFmtId="0" fontId="7" fillId="23" borderId="0" xfId="0" applyFont="1" applyFill="1"/>
    <xf numFmtId="0" fontId="0" fillId="24" borderId="0" xfId="0" applyFill="1" applyAlignment="1">
      <alignment horizontal="left"/>
    </xf>
    <xf numFmtId="0" fontId="0" fillId="24" borderId="0" xfId="0" applyFill="1" applyAlignment="1">
      <alignment horizontal="center"/>
    </xf>
    <xf numFmtId="0" fontId="0" fillId="24" borderId="0" xfId="0" applyFill="1"/>
    <xf numFmtId="0" fontId="10" fillId="24" borderId="0" xfId="0" applyFont="1" applyFill="1" applyAlignment="1">
      <alignment horizontal="center" vertical="center"/>
    </xf>
    <xf numFmtId="164" fontId="12" fillId="24" borderId="0" xfId="1" applyFont="1" applyFill="1" applyBorder="1"/>
    <xf numFmtId="14" fontId="18" fillId="24" borderId="0" xfId="0" applyNumberFormat="1" applyFont="1" applyFill="1" applyAlignment="1">
      <alignment horizontal="center" vertical="center"/>
    </xf>
    <xf numFmtId="0" fontId="14" fillId="24" borderId="0" xfId="0" applyFont="1" applyFill="1"/>
    <xf numFmtId="0" fontId="6" fillId="3" borderId="0" xfId="0" applyFont="1" applyFill="1" applyAlignment="1" applyProtection="1">
      <alignment horizontal="center"/>
      <protection locked="0"/>
    </xf>
    <xf numFmtId="0" fontId="9" fillId="6" borderId="7" xfId="0" applyFont="1" applyFill="1" applyBorder="1" applyAlignment="1">
      <alignment horizontal="center" vertical="top" wrapText="1"/>
    </xf>
    <xf numFmtId="0" fontId="9" fillId="6" borderId="0" xfId="0" applyFont="1" applyFill="1" applyAlignment="1">
      <alignment horizontal="center" vertical="top" wrapText="1"/>
    </xf>
    <xf numFmtId="176" fontId="0" fillId="2" borderId="0" xfId="0" applyNumberFormat="1" applyFill="1"/>
  </cellXfs>
  <cellStyles count="10">
    <cellStyle name="Comma 2" xfId="3" xr:uid="{2D270AE8-6E6A-4272-A37E-43B85987BAFE}"/>
    <cellStyle name="Comma 2 2" xfId="7" xr:uid="{34C71FED-F79D-4D08-ADE7-E707D9C7CD92}"/>
    <cellStyle name="Comma 2 3" xfId="9" xr:uid="{4A546BFE-7642-4EB7-AA9C-A044B97C310D}"/>
    <cellStyle name="Currency 2 3 2 2 2 2" xfId="5" xr:uid="{FE314813-5B89-4808-82A9-7EBC6803C56F}"/>
    <cellStyle name="Currency 8" xfId="4" xr:uid="{86232274-67FB-4153-8CC5-5E64063B9925}"/>
    <cellStyle name="Millares" xfId="8" builtinId="3"/>
    <cellStyle name="Moneda" xfId="1" builtinId="4"/>
    <cellStyle name="Moneda 2" xfId="6" xr:uid="{E9685E8E-68C5-400E-A206-DB718ADCD4DB}"/>
    <cellStyle name="Normal" xfId="0" builtinId="0"/>
    <cellStyle name="Porcentaje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customXml" Target="../customXml/item2.xml"/><Relationship Id="rId10" Type="http://schemas.openxmlformats.org/officeDocument/2006/relationships/externalLink" Target="externalLinks/externalLink4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3600" cy="730250"/>
    <xdr:pic>
      <xdr:nvPicPr>
        <xdr:cNvPr id="2" name="il_fi" descr="http://www.myihub.com/Portals/1/images/sap.jpg">
          <a:extLst>
            <a:ext uri="{FF2B5EF4-FFF2-40B4-BE49-F238E27FC236}">
              <a16:creationId xmlns:a16="http://schemas.microsoft.com/office/drawing/2014/main" id="{7B18BE08-40CA-4889-A207-91AAFD540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636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SMARTINEZMN/AppData/Local/Microsoft/Windows/INetCache/Content.Outlook/CAF1QF5M/Alta%20de%20precios%20GURAM%20(CICLOVIA%20SAN%20JUAN%20BOSCO)%2018.NOV.2025.xlsx" TargetMode="External"/><Relationship Id="rId2" Type="http://schemas.openxmlformats.org/officeDocument/2006/relationships/externalLinkPath" Target="file:///C:\Users\MSMARTINEZMN\AppData\Local\Microsoft\Windows\INetCache\Content.Outlook\CAF1QF5M\Alta%20de%20precios%20GURAM%20(CICLOVIA%20SAN%20JUAN%20BOSCO)%2018.NOV.2025.xlsx" TargetMode="External"/><Relationship Id="rId1" Type="http://schemas.openxmlformats.org/officeDocument/2006/relationships/externalLinkPath" Target="/Users/MSMARTINEZMN/AppData/Local/Microsoft/Windows/INetCache/Content.Outlook/CAF1QF5M/Alta%20de%20precios%20GURAM%20(CICLOVIA%20SAN%20JUAN%20BOSCO)%2018.NOV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mex-my.sharepoint.com/personal/edwin_ramos_ext_cemex_com/Documents/Archivos%20de%20chat%20de%20Microsoft%20Teams/3Z.xlsx" TargetMode="External"/><Relationship Id="rId1" Type="http://schemas.openxmlformats.org/officeDocument/2006/relationships/externalLinkPath" Target="https://cemex-my.sharepoint.com/personal/edwin_ramos_ext_cemex_com/Documents/Archivos%20de%20chat%20de%20Microsoft%20Teams/3Z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mex-my.sharepoint.com/personal/ambar_garcia_ext_cemex_com/Documents/250227%20FORMATO%20Reporte%20de%20precios%20Agregados%20ZICP%20(2).xlsb" TargetMode="External"/><Relationship Id="rId1" Type="http://schemas.openxmlformats.org/officeDocument/2006/relationships/externalLinkPath" Target="https://cemex-my.sharepoint.com/personal/ambar_garcia_ext_cemex_com/Documents/250227%20FORMATO%20Reporte%20de%20precios%20Agregados%20ZICP%20(2).xlsb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SMARTINEZMN/AppData/Local/Microsoft/Windows/INetCache/Content.Outlook/CAF1QF5M/TRABAJO%202025%2012%2008%20Precios%20de%20Transferencia%20a%20Filial%20desde%20Canteras%20Propias.xlsx" TargetMode="External"/><Relationship Id="rId2" Type="http://schemas.openxmlformats.org/officeDocument/2006/relationships/externalLinkPath" Target="file:///C:\Users\MSMARTINEZMN\AppData\Local\Microsoft\Windows\INetCache\Content.Outlook\CAF1QF5M\TRABAJO%202025%2012%2008%20Precios%20de%20Transferencia%20a%20Filial%20desde%20Canteras%20Propias.xlsx" TargetMode="External"/><Relationship Id="rId1" Type="http://schemas.openxmlformats.org/officeDocument/2006/relationships/externalLinkPath" Target="/Users/MSMARTINEZMN/AppData/Local/Microsoft/Windows/INetCache/Content.Outlook/CAF1QF5M/TRABAJO%202025%2012%2008%20Precios%20de%20Transferencia%20a%20Filial%20desde%20Canteras%20Propia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SMARTINEZMN/AppData/Roaming/Microsoft/Excel/TRABAJO%202025%2011%2011%20Precios%20de%20Transferencia%20a%20Filial%20desde%20Canteras%20Propias%20(version%201).xlsb" TargetMode="External"/><Relationship Id="rId2" Type="http://schemas.openxmlformats.org/officeDocument/2006/relationships/externalLinkPath" Target="file:///C:\Users\MSMARTINEZMN\AppData\Roaming\Microsoft\Excel\TRABAJO%202025%2011%2011%20Precios%20de%20Transferencia%20a%20Filial%20desde%20Canteras%20Propias%20(version%201).xlsb" TargetMode="External"/><Relationship Id="rId1" Type="http://schemas.openxmlformats.org/officeDocument/2006/relationships/externalLinkPath" Target="/Users/MSMARTINEZMN/AppData/Roaming/Microsoft/Excel/TRABAJO%202025%2011%2011%20Precios%20de%20Transferencia%20a%20Filial%20desde%20Canteras%20Propias%20(version%201).xlsb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emex-my.sharepoint.com/personal/marishamara_martinez_cemex_com/Documents/RESPALDO%201/SHAMARA/MATERIA%20PRIMA/CANTERAS/SOLICITUDES/TRABAJO%202025%2010%2009%20Precios%20de%20Transferencia%20a%20Filial%20desde%20Canteras%20Propias%20vf.xlsx" TargetMode="External"/><Relationship Id="rId2" Type="http://schemas.microsoft.com/office/2019/04/relationships/externalLinkLongPath" Target="https://cemex-my.sharepoint.com/personal/marishamara_martinez_cemex_com/Documents/RESPALDO%201/SHAMARA/MATERIA%20PRIMA/CANTERAS/SOLICITUDES/TRABAJO%202025%2010%2009%20Precios%20de%20Transferencia%20a%20Filial%20desde%20Canteras%20Propias%20vf.xlsx?A9759646" TargetMode="External"/><Relationship Id="rId1" Type="http://schemas.openxmlformats.org/officeDocument/2006/relationships/externalLinkPath" Target="file:///\\A9759646\TRABAJO%202025%2010%2009%20Precios%20de%20Transferencia%20a%20Filial%20desde%20Canteras%20Propias%20vf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SMARTINEZMN/AppData/Local/Microsoft/Windows/INetCache/Content.Outlook/CAF1QF5M/TRABAJO%202025%2009%2005%20Precios%20de%20Transferencia%20a%20Filial%20desde%20Canteras%20Propias.xlsx" TargetMode="External"/><Relationship Id="rId2" Type="http://schemas.openxmlformats.org/officeDocument/2006/relationships/externalLinkPath" Target="file:///C:\Users\MSMARTINEZMN\AppData\Local\Microsoft\Windows\INetCache\Content.Outlook\CAF1QF5M\TRABAJO%202025%2009%2005%20Precios%20de%20Transferencia%20a%20Filial%20desde%20Canteras%20Propias.xlsx" TargetMode="External"/><Relationship Id="rId1" Type="http://schemas.openxmlformats.org/officeDocument/2006/relationships/externalLinkPath" Target="/Users/MSMARTINEZMN/AppData/Local/Microsoft/Windows/INetCache/Content.Outlook/CAF1QF5M/TRABAJO%202025%2009%2005%20Precios%20de%20Transferencia%20a%20Filial%20desde%20Canteras%20Propias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SMARTINEZMN/AppData/Local/Microsoft/Windows/INetCache/Content.Outlook/CAF1QF5M/TRABAJO%202025%2008%2007%20Precios%20de%20Transferencia%20a%20Filial%20desde%20Canteras%20Propias.xlsx" TargetMode="External"/><Relationship Id="rId2" Type="http://schemas.openxmlformats.org/officeDocument/2006/relationships/externalLinkPath" Target="file:///C:\Users\MSMARTINEZMN\AppData\Local\Microsoft\Windows\INetCache\Content.Outlook\CAF1QF5M\TRABAJO%202025%2008%2007%20Precios%20de%20Transferencia%20a%20Filial%20desde%20Canteras%20Propias.xlsx" TargetMode="External"/><Relationship Id="rId1" Type="http://schemas.openxmlformats.org/officeDocument/2006/relationships/externalLinkPath" Target="/Users/MSMARTINEZMN/AppData/Local/Microsoft/Windows/INetCache/Content.Outlook/CAF1QF5M/TRABAJO%202025%2008%2007%20Precios%20de%20Transferencia%20a%20Filial%20desde%20Canteras%20Propias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SMARTINEZMN/AppData/Local/Microsoft/Windows/INetCache/Content.Outlook/TL0T0A36/TRABAJO%202025%2007%2004%20Precios%20de%20Transferencia%20a%20Filial%20desde%20Canteras%20Propias.xlsx" TargetMode="External"/><Relationship Id="rId2" Type="http://schemas.openxmlformats.org/officeDocument/2006/relationships/externalLinkPath" Target="file:///C:\Users\MSMARTINEZMN\AppData\Local\Microsoft\Windows\INetCache\Content.Outlook\TL0T0A36\TRABAJO%202025%2007%2004%20Precios%20de%20Transferencia%20a%20Filial%20desde%20Canteras%20Propias.xlsx" TargetMode="External"/><Relationship Id="rId1" Type="http://schemas.openxmlformats.org/officeDocument/2006/relationships/externalLinkPath" Target="/Users/MSMARTINEZMN/AppData/Local/Microsoft/Windows/INetCache/Content.Outlook/TL0T0A36/TRABAJO%202025%2007%2004%20Precios%20de%20Transferencia%20a%20Filial%20desde%20Canteras%20Propias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SMARTINEZMN/AppData/Local/Microsoft/Windows/INetCache/Content.Outlook/TL0T0A36/TRABAJO%202025%2006%2011%20Precios%20de%20Transferencia%20a%20Filial%20desde%20Canteras%20Propias.xlsx" TargetMode="External"/><Relationship Id="rId2" Type="http://schemas.openxmlformats.org/officeDocument/2006/relationships/externalLinkPath" Target="file:///C:\Users\MSMARTINEZMN\AppData\Local\Microsoft\Windows\INetCache\Content.Outlook\TL0T0A36\TRABAJO%202025%2006%2011%20Precios%20de%20Transferencia%20a%20Filial%20desde%20Canteras%20Propias.xlsx" TargetMode="External"/><Relationship Id="rId1" Type="http://schemas.openxmlformats.org/officeDocument/2006/relationships/externalLinkPath" Target="/Users/MSMARTINEZMN/AppData/Local/Microsoft/Windows/INetCache/Content.Outlook/TL0T0A36/TRABAJO%202025%2006%2011%20Precios%20de%20Transferencia%20a%20Filial%20desde%20Canteras%20Propias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SMARTINEZMN/OneDrive%20-%20CEMEX/RESPALDO%201/SHAMARA/MATERIA%20PRIMA/CANTERAS/ZCIP-ZMIF-COSTOS%20FILIAL.xlsx" TargetMode="External"/><Relationship Id="rId2" Type="http://schemas.openxmlformats.org/officeDocument/2006/relationships/externalLinkPath" Target="https://cemex-my.sharepoint.com/personal/marishamara_martinez_cemex_com/Documents/RESPALDO%201/SHAMARA/MATERIA%20PRIMA/CANTERAS/ZCIP-ZMIF-COSTOS%20FILIAL.xlsx" TargetMode="External"/><Relationship Id="rId1" Type="http://schemas.openxmlformats.org/officeDocument/2006/relationships/externalLinkPath" Target="/Users/MSMARTINEZMN/OneDrive%20-%20CEMEX/RESPALDO%201/SHAMARA/MATERIA%20PRIMA/CANTERAS/ZCIP-ZMIF-COSTOS%20FIL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cciones"/>
      <sheetName val="Precio Base "/>
      <sheetName val="Validación"/>
      <sheetName val="Formato cambio"/>
      <sheetName val="Ctes Nuevos"/>
      <sheetName val="Tamaño"/>
      <sheetName val="Calidad"/>
      <sheetName val="Plazo"/>
      <sheetName val="Segmento"/>
    </sheetNames>
    <sheetDataSet>
      <sheetData sheetId="0" refreshError="1"/>
      <sheetData sheetId="1" refreshError="1">
        <row r="2">
          <cell r="D2">
            <v>10000234</v>
          </cell>
          <cell r="E2" t="str">
            <v>Arena Triturada Basalto  Malla 4</v>
          </cell>
        </row>
        <row r="3">
          <cell r="D3">
            <v>10000285</v>
          </cell>
          <cell r="E3" t="str">
            <v>Grava Triturada Basalto  10 mm - 3/8"</v>
          </cell>
        </row>
        <row r="4">
          <cell r="D4">
            <v>10000287</v>
          </cell>
          <cell r="E4" t="str">
            <v>Grava Triturada Basalto  40 mm - 1 1/2"</v>
          </cell>
        </row>
        <row r="5">
          <cell r="D5">
            <v>10019127</v>
          </cell>
          <cell r="E5" t="str">
            <v>Grava Triturada Basalto 20mm - 3/4" -B</v>
          </cell>
        </row>
        <row r="6">
          <cell r="D6">
            <v>10019815</v>
          </cell>
          <cell r="E6" t="str">
            <v>No Clasificado Triturado Basalto</v>
          </cell>
        </row>
        <row r="7">
          <cell r="D7">
            <v>10023108</v>
          </cell>
          <cell r="E7" t="str">
            <v>Base H Triturada Basalto  1 1/2" a Finos</v>
          </cell>
        </row>
        <row r="8">
          <cell r="D8">
            <v>10115877</v>
          </cell>
          <cell r="E8" t="str">
            <v>SUB BASE HIDRÁULICA DE 1 1/2" A FINOS</v>
          </cell>
        </row>
        <row r="9">
          <cell r="D9">
            <v>10038659</v>
          </cell>
          <cell r="E9" t="str">
            <v>Grava Triturada Caliza 40 mm - 1 1/2"</v>
          </cell>
        </row>
        <row r="10">
          <cell r="D10">
            <v>10038940</v>
          </cell>
          <cell r="E10" t="str">
            <v>Sello Triturado Caliza 6MM - 1/4"</v>
          </cell>
        </row>
        <row r="11">
          <cell r="D11">
            <v>10038942</v>
          </cell>
          <cell r="E11" t="str">
            <v>Arena Triturada Caliza Malla 8</v>
          </cell>
        </row>
        <row r="12">
          <cell r="D12">
            <v>10038943</v>
          </cell>
          <cell r="E12" t="str">
            <v>Arena Triturada Caliza Malla 4</v>
          </cell>
        </row>
        <row r="13">
          <cell r="D13">
            <v>10038945</v>
          </cell>
          <cell r="E13" t="str">
            <v>Grava Triturada Caliza 20 mm - 3/4"</v>
          </cell>
        </row>
        <row r="14">
          <cell r="D14">
            <v>10038947</v>
          </cell>
          <cell r="E14" t="str">
            <v>Grava Triturada Caliza 10 mm - 3/8"</v>
          </cell>
        </row>
        <row r="15">
          <cell r="D15">
            <v>10038949</v>
          </cell>
          <cell r="E15" t="str">
            <v>Grava Triturada Caliza 10 mm - 3/8"</v>
          </cell>
        </row>
        <row r="16">
          <cell r="D16">
            <v>10038950</v>
          </cell>
          <cell r="E16" t="str">
            <v>Grava Triturada Caliza 20 mm - 3/4"</v>
          </cell>
        </row>
        <row r="17">
          <cell r="D17">
            <v>10038952</v>
          </cell>
          <cell r="E17" t="str">
            <v>Arena Triturada Caliza Malla 4</v>
          </cell>
        </row>
        <row r="18">
          <cell r="D18">
            <v>10038955</v>
          </cell>
          <cell r="E18" t="str">
            <v>Base H Triturada Caliza 1 1/2" a Finos</v>
          </cell>
        </row>
        <row r="19">
          <cell r="D19">
            <v>10038956</v>
          </cell>
          <cell r="E19" t="str">
            <v>Sobretamaño Caliza</v>
          </cell>
        </row>
        <row r="20">
          <cell r="D20">
            <v>10038957</v>
          </cell>
          <cell r="E20" t="str">
            <v>Arena Triturada Caliza Block</v>
          </cell>
        </row>
        <row r="21">
          <cell r="D21">
            <v>10049672</v>
          </cell>
          <cell r="E21" t="str">
            <v>Grava Triturada Caliza 40- 4mm - 1 1/2-4</v>
          </cell>
        </row>
        <row r="22">
          <cell r="D22">
            <v>10038941</v>
          </cell>
          <cell r="E22" t="str">
            <v>Desperdicio Triturado Caliza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ZMIF"/>
      <sheetName val="ZMIF"/>
      <sheetName val="Datos ZICP"/>
      <sheetName val="ZICP"/>
      <sheetName val="Datos ZICF"/>
      <sheetName val="ZICF"/>
      <sheetName val="Conciliacion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H1" t="str">
            <v>Material</v>
          </cell>
          <cell r="I1" t="str">
            <v>Denominación</v>
          </cell>
          <cell r="J1" t="str">
            <v>Importe ZICP</v>
          </cell>
          <cell r="K1" t="str">
            <v>Moneda Condición</v>
          </cell>
          <cell r="L1" t="str">
            <v>UM</v>
          </cell>
          <cell r="M1" t="str">
            <v>Válido de</v>
          </cell>
          <cell r="N1" t="str">
            <v>Fin validez</v>
          </cell>
          <cell r="O1" t="str">
            <v>Creado</v>
          </cell>
          <cell r="P1" t="str">
            <v>Clase ZMIF</v>
          </cell>
          <cell r="Q1" t="str">
            <v>Importe ZMIF</v>
          </cell>
          <cell r="R1" t="str">
            <v>Moneda Condición</v>
          </cell>
          <cell r="S1" t="str">
            <v>UM</v>
          </cell>
          <cell r="T1" t="str">
            <v>Válido de ZMIF</v>
          </cell>
          <cell r="U1" t="str">
            <v>Fin validez ZMIF</v>
          </cell>
          <cell r="V1" t="str">
            <v>Clase ZICF</v>
          </cell>
          <cell r="W1" t="str">
            <v>Modalidad</v>
          </cell>
          <cell r="X1" t="str">
            <v>Importe ZICF</v>
          </cell>
          <cell r="Y1" t="str">
            <v>Moneda Condición</v>
          </cell>
          <cell r="Z1" t="str">
            <v>UM</v>
          </cell>
          <cell r="AA1" t="str">
            <v>Válido de ZICF</v>
          </cell>
          <cell r="AB1" t="str">
            <v>Fin validez ZICF</v>
          </cell>
          <cell r="AC1" t="str">
            <v>MATERIAL</v>
          </cell>
        </row>
        <row r="2">
          <cell r="H2" t="str">
            <v>10000253</v>
          </cell>
          <cell r="I2" t="str">
            <v>Grava Triturada Andesita 20 mm</v>
          </cell>
          <cell r="J2">
            <v>96.03</v>
          </cell>
          <cell r="K2" t="str">
            <v>MXN</v>
          </cell>
          <cell r="L2" t="str">
            <v>TN</v>
          </cell>
          <cell r="M2" t="str">
            <v>01.08.2026</v>
          </cell>
          <cell r="N2" t="str">
            <v>31.12.9999</v>
          </cell>
          <cell r="O2" t="str">
            <v>28.07.2026</v>
          </cell>
          <cell r="P2" t="str">
            <v>ZMIF</v>
          </cell>
          <cell r="Q2">
            <v>12.13</v>
          </cell>
          <cell r="R2" t="str">
            <v>MXN</v>
          </cell>
          <cell r="S2" t="str">
            <v>TN</v>
          </cell>
          <cell r="T2" t="str">
            <v>01.08.2026</v>
          </cell>
          <cell r="U2" t="str">
            <v>31.12.9999</v>
          </cell>
          <cell r="V2" t="str">
            <v>ZICF</v>
          </cell>
          <cell r="W2" t="str">
            <v>01</v>
          </cell>
          <cell r="X2">
            <v>156.41</v>
          </cell>
          <cell r="Y2" t="str">
            <v>MXN</v>
          </cell>
          <cell r="Z2" t="str">
            <v>TN</v>
          </cell>
          <cell r="AA2" t="str">
            <v>01.04.2025</v>
          </cell>
          <cell r="AB2" t="str">
            <v>31.12.2029</v>
          </cell>
          <cell r="AC2">
            <v>108.16</v>
          </cell>
        </row>
        <row r="3">
          <cell r="H3" t="str">
            <v>10000255</v>
          </cell>
          <cell r="I3" t="str">
            <v>Arena Triturada Andesita Malla</v>
          </cell>
          <cell r="J3">
            <v>95.74</v>
          </cell>
          <cell r="K3" t="str">
            <v>MXN</v>
          </cell>
          <cell r="L3" t="str">
            <v>TN</v>
          </cell>
          <cell r="M3" t="str">
            <v>01.08.2026</v>
          </cell>
          <cell r="N3" t="str">
            <v>31.12.9999</v>
          </cell>
          <cell r="O3" t="str">
            <v>28.07.2026</v>
          </cell>
          <cell r="P3" t="str">
            <v>ZMIF</v>
          </cell>
          <cell r="Q3">
            <v>12.57</v>
          </cell>
          <cell r="R3" t="str">
            <v>MXN</v>
          </cell>
          <cell r="S3" t="str">
            <v>TN</v>
          </cell>
          <cell r="T3" t="str">
            <v>01.08.2026</v>
          </cell>
          <cell r="U3" t="str">
            <v>31.12.9999</v>
          </cell>
          <cell r="V3" t="str">
            <v>ZICF</v>
          </cell>
          <cell r="W3" t="str">
            <v>01</v>
          </cell>
          <cell r="X3">
            <v>142.44</v>
          </cell>
          <cell r="Y3" t="str">
            <v>MXN</v>
          </cell>
          <cell r="Z3" t="str">
            <v>TN</v>
          </cell>
          <cell r="AA3" t="str">
            <v>01.04.2025</v>
          </cell>
          <cell r="AB3" t="str">
            <v>31.12.2029</v>
          </cell>
          <cell r="AC3">
            <v>108.31</v>
          </cell>
        </row>
        <row r="4">
          <cell r="H4" t="str">
            <v>10002350</v>
          </cell>
          <cell r="I4" t="str">
            <v>Grava Triturada Andesita 10mm-</v>
          </cell>
          <cell r="J4">
            <v>96.03</v>
          </cell>
          <cell r="K4" t="str">
            <v>MXN</v>
          </cell>
          <cell r="L4" t="str">
            <v>TN</v>
          </cell>
          <cell r="M4" t="str">
            <v>01.08.2026</v>
          </cell>
          <cell r="N4" t="str">
            <v>31.12.9999</v>
          </cell>
          <cell r="O4" t="str">
            <v>28.07.2026</v>
          </cell>
          <cell r="P4" t="str">
            <v>ZMIF</v>
          </cell>
          <cell r="Q4">
            <v>29.28</v>
          </cell>
          <cell r="R4" t="str">
            <v>MXN</v>
          </cell>
          <cell r="S4" t="str">
            <v>TN</v>
          </cell>
          <cell r="T4" t="str">
            <v>01.08.2026</v>
          </cell>
          <cell r="U4" t="str">
            <v>31.12.9999</v>
          </cell>
          <cell r="V4" t="str">
            <v>ZICF</v>
          </cell>
          <cell r="W4" t="str">
            <v>01</v>
          </cell>
          <cell r="X4">
            <v>167.1</v>
          </cell>
          <cell r="Y4" t="str">
            <v>MXN</v>
          </cell>
          <cell r="Z4" t="str">
            <v>TN</v>
          </cell>
          <cell r="AA4" t="str">
            <v>01.05.2026</v>
          </cell>
          <cell r="AB4" t="str">
            <v>31.12.2030</v>
          </cell>
          <cell r="AC4">
            <v>125.31</v>
          </cell>
        </row>
        <row r="5">
          <cell r="H5" t="str">
            <v>10000253</v>
          </cell>
          <cell r="I5" t="str">
            <v>Grava Triturada Andesita 20 mm</v>
          </cell>
          <cell r="J5">
            <v>96.03</v>
          </cell>
          <cell r="K5" t="str">
            <v>MXN</v>
          </cell>
          <cell r="L5" t="str">
            <v>TN</v>
          </cell>
          <cell r="M5" t="str">
            <v>01.08.2026</v>
          </cell>
          <cell r="N5" t="str">
            <v>31.12.9999</v>
          </cell>
          <cell r="O5" t="str">
            <v>28.07.2026</v>
          </cell>
          <cell r="P5" t="str">
            <v>ZMIF</v>
          </cell>
          <cell r="Q5">
            <v>12.13</v>
          </cell>
          <cell r="R5" t="str">
            <v>MXN</v>
          </cell>
          <cell r="S5" t="str">
            <v>TN</v>
          </cell>
          <cell r="T5" t="str">
            <v>01.08.2026</v>
          </cell>
          <cell r="U5" t="str">
            <v>31.12.9999</v>
          </cell>
          <cell r="V5" t="str">
            <v>ZICF</v>
          </cell>
          <cell r="W5" t="str">
            <v>01</v>
          </cell>
          <cell r="X5">
            <v>162.79</v>
          </cell>
          <cell r="Y5" t="str">
            <v>MXN</v>
          </cell>
          <cell r="Z5" t="str">
            <v>TN</v>
          </cell>
          <cell r="AA5" t="str">
            <v>01.04.2025</v>
          </cell>
          <cell r="AB5" t="str">
            <v>31.12.2029</v>
          </cell>
          <cell r="AC5">
            <v>108.16</v>
          </cell>
        </row>
        <row r="6">
          <cell r="H6" t="str">
            <v>10000255</v>
          </cell>
          <cell r="I6" t="str">
            <v>Arena Triturada Andesita Malla</v>
          </cell>
          <cell r="J6">
            <v>95.74</v>
          </cell>
          <cell r="K6" t="str">
            <v>MXN</v>
          </cell>
          <cell r="L6" t="str">
            <v>TN</v>
          </cell>
          <cell r="M6" t="str">
            <v>01.08.2026</v>
          </cell>
          <cell r="N6" t="str">
            <v>31.12.9999</v>
          </cell>
          <cell r="O6" t="str">
            <v>28.07.2026</v>
          </cell>
          <cell r="P6" t="str">
            <v>ZMIF</v>
          </cell>
          <cell r="Q6">
            <v>12.57</v>
          </cell>
          <cell r="R6" t="str">
            <v>MXN</v>
          </cell>
          <cell r="S6" t="str">
            <v>TN</v>
          </cell>
          <cell r="T6" t="str">
            <v>01.08.2026</v>
          </cell>
          <cell r="U6" t="str">
            <v>31.12.9999</v>
          </cell>
          <cell r="V6" t="str">
            <v>ZICF</v>
          </cell>
          <cell r="W6" t="str">
            <v>01</v>
          </cell>
          <cell r="X6">
            <v>148.25</v>
          </cell>
          <cell r="Y6" t="str">
            <v>MXN</v>
          </cell>
          <cell r="Z6" t="str">
            <v>TN</v>
          </cell>
          <cell r="AA6" t="str">
            <v>01.04.2025</v>
          </cell>
          <cell r="AB6" t="str">
            <v>31.12.2029</v>
          </cell>
          <cell r="AC6">
            <v>108.31</v>
          </cell>
        </row>
        <row r="7">
          <cell r="H7" t="str">
            <v>10002350</v>
          </cell>
          <cell r="I7" t="str">
            <v>Grava Triturada Andesita 10mm-</v>
          </cell>
          <cell r="J7">
            <v>96.03</v>
          </cell>
          <cell r="K7" t="str">
            <v>MXN</v>
          </cell>
          <cell r="L7" t="str">
            <v>TN</v>
          </cell>
          <cell r="M7" t="str">
            <v>01.08.2026</v>
          </cell>
          <cell r="N7" t="str">
            <v>31.12.9999</v>
          </cell>
          <cell r="O7" t="str">
            <v>28.07.2026</v>
          </cell>
          <cell r="P7" t="str">
            <v>ZMIF</v>
          </cell>
          <cell r="Q7">
            <v>29.28</v>
          </cell>
          <cell r="R7" t="str">
            <v>MXN</v>
          </cell>
          <cell r="S7" t="str">
            <v>TN</v>
          </cell>
          <cell r="T7" t="str">
            <v>01.08.2026</v>
          </cell>
          <cell r="U7" t="str">
            <v>31.12.9999</v>
          </cell>
          <cell r="V7" t="str">
            <v>ZICF</v>
          </cell>
          <cell r="W7" t="str">
            <v>01</v>
          </cell>
          <cell r="X7">
            <v>173.92</v>
          </cell>
          <cell r="Y7" t="str">
            <v>MXN</v>
          </cell>
          <cell r="Z7" t="str">
            <v>TN</v>
          </cell>
          <cell r="AA7" t="str">
            <v>01.05.2026</v>
          </cell>
          <cell r="AB7" t="str">
            <v>31.12.2030</v>
          </cell>
          <cell r="AC7">
            <v>125.31</v>
          </cell>
        </row>
        <row r="8">
          <cell r="H8" t="str">
            <v>10000253</v>
          </cell>
          <cell r="I8" t="str">
            <v>Grava Triturada Andesita 20 mm</v>
          </cell>
          <cell r="J8">
            <v>96.03</v>
          </cell>
          <cell r="K8" t="str">
            <v>MXN</v>
          </cell>
          <cell r="L8" t="str">
            <v>TN</v>
          </cell>
          <cell r="M8" t="str">
            <v>01.08.2026</v>
          </cell>
          <cell r="N8" t="str">
            <v>31.12.9999</v>
          </cell>
          <cell r="O8" t="str">
            <v>28.07.2026</v>
          </cell>
          <cell r="P8" t="str">
            <v>ZMIF</v>
          </cell>
          <cell r="Q8">
            <v>12.13</v>
          </cell>
          <cell r="R8" t="str">
            <v>MXN</v>
          </cell>
          <cell r="S8" t="str">
            <v>TN</v>
          </cell>
          <cell r="T8" t="str">
            <v>01.08.2026</v>
          </cell>
          <cell r="U8" t="str">
            <v>31.12.9999</v>
          </cell>
          <cell r="V8" t="str">
            <v>ZICF</v>
          </cell>
          <cell r="W8" t="str">
            <v>01</v>
          </cell>
          <cell r="X8">
            <v>79.8</v>
          </cell>
          <cell r="Y8" t="str">
            <v>MXN</v>
          </cell>
          <cell r="Z8" t="str">
            <v>TN</v>
          </cell>
          <cell r="AA8" t="str">
            <v>01.04.2025</v>
          </cell>
          <cell r="AB8" t="str">
            <v>31.12.2029</v>
          </cell>
          <cell r="AC8">
            <v>108.16</v>
          </cell>
        </row>
        <row r="9">
          <cell r="H9" t="str">
            <v>10000255</v>
          </cell>
          <cell r="I9" t="str">
            <v>Arena Triturada Andesita Malla</v>
          </cell>
          <cell r="J9">
            <v>95.74</v>
          </cell>
          <cell r="K9" t="str">
            <v>MXN</v>
          </cell>
          <cell r="L9" t="str">
            <v>TN</v>
          </cell>
          <cell r="M9" t="str">
            <v>01.08.2026</v>
          </cell>
          <cell r="N9" t="str">
            <v>31.12.9999</v>
          </cell>
          <cell r="O9" t="str">
            <v>28.07.2026</v>
          </cell>
          <cell r="P9" t="str">
            <v>ZMIF</v>
          </cell>
          <cell r="Q9">
            <v>12.57</v>
          </cell>
          <cell r="R9" t="str">
            <v>MXN</v>
          </cell>
          <cell r="S9" t="str">
            <v>TN</v>
          </cell>
          <cell r="T9" t="str">
            <v>01.08.2026</v>
          </cell>
          <cell r="U9" t="str">
            <v>31.12.9999</v>
          </cell>
          <cell r="V9" t="str">
            <v>ZICF</v>
          </cell>
          <cell r="W9" t="str">
            <v>01</v>
          </cell>
          <cell r="X9">
            <v>72.67</v>
          </cell>
          <cell r="Y9" t="str">
            <v>MXN</v>
          </cell>
          <cell r="Z9" t="str">
            <v>TN</v>
          </cell>
          <cell r="AA9" t="str">
            <v>01.04.2025</v>
          </cell>
          <cell r="AB9" t="str">
            <v>31.12.2029</v>
          </cell>
          <cell r="AC9">
            <v>108.31</v>
          </cell>
        </row>
        <row r="10">
          <cell r="H10" t="str">
            <v>10002350</v>
          </cell>
          <cell r="I10" t="str">
            <v>Grava Triturada Andesita 10mm-</v>
          </cell>
          <cell r="J10">
            <v>96.03</v>
          </cell>
          <cell r="K10" t="str">
            <v>MXN</v>
          </cell>
          <cell r="L10" t="str">
            <v>TN</v>
          </cell>
          <cell r="M10" t="str">
            <v>01.08.2026</v>
          </cell>
          <cell r="N10" t="str">
            <v>31.12.9999</v>
          </cell>
          <cell r="O10" t="str">
            <v>28.07.2026</v>
          </cell>
          <cell r="P10" t="str">
            <v>ZMIF</v>
          </cell>
          <cell r="Q10">
            <v>29.28</v>
          </cell>
          <cell r="R10" t="str">
            <v>MXN</v>
          </cell>
          <cell r="S10" t="str">
            <v>TN</v>
          </cell>
          <cell r="T10" t="str">
            <v>01.08.2026</v>
          </cell>
          <cell r="U10" t="str">
            <v>31.12.9999</v>
          </cell>
          <cell r="V10" t="str">
            <v>ZICF</v>
          </cell>
          <cell r="W10" t="str">
            <v>01</v>
          </cell>
          <cell r="X10">
            <v>85.25</v>
          </cell>
          <cell r="Y10" t="str">
            <v>MXN</v>
          </cell>
          <cell r="Z10" t="str">
            <v>TN</v>
          </cell>
          <cell r="AA10" t="str">
            <v>01.05.2026</v>
          </cell>
          <cell r="AB10" t="str">
            <v>31.12.2030</v>
          </cell>
          <cell r="AC10">
            <v>125.31</v>
          </cell>
        </row>
        <row r="11">
          <cell r="H11" t="str">
            <v>10000253</v>
          </cell>
          <cell r="I11" t="str">
            <v>Grava Triturada Andesita 20 mm</v>
          </cell>
          <cell r="J11">
            <v>96.03</v>
          </cell>
          <cell r="K11" t="str">
            <v>MXN</v>
          </cell>
          <cell r="L11" t="str">
            <v>TN</v>
          </cell>
          <cell r="M11" t="str">
            <v>01.08.2026</v>
          </cell>
          <cell r="N11" t="str">
            <v>31.12.9999</v>
          </cell>
          <cell r="O11" t="str">
            <v>28.07.2026</v>
          </cell>
          <cell r="P11" t="str">
            <v>ZMIF</v>
          </cell>
          <cell r="Q11">
            <v>12.13</v>
          </cell>
          <cell r="R11" t="str">
            <v>MXN</v>
          </cell>
          <cell r="S11" t="str">
            <v>TN</v>
          </cell>
          <cell r="T11" t="str">
            <v>01.08.2026</v>
          </cell>
          <cell r="U11" t="str">
            <v>31.12.9999</v>
          </cell>
          <cell r="V11" t="str">
            <v>ZICF</v>
          </cell>
          <cell r="W11" t="str">
            <v>01</v>
          </cell>
          <cell r="X11">
            <v>156.41</v>
          </cell>
          <cell r="Y11" t="str">
            <v>MXN</v>
          </cell>
          <cell r="Z11" t="str">
            <v>TN</v>
          </cell>
          <cell r="AA11" t="str">
            <v>01.04.2025</v>
          </cell>
          <cell r="AB11" t="str">
            <v>31.12.2029</v>
          </cell>
          <cell r="AC11">
            <v>108.16</v>
          </cell>
        </row>
        <row r="12">
          <cell r="H12" t="str">
            <v>10000255</v>
          </cell>
          <cell r="I12" t="str">
            <v>Arena Triturada Andesita Malla</v>
          </cell>
          <cell r="J12">
            <v>95.74</v>
          </cell>
          <cell r="K12" t="str">
            <v>MXN</v>
          </cell>
          <cell r="L12" t="str">
            <v>TN</v>
          </cell>
          <cell r="M12" t="str">
            <v>01.08.2026</v>
          </cell>
          <cell r="N12" t="str">
            <v>31.12.9999</v>
          </cell>
          <cell r="O12" t="str">
            <v>28.07.2026</v>
          </cell>
          <cell r="P12" t="str">
            <v>ZMIF</v>
          </cell>
          <cell r="Q12">
            <v>12.57</v>
          </cell>
          <cell r="R12" t="str">
            <v>MXN</v>
          </cell>
          <cell r="S12" t="str">
            <v>TN</v>
          </cell>
          <cell r="T12" t="str">
            <v>01.08.2026</v>
          </cell>
          <cell r="U12" t="str">
            <v>31.12.9999</v>
          </cell>
          <cell r="V12" t="str">
            <v>ZICF</v>
          </cell>
          <cell r="W12" t="str">
            <v>01</v>
          </cell>
          <cell r="X12">
            <v>142.44</v>
          </cell>
          <cell r="Y12" t="str">
            <v>MXN</v>
          </cell>
          <cell r="Z12" t="str">
            <v>TN</v>
          </cell>
          <cell r="AA12" t="str">
            <v>01.04.2025</v>
          </cell>
          <cell r="AB12" t="str">
            <v>31.12.2029</v>
          </cell>
          <cell r="AC12">
            <v>108.31</v>
          </cell>
        </row>
        <row r="13">
          <cell r="H13" t="str">
            <v>10002350</v>
          </cell>
          <cell r="I13" t="str">
            <v>Grava Triturada Andesita 10mm-</v>
          </cell>
          <cell r="J13">
            <v>96.03</v>
          </cell>
          <cell r="K13" t="str">
            <v>MXN</v>
          </cell>
          <cell r="L13" t="str">
            <v>TN</v>
          </cell>
          <cell r="M13" t="str">
            <v>01.08.2026</v>
          </cell>
          <cell r="N13" t="str">
            <v>31.12.9999</v>
          </cell>
          <cell r="O13" t="str">
            <v>28.07.2026</v>
          </cell>
          <cell r="P13" t="str">
            <v>ZMIF</v>
          </cell>
          <cell r="Q13">
            <v>29.28</v>
          </cell>
          <cell r="R13" t="str">
            <v>MXN</v>
          </cell>
          <cell r="S13" t="str">
            <v>TN</v>
          </cell>
          <cell r="T13" t="str">
            <v>01.08.2026</v>
          </cell>
          <cell r="U13" t="str">
            <v>31.12.9999</v>
          </cell>
          <cell r="V13" t="str">
            <v>ZICF</v>
          </cell>
          <cell r="W13" t="str">
            <v>01</v>
          </cell>
          <cell r="X13">
            <v>167.1</v>
          </cell>
          <cell r="Y13" t="str">
            <v>MXN</v>
          </cell>
          <cell r="Z13" t="str">
            <v>TN</v>
          </cell>
          <cell r="AA13" t="str">
            <v>01.05.2026</v>
          </cell>
          <cell r="AB13" t="str">
            <v>31.12.2030</v>
          </cell>
          <cell r="AC13">
            <v>125.31</v>
          </cell>
        </row>
        <row r="14">
          <cell r="H14" t="str">
            <v>10000253</v>
          </cell>
          <cell r="I14" t="str">
            <v>Grava Triturada Andesita 20 mm</v>
          </cell>
          <cell r="J14">
            <v>96.03</v>
          </cell>
          <cell r="K14" t="str">
            <v>MXN</v>
          </cell>
          <cell r="L14" t="str">
            <v>TN</v>
          </cell>
          <cell r="M14" t="str">
            <v>01.08.2026</v>
          </cell>
          <cell r="N14" t="str">
            <v>31.12.9999</v>
          </cell>
          <cell r="O14" t="str">
            <v>28.07.2026</v>
          </cell>
          <cell r="P14" t="str">
            <v>ZMIF</v>
          </cell>
          <cell r="Q14">
            <v>12.13</v>
          </cell>
          <cell r="R14" t="str">
            <v>MXN</v>
          </cell>
          <cell r="S14" t="str">
            <v>TN</v>
          </cell>
          <cell r="T14" t="str">
            <v>01.08.2026</v>
          </cell>
          <cell r="U14" t="str">
            <v>31.12.9999</v>
          </cell>
          <cell r="V14" t="str">
            <v>ZICF</v>
          </cell>
          <cell r="W14" t="str">
            <v>01</v>
          </cell>
          <cell r="X14">
            <v>159.6</v>
          </cell>
          <cell r="Y14" t="str">
            <v>MXN</v>
          </cell>
          <cell r="Z14" t="str">
            <v>TN</v>
          </cell>
          <cell r="AA14" t="str">
            <v>01.04.2025</v>
          </cell>
          <cell r="AB14" t="str">
            <v>31.12.2029</v>
          </cell>
          <cell r="AC14">
            <v>108.16</v>
          </cell>
        </row>
        <row r="15">
          <cell r="H15" t="str">
            <v>10000255</v>
          </cell>
          <cell r="I15" t="str">
            <v>Arena Triturada Andesita Malla</v>
          </cell>
          <cell r="J15">
            <v>95.74</v>
          </cell>
          <cell r="K15" t="str">
            <v>MXN</v>
          </cell>
          <cell r="L15" t="str">
            <v>TN</v>
          </cell>
          <cell r="M15" t="str">
            <v>01.08.2026</v>
          </cell>
          <cell r="N15" t="str">
            <v>31.12.9999</v>
          </cell>
          <cell r="O15" t="str">
            <v>28.07.2026</v>
          </cell>
          <cell r="P15" t="str">
            <v>ZMIF</v>
          </cell>
          <cell r="Q15">
            <v>12.57</v>
          </cell>
          <cell r="R15" t="str">
            <v>MXN</v>
          </cell>
          <cell r="S15" t="str">
            <v>TN</v>
          </cell>
          <cell r="T15" t="str">
            <v>01.08.2026</v>
          </cell>
          <cell r="U15" t="str">
            <v>31.12.9999</v>
          </cell>
          <cell r="V15" t="str">
            <v>ZICF</v>
          </cell>
          <cell r="W15" t="str">
            <v>01</v>
          </cell>
          <cell r="X15">
            <v>145.34</v>
          </cell>
          <cell r="Y15" t="str">
            <v>MXN</v>
          </cell>
          <cell r="Z15" t="str">
            <v>TN</v>
          </cell>
          <cell r="AA15" t="str">
            <v>01.04.2025</v>
          </cell>
          <cell r="AB15" t="str">
            <v>31.12.2029</v>
          </cell>
          <cell r="AC15">
            <v>108.31</v>
          </cell>
        </row>
        <row r="16">
          <cell r="H16" t="str">
            <v>10002350</v>
          </cell>
          <cell r="I16" t="str">
            <v>Grava Triturada Andesita 10mm-</v>
          </cell>
          <cell r="J16">
            <v>96.03</v>
          </cell>
          <cell r="K16" t="str">
            <v>MXN</v>
          </cell>
          <cell r="L16" t="str">
            <v>TN</v>
          </cell>
          <cell r="M16" t="str">
            <v>01.08.2026</v>
          </cell>
          <cell r="N16" t="str">
            <v>31.12.9999</v>
          </cell>
          <cell r="O16" t="str">
            <v>28.07.2026</v>
          </cell>
          <cell r="P16" t="str">
            <v>ZMIF</v>
          </cell>
          <cell r="Q16">
            <v>29.28</v>
          </cell>
          <cell r="R16" t="str">
            <v>MXN</v>
          </cell>
          <cell r="S16" t="str">
            <v>TN</v>
          </cell>
          <cell r="T16" t="str">
            <v>01.08.2026</v>
          </cell>
          <cell r="U16" t="str">
            <v>31.12.9999</v>
          </cell>
          <cell r="V16" t="str">
            <v>ZICF</v>
          </cell>
          <cell r="W16" t="str">
            <v>01</v>
          </cell>
          <cell r="X16">
            <v>170.51</v>
          </cell>
          <cell r="Y16" t="str">
            <v>MXN</v>
          </cell>
          <cell r="Z16" t="str">
            <v>TN</v>
          </cell>
          <cell r="AA16" t="str">
            <v>01.05.2026</v>
          </cell>
          <cell r="AB16" t="str">
            <v>31.12.2030</v>
          </cell>
          <cell r="AC16">
            <v>125.31</v>
          </cell>
        </row>
        <row r="17">
          <cell r="H17" t="str">
            <v>10000253</v>
          </cell>
          <cell r="I17" t="str">
            <v>Grava Triturada Andesita 20 mm</v>
          </cell>
          <cell r="J17">
            <v>96.03</v>
          </cell>
          <cell r="K17" t="str">
            <v>MXN</v>
          </cell>
          <cell r="L17" t="str">
            <v>TN</v>
          </cell>
          <cell r="M17" t="str">
            <v>01.08.2026</v>
          </cell>
          <cell r="N17" t="str">
            <v>31.12.9999</v>
          </cell>
          <cell r="O17" t="str">
            <v>28.07.2026</v>
          </cell>
          <cell r="P17" t="str">
            <v>ZMIF</v>
          </cell>
          <cell r="Q17">
            <v>12.13</v>
          </cell>
          <cell r="R17" t="str">
            <v>MXN</v>
          </cell>
          <cell r="S17" t="str">
            <v>TN</v>
          </cell>
          <cell r="T17" t="str">
            <v>01.08.2026</v>
          </cell>
          <cell r="U17" t="str">
            <v>31.12.9999</v>
          </cell>
          <cell r="V17" t="str">
            <v>ZICF</v>
          </cell>
          <cell r="W17" t="str">
            <v>01</v>
          </cell>
          <cell r="X17">
            <v>188.33</v>
          </cell>
          <cell r="Y17" t="str">
            <v>MXN</v>
          </cell>
          <cell r="Z17" t="str">
            <v>TN</v>
          </cell>
          <cell r="AA17" t="str">
            <v>01.04.2025</v>
          </cell>
          <cell r="AB17" t="str">
            <v>31.12.2029</v>
          </cell>
          <cell r="AC17">
            <v>108.16</v>
          </cell>
        </row>
        <row r="18">
          <cell r="H18" t="str">
            <v>10000255</v>
          </cell>
          <cell r="I18" t="str">
            <v>Arena Triturada Andesita Malla</v>
          </cell>
          <cell r="J18">
            <v>95.74</v>
          </cell>
          <cell r="K18" t="str">
            <v>MXN</v>
          </cell>
          <cell r="L18" t="str">
            <v>TN</v>
          </cell>
          <cell r="M18" t="str">
            <v>01.08.2026</v>
          </cell>
          <cell r="N18" t="str">
            <v>31.12.9999</v>
          </cell>
          <cell r="O18" t="str">
            <v>28.07.2026</v>
          </cell>
          <cell r="P18" t="str">
            <v>ZMIF</v>
          </cell>
          <cell r="Q18">
            <v>12.57</v>
          </cell>
          <cell r="R18" t="str">
            <v>MXN</v>
          </cell>
          <cell r="S18" t="str">
            <v>TN</v>
          </cell>
          <cell r="T18" t="str">
            <v>01.08.2026</v>
          </cell>
          <cell r="U18" t="str">
            <v>31.12.9999</v>
          </cell>
          <cell r="V18" t="str">
            <v>ZICF</v>
          </cell>
          <cell r="W18" t="str">
            <v>01</v>
          </cell>
          <cell r="X18">
            <v>171.5</v>
          </cell>
          <cell r="Y18" t="str">
            <v>MXN</v>
          </cell>
          <cell r="Z18" t="str">
            <v>TN</v>
          </cell>
          <cell r="AA18" t="str">
            <v>01.04.2025</v>
          </cell>
          <cell r="AB18" t="str">
            <v>31.12.2029</v>
          </cell>
          <cell r="AC18">
            <v>108.31</v>
          </cell>
        </row>
        <row r="19">
          <cell r="H19" t="str">
            <v>10000253</v>
          </cell>
          <cell r="I19" t="str">
            <v>Grava Triturada Andesita 20 mm</v>
          </cell>
          <cell r="J19">
            <v>96.03</v>
          </cell>
          <cell r="K19" t="str">
            <v>MXN</v>
          </cell>
          <cell r="L19" t="str">
            <v>TN</v>
          </cell>
          <cell r="M19" t="str">
            <v>01.08.2026</v>
          </cell>
          <cell r="N19" t="str">
            <v>31.12.9999</v>
          </cell>
          <cell r="O19" t="str">
            <v>28.07.2026</v>
          </cell>
          <cell r="P19" t="str">
            <v>ZMIF</v>
          </cell>
          <cell r="Q19">
            <v>12.13</v>
          </cell>
          <cell r="R19" t="str">
            <v>MXN</v>
          </cell>
          <cell r="S19" t="str">
            <v>TN</v>
          </cell>
          <cell r="T19" t="str">
            <v>01.08.2026</v>
          </cell>
          <cell r="U19" t="str">
            <v>31.12.9999</v>
          </cell>
          <cell r="V19" t="str">
            <v>ZICF</v>
          </cell>
          <cell r="W19" t="str">
            <v>01</v>
          </cell>
          <cell r="X19">
            <v>162.79</v>
          </cell>
          <cell r="Y19" t="str">
            <v>MXN</v>
          </cell>
          <cell r="Z19" t="str">
            <v>TN</v>
          </cell>
          <cell r="AA19" t="str">
            <v>01.04.2025</v>
          </cell>
          <cell r="AB19" t="str">
            <v>31.12.2029</v>
          </cell>
          <cell r="AC19">
            <v>108.16</v>
          </cell>
        </row>
        <row r="20">
          <cell r="H20" t="str">
            <v>10000255</v>
          </cell>
          <cell r="I20" t="str">
            <v>Arena Triturada Andesita Malla</v>
          </cell>
          <cell r="J20">
            <v>95.74</v>
          </cell>
          <cell r="K20" t="str">
            <v>MXN</v>
          </cell>
          <cell r="L20" t="str">
            <v>TN</v>
          </cell>
          <cell r="M20" t="str">
            <v>01.08.2026</v>
          </cell>
          <cell r="N20" t="str">
            <v>31.12.9999</v>
          </cell>
          <cell r="O20" t="str">
            <v>28.07.2026</v>
          </cell>
          <cell r="P20" t="str">
            <v>ZMIF</v>
          </cell>
          <cell r="Q20">
            <v>12.57</v>
          </cell>
          <cell r="R20" t="str">
            <v>MXN</v>
          </cell>
          <cell r="S20" t="str">
            <v>TN</v>
          </cell>
          <cell r="T20" t="str">
            <v>01.08.2026</v>
          </cell>
          <cell r="U20" t="str">
            <v>31.12.9999</v>
          </cell>
          <cell r="V20" t="str">
            <v>ZICF</v>
          </cell>
          <cell r="W20" t="str">
            <v>01</v>
          </cell>
          <cell r="X20">
            <v>148.25</v>
          </cell>
          <cell r="Y20" t="str">
            <v>MXN</v>
          </cell>
          <cell r="Z20" t="str">
            <v>TN</v>
          </cell>
          <cell r="AA20" t="str">
            <v>01.04.2025</v>
          </cell>
          <cell r="AB20" t="str">
            <v>31.12.2029</v>
          </cell>
          <cell r="AC20">
            <v>108.31</v>
          </cell>
        </row>
        <row r="21">
          <cell r="H21" t="str">
            <v>10002350</v>
          </cell>
          <cell r="I21" t="str">
            <v>Grava Triturada Andesita 10mm-</v>
          </cell>
          <cell r="J21">
            <v>96.03</v>
          </cell>
          <cell r="K21" t="str">
            <v>MXN</v>
          </cell>
          <cell r="L21" t="str">
            <v>TN</v>
          </cell>
          <cell r="M21" t="str">
            <v>01.08.2026</v>
          </cell>
          <cell r="N21" t="str">
            <v>31.12.9999</v>
          </cell>
          <cell r="O21" t="str">
            <v>28.07.2026</v>
          </cell>
          <cell r="P21" t="str">
            <v>ZMIF</v>
          </cell>
          <cell r="Q21">
            <v>29.28</v>
          </cell>
          <cell r="R21" t="str">
            <v>MXN</v>
          </cell>
          <cell r="S21" t="str">
            <v>TN</v>
          </cell>
          <cell r="T21" t="str">
            <v>01.08.2026</v>
          </cell>
          <cell r="U21" t="str">
            <v>31.12.9999</v>
          </cell>
          <cell r="V21" t="str">
            <v>ZICF</v>
          </cell>
          <cell r="W21" t="str">
            <v>01</v>
          </cell>
          <cell r="X21">
            <v>173.92</v>
          </cell>
          <cell r="Y21" t="str">
            <v>MXN</v>
          </cell>
          <cell r="Z21" t="str">
            <v>TN</v>
          </cell>
          <cell r="AA21" t="str">
            <v>01.05.2026</v>
          </cell>
          <cell r="AB21" t="str">
            <v>31.12.2030</v>
          </cell>
          <cell r="AC21">
            <v>125.31</v>
          </cell>
        </row>
        <row r="22">
          <cell r="H22" t="str">
            <v>10000253</v>
          </cell>
          <cell r="I22" t="str">
            <v>Grava Triturada Andesita 20 mm</v>
          </cell>
          <cell r="J22">
            <v>96.03</v>
          </cell>
          <cell r="K22" t="str">
            <v>MXN</v>
          </cell>
          <cell r="L22" t="str">
            <v>TN</v>
          </cell>
          <cell r="M22" t="str">
            <v>01.08.2026</v>
          </cell>
          <cell r="N22" t="str">
            <v>31.12.9999</v>
          </cell>
          <cell r="O22" t="str">
            <v>28.07.2026</v>
          </cell>
          <cell r="P22" t="str">
            <v>ZMIF</v>
          </cell>
          <cell r="Q22">
            <v>12.13</v>
          </cell>
          <cell r="R22" t="str">
            <v>MXN</v>
          </cell>
          <cell r="S22" t="str">
            <v>TN</v>
          </cell>
          <cell r="T22" t="str">
            <v>01.08.2026</v>
          </cell>
          <cell r="U22" t="str">
            <v>31.12.9999</v>
          </cell>
          <cell r="V22" t="str">
            <v>ZICF</v>
          </cell>
          <cell r="W22" t="str">
            <v>01</v>
          </cell>
          <cell r="X22">
            <v>108.53</v>
          </cell>
          <cell r="Y22" t="str">
            <v>MXN</v>
          </cell>
          <cell r="Z22" t="str">
            <v>TN</v>
          </cell>
          <cell r="AA22" t="str">
            <v>01.04.2025</v>
          </cell>
          <cell r="AB22" t="str">
            <v>31.12.2029</v>
          </cell>
          <cell r="AC22">
            <v>108.16</v>
          </cell>
        </row>
        <row r="23">
          <cell r="H23" t="str">
            <v>10000255</v>
          </cell>
          <cell r="I23" t="str">
            <v>Arena Triturada Andesita Malla</v>
          </cell>
          <cell r="J23">
            <v>95.74</v>
          </cell>
          <cell r="K23" t="str">
            <v>MXN</v>
          </cell>
          <cell r="L23" t="str">
            <v>TN</v>
          </cell>
          <cell r="M23" t="str">
            <v>01.08.2026</v>
          </cell>
          <cell r="N23" t="str">
            <v>31.12.9999</v>
          </cell>
          <cell r="O23" t="str">
            <v>28.07.2026</v>
          </cell>
          <cell r="P23" t="str">
            <v>ZMIF</v>
          </cell>
          <cell r="Q23">
            <v>12.57</v>
          </cell>
          <cell r="R23" t="str">
            <v>MXN</v>
          </cell>
          <cell r="S23" t="str">
            <v>TN</v>
          </cell>
          <cell r="T23" t="str">
            <v>01.08.2026</v>
          </cell>
          <cell r="U23" t="str">
            <v>31.12.9999</v>
          </cell>
          <cell r="V23" t="str">
            <v>ZICF</v>
          </cell>
          <cell r="W23" t="str">
            <v>01</v>
          </cell>
          <cell r="X23">
            <v>98.83</v>
          </cell>
          <cell r="Y23" t="str">
            <v>MXN</v>
          </cell>
          <cell r="Z23" t="str">
            <v>TN</v>
          </cell>
          <cell r="AA23" t="str">
            <v>01.04.2025</v>
          </cell>
          <cell r="AB23" t="str">
            <v>31.12.2029</v>
          </cell>
          <cell r="AC23">
            <v>108.31</v>
          </cell>
        </row>
        <row r="24">
          <cell r="H24" t="str">
            <v>10002350</v>
          </cell>
          <cell r="I24" t="str">
            <v>Grava Triturada Andesita 10mm-</v>
          </cell>
          <cell r="J24">
            <v>96.03</v>
          </cell>
          <cell r="K24" t="str">
            <v>MXN</v>
          </cell>
          <cell r="L24" t="str">
            <v>TN</v>
          </cell>
          <cell r="M24" t="str">
            <v>01.08.2026</v>
          </cell>
          <cell r="N24" t="str">
            <v>31.12.9999</v>
          </cell>
          <cell r="O24" t="str">
            <v>28.07.2026</v>
          </cell>
          <cell r="P24" t="str">
            <v>ZMIF</v>
          </cell>
          <cell r="Q24">
            <v>29.28</v>
          </cell>
          <cell r="R24" t="str">
            <v>MXN</v>
          </cell>
          <cell r="S24" t="str">
            <v>TN</v>
          </cell>
          <cell r="T24" t="str">
            <v>01.08.2026</v>
          </cell>
          <cell r="U24" t="str">
            <v>31.12.9999</v>
          </cell>
          <cell r="V24" t="str">
            <v>ZICF</v>
          </cell>
          <cell r="W24" t="str">
            <v>01</v>
          </cell>
          <cell r="X24">
            <v>115.95</v>
          </cell>
          <cell r="Y24" t="str">
            <v>MXN</v>
          </cell>
          <cell r="Z24" t="str">
            <v>TN</v>
          </cell>
          <cell r="AA24" t="str">
            <v>01.05.2026</v>
          </cell>
          <cell r="AB24" t="str">
            <v>31.12.2030</v>
          </cell>
          <cell r="AC24">
            <v>125.31</v>
          </cell>
        </row>
        <row r="25">
          <cell r="H25" t="str">
            <v>10000253</v>
          </cell>
          <cell r="I25" t="str">
            <v>Grava Triturada Andesita 20 mm</v>
          </cell>
          <cell r="J25">
            <v>96.03</v>
          </cell>
          <cell r="K25" t="str">
            <v>MXN</v>
          </cell>
          <cell r="L25" t="str">
            <v>TN</v>
          </cell>
          <cell r="M25" t="str">
            <v>01.08.2026</v>
          </cell>
          <cell r="N25" t="str">
            <v>31.12.9999</v>
          </cell>
          <cell r="O25" t="str">
            <v>28.07.2026</v>
          </cell>
          <cell r="P25" t="str">
            <v>ZMIF</v>
          </cell>
          <cell r="Q25">
            <v>12.13</v>
          </cell>
          <cell r="R25" t="str">
            <v>MXN</v>
          </cell>
          <cell r="S25" t="str">
            <v>TN</v>
          </cell>
          <cell r="T25" t="str">
            <v>01.08.2026</v>
          </cell>
          <cell r="U25" t="str">
            <v>31.12.9999</v>
          </cell>
          <cell r="V25" t="str">
            <v>ZICF</v>
          </cell>
          <cell r="W25" t="str">
            <v>01</v>
          </cell>
          <cell r="X25">
            <v>118.11</v>
          </cell>
          <cell r="Y25" t="str">
            <v>MXN</v>
          </cell>
          <cell r="Z25" t="str">
            <v>TN</v>
          </cell>
          <cell r="AA25" t="str">
            <v>01.04.2025</v>
          </cell>
          <cell r="AB25" t="str">
            <v>31.12.2029</v>
          </cell>
          <cell r="AC25">
            <v>108.16</v>
          </cell>
        </row>
        <row r="26">
          <cell r="H26" t="str">
            <v>10000255</v>
          </cell>
          <cell r="I26" t="str">
            <v>Arena Triturada Andesita Malla</v>
          </cell>
          <cell r="J26">
            <v>95.74</v>
          </cell>
          <cell r="K26" t="str">
            <v>MXN</v>
          </cell>
          <cell r="L26" t="str">
            <v>TN</v>
          </cell>
          <cell r="M26" t="str">
            <v>01.08.2026</v>
          </cell>
          <cell r="N26" t="str">
            <v>31.12.9999</v>
          </cell>
          <cell r="O26" t="str">
            <v>28.07.2026</v>
          </cell>
          <cell r="P26" t="str">
            <v>ZMIF</v>
          </cell>
          <cell r="Q26">
            <v>12.57</v>
          </cell>
          <cell r="R26" t="str">
            <v>MXN</v>
          </cell>
          <cell r="S26" t="str">
            <v>TN</v>
          </cell>
          <cell r="T26" t="str">
            <v>01.08.2026</v>
          </cell>
          <cell r="U26" t="str">
            <v>31.12.9999</v>
          </cell>
          <cell r="V26" t="str">
            <v>ZICF</v>
          </cell>
          <cell r="W26" t="str">
            <v>01</v>
          </cell>
          <cell r="X26">
            <v>107.55</v>
          </cell>
          <cell r="Y26" t="str">
            <v>MXN</v>
          </cell>
          <cell r="Z26" t="str">
            <v>TN</v>
          </cell>
          <cell r="AA26" t="str">
            <v>01.04.2025</v>
          </cell>
          <cell r="AB26" t="str">
            <v>31.12.2029</v>
          </cell>
          <cell r="AC26">
            <v>108.31</v>
          </cell>
        </row>
        <row r="27">
          <cell r="H27" t="str">
            <v>10002350</v>
          </cell>
          <cell r="I27" t="str">
            <v>Grava Triturada Andesita 10mm-</v>
          </cell>
          <cell r="J27">
            <v>96.03</v>
          </cell>
          <cell r="K27" t="str">
            <v>MXN</v>
          </cell>
          <cell r="L27" t="str">
            <v>TN</v>
          </cell>
          <cell r="M27" t="str">
            <v>01.08.2026</v>
          </cell>
          <cell r="N27" t="str">
            <v>31.12.9999</v>
          </cell>
          <cell r="O27" t="str">
            <v>28.07.2026</v>
          </cell>
          <cell r="P27" t="str">
            <v>ZMIF</v>
          </cell>
          <cell r="Q27">
            <v>29.28</v>
          </cell>
          <cell r="R27" t="str">
            <v>MXN</v>
          </cell>
          <cell r="S27" t="str">
            <v>TN</v>
          </cell>
          <cell r="T27" t="str">
            <v>01.08.2026</v>
          </cell>
          <cell r="U27" t="str">
            <v>31.12.9999</v>
          </cell>
          <cell r="V27" t="str">
            <v>ZICF</v>
          </cell>
          <cell r="W27" t="str">
            <v>01</v>
          </cell>
          <cell r="X27">
            <v>126.18</v>
          </cell>
          <cell r="Y27" t="str">
            <v>MXN</v>
          </cell>
          <cell r="Z27" t="str">
            <v>TN</v>
          </cell>
          <cell r="AA27" t="str">
            <v>01.05.2026</v>
          </cell>
          <cell r="AB27" t="str">
            <v>31.12.2030</v>
          </cell>
          <cell r="AC27">
            <v>125.31</v>
          </cell>
        </row>
        <row r="28">
          <cell r="H28" t="str">
            <v>10000253</v>
          </cell>
          <cell r="I28" t="str">
            <v>Grava Triturada Andesita 20 mm</v>
          </cell>
          <cell r="J28">
            <v>96.03</v>
          </cell>
          <cell r="K28" t="str">
            <v>MXN</v>
          </cell>
          <cell r="L28" t="str">
            <v>TN</v>
          </cell>
          <cell r="M28" t="str">
            <v>01.08.2026</v>
          </cell>
          <cell r="N28" t="str">
            <v>31.12.9999</v>
          </cell>
          <cell r="O28" t="str">
            <v>28.07.2026</v>
          </cell>
          <cell r="P28" t="str">
            <v>ZMIF</v>
          </cell>
          <cell r="Q28">
            <v>12.13</v>
          </cell>
          <cell r="R28" t="str">
            <v>MXN</v>
          </cell>
          <cell r="S28" t="str">
            <v>TN</v>
          </cell>
          <cell r="T28" t="str">
            <v>01.08.2026</v>
          </cell>
          <cell r="U28" t="str">
            <v>31.12.9999</v>
          </cell>
          <cell r="V28" t="str">
            <v>ZICF</v>
          </cell>
          <cell r="W28" t="str">
            <v>01</v>
          </cell>
          <cell r="X28">
            <v>169.18</v>
          </cell>
          <cell r="Y28" t="str">
            <v>MXN</v>
          </cell>
          <cell r="Z28" t="str">
            <v>TN</v>
          </cell>
          <cell r="AA28" t="str">
            <v>01.04.2025</v>
          </cell>
          <cell r="AB28" t="str">
            <v>31.12.2029</v>
          </cell>
          <cell r="AC28">
            <v>108.16</v>
          </cell>
        </row>
        <row r="29">
          <cell r="H29" t="str">
            <v>10000255</v>
          </cell>
          <cell r="I29" t="str">
            <v>Arena Triturada Andesita Malla</v>
          </cell>
          <cell r="J29">
            <v>95.74</v>
          </cell>
          <cell r="K29" t="str">
            <v>MXN</v>
          </cell>
          <cell r="L29" t="str">
            <v>TN</v>
          </cell>
          <cell r="M29" t="str">
            <v>01.08.2026</v>
          </cell>
          <cell r="N29" t="str">
            <v>31.12.9999</v>
          </cell>
          <cell r="O29" t="str">
            <v>28.07.2026</v>
          </cell>
          <cell r="P29" t="str">
            <v>ZMIF</v>
          </cell>
          <cell r="Q29">
            <v>12.57</v>
          </cell>
          <cell r="R29" t="str">
            <v>MXN</v>
          </cell>
          <cell r="S29" t="str">
            <v>TN</v>
          </cell>
          <cell r="T29" t="str">
            <v>01.08.2026</v>
          </cell>
          <cell r="U29" t="str">
            <v>31.12.9999</v>
          </cell>
          <cell r="V29" t="str">
            <v>ZICF</v>
          </cell>
          <cell r="W29" t="str">
            <v>01</v>
          </cell>
          <cell r="X29">
            <v>154.06</v>
          </cell>
          <cell r="Y29" t="str">
            <v>MXN</v>
          </cell>
          <cell r="Z29" t="str">
            <v>TN</v>
          </cell>
          <cell r="AA29" t="str">
            <v>01.04.2025</v>
          </cell>
          <cell r="AB29" t="str">
            <v>31.12.2029</v>
          </cell>
          <cell r="AC29">
            <v>108.31</v>
          </cell>
        </row>
        <row r="30">
          <cell r="H30" t="str">
            <v>10000253</v>
          </cell>
          <cell r="I30" t="str">
            <v>Grava Triturada Andesita 20 mm</v>
          </cell>
          <cell r="J30">
            <v>96.03</v>
          </cell>
          <cell r="K30" t="str">
            <v>MXN</v>
          </cell>
          <cell r="L30" t="str">
            <v>TN</v>
          </cell>
          <cell r="M30" t="str">
            <v>01.08.2026</v>
          </cell>
          <cell r="N30" t="str">
            <v>31.12.9999</v>
          </cell>
          <cell r="O30" t="str">
            <v>28.07.2026</v>
          </cell>
          <cell r="P30" t="str">
            <v>ZMIF</v>
          </cell>
          <cell r="Q30">
            <v>12.13</v>
          </cell>
          <cell r="R30" t="str">
            <v>MXN</v>
          </cell>
          <cell r="S30" t="str">
            <v>TN</v>
          </cell>
          <cell r="T30" t="str">
            <v>01.08.2026</v>
          </cell>
          <cell r="U30" t="str">
            <v>31.12.9999</v>
          </cell>
          <cell r="V30" t="str">
            <v>ZICF</v>
          </cell>
          <cell r="W30" t="str">
            <v>01</v>
          </cell>
          <cell r="X30">
            <v>280.89999999999998</v>
          </cell>
          <cell r="Y30" t="str">
            <v>MXN</v>
          </cell>
          <cell r="Z30" t="str">
            <v>TN</v>
          </cell>
          <cell r="AA30" t="str">
            <v>01.04.2025</v>
          </cell>
          <cell r="AB30" t="str">
            <v>31.12.2029</v>
          </cell>
          <cell r="AC30">
            <v>108.16</v>
          </cell>
        </row>
        <row r="31">
          <cell r="H31" t="str">
            <v>10000255</v>
          </cell>
          <cell r="I31" t="str">
            <v>Arena Triturada Andesita Malla</v>
          </cell>
          <cell r="J31">
            <v>95.74</v>
          </cell>
          <cell r="K31" t="str">
            <v>MXN</v>
          </cell>
          <cell r="L31" t="str">
            <v>TN</v>
          </cell>
          <cell r="M31" t="str">
            <v>01.08.2026</v>
          </cell>
          <cell r="N31" t="str">
            <v>31.12.9999</v>
          </cell>
          <cell r="O31" t="str">
            <v>28.07.2026</v>
          </cell>
          <cell r="P31" t="str">
            <v>ZMIF</v>
          </cell>
          <cell r="Q31">
            <v>12.57</v>
          </cell>
          <cell r="R31" t="str">
            <v>MXN</v>
          </cell>
          <cell r="S31" t="str">
            <v>TN</v>
          </cell>
          <cell r="T31" t="str">
            <v>01.08.2026</v>
          </cell>
          <cell r="U31" t="str">
            <v>31.12.9999</v>
          </cell>
          <cell r="V31" t="str">
            <v>ZICF</v>
          </cell>
          <cell r="W31" t="str">
            <v>01</v>
          </cell>
          <cell r="X31">
            <v>255.8</v>
          </cell>
          <cell r="Y31" t="str">
            <v>MXN</v>
          </cell>
          <cell r="Z31" t="str">
            <v>TN</v>
          </cell>
          <cell r="AA31" t="str">
            <v>01.04.2025</v>
          </cell>
          <cell r="AB31" t="str">
            <v>31.12.2029</v>
          </cell>
          <cell r="AC31">
            <v>108.31</v>
          </cell>
        </row>
        <row r="32">
          <cell r="H32" t="str">
            <v>10000253</v>
          </cell>
          <cell r="I32" t="str">
            <v>Grava Triturada Andesita 20 mm</v>
          </cell>
          <cell r="J32">
            <v>96.03</v>
          </cell>
          <cell r="K32" t="str">
            <v>MXN</v>
          </cell>
          <cell r="L32" t="str">
            <v>TN</v>
          </cell>
          <cell r="M32" t="str">
            <v>01.08.2026</v>
          </cell>
          <cell r="N32" t="str">
            <v>31.12.9999</v>
          </cell>
          <cell r="O32" t="str">
            <v>28.07.2026</v>
          </cell>
          <cell r="P32" t="str">
            <v>ZMIF</v>
          </cell>
          <cell r="Q32">
            <v>12.13</v>
          </cell>
          <cell r="R32" t="str">
            <v>MXN</v>
          </cell>
          <cell r="S32" t="str">
            <v>TN</v>
          </cell>
          <cell r="T32" t="str">
            <v>01.08.2026</v>
          </cell>
          <cell r="U32" t="str">
            <v>31.12.9999</v>
          </cell>
          <cell r="V32" t="str">
            <v>ZICF</v>
          </cell>
          <cell r="W32" t="str">
            <v>01</v>
          </cell>
          <cell r="X32">
            <v>252.17</v>
          </cell>
          <cell r="Y32" t="str">
            <v>MXN</v>
          </cell>
          <cell r="Z32" t="str">
            <v>TN</v>
          </cell>
          <cell r="AA32" t="str">
            <v>01.04.2025</v>
          </cell>
          <cell r="AB32" t="str">
            <v>31.12.2029</v>
          </cell>
          <cell r="AC32">
            <v>108.16</v>
          </cell>
        </row>
        <row r="33">
          <cell r="H33" t="str">
            <v>10000255</v>
          </cell>
          <cell r="I33" t="str">
            <v>Arena Triturada Andesita Malla</v>
          </cell>
          <cell r="J33">
            <v>95.74</v>
          </cell>
          <cell r="K33" t="str">
            <v>MXN</v>
          </cell>
          <cell r="L33" t="str">
            <v>TN</v>
          </cell>
          <cell r="M33" t="str">
            <v>01.08.2026</v>
          </cell>
          <cell r="N33" t="str">
            <v>31.12.9999</v>
          </cell>
          <cell r="O33" t="str">
            <v>28.07.2026</v>
          </cell>
          <cell r="P33" t="str">
            <v>ZMIF</v>
          </cell>
          <cell r="Q33">
            <v>12.57</v>
          </cell>
          <cell r="R33" t="str">
            <v>MXN</v>
          </cell>
          <cell r="S33" t="str">
            <v>TN</v>
          </cell>
          <cell r="T33" t="str">
            <v>01.08.2026</v>
          </cell>
          <cell r="U33" t="str">
            <v>31.12.9999</v>
          </cell>
          <cell r="V33" t="str">
            <v>ZICF</v>
          </cell>
          <cell r="W33" t="str">
            <v>01</v>
          </cell>
          <cell r="X33">
            <v>229.64</v>
          </cell>
          <cell r="Y33" t="str">
            <v>MXN</v>
          </cell>
          <cell r="Z33" t="str">
            <v>TN</v>
          </cell>
          <cell r="AA33" t="str">
            <v>01.04.2025</v>
          </cell>
          <cell r="AB33" t="str">
            <v>31.12.2029</v>
          </cell>
          <cell r="AC33">
            <v>108.31</v>
          </cell>
        </row>
        <row r="34">
          <cell r="H34" t="str">
            <v>10000253</v>
          </cell>
          <cell r="I34" t="str">
            <v>Grava Triturada Andesita 20 mm</v>
          </cell>
          <cell r="J34">
            <v>96.03</v>
          </cell>
          <cell r="K34" t="str">
            <v>MXN</v>
          </cell>
          <cell r="L34" t="str">
            <v>TN</v>
          </cell>
          <cell r="M34" t="str">
            <v>01.08.2026</v>
          </cell>
          <cell r="N34" t="str">
            <v>31.12.9999</v>
          </cell>
          <cell r="O34" t="str">
            <v>28.07.2026</v>
          </cell>
          <cell r="P34" t="str">
            <v>ZMIF</v>
          </cell>
          <cell r="Q34">
            <v>12.13</v>
          </cell>
          <cell r="R34" t="str">
            <v>MXN</v>
          </cell>
          <cell r="S34" t="str">
            <v>TN</v>
          </cell>
          <cell r="T34" t="str">
            <v>01.08.2026</v>
          </cell>
          <cell r="U34" t="str">
            <v>31.12.9999</v>
          </cell>
          <cell r="V34" t="str">
            <v>ZICF</v>
          </cell>
          <cell r="W34" t="str">
            <v>01</v>
          </cell>
          <cell r="X34">
            <v>191.52</v>
          </cell>
          <cell r="Y34" t="str">
            <v>MXN</v>
          </cell>
          <cell r="Z34" t="str">
            <v>TN</v>
          </cell>
          <cell r="AA34" t="str">
            <v>01.04.2025</v>
          </cell>
          <cell r="AB34" t="str">
            <v>31.12.2029</v>
          </cell>
          <cell r="AC34">
            <v>108.16</v>
          </cell>
        </row>
        <row r="35">
          <cell r="H35" t="str">
            <v>10000255</v>
          </cell>
          <cell r="I35" t="str">
            <v>Arena Triturada Andesita Malla</v>
          </cell>
          <cell r="J35">
            <v>95.74</v>
          </cell>
          <cell r="K35" t="str">
            <v>MXN</v>
          </cell>
          <cell r="L35" t="str">
            <v>TN</v>
          </cell>
          <cell r="M35" t="str">
            <v>01.08.2026</v>
          </cell>
          <cell r="N35" t="str">
            <v>31.12.9999</v>
          </cell>
          <cell r="O35" t="str">
            <v>28.07.2026</v>
          </cell>
          <cell r="P35" t="str">
            <v>ZMIF</v>
          </cell>
          <cell r="Q35">
            <v>12.57</v>
          </cell>
          <cell r="R35" t="str">
            <v>MXN</v>
          </cell>
          <cell r="S35" t="str">
            <v>TN</v>
          </cell>
          <cell r="T35" t="str">
            <v>01.08.2026</v>
          </cell>
          <cell r="U35" t="str">
            <v>31.12.9999</v>
          </cell>
          <cell r="V35" t="str">
            <v>ZICF</v>
          </cell>
          <cell r="W35" t="str">
            <v>01</v>
          </cell>
          <cell r="X35">
            <v>174.41</v>
          </cell>
          <cell r="Y35" t="str">
            <v>MXN</v>
          </cell>
          <cell r="Z35" t="str">
            <v>TN</v>
          </cell>
          <cell r="AA35" t="str">
            <v>01.04.2025</v>
          </cell>
          <cell r="AB35" t="str">
            <v>31.12.2029</v>
          </cell>
          <cell r="AC35">
            <v>108.31</v>
          </cell>
        </row>
        <row r="36">
          <cell r="H36" t="str">
            <v>10002350</v>
          </cell>
          <cell r="I36" t="str">
            <v>Grava Triturada Andesita 10mm-</v>
          </cell>
          <cell r="J36">
            <v>96.03</v>
          </cell>
          <cell r="K36" t="str">
            <v>MXN</v>
          </cell>
          <cell r="L36" t="str">
            <v>TN</v>
          </cell>
          <cell r="M36" t="str">
            <v>01.08.2026</v>
          </cell>
          <cell r="N36" t="str">
            <v>31.12.9999</v>
          </cell>
          <cell r="O36" t="str">
            <v>28.07.2026</v>
          </cell>
          <cell r="P36" t="str">
            <v>ZMIF</v>
          </cell>
          <cell r="Q36">
            <v>29.28</v>
          </cell>
          <cell r="R36" t="str">
            <v>MXN</v>
          </cell>
          <cell r="S36" t="str">
            <v>TN</v>
          </cell>
          <cell r="T36" t="str">
            <v>01.08.2026</v>
          </cell>
          <cell r="U36" t="str">
            <v>31.12.9999</v>
          </cell>
          <cell r="V36" t="str">
            <v>ZICF</v>
          </cell>
          <cell r="W36" t="str">
            <v>01</v>
          </cell>
          <cell r="X36">
            <v>204.61</v>
          </cell>
          <cell r="Y36" t="str">
            <v>MXN</v>
          </cell>
          <cell r="Z36" t="str">
            <v>TN</v>
          </cell>
          <cell r="AA36" t="str">
            <v>01.05.2026</v>
          </cell>
          <cell r="AB36" t="str">
            <v>31.12.2030</v>
          </cell>
          <cell r="AC36">
            <v>125.31</v>
          </cell>
        </row>
        <row r="37">
          <cell r="H37" t="str">
            <v>10000253</v>
          </cell>
          <cell r="I37" t="str">
            <v>Grava Triturada Andesita 20 mm</v>
          </cell>
          <cell r="J37">
            <v>96.03</v>
          </cell>
          <cell r="K37" t="str">
            <v>MXN</v>
          </cell>
          <cell r="L37" t="str">
            <v>TN</v>
          </cell>
          <cell r="M37" t="str">
            <v>01.08.2026</v>
          </cell>
          <cell r="N37" t="str">
            <v>31.12.9999</v>
          </cell>
          <cell r="O37" t="str">
            <v>28.07.2026</v>
          </cell>
          <cell r="P37" t="str">
            <v>ZMIF</v>
          </cell>
          <cell r="Q37">
            <v>12.13</v>
          </cell>
          <cell r="R37" t="str">
            <v>MXN</v>
          </cell>
          <cell r="S37" t="str">
            <v>TN</v>
          </cell>
          <cell r="T37" t="str">
            <v>01.08.2026</v>
          </cell>
          <cell r="U37" t="str">
            <v>31.12.9999</v>
          </cell>
          <cell r="V37" t="str">
            <v>ZICF</v>
          </cell>
          <cell r="W37" t="str">
            <v>01</v>
          </cell>
          <cell r="X37">
            <v>239.4</v>
          </cell>
          <cell r="Y37" t="str">
            <v>MXN</v>
          </cell>
          <cell r="Z37" t="str">
            <v>TN</v>
          </cell>
          <cell r="AA37" t="str">
            <v>01.04.2025</v>
          </cell>
          <cell r="AB37" t="str">
            <v>31.12.2029</v>
          </cell>
          <cell r="AC37">
            <v>108.16</v>
          </cell>
        </row>
        <row r="38">
          <cell r="H38" t="str">
            <v>10000255</v>
          </cell>
          <cell r="I38" t="str">
            <v>Arena Triturada Andesita Malla</v>
          </cell>
          <cell r="J38">
            <v>95.74</v>
          </cell>
          <cell r="K38" t="str">
            <v>MXN</v>
          </cell>
          <cell r="L38" t="str">
            <v>TN</v>
          </cell>
          <cell r="M38" t="str">
            <v>01.08.2026</v>
          </cell>
          <cell r="N38" t="str">
            <v>31.12.9999</v>
          </cell>
          <cell r="O38" t="str">
            <v>28.07.2026</v>
          </cell>
          <cell r="P38" t="str">
            <v>ZMIF</v>
          </cell>
          <cell r="Q38">
            <v>12.57</v>
          </cell>
          <cell r="R38" t="str">
            <v>MXN</v>
          </cell>
          <cell r="S38" t="str">
            <v>TN</v>
          </cell>
          <cell r="T38" t="str">
            <v>01.08.2026</v>
          </cell>
          <cell r="U38" t="str">
            <v>31.12.9999</v>
          </cell>
          <cell r="V38" t="str">
            <v>ZICF</v>
          </cell>
          <cell r="W38" t="str">
            <v>01</v>
          </cell>
          <cell r="X38">
            <v>218.01</v>
          </cell>
          <cell r="Y38" t="str">
            <v>MXN</v>
          </cell>
          <cell r="Z38" t="str">
            <v>TN</v>
          </cell>
          <cell r="AA38" t="str">
            <v>01.04.2025</v>
          </cell>
          <cell r="AB38" t="str">
            <v>31.12.2029</v>
          </cell>
          <cell r="AC38">
            <v>108.31</v>
          </cell>
        </row>
        <row r="39">
          <cell r="H39" t="str">
            <v>10002350</v>
          </cell>
          <cell r="I39" t="str">
            <v>Grava Triturada Andesita 10mm-</v>
          </cell>
          <cell r="J39">
            <v>96.03</v>
          </cell>
          <cell r="K39" t="str">
            <v>MXN</v>
          </cell>
          <cell r="L39" t="str">
            <v>TN</v>
          </cell>
          <cell r="M39" t="str">
            <v>01.08.2026</v>
          </cell>
          <cell r="N39" t="str">
            <v>31.12.9999</v>
          </cell>
          <cell r="O39" t="str">
            <v>28.07.2026</v>
          </cell>
          <cell r="P39" t="str">
            <v>ZMIF</v>
          </cell>
          <cell r="Q39">
            <v>29.28</v>
          </cell>
          <cell r="R39" t="str">
            <v>MXN</v>
          </cell>
          <cell r="S39" t="str">
            <v>TN</v>
          </cell>
          <cell r="T39" t="str">
            <v>01.08.2026</v>
          </cell>
          <cell r="U39" t="str">
            <v>31.12.9999</v>
          </cell>
          <cell r="V39" t="str">
            <v>ZICF</v>
          </cell>
          <cell r="W39" t="str">
            <v>01</v>
          </cell>
          <cell r="X39">
            <v>255.77</v>
          </cell>
          <cell r="Y39" t="str">
            <v>MXN</v>
          </cell>
          <cell r="Z39" t="str">
            <v>TN</v>
          </cell>
          <cell r="AA39" t="str">
            <v>01.05.2026</v>
          </cell>
          <cell r="AB39" t="str">
            <v>31.12.2030</v>
          </cell>
          <cell r="AC39">
            <v>125.31</v>
          </cell>
        </row>
        <row r="40">
          <cell r="H40" t="str">
            <v>10000253</v>
          </cell>
          <cell r="I40" t="str">
            <v>Grava Triturada Andesita 20 mm</v>
          </cell>
          <cell r="J40">
            <v>96.03</v>
          </cell>
          <cell r="K40" t="str">
            <v>MXN</v>
          </cell>
          <cell r="L40" t="str">
            <v>TN</v>
          </cell>
          <cell r="M40" t="str">
            <v>01.08.2026</v>
          </cell>
          <cell r="N40" t="str">
            <v>31.12.9999</v>
          </cell>
          <cell r="O40" t="str">
            <v>28.07.2026</v>
          </cell>
          <cell r="P40" t="str">
            <v>ZMIF</v>
          </cell>
          <cell r="Q40">
            <v>12.13</v>
          </cell>
          <cell r="R40" t="str">
            <v>MXN</v>
          </cell>
          <cell r="S40" t="str">
            <v>TN</v>
          </cell>
          <cell r="T40" t="str">
            <v>01.08.2026</v>
          </cell>
          <cell r="U40" t="str">
            <v>31.12.9999</v>
          </cell>
          <cell r="V40" t="str">
            <v>ZICF</v>
          </cell>
          <cell r="W40" t="str">
            <v>01</v>
          </cell>
          <cell r="X40">
            <v>146.83000000000001</v>
          </cell>
          <cell r="Y40" t="str">
            <v>MXN</v>
          </cell>
          <cell r="Z40" t="str">
            <v>TN</v>
          </cell>
          <cell r="AA40" t="str">
            <v>01.04.2025</v>
          </cell>
          <cell r="AB40" t="str">
            <v>31.12.2029</v>
          </cell>
          <cell r="AC40">
            <v>108.16</v>
          </cell>
        </row>
        <row r="41">
          <cell r="H41" t="str">
            <v>10000255</v>
          </cell>
          <cell r="I41" t="str">
            <v>Arena Triturada Andesita Malla</v>
          </cell>
          <cell r="J41">
            <v>95.74</v>
          </cell>
          <cell r="K41" t="str">
            <v>MXN</v>
          </cell>
          <cell r="L41" t="str">
            <v>TN</v>
          </cell>
          <cell r="M41" t="str">
            <v>01.08.2026</v>
          </cell>
          <cell r="N41" t="str">
            <v>31.12.9999</v>
          </cell>
          <cell r="O41" t="str">
            <v>28.07.2026</v>
          </cell>
          <cell r="P41" t="str">
            <v>ZMIF</v>
          </cell>
          <cell r="Q41">
            <v>12.57</v>
          </cell>
          <cell r="R41" t="str">
            <v>MXN</v>
          </cell>
          <cell r="S41" t="str">
            <v>TN</v>
          </cell>
          <cell r="T41" t="str">
            <v>01.08.2026</v>
          </cell>
          <cell r="U41" t="str">
            <v>31.12.9999</v>
          </cell>
          <cell r="V41" t="str">
            <v>ZICF</v>
          </cell>
          <cell r="W41" t="str">
            <v>01</v>
          </cell>
          <cell r="X41">
            <v>133.71</v>
          </cell>
          <cell r="Y41" t="str">
            <v>MXN</v>
          </cell>
          <cell r="Z41" t="str">
            <v>TN</v>
          </cell>
          <cell r="AA41" t="str">
            <v>01.04.2025</v>
          </cell>
          <cell r="AB41" t="str">
            <v>31.12.2029</v>
          </cell>
          <cell r="AC41">
            <v>108.31</v>
          </cell>
        </row>
        <row r="42">
          <cell r="H42" t="str">
            <v>10002350</v>
          </cell>
          <cell r="I42" t="str">
            <v>Grava Triturada Andesita 10mm-</v>
          </cell>
          <cell r="J42">
            <v>96.03</v>
          </cell>
          <cell r="K42" t="str">
            <v>MXN</v>
          </cell>
          <cell r="L42" t="str">
            <v>TN</v>
          </cell>
          <cell r="M42" t="str">
            <v>01.08.2026</v>
          </cell>
          <cell r="N42" t="str">
            <v>31.12.9999</v>
          </cell>
          <cell r="O42" t="str">
            <v>28.07.2026</v>
          </cell>
          <cell r="P42" t="str">
            <v>ZMIF</v>
          </cell>
          <cell r="Q42">
            <v>29.28</v>
          </cell>
          <cell r="R42" t="str">
            <v>MXN</v>
          </cell>
          <cell r="S42" t="str">
            <v>TN</v>
          </cell>
          <cell r="T42" t="str">
            <v>01.08.2026</v>
          </cell>
          <cell r="U42" t="str">
            <v>31.12.9999</v>
          </cell>
          <cell r="V42" t="str">
            <v>ZICF</v>
          </cell>
          <cell r="W42" t="str">
            <v>01</v>
          </cell>
          <cell r="X42">
            <v>156.87</v>
          </cell>
          <cell r="Y42" t="str">
            <v>MXN</v>
          </cell>
          <cell r="Z42" t="str">
            <v>TN</v>
          </cell>
          <cell r="AA42" t="str">
            <v>01.05.2026</v>
          </cell>
          <cell r="AB42" t="str">
            <v>31.12.2030</v>
          </cell>
          <cell r="AC42">
            <v>125.31</v>
          </cell>
        </row>
        <row r="43">
          <cell r="H43" t="str">
            <v>10000253</v>
          </cell>
          <cell r="I43" t="str">
            <v>Grava Triturada Andesita 20 mm</v>
          </cell>
          <cell r="J43">
            <v>96.03</v>
          </cell>
          <cell r="K43" t="str">
            <v>MXN</v>
          </cell>
          <cell r="L43" t="str">
            <v>TN</v>
          </cell>
          <cell r="M43" t="str">
            <v>01.08.2026</v>
          </cell>
          <cell r="N43" t="str">
            <v>31.12.9999</v>
          </cell>
          <cell r="O43" t="str">
            <v>28.07.2026</v>
          </cell>
          <cell r="P43" t="str">
            <v>ZMIF</v>
          </cell>
          <cell r="Q43">
            <v>12.13</v>
          </cell>
          <cell r="R43" t="str">
            <v>MXN</v>
          </cell>
          <cell r="S43" t="str">
            <v>TN</v>
          </cell>
          <cell r="T43" t="str">
            <v>01.08.2026</v>
          </cell>
          <cell r="U43" t="str">
            <v>31.12.9999</v>
          </cell>
          <cell r="V43" t="str">
            <v>ZICF</v>
          </cell>
          <cell r="W43" t="str">
            <v>01</v>
          </cell>
          <cell r="X43">
            <v>185.14</v>
          </cell>
          <cell r="Y43" t="str">
            <v>MXN</v>
          </cell>
          <cell r="Z43" t="str">
            <v>TN</v>
          </cell>
          <cell r="AA43" t="str">
            <v>01.04.2025</v>
          </cell>
          <cell r="AB43" t="str">
            <v>31.12.2029</v>
          </cell>
          <cell r="AC43">
            <v>108.16</v>
          </cell>
        </row>
        <row r="44">
          <cell r="H44" t="str">
            <v>10000255</v>
          </cell>
          <cell r="I44" t="str">
            <v>Arena Triturada Andesita Malla</v>
          </cell>
          <cell r="J44">
            <v>95.74</v>
          </cell>
          <cell r="K44" t="str">
            <v>MXN</v>
          </cell>
          <cell r="L44" t="str">
            <v>TN</v>
          </cell>
          <cell r="M44" t="str">
            <v>01.08.2026</v>
          </cell>
          <cell r="N44" t="str">
            <v>31.12.9999</v>
          </cell>
          <cell r="O44" t="str">
            <v>28.07.2026</v>
          </cell>
          <cell r="P44" t="str">
            <v>ZMIF</v>
          </cell>
          <cell r="Q44">
            <v>12.57</v>
          </cell>
          <cell r="R44" t="str">
            <v>MXN</v>
          </cell>
          <cell r="S44" t="str">
            <v>TN</v>
          </cell>
          <cell r="T44" t="str">
            <v>01.08.2026</v>
          </cell>
          <cell r="U44" t="str">
            <v>31.12.9999</v>
          </cell>
          <cell r="V44" t="str">
            <v>ZICF</v>
          </cell>
          <cell r="W44" t="str">
            <v>01</v>
          </cell>
          <cell r="X44">
            <v>168.6</v>
          </cell>
          <cell r="Y44" t="str">
            <v>MXN</v>
          </cell>
          <cell r="Z44" t="str">
            <v>TN</v>
          </cell>
          <cell r="AA44" t="str">
            <v>01.04.2025</v>
          </cell>
          <cell r="AB44" t="str">
            <v>31.12.2029</v>
          </cell>
          <cell r="AC44">
            <v>108.31</v>
          </cell>
        </row>
        <row r="45">
          <cell r="H45" t="str">
            <v>10000124</v>
          </cell>
          <cell r="I45" t="str">
            <v>Arena Triturada Caliza Malla 4</v>
          </cell>
          <cell r="J45">
            <v>205.91</v>
          </cell>
          <cell r="K45" t="str">
            <v>MXN</v>
          </cell>
          <cell r="L45" t="str">
            <v>TN</v>
          </cell>
          <cell r="M45" t="str">
            <v>01.08.2026</v>
          </cell>
          <cell r="N45" t="str">
            <v>31.12.9999</v>
          </cell>
          <cell r="O45" t="str">
            <v>28.07.2026</v>
          </cell>
          <cell r="P45" t="str">
            <v>ZMIF</v>
          </cell>
          <cell r="Q45">
            <v>78.53</v>
          </cell>
          <cell r="R45" t="str">
            <v>MXN</v>
          </cell>
          <cell r="S45" t="str">
            <v>TN</v>
          </cell>
          <cell r="T45" t="str">
            <v>01.08.2026</v>
          </cell>
          <cell r="U45" t="str">
            <v>31.12.9999</v>
          </cell>
          <cell r="V45" t="str">
            <v>ZICF</v>
          </cell>
          <cell r="W45" t="str">
            <v>01</v>
          </cell>
          <cell r="X45">
            <v>74.459999999999994</v>
          </cell>
          <cell r="Y45" t="str">
            <v>MXN</v>
          </cell>
          <cell r="Z45" t="str">
            <v>TN</v>
          </cell>
          <cell r="AA45" t="str">
            <v>22.01.2024</v>
          </cell>
          <cell r="AB45" t="str">
            <v>31.12.9999</v>
          </cell>
          <cell r="AC45">
            <v>284.44</v>
          </cell>
        </row>
        <row r="46">
          <cell r="H46" t="str">
            <v>10000237</v>
          </cell>
          <cell r="I46" t="str">
            <v>Grava Triturada Caliza 10 mm -</v>
          </cell>
          <cell r="J46">
            <v>205.71</v>
          </cell>
          <cell r="K46" t="str">
            <v>MXN</v>
          </cell>
          <cell r="L46" t="str">
            <v>TN</v>
          </cell>
          <cell r="M46" t="str">
            <v>01.08.2026</v>
          </cell>
          <cell r="N46" t="str">
            <v>31.12.9999</v>
          </cell>
          <cell r="O46" t="str">
            <v>28.07.2026</v>
          </cell>
          <cell r="P46" t="str">
            <v>ZMIF</v>
          </cell>
          <cell r="Q46">
            <v>88.61</v>
          </cell>
          <cell r="R46" t="str">
            <v>MXN</v>
          </cell>
          <cell r="S46" t="str">
            <v>TN</v>
          </cell>
          <cell r="T46" t="str">
            <v>01.08.2026</v>
          </cell>
          <cell r="U46" t="str">
            <v>31.12.9999</v>
          </cell>
          <cell r="V46" t="str">
            <v>ZICF</v>
          </cell>
          <cell r="W46" t="str">
            <v>01</v>
          </cell>
          <cell r="X46">
            <v>78.89</v>
          </cell>
          <cell r="Y46" t="str">
            <v>MXN</v>
          </cell>
          <cell r="Z46" t="str">
            <v>TN</v>
          </cell>
          <cell r="AA46" t="str">
            <v>12.04.2024</v>
          </cell>
          <cell r="AB46" t="str">
            <v>31.12.9999</v>
          </cell>
          <cell r="AC46">
            <v>294.32</v>
          </cell>
        </row>
        <row r="47">
          <cell r="H47" t="str">
            <v>10000241</v>
          </cell>
          <cell r="I47" t="str">
            <v>Grava Triturada Caliza 20 mm -</v>
          </cell>
          <cell r="J47">
            <v>205.71</v>
          </cell>
          <cell r="K47" t="str">
            <v>MXN</v>
          </cell>
          <cell r="L47" t="str">
            <v>TN</v>
          </cell>
          <cell r="M47" t="str">
            <v>01.08.2026</v>
          </cell>
          <cell r="N47" t="str">
            <v>31.12.9999</v>
          </cell>
          <cell r="O47" t="str">
            <v>28.07.2026</v>
          </cell>
          <cell r="P47" t="str">
            <v>ZMIF</v>
          </cell>
          <cell r="Q47">
            <v>78.73</v>
          </cell>
          <cell r="R47" t="str">
            <v>MXN</v>
          </cell>
          <cell r="S47" t="str">
            <v>TN</v>
          </cell>
          <cell r="T47" t="str">
            <v>01.08.2026</v>
          </cell>
          <cell r="U47" t="str">
            <v>31.12.9999</v>
          </cell>
          <cell r="V47" t="str">
            <v>ZICF</v>
          </cell>
          <cell r="W47" t="str">
            <v>01</v>
          </cell>
          <cell r="X47">
            <v>79.8</v>
          </cell>
          <cell r="Y47" t="str">
            <v>MXN</v>
          </cell>
          <cell r="Z47" t="str">
            <v>TN</v>
          </cell>
          <cell r="AA47" t="str">
            <v>12.04.2024</v>
          </cell>
          <cell r="AB47" t="str">
            <v>31.12.9999</v>
          </cell>
          <cell r="AC47">
            <v>284.44</v>
          </cell>
        </row>
        <row r="48">
          <cell r="H48" t="str">
            <v>10000260</v>
          </cell>
          <cell r="I48" t="str">
            <v>Arena Triturada Caliza Malla 5</v>
          </cell>
          <cell r="J48">
            <v>205.91</v>
          </cell>
          <cell r="K48" t="str">
            <v>MXN</v>
          </cell>
          <cell r="L48" t="str">
            <v>TN</v>
          </cell>
          <cell r="M48" t="str">
            <v>01.08.2026</v>
          </cell>
          <cell r="N48" t="str">
            <v>31.12.9999</v>
          </cell>
          <cell r="O48" t="str">
            <v>28.07.2026</v>
          </cell>
          <cell r="P48" t="str">
            <v>ZMIF</v>
          </cell>
          <cell r="Q48">
            <v>114.41</v>
          </cell>
          <cell r="R48" t="str">
            <v>MXN</v>
          </cell>
          <cell r="S48" t="str">
            <v>TN</v>
          </cell>
          <cell r="T48" t="str">
            <v>01.08.2026</v>
          </cell>
          <cell r="U48" t="str">
            <v>31.12.9999</v>
          </cell>
          <cell r="V48" t="str">
            <v>ZICF</v>
          </cell>
          <cell r="W48" t="str">
            <v>01</v>
          </cell>
          <cell r="X48">
            <v>71.56</v>
          </cell>
          <cell r="Y48" t="str">
            <v>MXN</v>
          </cell>
          <cell r="Z48" t="str">
            <v>TN</v>
          </cell>
          <cell r="AA48" t="str">
            <v>22.01.2024</v>
          </cell>
          <cell r="AB48" t="str">
            <v>31.12.9999</v>
          </cell>
          <cell r="AC48">
            <v>320.32</v>
          </cell>
        </row>
        <row r="49">
          <cell r="H49" t="str">
            <v>10164169</v>
          </cell>
          <cell r="I49" t="str">
            <v>ARENA TRITURADA CALIZA MALLA 4</v>
          </cell>
          <cell r="J49">
            <v>205.91</v>
          </cell>
          <cell r="K49" t="str">
            <v>MXN</v>
          </cell>
          <cell r="L49" t="str">
            <v>TN</v>
          </cell>
          <cell r="M49" t="str">
            <v>01.08.2026</v>
          </cell>
          <cell r="N49" t="str">
            <v>31.12.9999</v>
          </cell>
          <cell r="O49" t="str">
            <v>28.07.2026</v>
          </cell>
          <cell r="P49" t="str">
            <v>ZMIF</v>
          </cell>
          <cell r="Q49">
            <v>78.53</v>
          </cell>
          <cell r="R49" t="str">
            <v>MXN</v>
          </cell>
          <cell r="S49" t="str">
            <v>TN</v>
          </cell>
          <cell r="T49" t="str">
            <v>01.08.2026</v>
          </cell>
          <cell r="U49" t="str">
            <v>31.12.9999</v>
          </cell>
          <cell r="V49" t="str">
            <v>ZICF</v>
          </cell>
          <cell r="W49" t="str">
            <v>01</v>
          </cell>
          <cell r="X49">
            <v>79</v>
          </cell>
          <cell r="Y49" t="str">
            <v>MXN</v>
          </cell>
          <cell r="Z49" t="str">
            <v>TN</v>
          </cell>
          <cell r="AA49" t="str">
            <v>18.12.2024</v>
          </cell>
          <cell r="AB49" t="str">
            <v>31.12.9999</v>
          </cell>
          <cell r="AC49">
            <v>284.44</v>
          </cell>
        </row>
        <row r="50">
          <cell r="H50" t="str">
            <v>10000124</v>
          </cell>
          <cell r="I50" t="str">
            <v>Arena Triturada Caliza Malla 4</v>
          </cell>
          <cell r="J50">
            <v>205.91</v>
          </cell>
          <cell r="K50" t="str">
            <v>MXN</v>
          </cell>
          <cell r="L50" t="str">
            <v>TN</v>
          </cell>
          <cell r="M50" t="str">
            <v>01.08.2026</v>
          </cell>
          <cell r="N50" t="str">
            <v>31.12.9999</v>
          </cell>
          <cell r="O50" t="str">
            <v>28.07.2026</v>
          </cell>
          <cell r="P50" t="str">
            <v>ZMIF</v>
          </cell>
          <cell r="Q50">
            <v>78.53</v>
          </cell>
          <cell r="R50" t="str">
            <v>MXN</v>
          </cell>
          <cell r="S50" t="str">
            <v>TN</v>
          </cell>
          <cell r="T50" t="str">
            <v>01.08.2026</v>
          </cell>
          <cell r="U50" t="str">
            <v>31.12.9999</v>
          </cell>
          <cell r="V50" t="str">
            <v>ZICF</v>
          </cell>
          <cell r="W50" t="str">
            <v>01</v>
          </cell>
          <cell r="X50">
            <v>232</v>
          </cell>
          <cell r="Y50" t="str">
            <v>MXN</v>
          </cell>
          <cell r="Z50" t="str">
            <v>TN</v>
          </cell>
          <cell r="AA50" t="str">
            <v>18.12.2024</v>
          </cell>
          <cell r="AB50" t="str">
            <v>31.12.9999</v>
          </cell>
          <cell r="AC50">
            <v>284.44</v>
          </cell>
        </row>
        <row r="51">
          <cell r="H51" t="str">
            <v>10000237</v>
          </cell>
          <cell r="I51" t="str">
            <v>Grava Triturada Caliza 10 mm -</v>
          </cell>
          <cell r="J51">
            <v>205.71</v>
          </cell>
          <cell r="K51" t="str">
            <v>MXN</v>
          </cell>
          <cell r="L51" t="str">
            <v>TN</v>
          </cell>
          <cell r="M51" t="str">
            <v>01.08.2026</v>
          </cell>
          <cell r="N51" t="str">
            <v>31.12.9999</v>
          </cell>
          <cell r="O51" t="str">
            <v>28.07.2026</v>
          </cell>
          <cell r="P51" t="str">
            <v>ZMIF</v>
          </cell>
          <cell r="Q51">
            <v>88.61</v>
          </cell>
          <cell r="R51" t="str">
            <v>MXN</v>
          </cell>
          <cell r="S51" t="str">
            <v>TN</v>
          </cell>
          <cell r="T51" t="str">
            <v>01.08.2026</v>
          </cell>
          <cell r="U51" t="str">
            <v>31.12.9999</v>
          </cell>
          <cell r="V51" t="str">
            <v>ZICF</v>
          </cell>
          <cell r="W51" t="str">
            <v>01</v>
          </cell>
          <cell r="X51">
            <v>191.64</v>
          </cell>
          <cell r="Y51" t="str">
            <v>MXN</v>
          </cell>
          <cell r="Z51" t="str">
            <v>TN</v>
          </cell>
          <cell r="AA51" t="str">
            <v>09.08.2023</v>
          </cell>
          <cell r="AB51" t="str">
            <v>31.12.9999</v>
          </cell>
          <cell r="AC51">
            <v>294.32</v>
          </cell>
        </row>
        <row r="52">
          <cell r="H52" t="str">
            <v>10000241</v>
          </cell>
          <cell r="I52" t="str">
            <v>Grava Triturada Caliza 20 mm -</v>
          </cell>
          <cell r="J52">
            <v>205.71</v>
          </cell>
          <cell r="K52" t="str">
            <v>MXN</v>
          </cell>
          <cell r="L52" t="str">
            <v>TN</v>
          </cell>
          <cell r="M52" t="str">
            <v>01.08.2026</v>
          </cell>
          <cell r="N52" t="str">
            <v>31.12.9999</v>
          </cell>
          <cell r="O52" t="str">
            <v>28.07.2026</v>
          </cell>
          <cell r="P52" t="str">
            <v>ZMIF</v>
          </cell>
          <cell r="Q52">
            <v>78.73</v>
          </cell>
          <cell r="R52" t="str">
            <v>MXN</v>
          </cell>
          <cell r="S52" t="str">
            <v>TN</v>
          </cell>
          <cell r="T52" t="str">
            <v>01.08.2026</v>
          </cell>
          <cell r="U52" t="str">
            <v>31.12.9999</v>
          </cell>
          <cell r="V52" t="str">
            <v>ZICF</v>
          </cell>
          <cell r="W52" t="str">
            <v>01</v>
          </cell>
          <cell r="X52">
            <v>226</v>
          </cell>
          <cell r="Y52" t="str">
            <v>MXN</v>
          </cell>
          <cell r="Z52" t="str">
            <v>TN</v>
          </cell>
          <cell r="AA52" t="str">
            <v>18.12.2024</v>
          </cell>
          <cell r="AB52" t="str">
            <v>31.12.9999</v>
          </cell>
          <cell r="AC52">
            <v>284.44</v>
          </cell>
        </row>
        <row r="53">
          <cell r="H53" t="str">
            <v>10000260</v>
          </cell>
          <cell r="I53" t="str">
            <v>Arena Triturada Caliza Malla 5</v>
          </cell>
          <cell r="J53">
            <v>205.91</v>
          </cell>
          <cell r="K53" t="str">
            <v>MXN</v>
          </cell>
          <cell r="L53" t="str">
            <v>TN</v>
          </cell>
          <cell r="M53" t="str">
            <v>01.08.2026</v>
          </cell>
          <cell r="N53" t="str">
            <v>31.12.9999</v>
          </cell>
          <cell r="O53" t="str">
            <v>28.07.2026</v>
          </cell>
          <cell r="P53" t="str">
            <v>ZMIF</v>
          </cell>
          <cell r="Q53">
            <v>114.41</v>
          </cell>
          <cell r="R53" t="str">
            <v>MXN</v>
          </cell>
          <cell r="S53" t="str">
            <v>TN</v>
          </cell>
          <cell r="T53" t="str">
            <v>01.08.2026</v>
          </cell>
          <cell r="U53" t="str">
            <v>31.12.9999</v>
          </cell>
          <cell r="V53" t="str">
            <v>ZICF</v>
          </cell>
          <cell r="W53" t="str">
            <v>01</v>
          </cell>
          <cell r="X53">
            <v>175.58</v>
          </cell>
          <cell r="Y53" t="str">
            <v>MXN</v>
          </cell>
          <cell r="Z53" t="str">
            <v>TN</v>
          </cell>
          <cell r="AA53" t="str">
            <v>09.08.2023</v>
          </cell>
          <cell r="AB53" t="str">
            <v>31.12.9999</v>
          </cell>
          <cell r="AC53">
            <v>320.32</v>
          </cell>
        </row>
        <row r="54">
          <cell r="H54" t="str">
            <v>10164169</v>
          </cell>
          <cell r="I54" t="str">
            <v>ARENA TRITURADA CALIZA MALLA 4</v>
          </cell>
          <cell r="J54">
            <v>205.91</v>
          </cell>
          <cell r="K54" t="str">
            <v>MXN</v>
          </cell>
          <cell r="L54" t="str">
            <v>TN</v>
          </cell>
          <cell r="M54" t="str">
            <v>01.08.2026</v>
          </cell>
          <cell r="N54" t="str">
            <v>31.12.9999</v>
          </cell>
          <cell r="O54" t="str">
            <v>28.07.2026</v>
          </cell>
          <cell r="P54" t="str">
            <v>ZMIF</v>
          </cell>
          <cell r="Q54">
            <v>78.53</v>
          </cell>
          <cell r="R54" t="str">
            <v>MXN</v>
          </cell>
          <cell r="S54" t="str">
            <v>TN</v>
          </cell>
          <cell r="T54" t="str">
            <v>01.08.2026</v>
          </cell>
          <cell r="U54" t="str">
            <v>31.12.9999</v>
          </cell>
          <cell r="V54" t="str">
            <v>ZICF</v>
          </cell>
          <cell r="W54" t="str">
            <v>01</v>
          </cell>
          <cell r="X54">
            <v>231.13</v>
          </cell>
          <cell r="Y54" t="str">
            <v>MXN</v>
          </cell>
          <cell r="Z54" t="str">
            <v>TN</v>
          </cell>
          <cell r="AA54" t="str">
            <v>27.02.2025</v>
          </cell>
          <cell r="AB54" t="str">
            <v>31.12.9999</v>
          </cell>
          <cell r="AC54">
            <v>284.44</v>
          </cell>
        </row>
        <row r="55">
          <cell r="H55" t="str">
            <v>10000124</v>
          </cell>
          <cell r="I55" t="str">
            <v>Arena Triturada Caliza Malla 4</v>
          </cell>
          <cell r="J55">
            <v>205.91</v>
          </cell>
          <cell r="K55" t="str">
            <v>MXN</v>
          </cell>
          <cell r="L55" t="str">
            <v>TN</v>
          </cell>
          <cell r="M55" t="str">
            <v>01.08.2026</v>
          </cell>
          <cell r="N55" t="str">
            <v>31.12.9999</v>
          </cell>
          <cell r="O55" t="str">
            <v>28.07.2026</v>
          </cell>
          <cell r="P55" t="str">
            <v>ZMIF</v>
          </cell>
          <cell r="Q55">
            <v>78.53</v>
          </cell>
          <cell r="R55" t="str">
            <v>MXN</v>
          </cell>
          <cell r="S55" t="str">
            <v>TN</v>
          </cell>
          <cell r="T55" t="str">
            <v>01.08.2026</v>
          </cell>
          <cell r="U55" t="str">
            <v>31.12.9999</v>
          </cell>
          <cell r="V55" t="str">
            <v>ZICF</v>
          </cell>
          <cell r="W55" t="str">
            <v>01</v>
          </cell>
          <cell r="X55">
            <v>440</v>
          </cell>
          <cell r="Y55" t="str">
            <v>MXN</v>
          </cell>
          <cell r="Z55" t="str">
            <v>TN</v>
          </cell>
          <cell r="AA55" t="str">
            <v>31.12.2025</v>
          </cell>
          <cell r="AB55" t="str">
            <v>31.12.9999</v>
          </cell>
          <cell r="AC55">
            <v>284.44</v>
          </cell>
        </row>
        <row r="56">
          <cell r="H56" t="str">
            <v>10000237</v>
          </cell>
          <cell r="I56" t="str">
            <v>Grava Triturada Caliza 10 mm -</v>
          </cell>
          <cell r="J56">
            <v>205.71</v>
          </cell>
          <cell r="K56" t="str">
            <v>MXN</v>
          </cell>
          <cell r="L56" t="str">
            <v>TN</v>
          </cell>
          <cell r="M56" t="str">
            <v>01.08.2026</v>
          </cell>
          <cell r="N56" t="str">
            <v>31.12.9999</v>
          </cell>
          <cell r="O56" t="str">
            <v>28.07.2026</v>
          </cell>
          <cell r="P56" t="str">
            <v>ZMIF</v>
          </cell>
          <cell r="Q56">
            <v>88.61</v>
          </cell>
          <cell r="R56" t="str">
            <v>MXN</v>
          </cell>
          <cell r="S56" t="str">
            <v>TN</v>
          </cell>
          <cell r="T56" t="str">
            <v>01.08.2026</v>
          </cell>
          <cell r="U56" t="str">
            <v>31.12.9999</v>
          </cell>
          <cell r="V56"/>
          <cell r="W56"/>
          <cell r="X56"/>
          <cell r="Y56"/>
          <cell r="Z56"/>
          <cell r="AA56"/>
          <cell r="AB56"/>
          <cell r="AC56">
            <v>294.32</v>
          </cell>
        </row>
        <row r="57">
          <cell r="H57" t="str">
            <v>10000241</v>
          </cell>
          <cell r="I57" t="str">
            <v>Grava Triturada Caliza 20 mm -</v>
          </cell>
          <cell r="J57">
            <v>205.71</v>
          </cell>
          <cell r="K57" t="str">
            <v>MXN</v>
          </cell>
          <cell r="L57" t="str">
            <v>TN</v>
          </cell>
          <cell r="M57" t="str">
            <v>01.08.2026</v>
          </cell>
          <cell r="N57" t="str">
            <v>31.12.9999</v>
          </cell>
          <cell r="O57" t="str">
            <v>28.07.2026</v>
          </cell>
          <cell r="P57" t="str">
            <v>ZMIF</v>
          </cell>
          <cell r="Q57">
            <v>78.73</v>
          </cell>
          <cell r="R57" t="str">
            <v>MXN</v>
          </cell>
          <cell r="S57" t="str">
            <v>TN</v>
          </cell>
          <cell r="T57" t="str">
            <v>01.08.2026</v>
          </cell>
          <cell r="U57" t="str">
            <v>31.12.9999</v>
          </cell>
          <cell r="V57" t="str">
            <v>ZICF</v>
          </cell>
          <cell r="W57" t="str">
            <v>01</v>
          </cell>
          <cell r="X57">
            <v>428</v>
          </cell>
          <cell r="Y57" t="str">
            <v>MXN</v>
          </cell>
          <cell r="Z57" t="str">
            <v>TN</v>
          </cell>
          <cell r="AA57" t="str">
            <v>31.12.2025</v>
          </cell>
          <cell r="AB57" t="str">
            <v>31.12.9999</v>
          </cell>
          <cell r="AC57">
            <v>284.44</v>
          </cell>
        </row>
        <row r="58">
          <cell r="H58" t="str">
            <v>10000260</v>
          </cell>
          <cell r="I58" t="str">
            <v>Arena Triturada Caliza Malla 5</v>
          </cell>
          <cell r="J58">
            <v>205.91</v>
          </cell>
          <cell r="K58" t="str">
            <v>MXN</v>
          </cell>
          <cell r="L58" t="str">
            <v>TN</v>
          </cell>
          <cell r="M58" t="str">
            <v>01.08.2026</v>
          </cell>
          <cell r="N58" t="str">
            <v>31.12.9999</v>
          </cell>
          <cell r="O58" t="str">
            <v>28.07.2026</v>
          </cell>
          <cell r="P58" t="str">
            <v>ZMIF</v>
          </cell>
          <cell r="Q58">
            <v>114.41</v>
          </cell>
          <cell r="R58" t="str">
            <v>MXN</v>
          </cell>
          <cell r="S58" t="str">
            <v>TN</v>
          </cell>
          <cell r="T58" t="str">
            <v>01.08.2026</v>
          </cell>
          <cell r="U58" t="str">
            <v>31.12.9999</v>
          </cell>
          <cell r="V58"/>
          <cell r="W58"/>
          <cell r="X58"/>
          <cell r="Y58"/>
          <cell r="Z58"/>
          <cell r="AA58"/>
          <cell r="AB58"/>
          <cell r="AC58">
            <v>320.32</v>
          </cell>
        </row>
        <row r="59">
          <cell r="H59" t="str">
            <v>10000237</v>
          </cell>
          <cell r="I59" t="str">
            <v>Grava Triturada Caliza 10 mm -</v>
          </cell>
          <cell r="J59">
            <v>205.71</v>
          </cell>
          <cell r="K59" t="str">
            <v>MXN</v>
          </cell>
          <cell r="L59" t="str">
            <v>TN</v>
          </cell>
          <cell r="M59" t="str">
            <v>01.08.2026</v>
          </cell>
          <cell r="N59" t="str">
            <v>31.12.9999</v>
          </cell>
          <cell r="O59" t="str">
            <v>28.07.2026</v>
          </cell>
          <cell r="P59" t="str">
            <v>ZMIF</v>
          </cell>
          <cell r="Q59">
            <v>88.61</v>
          </cell>
          <cell r="R59" t="str">
            <v>MXN</v>
          </cell>
          <cell r="S59" t="str">
            <v>TN</v>
          </cell>
          <cell r="T59" t="str">
            <v>01.08.2026</v>
          </cell>
          <cell r="U59" t="str">
            <v>31.12.9999</v>
          </cell>
          <cell r="V59" t="str">
            <v>ZICF</v>
          </cell>
          <cell r="W59" t="str">
            <v>01</v>
          </cell>
          <cell r="X59">
            <v>53.4</v>
          </cell>
          <cell r="Y59" t="str">
            <v>MXN</v>
          </cell>
          <cell r="Z59" t="str">
            <v>TN</v>
          </cell>
          <cell r="AA59" t="str">
            <v>09.08.2023</v>
          </cell>
          <cell r="AB59" t="str">
            <v>31.12.9999</v>
          </cell>
          <cell r="AC59">
            <v>294.32</v>
          </cell>
        </row>
        <row r="60">
          <cell r="H60" t="str">
            <v>10000241</v>
          </cell>
          <cell r="I60" t="str">
            <v>Grava Triturada Caliza 20 mm -</v>
          </cell>
          <cell r="J60">
            <v>205.71</v>
          </cell>
          <cell r="K60" t="str">
            <v>MXN</v>
          </cell>
          <cell r="L60" t="str">
            <v>TN</v>
          </cell>
          <cell r="M60" t="str">
            <v>01.08.2026</v>
          </cell>
          <cell r="N60" t="str">
            <v>31.12.9999</v>
          </cell>
          <cell r="O60" t="str">
            <v>28.07.2026</v>
          </cell>
          <cell r="P60" t="str">
            <v>ZMIF</v>
          </cell>
          <cell r="Q60">
            <v>78.73</v>
          </cell>
          <cell r="R60" t="str">
            <v>MXN</v>
          </cell>
          <cell r="S60" t="str">
            <v>TN</v>
          </cell>
          <cell r="T60" t="str">
            <v>01.08.2026</v>
          </cell>
          <cell r="U60" t="str">
            <v>31.12.9999</v>
          </cell>
          <cell r="V60" t="str">
            <v>ZICF</v>
          </cell>
          <cell r="W60" t="str">
            <v>01</v>
          </cell>
          <cell r="X60">
            <v>58.73</v>
          </cell>
          <cell r="Y60" t="str">
            <v>MXN</v>
          </cell>
          <cell r="Z60" t="str">
            <v>TN</v>
          </cell>
          <cell r="AA60" t="str">
            <v>12.04.2024</v>
          </cell>
          <cell r="AB60" t="str">
            <v>31.12.9999</v>
          </cell>
          <cell r="AC60">
            <v>284.44</v>
          </cell>
        </row>
        <row r="61">
          <cell r="H61" t="str">
            <v>10164169</v>
          </cell>
          <cell r="I61" t="str">
            <v>ARENA TRITURADA CALIZA MALLA 4</v>
          </cell>
          <cell r="J61">
            <v>205.91</v>
          </cell>
          <cell r="K61" t="str">
            <v>MXN</v>
          </cell>
          <cell r="L61" t="str">
            <v>TN</v>
          </cell>
          <cell r="M61" t="str">
            <v>01.08.2026</v>
          </cell>
          <cell r="N61" t="str">
            <v>31.12.9999</v>
          </cell>
          <cell r="O61" t="str">
            <v>28.07.2026</v>
          </cell>
          <cell r="P61" t="str">
            <v>ZMIF</v>
          </cell>
          <cell r="Q61">
            <v>78.53</v>
          </cell>
          <cell r="R61" t="str">
            <v>MXN</v>
          </cell>
          <cell r="S61" t="str">
            <v>TN</v>
          </cell>
          <cell r="T61" t="str">
            <v>01.08.2026</v>
          </cell>
          <cell r="U61" t="str">
            <v>31.12.9999</v>
          </cell>
          <cell r="V61" t="str">
            <v>ZICF</v>
          </cell>
          <cell r="W61" t="str">
            <v>01</v>
          </cell>
          <cell r="X61">
            <v>59</v>
          </cell>
          <cell r="Y61" t="str">
            <v>MXN</v>
          </cell>
          <cell r="Z61" t="str">
            <v>TN</v>
          </cell>
          <cell r="AA61" t="str">
            <v>18.12.2024</v>
          </cell>
          <cell r="AB61" t="str">
            <v>31.12.9999</v>
          </cell>
          <cell r="AC61">
            <v>284.44</v>
          </cell>
        </row>
        <row r="62">
          <cell r="H62" t="str">
            <v>10000124</v>
          </cell>
          <cell r="I62" t="str">
            <v>Arena Triturada Caliza Malla 4</v>
          </cell>
          <cell r="J62">
            <v>205.91</v>
          </cell>
          <cell r="K62" t="str">
            <v>MXN</v>
          </cell>
          <cell r="L62" t="str">
            <v>TN</v>
          </cell>
          <cell r="M62" t="str">
            <v>01.08.2026</v>
          </cell>
          <cell r="N62" t="str">
            <v>31.12.9999</v>
          </cell>
          <cell r="O62" t="str">
            <v>28.07.2026</v>
          </cell>
          <cell r="P62" t="str">
            <v>ZMIF</v>
          </cell>
          <cell r="Q62">
            <v>78.53</v>
          </cell>
          <cell r="R62" t="str">
            <v>MXN</v>
          </cell>
          <cell r="S62" t="str">
            <v>TN</v>
          </cell>
          <cell r="T62" t="str">
            <v>01.08.2026</v>
          </cell>
          <cell r="U62" t="str">
            <v>31.12.9999</v>
          </cell>
          <cell r="V62" t="str">
            <v>ZICF</v>
          </cell>
          <cell r="W62" t="str">
            <v>01</v>
          </cell>
          <cell r="X62">
            <v>36.36</v>
          </cell>
          <cell r="Y62" t="str">
            <v>MXN</v>
          </cell>
          <cell r="Z62" t="str">
            <v>TN</v>
          </cell>
          <cell r="AA62" t="str">
            <v>25.05.2026</v>
          </cell>
          <cell r="AB62" t="str">
            <v>31.12.9999</v>
          </cell>
          <cell r="AC62">
            <v>284.44</v>
          </cell>
        </row>
        <row r="63">
          <cell r="H63" t="str">
            <v>10000237</v>
          </cell>
          <cell r="I63" t="str">
            <v>Grava Triturada Caliza 10 mm -</v>
          </cell>
          <cell r="J63">
            <v>205.71</v>
          </cell>
          <cell r="K63" t="str">
            <v>MXN</v>
          </cell>
          <cell r="L63" t="str">
            <v>TN</v>
          </cell>
          <cell r="M63" t="str">
            <v>01.08.2026</v>
          </cell>
          <cell r="N63" t="str">
            <v>31.12.9999</v>
          </cell>
          <cell r="O63" t="str">
            <v>28.07.2026</v>
          </cell>
          <cell r="P63" t="str">
            <v>ZMIF</v>
          </cell>
          <cell r="Q63">
            <v>88.61</v>
          </cell>
          <cell r="R63" t="str">
            <v>MXN</v>
          </cell>
          <cell r="S63" t="str">
            <v>TN</v>
          </cell>
          <cell r="T63" t="str">
            <v>01.08.2026</v>
          </cell>
          <cell r="U63" t="str">
            <v>31.12.9999</v>
          </cell>
          <cell r="V63" t="str">
            <v>ZICF</v>
          </cell>
          <cell r="W63" t="str">
            <v>01</v>
          </cell>
          <cell r="X63">
            <v>51.73</v>
          </cell>
          <cell r="Y63" t="str">
            <v>MXN</v>
          </cell>
          <cell r="Z63" t="str">
            <v>TN</v>
          </cell>
          <cell r="AA63" t="str">
            <v>19.04.2024</v>
          </cell>
          <cell r="AB63" t="str">
            <v>31.12.9999</v>
          </cell>
          <cell r="AC63">
            <v>294.32</v>
          </cell>
        </row>
        <row r="64">
          <cell r="H64" t="str">
            <v>10000241</v>
          </cell>
          <cell r="I64" t="str">
            <v>Grava Triturada Caliza 20 mm -</v>
          </cell>
          <cell r="J64">
            <v>205.71</v>
          </cell>
          <cell r="K64" t="str">
            <v>MXN</v>
          </cell>
          <cell r="L64" t="str">
            <v>TN</v>
          </cell>
          <cell r="M64" t="str">
            <v>01.08.2026</v>
          </cell>
          <cell r="N64" t="str">
            <v>31.12.9999</v>
          </cell>
          <cell r="O64" t="str">
            <v>28.07.2026</v>
          </cell>
          <cell r="P64" t="str">
            <v>ZMIF</v>
          </cell>
          <cell r="Q64">
            <v>78.73</v>
          </cell>
          <cell r="R64" t="str">
            <v>MXN</v>
          </cell>
          <cell r="S64" t="str">
            <v>TN</v>
          </cell>
          <cell r="T64" t="str">
            <v>01.08.2026</v>
          </cell>
          <cell r="U64" t="str">
            <v>31.12.9999</v>
          </cell>
          <cell r="V64" t="str">
            <v>ZICF</v>
          </cell>
          <cell r="W64" t="str">
            <v>01</v>
          </cell>
          <cell r="X64">
            <v>34.47</v>
          </cell>
          <cell r="Y64" t="str">
            <v>MXN</v>
          </cell>
          <cell r="Z64" t="str">
            <v>TN</v>
          </cell>
          <cell r="AA64" t="str">
            <v>12.04.2024</v>
          </cell>
          <cell r="AB64" t="str">
            <v>31.12.9999</v>
          </cell>
          <cell r="AC64">
            <v>284.44</v>
          </cell>
        </row>
        <row r="65">
          <cell r="H65" t="str">
            <v>10164169</v>
          </cell>
          <cell r="I65" t="str">
            <v>ARENA TRITURADA CALIZA MALLA 4</v>
          </cell>
          <cell r="J65">
            <v>205.91</v>
          </cell>
          <cell r="K65" t="str">
            <v>MXN</v>
          </cell>
          <cell r="L65" t="str">
            <v>TN</v>
          </cell>
          <cell r="M65" t="str">
            <v>01.08.2026</v>
          </cell>
          <cell r="N65" t="str">
            <v>31.12.9999</v>
          </cell>
          <cell r="O65" t="str">
            <v>28.07.2026</v>
          </cell>
          <cell r="P65" t="str">
            <v>ZMIF</v>
          </cell>
          <cell r="Q65">
            <v>78.53</v>
          </cell>
          <cell r="R65" t="str">
            <v>MXN</v>
          </cell>
          <cell r="S65" t="str">
            <v>TN</v>
          </cell>
          <cell r="T65" t="str">
            <v>01.08.2026</v>
          </cell>
          <cell r="U65" t="str">
            <v>31.12.9999</v>
          </cell>
          <cell r="V65" t="str">
            <v>ZICF</v>
          </cell>
          <cell r="W65" t="str">
            <v>01</v>
          </cell>
          <cell r="X65">
            <v>34</v>
          </cell>
          <cell r="Y65" t="str">
            <v>MXN</v>
          </cell>
          <cell r="Z65" t="str">
            <v>TN</v>
          </cell>
          <cell r="AA65" t="str">
            <v>18.12.2024</v>
          </cell>
          <cell r="AB65" t="str">
            <v>31.12.9999</v>
          </cell>
          <cell r="AC65">
            <v>284.44</v>
          </cell>
        </row>
        <row r="66">
          <cell r="H66" t="str">
            <v>10000237</v>
          </cell>
          <cell r="I66" t="str">
            <v>Grava Triturada Caliza 10 mm -</v>
          </cell>
          <cell r="J66">
            <v>205.71</v>
          </cell>
          <cell r="K66" t="str">
            <v>MXN</v>
          </cell>
          <cell r="L66" t="str">
            <v>TN</v>
          </cell>
          <cell r="M66" t="str">
            <v>01.08.2026</v>
          </cell>
          <cell r="N66" t="str">
            <v>31.12.9999</v>
          </cell>
          <cell r="O66" t="str">
            <v>28.07.2026</v>
          </cell>
          <cell r="P66" t="str">
            <v>ZMIF</v>
          </cell>
          <cell r="Q66">
            <v>88.61</v>
          </cell>
          <cell r="R66" t="str">
            <v>MXN</v>
          </cell>
          <cell r="S66" t="str">
            <v>TN</v>
          </cell>
          <cell r="T66" t="str">
            <v>01.08.2026</v>
          </cell>
          <cell r="U66" t="str">
            <v>31.12.9999</v>
          </cell>
          <cell r="V66" t="str">
            <v>ZICF</v>
          </cell>
          <cell r="W66" t="str">
            <v>01</v>
          </cell>
          <cell r="X66">
            <v>87.81</v>
          </cell>
          <cell r="Y66" t="str">
            <v>MXN</v>
          </cell>
          <cell r="Z66" t="str">
            <v>TN</v>
          </cell>
          <cell r="AA66" t="str">
            <v>22.01.2024</v>
          </cell>
          <cell r="AB66" t="str">
            <v>31.12.9999</v>
          </cell>
          <cell r="AC66">
            <v>294.32</v>
          </cell>
        </row>
        <row r="67">
          <cell r="H67" t="str">
            <v>10000241</v>
          </cell>
          <cell r="I67" t="str">
            <v>Grava Triturada Caliza 20 mm -</v>
          </cell>
          <cell r="J67">
            <v>205.71</v>
          </cell>
          <cell r="K67" t="str">
            <v>MXN</v>
          </cell>
          <cell r="L67" t="str">
            <v>TN</v>
          </cell>
          <cell r="M67" t="str">
            <v>01.08.2026</v>
          </cell>
          <cell r="N67" t="str">
            <v>31.12.9999</v>
          </cell>
          <cell r="O67" t="str">
            <v>28.07.2026</v>
          </cell>
          <cell r="P67" t="str">
            <v>ZMIF</v>
          </cell>
          <cell r="Q67">
            <v>78.73</v>
          </cell>
          <cell r="R67" t="str">
            <v>MXN</v>
          </cell>
          <cell r="S67" t="str">
            <v>TN</v>
          </cell>
          <cell r="T67" t="str">
            <v>01.08.2026</v>
          </cell>
          <cell r="U67" t="str">
            <v>31.12.9999</v>
          </cell>
          <cell r="V67" t="str">
            <v>ZICF</v>
          </cell>
          <cell r="W67" t="str">
            <v>01</v>
          </cell>
          <cell r="X67">
            <v>90.54</v>
          </cell>
          <cell r="Y67" t="str">
            <v>MXN</v>
          </cell>
          <cell r="Z67" t="str">
            <v>TN</v>
          </cell>
          <cell r="AA67" t="str">
            <v>25.05.2026</v>
          </cell>
          <cell r="AB67" t="str">
            <v>31.12.9999</v>
          </cell>
          <cell r="AC67">
            <v>284.44</v>
          </cell>
        </row>
        <row r="68">
          <cell r="H68" t="str">
            <v>10000260</v>
          </cell>
          <cell r="I68" t="str">
            <v>Arena Triturada Caliza Malla 5</v>
          </cell>
          <cell r="J68">
            <v>205.91</v>
          </cell>
          <cell r="K68" t="str">
            <v>MXN</v>
          </cell>
          <cell r="L68" t="str">
            <v>TN</v>
          </cell>
          <cell r="M68" t="str">
            <v>01.08.2026</v>
          </cell>
          <cell r="N68" t="str">
            <v>31.12.9999</v>
          </cell>
          <cell r="O68" t="str">
            <v>28.07.2026</v>
          </cell>
          <cell r="P68" t="str">
            <v>ZMIF</v>
          </cell>
          <cell r="Q68">
            <v>114.41</v>
          </cell>
          <cell r="R68" t="str">
            <v>MXN</v>
          </cell>
          <cell r="S68" t="str">
            <v>TN</v>
          </cell>
          <cell r="T68" t="str">
            <v>01.08.2026</v>
          </cell>
          <cell r="U68" t="str">
            <v>31.12.9999</v>
          </cell>
          <cell r="V68" t="str">
            <v>ZICF</v>
          </cell>
          <cell r="W68" t="str">
            <v>01</v>
          </cell>
          <cell r="X68">
            <v>85.88</v>
          </cell>
          <cell r="Y68" t="str">
            <v>MXN</v>
          </cell>
          <cell r="Z68" t="str">
            <v>TN</v>
          </cell>
          <cell r="AA68" t="str">
            <v>22.01.2024</v>
          </cell>
          <cell r="AB68" t="str">
            <v>31.12.9999</v>
          </cell>
          <cell r="AC68">
            <v>320.32</v>
          </cell>
        </row>
        <row r="69">
          <cell r="H69" t="str">
            <v>10164169</v>
          </cell>
          <cell r="I69" t="str">
            <v>ARENA TRITURADA CALIZA MALLA 4</v>
          </cell>
          <cell r="J69">
            <v>205.91</v>
          </cell>
          <cell r="K69" t="str">
            <v>MXN</v>
          </cell>
          <cell r="L69" t="str">
            <v>TN</v>
          </cell>
          <cell r="M69" t="str">
            <v>01.08.2026</v>
          </cell>
          <cell r="N69" t="str">
            <v>31.12.9999</v>
          </cell>
          <cell r="O69" t="str">
            <v>28.07.2026</v>
          </cell>
          <cell r="P69" t="str">
            <v>ZMIF</v>
          </cell>
          <cell r="Q69">
            <v>78.53</v>
          </cell>
          <cell r="R69" t="str">
            <v>MXN</v>
          </cell>
          <cell r="S69" t="str">
            <v>TN</v>
          </cell>
          <cell r="T69" t="str">
            <v>01.08.2026</v>
          </cell>
          <cell r="U69" t="str">
            <v>31.12.9999</v>
          </cell>
          <cell r="V69" t="str">
            <v>ZICF</v>
          </cell>
          <cell r="W69" t="str">
            <v>01</v>
          </cell>
          <cell r="X69">
            <v>90.67</v>
          </cell>
          <cell r="Y69" t="str">
            <v>MXN</v>
          </cell>
          <cell r="Z69" t="str">
            <v>TN</v>
          </cell>
          <cell r="AA69" t="str">
            <v>25.05.2026</v>
          </cell>
          <cell r="AB69" t="str">
            <v>31.12.9999</v>
          </cell>
          <cell r="AC69">
            <v>284.44</v>
          </cell>
        </row>
        <row r="70">
          <cell r="H70" t="str">
            <v>10000124</v>
          </cell>
          <cell r="I70" t="str">
            <v>Arena Triturada Caliza Malla 4</v>
          </cell>
          <cell r="J70">
            <v>205.91</v>
          </cell>
          <cell r="K70" t="str">
            <v>MXN</v>
          </cell>
          <cell r="L70" t="str">
            <v>TN</v>
          </cell>
          <cell r="M70" t="str">
            <v>01.08.2026</v>
          </cell>
          <cell r="N70" t="str">
            <v>31.12.9999</v>
          </cell>
          <cell r="O70" t="str">
            <v>28.07.2026</v>
          </cell>
          <cell r="P70" t="str">
            <v>ZMIF</v>
          </cell>
          <cell r="Q70">
            <v>78.53</v>
          </cell>
          <cell r="R70" t="str">
            <v>MXN</v>
          </cell>
          <cell r="S70" t="str">
            <v>TN</v>
          </cell>
          <cell r="T70" t="str">
            <v>01.08.2026</v>
          </cell>
          <cell r="U70" t="str">
            <v>31.12.9999</v>
          </cell>
          <cell r="V70" t="str">
            <v>ZICF</v>
          </cell>
          <cell r="W70" t="str">
            <v>01</v>
          </cell>
          <cell r="X70">
            <v>215</v>
          </cell>
          <cell r="Y70" t="str">
            <v>MXN</v>
          </cell>
          <cell r="Z70" t="str">
            <v>TN</v>
          </cell>
          <cell r="AA70" t="str">
            <v>31.05.2024</v>
          </cell>
          <cell r="AB70" t="str">
            <v>31.12.9999</v>
          </cell>
          <cell r="AC70">
            <v>284.44</v>
          </cell>
        </row>
        <row r="71">
          <cell r="H71" t="str">
            <v>10000237</v>
          </cell>
          <cell r="I71" t="str">
            <v>Grava Triturada Caliza 10 mm -</v>
          </cell>
          <cell r="J71">
            <v>205.71</v>
          </cell>
          <cell r="K71" t="str">
            <v>MXN</v>
          </cell>
          <cell r="L71" t="str">
            <v>TN</v>
          </cell>
          <cell r="M71" t="str">
            <v>01.08.2026</v>
          </cell>
          <cell r="N71" t="str">
            <v>31.12.9999</v>
          </cell>
          <cell r="O71" t="str">
            <v>28.07.2026</v>
          </cell>
          <cell r="P71" t="str">
            <v>ZMIF</v>
          </cell>
          <cell r="Q71">
            <v>88.61</v>
          </cell>
          <cell r="R71" t="str">
            <v>MXN</v>
          </cell>
          <cell r="S71" t="str">
            <v>TN</v>
          </cell>
          <cell r="T71" t="str">
            <v>01.08.2026</v>
          </cell>
          <cell r="U71" t="str">
            <v>31.12.9999</v>
          </cell>
          <cell r="V71" t="str">
            <v>ZICF</v>
          </cell>
          <cell r="W71" t="str">
            <v>01</v>
          </cell>
          <cell r="X71">
            <v>220.96</v>
          </cell>
          <cell r="Y71" t="str">
            <v>MXN</v>
          </cell>
          <cell r="Z71" t="str">
            <v>TN</v>
          </cell>
          <cell r="AA71" t="str">
            <v>12.04.2024</v>
          </cell>
          <cell r="AB71" t="str">
            <v>31.12.9999</v>
          </cell>
          <cell r="AC71">
            <v>294.32</v>
          </cell>
        </row>
        <row r="72">
          <cell r="H72" t="str">
            <v>10000241</v>
          </cell>
          <cell r="I72" t="str">
            <v>Grava Triturada Caliza 20 mm -</v>
          </cell>
          <cell r="J72">
            <v>205.71</v>
          </cell>
          <cell r="K72" t="str">
            <v>MXN</v>
          </cell>
          <cell r="L72" t="str">
            <v>TN</v>
          </cell>
          <cell r="M72" t="str">
            <v>01.08.2026</v>
          </cell>
          <cell r="N72" t="str">
            <v>31.12.9999</v>
          </cell>
          <cell r="O72" t="str">
            <v>28.07.2026</v>
          </cell>
          <cell r="P72" t="str">
            <v>ZMIF</v>
          </cell>
          <cell r="Q72">
            <v>78.73</v>
          </cell>
          <cell r="R72" t="str">
            <v>MXN</v>
          </cell>
          <cell r="S72" t="str">
            <v>TN</v>
          </cell>
          <cell r="T72" t="str">
            <v>01.08.2026</v>
          </cell>
          <cell r="U72" t="str">
            <v>31.12.9999</v>
          </cell>
          <cell r="V72" t="str">
            <v>ZICF</v>
          </cell>
          <cell r="W72" t="str">
            <v>01</v>
          </cell>
          <cell r="X72">
            <v>209.54</v>
          </cell>
          <cell r="Y72" t="str">
            <v>MXN</v>
          </cell>
          <cell r="Z72" t="str">
            <v>TN</v>
          </cell>
          <cell r="AA72" t="str">
            <v>12.04.2024</v>
          </cell>
          <cell r="AB72" t="str">
            <v>31.12.9999</v>
          </cell>
          <cell r="AC72">
            <v>284.44</v>
          </cell>
        </row>
        <row r="73">
          <cell r="H73" t="str">
            <v>10164169</v>
          </cell>
          <cell r="I73" t="str">
            <v>ARENA TRITURADA CALIZA MALLA 4</v>
          </cell>
          <cell r="J73">
            <v>205.91</v>
          </cell>
          <cell r="K73" t="str">
            <v>MXN</v>
          </cell>
          <cell r="L73" t="str">
            <v>TN</v>
          </cell>
          <cell r="M73" t="str">
            <v>01.08.2026</v>
          </cell>
          <cell r="N73" t="str">
            <v>31.12.9999</v>
          </cell>
          <cell r="O73" t="str">
            <v>28.07.2026</v>
          </cell>
          <cell r="P73" t="str">
            <v>ZMIF</v>
          </cell>
          <cell r="Q73">
            <v>78.53</v>
          </cell>
          <cell r="R73" t="str">
            <v>MXN</v>
          </cell>
          <cell r="S73" t="str">
            <v>TN</v>
          </cell>
          <cell r="T73" t="str">
            <v>01.08.2026</v>
          </cell>
          <cell r="U73" t="str">
            <v>31.12.9999</v>
          </cell>
          <cell r="V73" t="str">
            <v>ZICF</v>
          </cell>
          <cell r="W73" t="str">
            <v>01</v>
          </cell>
          <cell r="X73">
            <v>124.22</v>
          </cell>
          <cell r="Y73" t="str">
            <v>MXN</v>
          </cell>
          <cell r="Z73" t="str">
            <v>TN</v>
          </cell>
          <cell r="AA73" t="str">
            <v>20.10.2022</v>
          </cell>
          <cell r="AB73" t="str">
            <v>31.12.9999</v>
          </cell>
          <cell r="AC73">
            <v>284.44</v>
          </cell>
        </row>
        <row r="74">
          <cell r="H74" t="str">
            <v>10000124</v>
          </cell>
          <cell r="I74" t="str">
            <v>Arena Triturada Caliza Malla 4</v>
          </cell>
          <cell r="J74">
            <v>205.91</v>
          </cell>
          <cell r="K74" t="str">
            <v>MXN</v>
          </cell>
          <cell r="L74" t="str">
            <v>TN</v>
          </cell>
          <cell r="M74" t="str">
            <v>01.08.2026</v>
          </cell>
          <cell r="N74" t="str">
            <v>31.12.9999</v>
          </cell>
          <cell r="O74" t="str">
            <v>28.07.2026</v>
          </cell>
          <cell r="P74" t="str">
            <v>ZMIF</v>
          </cell>
          <cell r="Q74">
            <v>78.53</v>
          </cell>
          <cell r="R74" t="str">
            <v>MXN</v>
          </cell>
          <cell r="S74" t="str">
            <v>TN</v>
          </cell>
          <cell r="T74" t="str">
            <v>01.08.2026</v>
          </cell>
          <cell r="U74" t="str">
            <v>31.12.9999</v>
          </cell>
          <cell r="V74" t="str">
            <v>ZICF</v>
          </cell>
          <cell r="W74" t="str">
            <v>01</v>
          </cell>
          <cell r="X74">
            <v>143.26</v>
          </cell>
          <cell r="Y74" t="str">
            <v>MXN</v>
          </cell>
          <cell r="Z74" t="str">
            <v>TN</v>
          </cell>
          <cell r="AA74" t="str">
            <v>12.04.2024</v>
          </cell>
          <cell r="AB74" t="str">
            <v>31.12.9999</v>
          </cell>
          <cell r="AC74">
            <v>284.44</v>
          </cell>
        </row>
        <row r="75">
          <cell r="H75" t="str">
            <v>10000237</v>
          </cell>
          <cell r="I75" t="str">
            <v>Grava Triturada Caliza 10 mm -</v>
          </cell>
          <cell r="J75">
            <v>205.71</v>
          </cell>
          <cell r="K75" t="str">
            <v>MXN</v>
          </cell>
          <cell r="L75" t="str">
            <v>TN</v>
          </cell>
          <cell r="M75" t="str">
            <v>01.08.2026</v>
          </cell>
          <cell r="N75" t="str">
            <v>31.12.9999</v>
          </cell>
          <cell r="O75" t="str">
            <v>28.07.2026</v>
          </cell>
          <cell r="P75" t="str">
            <v>ZMIF</v>
          </cell>
          <cell r="Q75">
            <v>88.61</v>
          </cell>
          <cell r="R75" t="str">
            <v>MXN</v>
          </cell>
          <cell r="S75" t="str">
            <v>TN</v>
          </cell>
          <cell r="T75" t="str">
            <v>01.08.2026</v>
          </cell>
          <cell r="U75" t="str">
            <v>31.12.9999</v>
          </cell>
          <cell r="V75" t="str">
            <v>ZICF</v>
          </cell>
          <cell r="W75" t="str">
            <v>01</v>
          </cell>
          <cell r="X75">
            <v>144.5</v>
          </cell>
          <cell r="Y75" t="str">
            <v>MXN</v>
          </cell>
          <cell r="Z75" t="str">
            <v>TN</v>
          </cell>
          <cell r="AA75" t="str">
            <v>25.05.2026</v>
          </cell>
          <cell r="AB75" t="str">
            <v>31.12.9999</v>
          </cell>
          <cell r="AC75">
            <v>294.32</v>
          </cell>
        </row>
        <row r="76">
          <cell r="H76" t="str">
            <v>10000241</v>
          </cell>
          <cell r="I76" t="str">
            <v>Grava Triturada Caliza 20 mm -</v>
          </cell>
          <cell r="J76">
            <v>205.71</v>
          </cell>
          <cell r="K76" t="str">
            <v>MXN</v>
          </cell>
          <cell r="L76" t="str">
            <v>TN</v>
          </cell>
          <cell r="M76" t="str">
            <v>01.08.2026</v>
          </cell>
          <cell r="N76" t="str">
            <v>31.12.9999</v>
          </cell>
          <cell r="O76" t="str">
            <v>28.07.2026</v>
          </cell>
          <cell r="P76" t="str">
            <v>ZMIF</v>
          </cell>
          <cell r="Q76">
            <v>78.73</v>
          </cell>
          <cell r="R76" t="str">
            <v>MXN</v>
          </cell>
          <cell r="S76" t="str">
            <v>TN</v>
          </cell>
          <cell r="T76" t="str">
            <v>01.08.2026</v>
          </cell>
          <cell r="U76" t="str">
            <v>31.12.9999</v>
          </cell>
          <cell r="V76" t="str">
            <v>ZICF</v>
          </cell>
          <cell r="W76" t="str">
            <v>01</v>
          </cell>
          <cell r="X76">
            <v>143.99</v>
          </cell>
          <cell r="Y76" t="str">
            <v>MXN</v>
          </cell>
          <cell r="Z76" t="str">
            <v>TN</v>
          </cell>
          <cell r="AA76" t="str">
            <v>25.05.2026</v>
          </cell>
          <cell r="AB76" t="str">
            <v>31.12.9999</v>
          </cell>
          <cell r="AC76">
            <v>284.44</v>
          </cell>
        </row>
        <row r="77">
          <cell r="H77" t="str">
            <v>10164169</v>
          </cell>
          <cell r="I77" t="str">
            <v>ARENA TRITURADA CALIZA MALLA 4</v>
          </cell>
          <cell r="J77">
            <v>205.91</v>
          </cell>
          <cell r="K77" t="str">
            <v>MXN</v>
          </cell>
          <cell r="L77" t="str">
            <v>TN</v>
          </cell>
          <cell r="M77" t="str">
            <v>01.08.2026</v>
          </cell>
          <cell r="N77" t="str">
            <v>31.12.9999</v>
          </cell>
          <cell r="O77" t="str">
            <v>28.07.2026</v>
          </cell>
          <cell r="P77" t="str">
            <v>ZMIF</v>
          </cell>
          <cell r="Q77">
            <v>78.53</v>
          </cell>
          <cell r="R77" t="str">
            <v>MXN</v>
          </cell>
          <cell r="S77" t="str">
            <v>TN</v>
          </cell>
          <cell r="T77" t="str">
            <v>01.08.2026</v>
          </cell>
          <cell r="U77" t="str">
            <v>31.12.9999</v>
          </cell>
          <cell r="V77" t="str">
            <v>ZICF</v>
          </cell>
          <cell r="W77" t="str">
            <v>01</v>
          </cell>
          <cell r="X77">
            <v>145</v>
          </cell>
          <cell r="Y77" t="str">
            <v>MXN</v>
          </cell>
          <cell r="Z77" t="str">
            <v>TN</v>
          </cell>
          <cell r="AA77" t="str">
            <v>18.12.2024</v>
          </cell>
          <cell r="AB77" t="str">
            <v>31.12.9999</v>
          </cell>
          <cell r="AC77">
            <v>284.44</v>
          </cell>
        </row>
        <row r="78">
          <cell r="H78" t="str">
            <v>10000237</v>
          </cell>
          <cell r="I78" t="str">
            <v>Grava Triturada Caliza 10 mm -</v>
          </cell>
          <cell r="J78">
            <v>205.71</v>
          </cell>
          <cell r="K78" t="str">
            <v>MXN</v>
          </cell>
          <cell r="L78" t="str">
            <v>TN</v>
          </cell>
          <cell r="M78" t="str">
            <v>01.08.2026</v>
          </cell>
          <cell r="N78" t="str">
            <v>31.12.9999</v>
          </cell>
          <cell r="O78" t="str">
            <v>28.07.2026</v>
          </cell>
          <cell r="P78" t="str">
            <v>ZMIF</v>
          </cell>
          <cell r="Q78">
            <v>88.61</v>
          </cell>
          <cell r="R78" t="str">
            <v>MXN</v>
          </cell>
          <cell r="S78" t="str">
            <v>TN</v>
          </cell>
          <cell r="T78" t="str">
            <v>01.08.2026</v>
          </cell>
          <cell r="U78" t="str">
            <v>31.12.9999</v>
          </cell>
          <cell r="V78" t="str">
            <v>ZICF</v>
          </cell>
          <cell r="W78" t="str">
            <v>01</v>
          </cell>
          <cell r="X78">
            <v>90.58</v>
          </cell>
          <cell r="Y78" t="str">
            <v>MXN</v>
          </cell>
          <cell r="Z78" t="str">
            <v>TN</v>
          </cell>
          <cell r="AA78" t="str">
            <v>12.04.2024</v>
          </cell>
          <cell r="AB78" t="str">
            <v>31.12.9999</v>
          </cell>
          <cell r="AC78">
            <v>294.32</v>
          </cell>
        </row>
        <row r="79">
          <cell r="H79" t="str">
            <v>10000241</v>
          </cell>
          <cell r="I79" t="str">
            <v>Grava Triturada Caliza 20 mm -</v>
          </cell>
          <cell r="J79">
            <v>205.71</v>
          </cell>
          <cell r="K79" t="str">
            <v>MXN</v>
          </cell>
          <cell r="L79" t="str">
            <v>TN</v>
          </cell>
          <cell r="M79" t="str">
            <v>01.08.2026</v>
          </cell>
          <cell r="N79" t="str">
            <v>31.12.9999</v>
          </cell>
          <cell r="O79" t="str">
            <v>28.07.2026</v>
          </cell>
          <cell r="P79" t="str">
            <v>ZMIF</v>
          </cell>
          <cell r="Q79">
            <v>78.73</v>
          </cell>
          <cell r="R79" t="str">
            <v>MXN</v>
          </cell>
          <cell r="S79" t="str">
            <v>TN</v>
          </cell>
          <cell r="T79" t="str">
            <v>01.08.2026</v>
          </cell>
          <cell r="U79" t="str">
            <v>31.12.9999</v>
          </cell>
          <cell r="V79" t="str">
            <v>ZICF</v>
          </cell>
          <cell r="W79" t="str">
            <v>01</v>
          </cell>
          <cell r="X79">
            <v>93.09</v>
          </cell>
          <cell r="Y79" t="str">
            <v>MXN</v>
          </cell>
          <cell r="Z79" t="str">
            <v>TN</v>
          </cell>
          <cell r="AA79" t="str">
            <v>25.05.2026</v>
          </cell>
          <cell r="AB79" t="str">
            <v>31.12.9999</v>
          </cell>
          <cell r="AC79">
            <v>284.44</v>
          </cell>
        </row>
        <row r="80">
          <cell r="H80" t="str">
            <v>10164169</v>
          </cell>
          <cell r="I80" t="str">
            <v>ARENA TRITURADA CALIZA MALLA 4</v>
          </cell>
          <cell r="J80">
            <v>205.91</v>
          </cell>
          <cell r="K80" t="str">
            <v>MXN</v>
          </cell>
          <cell r="L80" t="str">
            <v>TN</v>
          </cell>
          <cell r="M80" t="str">
            <v>01.08.2026</v>
          </cell>
          <cell r="N80" t="str">
            <v>31.12.9999</v>
          </cell>
          <cell r="O80" t="str">
            <v>28.07.2026</v>
          </cell>
          <cell r="P80" t="str">
            <v>ZMIF</v>
          </cell>
          <cell r="Q80">
            <v>78.53</v>
          </cell>
          <cell r="R80" t="str">
            <v>MXN</v>
          </cell>
          <cell r="S80" t="str">
            <v>TN</v>
          </cell>
          <cell r="T80" t="str">
            <v>01.08.2026</v>
          </cell>
          <cell r="U80" t="str">
            <v>31.12.9999</v>
          </cell>
          <cell r="V80" t="str">
            <v>ZICF</v>
          </cell>
          <cell r="W80" t="str">
            <v>01</v>
          </cell>
          <cell r="X80">
            <v>94.52</v>
          </cell>
          <cell r="Y80" t="str">
            <v>MXN</v>
          </cell>
          <cell r="Z80" t="str">
            <v>TN</v>
          </cell>
          <cell r="AA80" t="str">
            <v>25.05.2026</v>
          </cell>
          <cell r="AB80" t="str">
            <v>31.12.9999</v>
          </cell>
          <cell r="AC80">
            <v>284.44</v>
          </cell>
        </row>
        <row r="81">
          <cell r="H81" t="str">
            <v>10000237</v>
          </cell>
          <cell r="I81" t="str">
            <v>Grava Triturada Caliza 10 mm -</v>
          </cell>
          <cell r="J81">
            <v>205.71</v>
          </cell>
          <cell r="K81" t="str">
            <v>MXN</v>
          </cell>
          <cell r="L81" t="str">
            <v>TN</v>
          </cell>
          <cell r="M81" t="str">
            <v>01.08.2026</v>
          </cell>
          <cell r="N81" t="str">
            <v>31.12.9999</v>
          </cell>
          <cell r="O81" t="str">
            <v>28.07.2026</v>
          </cell>
          <cell r="P81" t="str">
            <v>ZMIF</v>
          </cell>
          <cell r="Q81">
            <v>88.61</v>
          </cell>
          <cell r="R81" t="str">
            <v>MXN</v>
          </cell>
          <cell r="S81" t="str">
            <v>TN</v>
          </cell>
          <cell r="T81" t="str">
            <v>01.08.2026</v>
          </cell>
          <cell r="U81" t="str">
            <v>31.12.9999</v>
          </cell>
          <cell r="V81" t="str">
            <v>ZICF</v>
          </cell>
          <cell r="W81" t="str">
            <v>01</v>
          </cell>
          <cell r="X81">
            <v>78.23</v>
          </cell>
          <cell r="Y81" t="str">
            <v>MXN</v>
          </cell>
          <cell r="Z81" t="str">
            <v>TN</v>
          </cell>
          <cell r="AA81" t="str">
            <v>22.01.2024</v>
          </cell>
          <cell r="AB81" t="str">
            <v>31.12.9999</v>
          </cell>
          <cell r="AC81">
            <v>294.32</v>
          </cell>
        </row>
        <row r="82">
          <cell r="H82" t="str">
            <v>10000241</v>
          </cell>
          <cell r="I82" t="str">
            <v>Grava Triturada Caliza 20 mm -</v>
          </cell>
          <cell r="J82">
            <v>205.71</v>
          </cell>
          <cell r="K82" t="str">
            <v>MXN</v>
          </cell>
          <cell r="L82" t="str">
            <v>TN</v>
          </cell>
          <cell r="M82" t="str">
            <v>01.08.2026</v>
          </cell>
          <cell r="N82" t="str">
            <v>31.12.9999</v>
          </cell>
          <cell r="O82" t="str">
            <v>28.07.2026</v>
          </cell>
          <cell r="P82" t="str">
            <v>ZMIF</v>
          </cell>
          <cell r="Q82">
            <v>78.73</v>
          </cell>
          <cell r="R82" t="str">
            <v>MXN</v>
          </cell>
          <cell r="S82" t="str">
            <v>TN</v>
          </cell>
          <cell r="T82" t="str">
            <v>01.08.2026</v>
          </cell>
          <cell r="U82" t="str">
            <v>31.12.9999</v>
          </cell>
          <cell r="V82" t="str">
            <v>ZICF</v>
          </cell>
          <cell r="W82" t="str">
            <v>01</v>
          </cell>
          <cell r="X82">
            <v>83.42</v>
          </cell>
          <cell r="Y82" t="str">
            <v>MXN</v>
          </cell>
          <cell r="Z82" t="str">
            <v>TN</v>
          </cell>
          <cell r="AA82" t="str">
            <v>12.04.2024</v>
          </cell>
          <cell r="AB82" t="str">
            <v>31.12.9999</v>
          </cell>
          <cell r="AC82">
            <v>284.44</v>
          </cell>
        </row>
        <row r="83">
          <cell r="H83" t="str">
            <v>10000260</v>
          </cell>
          <cell r="I83" t="str">
            <v>Arena Triturada Caliza Malla 5</v>
          </cell>
          <cell r="J83">
            <v>205.91</v>
          </cell>
          <cell r="K83" t="str">
            <v>MXN</v>
          </cell>
          <cell r="L83" t="str">
            <v>TN</v>
          </cell>
          <cell r="M83" t="str">
            <v>01.08.2026</v>
          </cell>
          <cell r="N83" t="str">
            <v>31.12.9999</v>
          </cell>
          <cell r="O83" t="str">
            <v>28.07.2026</v>
          </cell>
          <cell r="P83" t="str">
            <v>ZMIF</v>
          </cell>
          <cell r="Q83">
            <v>114.41</v>
          </cell>
          <cell r="R83" t="str">
            <v>MXN</v>
          </cell>
          <cell r="S83" t="str">
            <v>TN</v>
          </cell>
          <cell r="T83" t="str">
            <v>01.08.2026</v>
          </cell>
          <cell r="U83" t="str">
            <v>31.12.9999</v>
          </cell>
          <cell r="V83" t="str">
            <v>ZICF</v>
          </cell>
          <cell r="W83" t="str">
            <v>01</v>
          </cell>
          <cell r="X83">
            <v>73</v>
          </cell>
          <cell r="Y83" t="str">
            <v>MXN</v>
          </cell>
          <cell r="Z83" t="str">
            <v>TN</v>
          </cell>
          <cell r="AA83" t="str">
            <v>10.08.2022</v>
          </cell>
          <cell r="AB83" t="str">
            <v>31.12.9999</v>
          </cell>
          <cell r="AC83">
            <v>320.32</v>
          </cell>
        </row>
        <row r="84">
          <cell r="H84" t="str">
            <v>10164169</v>
          </cell>
          <cell r="I84" t="str">
            <v>ARENA TRITURADA CALIZA MALLA 4</v>
          </cell>
          <cell r="J84">
            <v>205.91</v>
          </cell>
          <cell r="K84" t="str">
            <v>MXN</v>
          </cell>
          <cell r="L84" t="str">
            <v>TN</v>
          </cell>
          <cell r="M84" t="str">
            <v>01.08.2026</v>
          </cell>
          <cell r="N84" t="str">
            <v>31.12.9999</v>
          </cell>
          <cell r="O84" t="str">
            <v>28.07.2026</v>
          </cell>
          <cell r="P84" t="str">
            <v>ZMIF</v>
          </cell>
          <cell r="Q84">
            <v>78.53</v>
          </cell>
          <cell r="R84" t="str">
            <v>MXN</v>
          </cell>
          <cell r="S84" t="str">
            <v>TN</v>
          </cell>
          <cell r="T84" t="str">
            <v>01.08.2026</v>
          </cell>
          <cell r="U84" t="str">
            <v>31.12.9999</v>
          </cell>
          <cell r="V84" t="str">
            <v>ZICF</v>
          </cell>
          <cell r="W84" t="str">
            <v>01</v>
          </cell>
          <cell r="X84">
            <v>81.66</v>
          </cell>
          <cell r="Y84" t="str">
            <v>MXN</v>
          </cell>
          <cell r="Z84" t="str">
            <v>TN</v>
          </cell>
          <cell r="AA84" t="str">
            <v>25.05.2026</v>
          </cell>
          <cell r="AB84" t="str">
            <v>31.12.9999</v>
          </cell>
          <cell r="AC84">
            <v>284.44</v>
          </cell>
        </row>
        <row r="85">
          <cell r="H85" t="str">
            <v>10000124</v>
          </cell>
          <cell r="I85" t="str">
            <v>Arena Triturada Caliza Malla 4</v>
          </cell>
          <cell r="J85">
            <v>205.91</v>
          </cell>
          <cell r="K85" t="str">
            <v>MXN</v>
          </cell>
          <cell r="L85" t="str">
            <v>TN</v>
          </cell>
          <cell r="M85" t="str">
            <v>01.08.2026</v>
          </cell>
          <cell r="N85" t="str">
            <v>31.12.9999</v>
          </cell>
          <cell r="O85" t="str">
            <v>28.07.2026</v>
          </cell>
          <cell r="P85" t="str">
            <v>ZMIF</v>
          </cell>
          <cell r="Q85">
            <v>78.53</v>
          </cell>
          <cell r="R85" t="str">
            <v>MXN</v>
          </cell>
          <cell r="S85" t="str">
            <v>TN</v>
          </cell>
          <cell r="T85" t="str">
            <v>01.08.2026</v>
          </cell>
          <cell r="U85" t="str">
            <v>31.12.9999</v>
          </cell>
          <cell r="V85" t="str">
            <v>ZICF</v>
          </cell>
          <cell r="W85" t="str">
            <v>01</v>
          </cell>
          <cell r="X85">
            <v>46.3</v>
          </cell>
          <cell r="Y85" t="str">
            <v>MXN</v>
          </cell>
          <cell r="Z85" t="str">
            <v>TN</v>
          </cell>
          <cell r="AA85" t="str">
            <v>22.01.2024</v>
          </cell>
          <cell r="AB85" t="str">
            <v>31.12.9999</v>
          </cell>
          <cell r="AC85">
            <v>284.44</v>
          </cell>
        </row>
        <row r="86">
          <cell r="H86" t="str">
            <v>10000237</v>
          </cell>
          <cell r="I86" t="str">
            <v>Grava Triturada Caliza 10 mm -</v>
          </cell>
          <cell r="J86">
            <v>205.71</v>
          </cell>
          <cell r="K86" t="str">
            <v>MXN</v>
          </cell>
          <cell r="L86" t="str">
            <v>TN</v>
          </cell>
          <cell r="M86" t="str">
            <v>01.08.2026</v>
          </cell>
          <cell r="N86" t="str">
            <v>31.12.9999</v>
          </cell>
          <cell r="O86" t="str">
            <v>28.07.2026</v>
          </cell>
          <cell r="P86" t="str">
            <v>ZMIF</v>
          </cell>
          <cell r="Q86">
            <v>88.61</v>
          </cell>
          <cell r="R86" t="str">
            <v>MXN</v>
          </cell>
          <cell r="S86" t="str">
            <v>TN</v>
          </cell>
          <cell r="T86" t="str">
            <v>01.08.2026</v>
          </cell>
          <cell r="U86" t="str">
            <v>31.12.9999</v>
          </cell>
          <cell r="V86" t="str">
            <v>ZICF</v>
          </cell>
          <cell r="W86" t="str">
            <v>01</v>
          </cell>
          <cell r="X86">
            <v>48.41</v>
          </cell>
          <cell r="Y86" t="str">
            <v>MXN</v>
          </cell>
          <cell r="Z86" t="str">
            <v>TN</v>
          </cell>
          <cell r="AA86" t="str">
            <v>12.04.2024</v>
          </cell>
          <cell r="AB86" t="str">
            <v>31.12.9999</v>
          </cell>
          <cell r="AC86">
            <v>294.32</v>
          </cell>
        </row>
        <row r="87">
          <cell r="H87" t="str">
            <v>10000241</v>
          </cell>
          <cell r="I87" t="str">
            <v>Grava Triturada Caliza 20 mm -</v>
          </cell>
          <cell r="J87">
            <v>205.71</v>
          </cell>
          <cell r="K87" t="str">
            <v>MXN</v>
          </cell>
          <cell r="L87" t="str">
            <v>TN</v>
          </cell>
          <cell r="M87" t="str">
            <v>01.08.2026</v>
          </cell>
          <cell r="N87" t="str">
            <v>31.12.9999</v>
          </cell>
          <cell r="O87" t="str">
            <v>28.07.2026</v>
          </cell>
          <cell r="P87" t="str">
            <v>ZMIF</v>
          </cell>
          <cell r="Q87">
            <v>78.73</v>
          </cell>
          <cell r="R87" t="str">
            <v>MXN</v>
          </cell>
          <cell r="S87" t="str">
            <v>TN</v>
          </cell>
          <cell r="T87" t="str">
            <v>01.08.2026</v>
          </cell>
          <cell r="U87" t="str">
            <v>31.12.9999</v>
          </cell>
          <cell r="V87" t="str">
            <v>ZICF</v>
          </cell>
          <cell r="W87" t="str">
            <v>01</v>
          </cell>
          <cell r="X87">
            <v>51.74</v>
          </cell>
          <cell r="Y87" t="str">
            <v>MXN</v>
          </cell>
          <cell r="Z87" t="str">
            <v>TN</v>
          </cell>
          <cell r="AA87" t="str">
            <v>25.05.2026</v>
          </cell>
          <cell r="AB87" t="str">
            <v>31.12.9999</v>
          </cell>
          <cell r="AC87">
            <v>284.44</v>
          </cell>
        </row>
        <row r="88">
          <cell r="H88" t="str">
            <v>10000260</v>
          </cell>
          <cell r="I88" t="str">
            <v>Arena Triturada Caliza Malla 5</v>
          </cell>
          <cell r="J88">
            <v>205.91</v>
          </cell>
          <cell r="K88" t="str">
            <v>MXN</v>
          </cell>
          <cell r="L88" t="str">
            <v>TN</v>
          </cell>
          <cell r="M88" t="str">
            <v>01.08.2026</v>
          </cell>
          <cell r="N88" t="str">
            <v>31.12.9999</v>
          </cell>
          <cell r="O88" t="str">
            <v>28.07.2026</v>
          </cell>
          <cell r="P88" t="str">
            <v>ZMIF</v>
          </cell>
          <cell r="Q88">
            <v>114.41</v>
          </cell>
          <cell r="R88" t="str">
            <v>MXN</v>
          </cell>
          <cell r="S88" t="str">
            <v>TN</v>
          </cell>
          <cell r="T88" t="str">
            <v>01.08.2026</v>
          </cell>
          <cell r="U88" t="str">
            <v>31.12.9999</v>
          </cell>
          <cell r="V88" t="str">
            <v>ZICF</v>
          </cell>
          <cell r="W88" t="str">
            <v>01</v>
          </cell>
          <cell r="X88">
            <v>39.92</v>
          </cell>
          <cell r="Y88" t="str">
            <v>MXN</v>
          </cell>
          <cell r="Z88" t="str">
            <v>TN</v>
          </cell>
          <cell r="AA88" t="str">
            <v>20.10.2022</v>
          </cell>
          <cell r="AB88" t="str">
            <v>31.12.9999</v>
          </cell>
          <cell r="AC88">
            <v>320.32</v>
          </cell>
        </row>
        <row r="89">
          <cell r="H89" t="str">
            <v>10164169</v>
          </cell>
          <cell r="I89" t="str">
            <v>ARENA TRITURADA CALIZA MALLA 4</v>
          </cell>
          <cell r="J89">
            <v>205.91</v>
          </cell>
          <cell r="K89" t="str">
            <v>MXN</v>
          </cell>
          <cell r="L89" t="str">
            <v>TN</v>
          </cell>
          <cell r="M89" t="str">
            <v>01.08.2026</v>
          </cell>
          <cell r="N89" t="str">
            <v>31.12.9999</v>
          </cell>
          <cell r="O89" t="str">
            <v>28.07.2026</v>
          </cell>
          <cell r="P89" t="str">
            <v>ZMIF</v>
          </cell>
          <cell r="Q89">
            <v>78.53</v>
          </cell>
          <cell r="R89" t="str">
            <v>MXN</v>
          </cell>
          <cell r="S89" t="str">
            <v>TN</v>
          </cell>
          <cell r="T89" t="str">
            <v>01.08.2026</v>
          </cell>
          <cell r="U89" t="str">
            <v>31.12.9999</v>
          </cell>
          <cell r="V89" t="str">
            <v>ZICF</v>
          </cell>
          <cell r="W89" t="str">
            <v>01</v>
          </cell>
          <cell r="X89">
            <v>51.49</v>
          </cell>
          <cell r="Y89" t="str">
            <v>MXN</v>
          </cell>
          <cell r="Z89" t="str">
            <v>TN</v>
          </cell>
          <cell r="AA89" t="str">
            <v>25.05.2026</v>
          </cell>
          <cell r="AB89" t="str">
            <v>31.12.9999</v>
          </cell>
          <cell r="AC89">
            <v>284.44</v>
          </cell>
        </row>
        <row r="90">
          <cell r="H90" t="str">
            <v>10000124</v>
          </cell>
          <cell r="I90" t="str">
            <v>Arena Triturada Caliza Malla 4</v>
          </cell>
          <cell r="J90">
            <v>205.91</v>
          </cell>
          <cell r="K90" t="str">
            <v>MXN</v>
          </cell>
          <cell r="L90" t="str">
            <v>TN</v>
          </cell>
          <cell r="M90" t="str">
            <v>01.08.2026</v>
          </cell>
          <cell r="N90" t="str">
            <v>31.12.9999</v>
          </cell>
          <cell r="O90" t="str">
            <v>28.07.2026</v>
          </cell>
          <cell r="P90" t="str">
            <v>ZMIF</v>
          </cell>
          <cell r="Q90">
            <v>78.53</v>
          </cell>
          <cell r="R90" t="str">
            <v>MXN</v>
          </cell>
          <cell r="S90" t="str">
            <v>TN</v>
          </cell>
          <cell r="T90" t="str">
            <v>01.08.2026</v>
          </cell>
          <cell r="U90" t="str">
            <v>31.12.9999</v>
          </cell>
          <cell r="V90" t="str">
            <v>ZICF</v>
          </cell>
          <cell r="W90" t="str">
            <v>01</v>
          </cell>
          <cell r="X90">
            <v>98.1</v>
          </cell>
          <cell r="Y90" t="str">
            <v>MXN</v>
          </cell>
          <cell r="Z90" t="str">
            <v>TN</v>
          </cell>
          <cell r="AA90" t="str">
            <v>22.01.2024</v>
          </cell>
          <cell r="AB90" t="str">
            <v>31.12.9999</v>
          </cell>
          <cell r="AC90">
            <v>284.44</v>
          </cell>
        </row>
        <row r="91">
          <cell r="H91" t="str">
            <v>10000237</v>
          </cell>
          <cell r="I91" t="str">
            <v>Grava Triturada Caliza 10 mm -</v>
          </cell>
          <cell r="J91">
            <v>205.71</v>
          </cell>
          <cell r="K91" t="str">
            <v>MXN</v>
          </cell>
          <cell r="L91" t="str">
            <v>TN</v>
          </cell>
          <cell r="M91" t="str">
            <v>01.08.2026</v>
          </cell>
          <cell r="N91" t="str">
            <v>31.12.9999</v>
          </cell>
          <cell r="O91" t="str">
            <v>28.07.2026</v>
          </cell>
          <cell r="P91" t="str">
            <v>ZMIF</v>
          </cell>
          <cell r="Q91">
            <v>88.61</v>
          </cell>
          <cell r="R91" t="str">
            <v>MXN</v>
          </cell>
          <cell r="S91" t="str">
            <v>TN</v>
          </cell>
          <cell r="T91" t="str">
            <v>01.08.2026</v>
          </cell>
          <cell r="U91" t="str">
            <v>31.12.9999</v>
          </cell>
          <cell r="V91" t="str">
            <v>ZICF</v>
          </cell>
          <cell r="W91" t="str">
            <v>01</v>
          </cell>
          <cell r="X91">
            <v>91.14</v>
          </cell>
          <cell r="Y91" t="str">
            <v>MXN</v>
          </cell>
          <cell r="Z91" t="str">
            <v>TN</v>
          </cell>
          <cell r="AA91" t="str">
            <v>20.10.2022</v>
          </cell>
          <cell r="AB91" t="str">
            <v>31.12.9999</v>
          </cell>
          <cell r="AC91">
            <v>294.32</v>
          </cell>
        </row>
        <row r="92">
          <cell r="H92" t="str">
            <v>10000241</v>
          </cell>
          <cell r="I92" t="str">
            <v>Grava Triturada Caliza 20 mm -</v>
          </cell>
          <cell r="J92">
            <v>205.71</v>
          </cell>
          <cell r="K92" t="str">
            <v>MXN</v>
          </cell>
          <cell r="L92" t="str">
            <v>TN</v>
          </cell>
          <cell r="M92" t="str">
            <v>01.08.2026</v>
          </cell>
          <cell r="N92" t="str">
            <v>31.12.9999</v>
          </cell>
          <cell r="O92" t="str">
            <v>28.07.2026</v>
          </cell>
          <cell r="P92" t="str">
            <v>ZMIF</v>
          </cell>
          <cell r="Q92">
            <v>78.73</v>
          </cell>
          <cell r="R92" t="str">
            <v>MXN</v>
          </cell>
          <cell r="S92" t="str">
            <v>TN</v>
          </cell>
          <cell r="T92" t="str">
            <v>01.08.2026</v>
          </cell>
          <cell r="U92" t="str">
            <v>31.12.9999</v>
          </cell>
          <cell r="V92" t="str">
            <v>ZICF</v>
          </cell>
          <cell r="W92" t="str">
            <v>01</v>
          </cell>
          <cell r="X92">
            <v>102.65</v>
          </cell>
          <cell r="Y92" t="str">
            <v>MXN</v>
          </cell>
          <cell r="Z92" t="str">
            <v>TN</v>
          </cell>
          <cell r="AA92" t="str">
            <v>25.05.2026</v>
          </cell>
          <cell r="AB92" t="str">
            <v>31.12.9999</v>
          </cell>
          <cell r="AC92">
            <v>284.44</v>
          </cell>
        </row>
        <row r="93">
          <cell r="H93" t="str">
            <v>10000260</v>
          </cell>
          <cell r="I93" t="str">
            <v>Arena Triturada Caliza Malla 5</v>
          </cell>
          <cell r="J93">
            <v>205.91</v>
          </cell>
          <cell r="K93" t="str">
            <v>MXN</v>
          </cell>
          <cell r="L93" t="str">
            <v>TN</v>
          </cell>
          <cell r="M93" t="str">
            <v>01.08.2026</v>
          </cell>
          <cell r="N93" t="str">
            <v>31.12.9999</v>
          </cell>
          <cell r="O93" t="str">
            <v>28.07.2026</v>
          </cell>
          <cell r="P93" t="str">
            <v>ZMIF</v>
          </cell>
          <cell r="Q93">
            <v>114.41</v>
          </cell>
          <cell r="R93" t="str">
            <v>MXN</v>
          </cell>
          <cell r="S93" t="str">
            <v>TN</v>
          </cell>
          <cell r="T93" t="str">
            <v>01.08.2026</v>
          </cell>
          <cell r="U93" t="str">
            <v>31.12.9999</v>
          </cell>
          <cell r="V93" t="str">
            <v>ZICF</v>
          </cell>
          <cell r="W93" t="str">
            <v>01</v>
          </cell>
          <cell r="X93">
            <v>90</v>
          </cell>
          <cell r="Y93" t="str">
            <v>MXN</v>
          </cell>
          <cell r="Z93" t="str">
            <v>TN</v>
          </cell>
          <cell r="AA93" t="str">
            <v>10.08.2022</v>
          </cell>
          <cell r="AB93" t="str">
            <v>31.12.9999</v>
          </cell>
          <cell r="AC93">
            <v>320.32</v>
          </cell>
        </row>
        <row r="94">
          <cell r="H94" t="str">
            <v>10164169</v>
          </cell>
          <cell r="I94" t="str">
            <v>ARENA TRITURADA CALIZA MALLA 4</v>
          </cell>
          <cell r="J94">
            <v>205.91</v>
          </cell>
          <cell r="K94" t="str">
            <v>MXN</v>
          </cell>
          <cell r="L94" t="str">
            <v>TN</v>
          </cell>
          <cell r="M94" t="str">
            <v>01.08.2026</v>
          </cell>
          <cell r="N94" t="str">
            <v>31.12.9999</v>
          </cell>
          <cell r="O94" t="str">
            <v>28.07.2026</v>
          </cell>
          <cell r="P94" t="str">
            <v>ZMIF</v>
          </cell>
          <cell r="Q94">
            <v>78.53</v>
          </cell>
          <cell r="R94" t="str">
            <v>MXN</v>
          </cell>
          <cell r="S94" t="str">
            <v>TN</v>
          </cell>
          <cell r="T94" t="str">
            <v>01.08.2026</v>
          </cell>
          <cell r="U94" t="str">
            <v>31.12.9999</v>
          </cell>
          <cell r="V94" t="str">
            <v>ZICF</v>
          </cell>
          <cell r="W94" t="str">
            <v>01</v>
          </cell>
          <cell r="X94">
            <v>103.71</v>
          </cell>
          <cell r="Y94" t="str">
            <v>MXN</v>
          </cell>
          <cell r="Z94" t="str">
            <v>TN</v>
          </cell>
          <cell r="AA94" t="str">
            <v>22.01.2024</v>
          </cell>
          <cell r="AB94" t="str">
            <v>31.12.9999</v>
          </cell>
          <cell r="AC94">
            <v>284.44</v>
          </cell>
        </row>
        <row r="95">
          <cell r="H95" t="str">
            <v>10000124</v>
          </cell>
          <cell r="I95" t="str">
            <v>Arena Triturada Caliza Malla 4</v>
          </cell>
          <cell r="J95">
            <v>205.91</v>
          </cell>
          <cell r="K95" t="str">
            <v>MXN</v>
          </cell>
          <cell r="L95" t="str">
            <v>TN</v>
          </cell>
          <cell r="M95" t="str">
            <v>01.08.2026</v>
          </cell>
          <cell r="N95" t="str">
            <v>31.12.9999</v>
          </cell>
          <cell r="O95" t="str">
            <v>28.07.2026</v>
          </cell>
          <cell r="P95" t="str">
            <v>ZMIF</v>
          </cell>
          <cell r="Q95">
            <v>78.53</v>
          </cell>
          <cell r="R95" t="str">
            <v>MXN</v>
          </cell>
          <cell r="S95" t="str">
            <v>TN</v>
          </cell>
          <cell r="T95" t="str">
            <v>01.08.2026</v>
          </cell>
          <cell r="U95" t="str">
            <v>31.12.9999</v>
          </cell>
          <cell r="V95" t="str">
            <v>ZICF</v>
          </cell>
          <cell r="W95" t="str">
            <v>01</v>
          </cell>
          <cell r="X95">
            <v>70.48</v>
          </cell>
          <cell r="Y95" t="str">
            <v>MXN</v>
          </cell>
          <cell r="Z95" t="str">
            <v>TN</v>
          </cell>
          <cell r="AA95" t="str">
            <v>10.09.2024</v>
          </cell>
          <cell r="AB95" t="str">
            <v>31.12.9999</v>
          </cell>
          <cell r="AC95">
            <v>284.44</v>
          </cell>
        </row>
        <row r="96">
          <cell r="H96" t="str">
            <v>10000241</v>
          </cell>
          <cell r="I96" t="str">
            <v>Grava Triturada Caliza 20 mm -</v>
          </cell>
          <cell r="J96">
            <v>205.71</v>
          </cell>
          <cell r="K96" t="str">
            <v>MXN</v>
          </cell>
          <cell r="L96" t="str">
            <v>TN</v>
          </cell>
          <cell r="M96" t="str">
            <v>01.08.2026</v>
          </cell>
          <cell r="N96" t="str">
            <v>31.12.9999</v>
          </cell>
          <cell r="O96" t="str">
            <v>28.07.2026</v>
          </cell>
          <cell r="P96" t="str">
            <v>ZMIF</v>
          </cell>
          <cell r="Q96">
            <v>78.73</v>
          </cell>
          <cell r="R96" t="str">
            <v>MXN</v>
          </cell>
          <cell r="S96" t="str">
            <v>TN</v>
          </cell>
          <cell r="T96" t="str">
            <v>01.08.2026</v>
          </cell>
          <cell r="U96" t="str">
            <v>31.12.9999</v>
          </cell>
          <cell r="V96" t="str">
            <v>ZICF</v>
          </cell>
          <cell r="W96" t="str">
            <v>01</v>
          </cell>
          <cell r="X96">
            <v>70.48</v>
          </cell>
          <cell r="Y96" t="str">
            <v>MXN</v>
          </cell>
          <cell r="Z96" t="str">
            <v>TN</v>
          </cell>
          <cell r="AA96" t="str">
            <v>10.09.2024</v>
          </cell>
          <cell r="AB96" t="str">
            <v>31.12.9999</v>
          </cell>
          <cell r="AC96">
            <v>284.44</v>
          </cell>
        </row>
        <row r="97">
          <cell r="H97" t="str">
            <v>10164169</v>
          </cell>
          <cell r="I97" t="str">
            <v>ARENA TRITURADA CALIZA MALLA 4</v>
          </cell>
          <cell r="J97">
            <v>205.91</v>
          </cell>
          <cell r="K97" t="str">
            <v>MXN</v>
          </cell>
          <cell r="L97" t="str">
            <v>TN</v>
          </cell>
          <cell r="M97" t="str">
            <v>01.08.2026</v>
          </cell>
          <cell r="N97" t="str">
            <v>31.12.9999</v>
          </cell>
          <cell r="O97" t="str">
            <v>28.07.2026</v>
          </cell>
          <cell r="P97" t="str">
            <v>ZMIF</v>
          </cell>
          <cell r="Q97">
            <v>78.53</v>
          </cell>
          <cell r="R97" t="str">
            <v>MXN</v>
          </cell>
          <cell r="S97" t="str">
            <v>TN</v>
          </cell>
          <cell r="T97" t="str">
            <v>01.08.2026</v>
          </cell>
          <cell r="U97" t="str">
            <v>31.12.9999</v>
          </cell>
          <cell r="V97" t="str">
            <v>ZICF</v>
          </cell>
          <cell r="W97" t="str">
            <v>01</v>
          </cell>
          <cell r="X97">
            <v>70.48</v>
          </cell>
          <cell r="Y97" t="str">
            <v>MXN</v>
          </cell>
          <cell r="Z97" t="str">
            <v>TN</v>
          </cell>
          <cell r="AA97" t="str">
            <v>10.09.2024</v>
          </cell>
          <cell r="AB97" t="str">
            <v>31.12.9999</v>
          </cell>
          <cell r="AC97">
            <v>284.44</v>
          </cell>
        </row>
        <row r="98">
          <cell r="H98" t="str">
            <v>10000237</v>
          </cell>
          <cell r="I98" t="str">
            <v>Grava Triturada Caliza 10 mm -</v>
          </cell>
          <cell r="J98">
            <v>205.71</v>
          </cell>
          <cell r="K98" t="str">
            <v>MXN</v>
          </cell>
          <cell r="L98" t="str">
            <v>TN</v>
          </cell>
          <cell r="M98" t="str">
            <v>01.08.2026</v>
          </cell>
          <cell r="N98" t="str">
            <v>31.12.9999</v>
          </cell>
          <cell r="O98" t="str">
            <v>28.07.2026</v>
          </cell>
          <cell r="P98" t="str">
            <v>ZMIF</v>
          </cell>
          <cell r="Q98">
            <v>88.61</v>
          </cell>
          <cell r="R98" t="str">
            <v>MXN</v>
          </cell>
          <cell r="S98" t="str">
            <v>TN</v>
          </cell>
          <cell r="T98" t="str">
            <v>01.08.2026</v>
          </cell>
          <cell r="U98" t="str">
            <v>31.12.9999</v>
          </cell>
          <cell r="V98" t="str">
            <v>ZICF</v>
          </cell>
          <cell r="W98" t="str">
            <v>01</v>
          </cell>
          <cell r="X98">
            <v>82.68</v>
          </cell>
          <cell r="Y98" t="str">
            <v>MXN</v>
          </cell>
          <cell r="Z98" t="str">
            <v>TN</v>
          </cell>
          <cell r="AA98" t="str">
            <v>20.10.2022</v>
          </cell>
          <cell r="AB98" t="str">
            <v>31.12.9999</v>
          </cell>
          <cell r="AC98">
            <v>294.32</v>
          </cell>
        </row>
        <row r="99">
          <cell r="H99" t="str">
            <v>10000241</v>
          </cell>
          <cell r="I99" t="str">
            <v>Grava Triturada Caliza 20 mm -</v>
          </cell>
          <cell r="J99">
            <v>205.71</v>
          </cell>
          <cell r="K99" t="str">
            <v>MXN</v>
          </cell>
          <cell r="L99" t="str">
            <v>TN</v>
          </cell>
          <cell r="M99" t="str">
            <v>01.08.2026</v>
          </cell>
          <cell r="N99" t="str">
            <v>31.12.9999</v>
          </cell>
          <cell r="O99" t="str">
            <v>28.07.2026</v>
          </cell>
          <cell r="P99" t="str">
            <v>ZMIF</v>
          </cell>
          <cell r="Q99">
            <v>78.73</v>
          </cell>
          <cell r="R99" t="str">
            <v>MXN</v>
          </cell>
          <cell r="S99" t="str">
            <v>TN</v>
          </cell>
          <cell r="T99" t="str">
            <v>01.08.2026</v>
          </cell>
          <cell r="U99" t="str">
            <v>31.12.9999</v>
          </cell>
          <cell r="V99" t="str">
            <v>ZICF</v>
          </cell>
          <cell r="W99" t="str">
            <v>01</v>
          </cell>
          <cell r="X99">
            <v>105.13</v>
          </cell>
          <cell r="Y99" t="str">
            <v>MXN</v>
          </cell>
          <cell r="Z99" t="str">
            <v>TN</v>
          </cell>
          <cell r="AA99" t="str">
            <v>25.05.2026</v>
          </cell>
          <cell r="AB99" t="str">
            <v>31.12.9999</v>
          </cell>
          <cell r="AC99">
            <v>284.44</v>
          </cell>
        </row>
        <row r="100">
          <cell r="H100" t="str">
            <v>10000260</v>
          </cell>
          <cell r="I100" t="str">
            <v>Arena Triturada Caliza Malla 5</v>
          </cell>
          <cell r="J100">
            <v>205.91</v>
          </cell>
          <cell r="K100" t="str">
            <v>MXN</v>
          </cell>
          <cell r="L100" t="str">
            <v>TN</v>
          </cell>
          <cell r="M100" t="str">
            <v>01.08.2026</v>
          </cell>
          <cell r="N100" t="str">
            <v>31.12.9999</v>
          </cell>
          <cell r="O100" t="str">
            <v>28.07.2026</v>
          </cell>
          <cell r="P100" t="str">
            <v>ZMIF</v>
          </cell>
          <cell r="Q100">
            <v>114.41</v>
          </cell>
          <cell r="R100" t="str">
            <v>MXN</v>
          </cell>
          <cell r="S100" t="str">
            <v>TN</v>
          </cell>
          <cell r="T100" t="str">
            <v>01.08.2026</v>
          </cell>
          <cell r="U100" t="str">
            <v>31.12.9999</v>
          </cell>
          <cell r="V100" t="str">
            <v>ZICF</v>
          </cell>
          <cell r="W100" t="str">
            <v>01</v>
          </cell>
          <cell r="X100">
            <v>91.03</v>
          </cell>
          <cell r="Y100" t="str">
            <v>MXN</v>
          </cell>
          <cell r="Z100" t="str">
            <v>TN</v>
          </cell>
          <cell r="AA100" t="str">
            <v>22.01.2024</v>
          </cell>
          <cell r="AB100" t="str">
            <v>31.12.9999</v>
          </cell>
          <cell r="AC100">
            <v>320.32</v>
          </cell>
        </row>
        <row r="101">
          <cell r="H101" t="str">
            <v>10164169</v>
          </cell>
          <cell r="I101" t="str">
            <v>ARENA TRITURADA CALIZA MALLA 4</v>
          </cell>
          <cell r="J101">
            <v>205.91</v>
          </cell>
          <cell r="K101" t="str">
            <v>MXN</v>
          </cell>
          <cell r="L101" t="str">
            <v>TN</v>
          </cell>
          <cell r="M101" t="str">
            <v>01.08.2026</v>
          </cell>
          <cell r="N101" t="str">
            <v>31.12.9999</v>
          </cell>
          <cell r="O101" t="str">
            <v>28.07.2026</v>
          </cell>
          <cell r="P101" t="str">
            <v>ZMIF</v>
          </cell>
          <cell r="Q101">
            <v>78.53</v>
          </cell>
          <cell r="R101" t="str">
            <v>MXN</v>
          </cell>
          <cell r="S101" t="str">
            <v>TN</v>
          </cell>
          <cell r="T101" t="str">
            <v>01.08.2026</v>
          </cell>
          <cell r="U101" t="str">
            <v>31.12.9999</v>
          </cell>
          <cell r="V101" t="str">
            <v>ZICF</v>
          </cell>
          <cell r="W101" t="str">
            <v>01</v>
          </cell>
          <cell r="X101">
            <v>105.3</v>
          </cell>
          <cell r="Y101" t="str">
            <v>MXN</v>
          </cell>
          <cell r="Z101" t="str">
            <v>TN</v>
          </cell>
          <cell r="AA101" t="str">
            <v>25.05.2026</v>
          </cell>
          <cell r="AB101" t="str">
            <v>31.12.9999</v>
          </cell>
          <cell r="AC101">
            <v>284.44</v>
          </cell>
        </row>
        <row r="102">
          <cell r="H102" t="str">
            <v>10000124</v>
          </cell>
          <cell r="I102" t="str">
            <v>Arena Triturada Caliza Malla 4</v>
          </cell>
          <cell r="J102">
            <v>205.91</v>
          </cell>
          <cell r="K102" t="str">
            <v>MXN</v>
          </cell>
          <cell r="L102" t="str">
            <v>TN</v>
          </cell>
          <cell r="M102" t="str">
            <v>01.08.2026</v>
          </cell>
          <cell r="N102" t="str">
            <v>31.12.9999</v>
          </cell>
          <cell r="O102" t="str">
            <v>28.07.2026</v>
          </cell>
          <cell r="P102" t="str">
            <v>ZMIF</v>
          </cell>
          <cell r="Q102">
            <v>78.53</v>
          </cell>
          <cell r="R102" t="str">
            <v>MXN</v>
          </cell>
          <cell r="S102" t="str">
            <v>TN</v>
          </cell>
          <cell r="T102" t="str">
            <v>01.08.2026</v>
          </cell>
          <cell r="U102" t="str">
            <v>31.12.9999</v>
          </cell>
          <cell r="V102" t="str">
            <v>ZICF</v>
          </cell>
          <cell r="W102" t="str">
            <v>01</v>
          </cell>
          <cell r="X102">
            <v>75.73</v>
          </cell>
          <cell r="Y102" t="str">
            <v>MXN</v>
          </cell>
          <cell r="Z102" t="str">
            <v>TN</v>
          </cell>
          <cell r="AA102" t="str">
            <v>22.01.2024</v>
          </cell>
          <cell r="AB102" t="str">
            <v>31.12.9999</v>
          </cell>
          <cell r="AC102">
            <v>284.44</v>
          </cell>
        </row>
        <row r="103">
          <cell r="H103" t="str">
            <v>10000260</v>
          </cell>
          <cell r="I103" t="str">
            <v>Arena Triturada Caliza Malla 5</v>
          </cell>
          <cell r="J103">
            <v>205.91</v>
          </cell>
          <cell r="K103" t="str">
            <v>MXN</v>
          </cell>
          <cell r="L103" t="str">
            <v>TN</v>
          </cell>
          <cell r="M103" t="str">
            <v>01.08.2026</v>
          </cell>
          <cell r="N103" t="str">
            <v>31.12.9999</v>
          </cell>
          <cell r="O103" t="str">
            <v>28.07.2026</v>
          </cell>
          <cell r="P103" t="str">
            <v>ZMIF</v>
          </cell>
          <cell r="Q103">
            <v>114.41</v>
          </cell>
          <cell r="R103" t="str">
            <v>MXN</v>
          </cell>
          <cell r="S103" t="str">
            <v>TN</v>
          </cell>
          <cell r="T103" t="str">
            <v>01.08.2026</v>
          </cell>
          <cell r="U103" t="str">
            <v>31.12.9999</v>
          </cell>
          <cell r="V103" t="str">
            <v>ZICF</v>
          </cell>
          <cell r="W103" t="str">
            <v>01</v>
          </cell>
          <cell r="X103">
            <v>64</v>
          </cell>
          <cell r="Y103" t="str">
            <v>MXN</v>
          </cell>
          <cell r="Z103" t="str">
            <v>TN</v>
          </cell>
          <cell r="AA103" t="str">
            <v>10.08.2022</v>
          </cell>
          <cell r="AB103" t="str">
            <v>31.12.9999</v>
          </cell>
          <cell r="AC103">
            <v>320.32</v>
          </cell>
        </row>
        <row r="104">
          <cell r="H104" t="str">
            <v>10164169</v>
          </cell>
          <cell r="I104" t="str">
            <v>ARENA TRITURADA CALIZA MALLA 4</v>
          </cell>
          <cell r="J104">
            <v>205.91</v>
          </cell>
          <cell r="K104" t="str">
            <v>MXN</v>
          </cell>
          <cell r="L104" t="str">
            <v>TN</v>
          </cell>
          <cell r="M104" t="str">
            <v>01.08.2026</v>
          </cell>
          <cell r="N104" t="str">
            <v>31.12.9999</v>
          </cell>
          <cell r="O104" t="str">
            <v>28.07.2026</v>
          </cell>
          <cell r="P104" t="str">
            <v>ZMIF</v>
          </cell>
          <cell r="Q104">
            <v>78.53</v>
          </cell>
          <cell r="R104" t="str">
            <v>MXN</v>
          </cell>
          <cell r="S104" t="str">
            <v>TN</v>
          </cell>
          <cell r="T104" t="str">
            <v>01.08.2026</v>
          </cell>
          <cell r="U104" t="str">
            <v>31.12.9999</v>
          </cell>
          <cell r="V104" t="str">
            <v>ZICF</v>
          </cell>
          <cell r="W104" t="str">
            <v>01</v>
          </cell>
          <cell r="X104">
            <v>65.569999999999993</v>
          </cell>
          <cell r="Y104" t="str">
            <v>MXN</v>
          </cell>
          <cell r="Z104" t="str">
            <v>TN</v>
          </cell>
          <cell r="AA104" t="str">
            <v>09.08.2023</v>
          </cell>
          <cell r="AB104" t="str">
            <v>31.12.9999</v>
          </cell>
          <cell r="AC104">
            <v>284.44</v>
          </cell>
        </row>
        <row r="105">
          <cell r="H105" t="str">
            <v>10000124</v>
          </cell>
          <cell r="I105" t="str">
            <v>Arena Triturada Caliza Malla 4</v>
          </cell>
          <cell r="J105">
            <v>205.91</v>
          </cell>
          <cell r="K105" t="str">
            <v>MXN</v>
          </cell>
          <cell r="L105" t="str">
            <v>TN</v>
          </cell>
          <cell r="M105" t="str">
            <v>01.08.2026</v>
          </cell>
          <cell r="N105" t="str">
            <v>31.12.9999</v>
          </cell>
          <cell r="O105" t="str">
            <v>28.07.2026</v>
          </cell>
          <cell r="P105" t="str">
            <v>ZMIF</v>
          </cell>
          <cell r="Q105">
            <v>78.53</v>
          </cell>
          <cell r="R105" t="str">
            <v>MXN</v>
          </cell>
          <cell r="S105" t="str">
            <v>TN</v>
          </cell>
          <cell r="T105" t="str">
            <v>01.08.2026</v>
          </cell>
          <cell r="U105" t="str">
            <v>31.12.9999</v>
          </cell>
          <cell r="V105"/>
          <cell r="W105"/>
          <cell r="X105"/>
          <cell r="Y105"/>
          <cell r="Z105"/>
          <cell r="AA105"/>
          <cell r="AB105"/>
          <cell r="AC105">
            <v>284.44</v>
          </cell>
        </row>
        <row r="106">
          <cell r="H106" t="str">
            <v>10000237</v>
          </cell>
          <cell r="I106" t="str">
            <v>Grava Triturada Caliza 10 mm -</v>
          </cell>
          <cell r="J106">
            <v>205.71</v>
          </cell>
          <cell r="K106" t="str">
            <v>MXN</v>
          </cell>
          <cell r="L106" t="str">
            <v>TN</v>
          </cell>
          <cell r="M106" t="str">
            <v>01.08.2026</v>
          </cell>
          <cell r="N106" t="str">
            <v>31.12.9999</v>
          </cell>
          <cell r="O106" t="str">
            <v>28.07.2026</v>
          </cell>
          <cell r="P106" t="str">
            <v>ZMIF</v>
          </cell>
          <cell r="Q106">
            <v>88.61</v>
          </cell>
          <cell r="R106" t="str">
            <v>MXN</v>
          </cell>
          <cell r="S106" t="str">
            <v>TN</v>
          </cell>
          <cell r="T106" t="str">
            <v>01.08.2026</v>
          </cell>
          <cell r="U106" t="str">
            <v>31.12.9999</v>
          </cell>
          <cell r="V106" t="str">
            <v>ZICF</v>
          </cell>
          <cell r="W106" t="str">
            <v>01</v>
          </cell>
          <cell r="X106">
            <v>454.28</v>
          </cell>
          <cell r="Y106" t="str">
            <v>MXN</v>
          </cell>
          <cell r="Z106" t="str">
            <v>TN</v>
          </cell>
          <cell r="AA106" t="str">
            <v>23.01.2026</v>
          </cell>
          <cell r="AB106" t="str">
            <v>31.12.9999</v>
          </cell>
          <cell r="AC106">
            <v>294.32</v>
          </cell>
        </row>
        <row r="107">
          <cell r="H107" t="str">
            <v>10000241</v>
          </cell>
          <cell r="I107" t="str">
            <v>Grava Triturada Caliza 20 mm -</v>
          </cell>
          <cell r="J107">
            <v>205.71</v>
          </cell>
          <cell r="K107" t="str">
            <v>MXN</v>
          </cell>
          <cell r="L107" t="str">
            <v>TN</v>
          </cell>
          <cell r="M107" t="str">
            <v>01.08.2026</v>
          </cell>
          <cell r="N107" t="str">
            <v>31.12.9999</v>
          </cell>
          <cell r="O107" t="str">
            <v>28.07.2026</v>
          </cell>
          <cell r="P107" t="str">
            <v>ZMIF</v>
          </cell>
          <cell r="Q107">
            <v>78.73</v>
          </cell>
          <cell r="R107" t="str">
            <v>MXN</v>
          </cell>
          <cell r="S107" t="str">
            <v>TN</v>
          </cell>
          <cell r="T107" t="str">
            <v>01.08.2026</v>
          </cell>
          <cell r="U107" t="str">
            <v>31.12.9999</v>
          </cell>
          <cell r="V107"/>
          <cell r="W107"/>
          <cell r="X107"/>
          <cell r="Y107"/>
          <cell r="Z107"/>
          <cell r="AA107"/>
          <cell r="AB107"/>
          <cell r="AC107">
            <v>284.44</v>
          </cell>
        </row>
        <row r="108">
          <cell r="H108" t="str">
            <v>10000124</v>
          </cell>
          <cell r="I108" t="str">
            <v>Arena Triturada Caliza Malla 4</v>
          </cell>
          <cell r="J108">
            <v>205.91</v>
          </cell>
          <cell r="K108" t="str">
            <v>MXN</v>
          </cell>
          <cell r="L108" t="str">
            <v>TN</v>
          </cell>
          <cell r="M108" t="str">
            <v>01.08.2026</v>
          </cell>
          <cell r="N108" t="str">
            <v>31.12.9999</v>
          </cell>
          <cell r="O108" t="str">
            <v>28.07.2026</v>
          </cell>
          <cell r="P108" t="str">
            <v>ZMIF</v>
          </cell>
          <cell r="Q108">
            <v>78.53</v>
          </cell>
          <cell r="R108" t="str">
            <v>MXN</v>
          </cell>
          <cell r="S108" t="str">
            <v>TN</v>
          </cell>
          <cell r="T108" t="str">
            <v>01.08.2026</v>
          </cell>
          <cell r="U108" t="str">
            <v>31.12.9999</v>
          </cell>
          <cell r="V108" t="str">
            <v>ZICF</v>
          </cell>
          <cell r="W108" t="str">
            <v>01</v>
          </cell>
          <cell r="X108">
            <v>156.87</v>
          </cell>
          <cell r="Y108" t="str">
            <v>MXN</v>
          </cell>
          <cell r="Z108" t="str">
            <v>TN</v>
          </cell>
          <cell r="AA108" t="str">
            <v>25.05.2026</v>
          </cell>
          <cell r="AB108" t="str">
            <v>31.12.9999</v>
          </cell>
          <cell r="AC108">
            <v>284.44</v>
          </cell>
        </row>
        <row r="109">
          <cell r="H109" t="str">
            <v>10000237</v>
          </cell>
          <cell r="I109" t="str">
            <v>Grava Triturada Caliza 10 mm -</v>
          </cell>
          <cell r="J109">
            <v>205.71</v>
          </cell>
          <cell r="K109" t="str">
            <v>MXN</v>
          </cell>
          <cell r="L109" t="str">
            <v>TN</v>
          </cell>
          <cell r="M109" t="str">
            <v>01.08.2026</v>
          </cell>
          <cell r="N109" t="str">
            <v>31.12.9999</v>
          </cell>
          <cell r="O109" t="str">
            <v>28.07.2026</v>
          </cell>
          <cell r="P109" t="str">
            <v>ZMIF</v>
          </cell>
          <cell r="Q109">
            <v>88.61</v>
          </cell>
          <cell r="R109" t="str">
            <v>MXN</v>
          </cell>
          <cell r="S109" t="str">
            <v>TN</v>
          </cell>
          <cell r="T109" t="str">
            <v>01.08.2026</v>
          </cell>
          <cell r="U109" t="str">
            <v>31.12.9999</v>
          </cell>
          <cell r="V109" t="str">
            <v>ZICF</v>
          </cell>
          <cell r="W109" t="str">
            <v>01</v>
          </cell>
          <cell r="X109">
            <v>150</v>
          </cell>
          <cell r="Y109" t="str">
            <v>MXN</v>
          </cell>
          <cell r="Z109" t="str">
            <v>TN</v>
          </cell>
          <cell r="AA109" t="str">
            <v>19.06.2025</v>
          </cell>
          <cell r="AB109" t="str">
            <v>31.12.9999</v>
          </cell>
          <cell r="AC109">
            <v>294.32</v>
          </cell>
        </row>
        <row r="110">
          <cell r="H110" t="str">
            <v>10000241</v>
          </cell>
          <cell r="I110" t="str">
            <v>Grava Triturada Caliza 20 mm -</v>
          </cell>
          <cell r="J110">
            <v>205.71</v>
          </cell>
          <cell r="K110" t="str">
            <v>MXN</v>
          </cell>
          <cell r="L110" t="str">
            <v>TN</v>
          </cell>
          <cell r="M110" t="str">
            <v>01.08.2026</v>
          </cell>
          <cell r="N110" t="str">
            <v>31.12.9999</v>
          </cell>
          <cell r="O110" t="str">
            <v>28.07.2026</v>
          </cell>
          <cell r="P110" t="str">
            <v>ZMIF</v>
          </cell>
          <cell r="Q110">
            <v>78.73</v>
          </cell>
          <cell r="R110" t="str">
            <v>MXN</v>
          </cell>
          <cell r="S110" t="str">
            <v>TN</v>
          </cell>
          <cell r="T110" t="str">
            <v>01.08.2026</v>
          </cell>
          <cell r="U110" t="str">
            <v>31.12.9999</v>
          </cell>
          <cell r="V110" t="str">
            <v>ZICF</v>
          </cell>
          <cell r="W110" t="str">
            <v>01</v>
          </cell>
          <cell r="X110">
            <v>158</v>
          </cell>
          <cell r="Y110" t="str">
            <v>MXN</v>
          </cell>
          <cell r="Z110" t="str">
            <v>TN</v>
          </cell>
          <cell r="AA110" t="str">
            <v>19.06.2025</v>
          </cell>
          <cell r="AB110" t="str">
            <v>31.12.9999</v>
          </cell>
          <cell r="AC110">
            <v>284.44</v>
          </cell>
        </row>
        <row r="111">
          <cell r="H111" t="str">
            <v>10000260</v>
          </cell>
          <cell r="I111" t="str">
            <v>Arena Triturada Caliza Malla 5</v>
          </cell>
          <cell r="J111">
            <v>205.91</v>
          </cell>
          <cell r="K111" t="str">
            <v>MXN</v>
          </cell>
          <cell r="L111" t="str">
            <v>TN</v>
          </cell>
          <cell r="M111" t="str">
            <v>01.08.2026</v>
          </cell>
          <cell r="N111" t="str">
            <v>31.12.9999</v>
          </cell>
          <cell r="O111" t="str">
            <v>28.07.2026</v>
          </cell>
          <cell r="P111" t="str">
            <v>ZMIF</v>
          </cell>
          <cell r="Q111">
            <v>114.41</v>
          </cell>
          <cell r="R111" t="str">
            <v>MXN</v>
          </cell>
          <cell r="S111" t="str">
            <v>TN</v>
          </cell>
          <cell r="T111" t="str">
            <v>01.08.2026</v>
          </cell>
          <cell r="U111" t="str">
            <v>31.12.9999</v>
          </cell>
          <cell r="V111"/>
          <cell r="W111"/>
          <cell r="X111"/>
          <cell r="Y111"/>
          <cell r="Z111"/>
          <cell r="AA111"/>
          <cell r="AB111"/>
          <cell r="AC111">
            <v>320.32</v>
          </cell>
        </row>
        <row r="112">
          <cell r="H112" t="str">
            <v>10164169</v>
          </cell>
          <cell r="I112" t="str">
            <v>ARENA TRITURADA CALIZA MALLA 4</v>
          </cell>
          <cell r="J112">
            <v>205.91</v>
          </cell>
          <cell r="K112" t="str">
            <v>MXN</v>
          </cell>
          <cell r="L112" t="str">
            <v>TN</v>
          </cell>
          <cell r="M112" t="str">
            <v>01.08.2026</v>
          </cell>
          <cell r="N112" t="str">
            <v>31.12.9999</v>
          </cell>
          <cell r="O112" t="str">
            <v>28.07.2026</v>
          </cell>
          <cell r="P112" t="str">
            <v>ZMIF</v>
          </cell>
          <cell r="Q112">
            <v>78.53</v>
          </cell>
          <cell r="R112" t="str">
            <v>MXN</v>
          </cell>
          <cell r="S112" t="str">
            <v>TN</v>
          </cell>
          <cell r="T112" t="str">
            <v>01.08.2026</v>
          </cell>
          <cell r="U112" t="str">
            <v>31.12.9999</v>
          </cell>
          <cell r="V112" t="str">
            <v>ZICF</v>
          </cell>
          <cell r="W112" t="str">
            <v>01</v>
          </cell>
          <cell r="X112">
            <v>98.67</v>
          </cell>
          <cell r="Y112" t="str">
            <v>MXN</v>
          </cell>
          <cell r="Z112" t="str">
            <v>TN</v>
          </cell>
          <cell r="AA112" t="str">
            <v>20.10.2022</v>
          </cell>
          <cell r="AB112" t="str">
            <v>31.12.9999</v>
          </cell>
          <cell r="AC112">
            <v>284.44</v>
          </cell>
        </row>
        <row r="113">
          <cell r="H113" t="str">
            <v>10000237</v>
          </cell>
          <cell r="I113" t="str">
            <v>Grava Triturada Caliza 10 mm -</v>
          </cell>
          <cell r="J113">
            <v>205.71</v>
          </cell>
          <cell r="K113" t="str">
            <v>MXN</v>
          </cell>
          <cell r="L113" t="str">
            <v>TN</v>
          </cell>
          <cell r="M113" t="str">
            <v>01.08.2026</v>
          </cell>
          <cell r="N113" t="str">
            <v>31.12.9999</v>
          </cell>
          <cell r="O113" t="str">
            <v>28.07.2026</v>
          </cell>
          <cell r="P113" t="str">
            <v>ZMIF</v>
          </cell>
          <cell r="Q113">
            <v>88.61</v>
          </cell>
          <cell r="R113" t="str">
            <v>MXN</v>
          </cell>
          <cell r="S113" t="str">
            <v>TN</v>
          </cell>
          <cell r="T113" t="str">
            <v>01.08.2026</v>
          </cell>
          <cell r="U113" t="str">
            <v>31.12.9999</v>
          </cell>
          <cell r="V113"/>
          <cell r="W113"/>
          <cell r="X113"/>
          <cell r="Y113"/>
          <cell r="Z113"/>
          <cell r="AA113"/>
          <cell r="AB113"/>
          <cell r="AC113">
            <v>294.32</v>
          </cell>
        </row>
        <row r="114">
          <cell r="H114" t="str">
            <v>10000241</v>
          </cell>
          <cell r="I114" t="str">
            <v>Grava Triturada Caliza 20 mm -</v>
          </cell>
          <cell r="J114">
            <v>205.71</v>
          </cell>
          <cell r="K114" t="str">
            <v>MXN</v>
          </cell>
          <cell r="L114" t="str">
            <v>TN</v>
          </cell>
          <cell r="M114" t="str">
            <v>01.08.2026</v>
          </cell>
          <cell r="N114" t="str">
            <v>31.12.9999</v>
          </cell>
          <cell r="O114" t="str">
            <v>28.07.2026</v>
          </cell>
          <cell r="P114" t="str">
            <v>ZMIF</v>
          </cell>
          <cell r="Q114">
            <v>78.73</v>
          </cell>
          <cell r="R114" t="str">
            <v>MXN</v>
          </cell>
          <cell r="S114" t="str">
            <v>TN</v>
          </cell>
          <cell r="T114" t="str">
            <v>01.08.2026</v>
          </cell>
          <cell r="U114" t="str">
            <v>31.12.9999</v>
          </cell>
          <cell r="V114" t="str">
            <v>ZICF</v>
          </cell>
          <cell r="W114" t="str">
            <v>01</v>
          </cell>
          <cell r="X114">
            <v>102.5</v>
          </cell>
          <cell r="Y114" t="str">
            <v>MXN</v>
          </cell>
          <cell r="Z114" t="str">
            <v>TN</v>
          </cell>
          <cell r="AA114" t="str">
            <v>22.08.2025</v>
          </cell>
          <cell r="AB114" t="str">
            <v>31.12.9999</v>
          </cell>
          <cell r="AC114">
            <v>284.44</v>
          </cell>
        </row>
        <row r="115">
          <cell r="H115" t="str">
            <v>10164169</v>
          </cell>
          <cell r="I115" t="str">
            <v>ARENA TRITURADA CALIZA MALLA 4</v>
          </cell>
          <cell r="J115">
            <v>205.91</v>
          </cell>
          <cell r="K115" t="str">
            <v>MXN</v>
          </cell>
          <cell r="L115" t="str">
            <v>TN</v>
          </cell>
          <cell r="M115" t="str">
            <v>01.08.2026</v>
          </cell>
          <cell r="N115" t="str">
            <v>31.12.9999</v>
          </cell>
          <cell r="O115" t="str">
            <v>28.07.2026</v>
          </cell>
          <cell r="P115" t="str">
            <v>ZMIF</v>
          </cell>
          <cell r="Q115">
            <v>78.53</v>
          </cell>
          <cell r="R115" t="str">
            <v>MXN</v>
          </cell>
          <cell r="S115" t="str">
            <v>TN</v>
          </cell>
          <cell r="T115" t="str">
            <v>01.08.2026</v>
          </cell>
          <cell r="U115" t="str">
            <v>31.12.9999</v>
          </cell>
          <cell r="V115" t="str">
            <v>ZICF</v>
          </cell>
          <cell r="W115" t="str">
            <v>01</v>
          </cell>
          <cell r="X115">
            <v>102.5</v>
          </cell>
          <cell r="Y115" t="str">
            <v>MXN</v>
          </cell>
          <cell r="Z115" t="str">
            <v>TN</v>
          </cell>
          <cell r="AA115" t="str">
            <v>25.06.2025</v>
          </cell>
          <cell r="AB115" t="str">
            <v>31.12.9999</v>
          </cell>
          <cell r="AC115">
            <v>284.44</v>
          </cell>
        </row>
        <row r="116">
          <cell r="H116" t="str">
            <v>10000234</v>
          </cell>
          <cell r="I116" t="str">
            <v>Arena Triturada Basalto  Malla</v>
          </cell>
          <cell r="J116">
            <v>196.09</v>
          </cell>
          <cell r="K116" t="str">
            <v>MXN</v>
          </cell>
          <cell r="L116" t="str">
            <v>TN</v>
          </cell>
          <cell r="M116" t="str">
            <v>01.08.2026</v>
          </cell>
          <cell r="N116" t="str">
            <v>31.12.9999</v>
          </cell>
          <cell r="O116" t="str">
            <v>28.07.2026</v>
          </cell>
          <cell r="P116" t="str">
            <v>ZMIF</v>
          </cell>
          <cell r="Q116">
            <v>-30.73</v>
          </cell>
          <cell r="R116" t="str">
            <v>MXN</v>
          </cell>
          <cell r="S116" t="str">
            <v>TN</v>
          </cell>
          <cell r="T116" t="str">
            <v>01.08.2026</v>
          </cell>
          <cell r="U116" t="str">
            <v>31.12.9999</v>
          </cell>
          <cell r="V116" t="str">
            <v>ZICF</v>
          </cell>
          <cell r="W116" t="str">
            <v>01</v>
          </cell>
          <cell r="X116">
            <v>78.5</v>
          </cell>
          <cell r="Y116" t="str">
            <v>MXN</v>
          </cell>
          <cell r="Z116" t="str">
            <v>TN</v>
          </cell>
          <cell r="AA116" t="str">
            <v>30.01.2025</v>
          </cell>
          <cell r="AB116" t="str">
            <v>31.12.9999</v>
          </cell>
          <cell r="AC116">
            <v>165.36</v>
          </cell>
        </row>
        <row r="117">
          <cell r="H117" t="str">
            <v>10000284</v>
          </cell>
          <cell r="I117" t="str">
            <v>Grava Triturada Basalto  20 mm</v>
          </cell>
          <cell r="J117">
            <v>197.67</v>
          </cell>
          <cell r="K117" t="str">
            <v>MXN</v>
          </cell>
          <cell r="L117" t="str">
            <v>TN</v>
          </cell>
          <cell r="M117" t="str">
            <v>01.08.2026</v>
          </cell>
          <cell r="N117" t="str">
            <v>31.12.9999</v>
          </cell>
          <cell r="O117" t="str">
            <v>28.07.2026</v>
          </cell>
          <cell r="P117" t="str">
            <v>ZMIF</v>
          </cell>
          <cell r="Q117">
            <v>-15.67</v>
          </cell>
          <cell r="R117" t="str">
            <v>MXN</v>
          </cell>
          <cell r="S117" t="str">
            <v>TN</v>
          </cell>
          <cell r="T117" t="str">
            <v>01.08.2026</v>
          </cell>
          <cell r="U117" t="str">
            <v>31.12.9999</v>
          </cell>
          <cell r="V117" t="str">
            <v>ZICF</v>
          </cell>
          <cell r="W117" t="str">
            <v>01</v>
          </cell>
          <cell r="X117">
            <v>76.91</v>
          </cell>
          <cell r="Y117" t="str">
            <v>MXN</v>
          </cell>
          <cell r="Z117" t="str">
            <v>TN</v>
          </cell>
          <cell r="AA117" t="str">
            <v>12.04.2024</v>
          </cell>
          <cell r="AB117" t="str">
            <v>31.12.9999</v>
          </cell>
          <cell r="AC117">
            <v>182</v>
          </cell>
        </row>
        <row r="118">
          <cell r="H118" t="str">
            <v>10000285</v>
          </cell>
          <cell r="I118" t="str">
            <v>Grava Triturada Basalto  10 mm</v>
          </cell>
          <cell r="J118">
            <v>197.67</v>
          </cell>
          <cell r="K118" t="str">
            <v>MXN</v>
          </cell>
          <cell r="L118" t="str">
            <v>TN</v>
          </cell>
          <cell r="M118" t="str">
            <v>01.08.2026</v>
          </cell>
          <cell r="N118" t="str">
            <v>31.12.9999</v>
          </cell>
          <cell r="O118" t="str">
            <v>28.07.2026</v>
          </cell>
          <cell r="P118" t="str">
            <v>ZMIF</v>
          </cell>
          <cell r="Q118">
            <v>-15.67</v>
          </cell>
          <cell r="R118" t="str">
            <v>MXN</v>
          </cell>
          <cell r="S118" t="str">
            <v>TN</v>
          </cell>
          <cell r="T118" t="str">
            <v>01.08.2026</v>
          </cell>
          <cell r="U118" t="str">
            <v>31.12.9999</v>
          </cell>
          <cell r="V118" t="str">
            <v>ZICF</v>
          </cell>
          <cell r="W118" t="str">
            <v>01</v>
          </cell>
          <cell r="X118">
            <v>77.22</v>
          </cell>
          <cell r="Y118" t="str">
            <v>MXN</v>
          </cell>
          <cell r="Z118" t="str">
            <v>TN</v>
          </cell>
          <cell r="AA118" t="str">
            <v>12.04.2024</v>
          </cell>
          <cell r="AB118" t="str">
            <v>31.12.9999</v>
          </cell>
          <cell r="AC118">
            <v>182</v>
          </cell>
        </row>
        <row r="119">
          <cell r="H119" t="str">
            <v>10000287</v>
          </cell>
          <cell r="I119" t="str">
            <v>Grava Triturada Basalto  40 mm</v>
          </cell>
          <cell r="J119">
            <v>197.67</v>
          </cell>
          <cell r="K119" t="str">
            <v>MXN</v>
          </cell>
          <cell r="L119" t="str">
            <v>TN</v>
          </cell>
          <cell r="M119" t="str">
            <v>01.08.2026</v>
          </cell>
          <cell r="N119" t="str">
            <v>31.12.9999</v>
          </cell>
          <cell r="O119" t="str">
            <v>28.07.2026</v>
          </cell>
          <cell r="P119" t="str">
            <v>ZMIF</v>
          </cell>
          <cell r="Q119">
            <v>-15.67</v>
          </cell>
          <cell r="R119" t="str">
            <v>MXN</v>
          </cell>
          <cell r="S119" t="str">
            <v>TN</v>
          </cell>
          <cell r="T119" t="str">
            <v>01.08.2026</v>
          </cell>
          <cell r="U119" t="str">
            <v>31.12.9999</v>
          </cell>
          <cell r="V119" t="str">
            <v>ZICF</v>
          </cell>
          <cell r="W119" t="str">
            <v>01</v>
          </cell>
          <cell r="X119">
            <v>77.31</v>
          </cell>
          <cell r="Y119" t="str">
            <v>MXN</v>
          </cell>
          <cell r="Z119" t="str">
            <v>TN</v>
          </cell>
          <cell r="AA119" t="str">
            <v>12.04.2024</v>
          </cell>
          <cell r="AB119" t="str">
            <v>31.12.9999</v>
          </cell>
          <cell r="AC119">
            <v>182</v>
          </cell>
        </row>
        <row r="120">
          <cell r="H120" t="str">
            <v>10000234</v>
          </cell>
          <cell r="I120" t="str">
            <v>Arena Triturada Basalto  Malla</v>
          </cell>
          <cell r="J120">
            <v>196.09</v>
          </cell>
          <cell r="K120" t="str">
            <v>MXN</v>
          </cell>
          <cell r="L120" t="str">
            <v>TN</v>
          </cell>
          <cell r="M120" t="str">
            <v>01.08.2026</v>
          </cell>
          <cell r="N120" t="str">
            <v>31.12.9999</v>
          </cell>
          <cell r="O120" t="str">
            <v>28.07.2026</v>
          </cell>
          <cell r="P120" t="str">
            <v>ZMIF</v>
          </cell>
          <cell r="Q120">
            <v>-30.73</v>
          </cell>
          <cell r="R120" t="str">
            <v>MXN</v>
          </cell>
          <cell r="S120" t="str">
            <v>TN</v>
          </cell>
          <cell r="T120" t="str">
            <v>01.08.2026</v>
          </cell>
          <cell r="U120" t="str">
            <v>31.12.9999</v>
          </cell>
          <cell r="V120" t="str">
            <v>ZICF</v>
          </cell>
          <cell r="W120" t="str">
            <v>01</v>
          </cell>
          <cell r="X120">
            <v>35.200000000000003</v>
          </cell>
          <cell r="Y120" t="str">
            <v>MXN</v>
          </cell>
          <cell r="Z120" t="str">
            <v>TN</v>
          </cell>
          <cell r="AA120" t="str">
            <v>20.10.2022</v>
          </cell>
          <cell r="AB120" t="str">
            <v>31.12.9999</v>
          </cell>
          <cell r="AC120">
            <v>165.36</v>
          </cell>
        </row>
        <row r="121">
          <cell r="H121" t="str">
            <v>10000284</v>
          </cell>
          <cell r="I121" t="str">
            <v>Grava Triturada Basalto  20 mm</v>
          </cell>
          <cell r="J121">
            <v>197.67</v>
          </cell>
          <cell r="K121" t="str">
            <v>MXN</v>
          </cell>
          <cell r="L121" t="str">
            <v>TN</v>
          </cell>
          <cell r="M121" t="str">
            <v>01.08.2026</v>
          </cell>
          <cell r="N121" t="str">
            <v>31.12.9999</v>
          </cell>
          <cell r="O121" t="str">
            <v>28.07.2026</v>
          </cell>
          <cell r="P121" t="str">
            <v>ZMIF</v>
          </cell>
          <cell r="Q121">
            <v>-15.67</v>
          </cell>
          <cell r="R121" t="str">
            <v>MXN</v>
          </cell>
          <cell r="S121" t="str">
            <v>TN</v>
          </cell>
          <cell r="T121" t="str">
            <v>01.08.2026</v>
          </cell>
          <cell r="U121" t="str">
            <v>31.12.9999</v>
          </cell>
          <cell r="V121" t="str">
            <v>ZICF</v>
          </cell>
          <cell r="W121" t="str">
            <v>01</v>
          </cell>
          <cell r="X121">
            <v>40.82</v>
          </cell>
          <cell r="Y121" t="str">
            <v>MXN</v>
          </cell>
          <cell r="Z121" t="str">
            <v>TN</v>
          </cell>
          <cell r="AA121" t="str">
            <v>12.04.2024</v>
          </cell>
          <cell r="AB121" t="str">
            <v>31.12.9999</v>
          </cell>
          <cell r="AC121">
            <v>182</v>
          </cell>
        </row>
        <row r="122">
          <cell r="H122" t="str">
            <v>10000285</v>
          </cell>
          <cell r="I122" t="str">
            <v>Grava Triturada Basalto  10 mm</v>
          </cell>
          <cell r="J122">
            <v>197.67</v>
          </cell>
          <cell r="K122" t="str">
            <v>MXN</v>
          </cell>
          <cell r="L122" t="str">
            <v>TN</v>
          </cell>
          <cell r="M122" t="str">
            <v>01.08.2026</v>
          </cell>
          <cell r="N122" t="str">
            <v>31.12.9999</v>
          </cell>
          <cell r="O122" t="str">
            <v>28.07.2026</v>
          </cell>
          <cell r="P122" t="str">
            <v>ZMIF</v>
          </cell>
          <cell r="Q122">
            <v>-15.67</v>
          </cell>
          <cell r="R122" t="str">
            <v>MXN</v>
          </cell>
          <cell r="S122" t="str">
            <v>TN</v>
          </cell>
          <cell r="T122" t="str">
            <v>01.08.2026</v>
          </cell>
          <cell r="U122" t="str">
            <v>31.12.9999</v>
          </cell>
          <cell r="V122" t="str">
            <v>ZICF</v>
          </cell>
          <cell r="W122" t="str">
            <v>01</v>
          </cell>
          <cell r="X122">
            <v>43.54</v>
          </cell>
          <cell r="Y122" t="str">
            <v>MXN</v>
          </cell>
          <cell r="Z122" t="str">
            <v>TN</v>
          </cell>
          <cell r="AA122" t="str">
            <v>12.04.2024</v>
          </cell>
          <cell r="AB122" t="str">
            <v>31.12.9999</v>
          </cell>
          <cell r="AC122">
            <v>182</v>
          </cell>
        </row>
        <row r="123">
          <cell r="H123" t="str">
            <v>10000287</v>
          </cell>
          <cell r="I123" t="str">
            <v>Grava Triturada Basalto  40 mm</v>
          </cell>
          <cell r="J123">
            <v>197.67</v>
          </cell>
          <cell r="K123" t="str">
            <v>MXN</v>
          </cell>
          <cell r="L123" t="str">
            <v>TN</v>
          </cell>
          <cell r="M123" t="str">
            <v>01.08.2026</v>
          </cell>
          <cell r="N123" t="str">
            <v>31.12.9999</v>
          </cell>
          <cell r="O123" t="str">
            <v>28.07.2026</v>
          </cell>
          <cell r="P123" t="str">
            <v>ZMIF</v>
          </cell>
          <cell r="Q123">
            <v>-15.67</v>
          </cell>
          <cell r="R123" t="str">
            <v>MXN</v>
          </cell>
          <cell r="S123" t="str">
            <v>TN</v>
          </cell>
          <cell r="T123" t="str">
            <v>01.08.2026</v>
          </cell>
          <cell r="U123" t="str">
            <v>31.12.9999</v>
          </cell>
          <cell r="V123" t="str">
            <v>ZICF</v>
          </cell>
          <cell r="W123" t="str">
            <v>01</v>
          </cell>
          <cell r="X123">
            <v>41.41</v>
          </cell>
          <cell r="Y123" t="str">
            <v>MXN</v>
          </cell>
          <cell r="Z123" t="str">
            <v>TN</v>
          </cell>
          <cell r="AA123" t="str">
            <v>12.04.2024</v>
          </cell>
          <cell r="AB123" t="str">
            <v>31.12.9999</v>
          </cell>
          <cell r="AC123">
            <v>182</v>
          </cell>
        </row>
        <row r="124">
          <cell r="H124" t="str">
            <v>10000234</v>
          </cell>
          <cell r="I124" t="str">
            <v>Arena Triturada Basalto  Malla</v>
          </cell>
          <cell r="J124">
            <v>196.09</v>
          </cell>
          <cell r="K124" t="str">
            <v>MXN</v>
          </cell>
          <cell r="L124" t="str">
            <v>TN</v>
          </cell>
          <cell r="M124" t="str">
            <v>01.08.2026</v>
          </cell>
          <cell r="N124" t="str">
            <v>31.12.9999</v>
          </cell>
          <cell r="O124" t="str">
            <v>28.07.2026</v>
          </cell>
          <cell r="P124" t="str">
            <v>ZMIF</v>
          </cell>
          <cell r="Q124">
            <v>-30.73</v>
          </cell>
          <cell r="R124" t="str">
            <v>MXN</v>
          </cell>
          <cell r="S124" t="str">
            <v>TN</v>
          </cell>
          <cell r="T124" t="str">
            <v>01.08.2026</v>
          </cell>
          <cell r="U124" t="str">
            <v>31.12.9999</v>
          </cell>
          <cell r="V124" t="str">
            <v>ZICF</v>
          </cell>
          <cell r="W124" t="str">
            <v>01</v>
          </cell>
          <cell r="X124">
            <v>17.64</v>
          </cell>
          <cell r="Y124" t="str">
            <v>MXN</v>
          </cell>
          <cell r="Z124" t="str">
            <v>TN</v>
          </cell>
          <cell r="AA124" t="str">
            <v>20.10.2022</v>
          </cell>
          <cell r="AB124" t="str">
            <v>31.12.9999</v>
          </cell>
          <cell r="AC124">
            <v>165.36</v>
          </cell>
        </row>
        <row r="125">
          <cell r="H125" t="str">
            <v>10000284</v>
          </cell>
          <cell r="I125" t="str">
            <v>Grava Triturada Basalto  20 mm</v>
          </cell>
          <cell r="J125">
            <v>197.67</v>
          </cell>
          <cell r="K125" t="str">
            <v>MXN</v>
          </cell>
          <cell r="L125" t="str">
            <v>TN</v>
          </cell>
          <cell r="M125" t="str">
            <v>01.08.2026</v>
          </cell>
          <cell r="N125" t="str">
            <v>31.12.9999</v>
          </cell>
          <cell r="O125" t="str">
            <v>28.07.2026</v>
          </cell>
          <cell r="P125" t="str">
            <v>ZMIF</v>
          </cell>
          <cell r="Q125">
            <v>-15.67</v>
          </cell>
          <cell r="R125" t="str">
            <v>MXN</v>
          </cell>
          <cell r="S125" t="str">
            <v>TN</v>
          </cell>
          <cell r="T125" t="str">
            <v>01.08.2026</v>
          </cell>
          <cell r="U125" t="str">
            <v>31.12.9999</v>
          </cell>
          <cell r="V125" t="str">
            <v>ZICF</v>
          </cell>
          <cell r="W125" t="str">
            <v>01</v>
          </cell>
          <cell r="X125">
            <v>20.73</v>
          </cell>
          <cell r="Y125" t="str">
            <v>MXN</v>
          </cell>
          <cell r="Z125" t="str">
            <v>TN</v>
          </cell>
          <cell r="AA125" t="str">
            <v>12.04.2024</v>
          </cell>
          <cell r="AB125" t="str">
            <v>31.12.9999</v>
          </cell>
          <cell r="AC125">
            <v>182</v>
          </cell>
        </row>
        <row r="126">
          <cell r="H126" t="str">
            <v>10000285</v>
          </cell>
          <cell r="I126" t="str">
            <v>Grava Triturada Basalto  10 mm</v>
          </cell>
          <cell r="J126">
            <v>197.67</v>
          </cell>
          <cell r="K126" t="str">
            <v>MXN</v>
          </cell>
          <cell r="L126" t="str">
            <v>TN</v>
          </cell>
          <cell r="M126" t="str">
            <v>01.08.2026</v>
          </cell>
          <cell r="N126" t="str">
            <v>31.12.9999</v>
          </cell>
          <cell r="O126" t="str">
            <v>28.07.2026</v>
          </cell>
          <cell r="P126" t="str">
            <v>ZMIF</v>
          </cell>
          <cell r="Q126">
            <v>-15.67</v>
          </cell>
          <cell r="R126" t="str">
            <v>MXN</v>
          </cell>
          <cell r="S126" t="str">
            <v>TN</v>
          </cell>
          <cell r="T126" t="str">
            <v>01.08.2026</v>
          </cell>
          <cell r="U126" t="str">
            <v>31.12.9999</v>
          </cell>
          <cell r="V126" t="str">
            <v>ZICF</v>
          </cell>
          <cell r="W126" t="str">
            <v>01</v>
          </cell>
          <cell r="X126">
            <v>21.15</v>
          </cell>
          <cell r="Y126" t="str">
            <v>MXN</v>
          </cell>
          <cell r="Z126" t="str">
            <v>TN</v>
          </cell>
          <cell r="AA126" t="str">
            <v>12.04.2024</v>
          </cell>
          <cell r="AB126" t="str">
            <v>31.12.9999</v>
          </cell>
          <cell r="AC126">
            <v>182</v>
          </cell>
        </row>
        <row r="127">
          <cell r="H127" t="str">
            <v>10000287</v>
          </cell>
          <cell r="I127" t="str">
            <v>Grava Triturada Basalto  40 mm</v>
          </cell>
          <cell r="J127">
            <v>197.67</v>
          </cell>
          <cell r="K127" t="str">
            <v>MXN</v>
          </cell>
          <cell r="L127" t="str">
            <v>TN</v>
          </cell>
          <cell r="M127" t="str">
            <v>01.08.2026</v>
          </cell>
          <cell r="N127" t="str">
            <v>31.12.9999</v>
          </cell>
          <cell r="O127" t="str">
            <v>28.07.2026</v>
          </cell>
          <cell r="P127" t="str">
            <v>ZMIF</v>
          </cell>
          <cell r="Q127">
            <v>-15.67</v>
          </cell>
          <cell r="R127" t="str">
            <v>MXN</v>
          </cell>
          <cell r="S127" t="str">
            <v>TN</v>
          </cell>
          <cell r="T127" t="str">
            <v>01.08.2026</v>
          </cell>
          <cell r="U127" t="str">
            <v>31.12.9999</v>
          </cell>
          <cell r="V127" t="str">
            <v>ZICF</v>
          </cell>
          <cell r="W127" t="str">
            <v>01</v>
          </cell>
          <cell r="X127">
            <v>21.21</v>
          </cell>
          <cell r="Y127" t="str">
            <v>MXN</v>
          </cell>
          <cell r="Z127" t="str">
            <v>TN</v>
          </cell>
          <cell r="AA127" t="str">
            <v>12.04.2024</v>
          </cell>
          <cell r="AB127" t="str">
            <v>31.12.9999</v>
          </cell>
          <cell r="AC127">
            <v>182</v>
          </cell>
        </row>
        <row r="128">
          <cell r="H128" t="str">
            <v>10000234</v>
          </cell>
          <cell r="I128" t="str">
            <v>Arena Triturada Basalto  Malla</v>
          </cell>
          <cell r="J128">
            <v>196.09</v>
          </cell>
          <cell r="K128" t="str">
            <v>MXN</v>
          </cell>
          <cell r="L128" t="str">
            <v>TN</v>
          </cell>
          <cell r="M128" t="str">
            <v>01.08.2026</v>
          </cell>
          <cell r="N128" t="str">
            <v>31.12.9999</v>
          </cell>
          <cell r="O128" t="str">
            <v>28.07.2026</v>
          </cell>
          <cell r="P128" t="str">
            <v>ZMIF</v>
          </cell>
          <cell r="Q128">
            <v>-30.73</v>
          </cell>
          <cell r="R128" t="str">
            <v>MXN</v>
          </cell>
          <cell r="S128" t="str">
            <v>TN</v>
          </cell>
          <cell r="T128" t="str">
            <v>01.08.2026</v>
          </cell>
          <cell r="U128" t="str">
            <v>31.12.9999</v>
          </cell>
          <cell r="V128" t="str">
            <v>ZICF</v>
          </cell>
          <cell r="W128" t="str">
            <v>01</v>
          </cell>
          <cell r="X128">
            <v>94</v>
          </cell>
          <cell r="Y128" t="str">
            <v>MXN</v>
          </cell>
          <cell r="Z128" t="str">
            <v>TN</v>
          </cell>
          <cell r="AA128" t="str">
            <v>19.06.2025</v>
          </cell>
          <cell r="AB128" t="str">
            <v>31.12.9999</v>
          </cell>
          <cell r="AC128">
            <v>165.36</v>
          </cell>
        </row>
        <row r="129">
          <cell r="H129" t="str">
            <v>10000284</v>
          </cell>
          <cell r="I129" t="str">
            <v>Grava Triturada Basalto  20 mm</v>
          </cell>
          <cell r="J129">
            <v>197.67</v>
          </cell>
          <cell r="K129" t="str">
            <v>MXN</v>
          </cell>
          <cell r="L129" t="str">
            <v>TN</v>
          </cell>
          <cell r="M129" t="str">
            <v>01.08.2026</v>
          </cell>
          <cell r="N129" t="str">
            <v>31.12.9999</v>
          </cell>
          <cell r="O129" t="str">
            <v>28.07.2026</v>
          </cell>
          <cell r="P129" t="str">
            <v>ZMIF</v>
          </cell>
          <cell r="Q129">
            <v>-15.67</v>
          </cell>
          <cell r="R129" t="str">
            <v>MXN</v>
          </cell>
          <cell r="S129" t="str">
            <v>TN</v>
          </cell>
          <cell r="T129" t="str">
            <v>01.08.2026</v>
          </cell>
          <cell r="U129" t="str">
            <v>31.12.9999</v>
          </cell>
          <cell r="V129" t="str">
            <v>ZICF</v>
          </cell>
          <cell r="W129" t="str">
            <v>01</v>
          </cell>
          <cell r="X129">
            <v>93.07</v>
          </cell>
          <cell r="Y129" t="str">
            <v>MXN</v>
          </cell>
          <cell r="Z129" t="str">
            <v>TN</v>
          </cell>
          <cell r="AA129" t="str">
            <v>19.06.2025</v>
          </cell>
          <cell r="AB129" t="str">
            <v>31.12.9999</v>
          </cell>
          <cell r="AC129">
            <v>182</v>
          </cell>
        </row>
        <row r="130">
          <cell r="H130" t="str">
            <v>10000285</v>
          </cell>
          <cell r="I130" t="str">
            <v>Grava Triturada Basalto  10 mm</v>
          </cell>
          <cell r="J130">
            <v>197.67</v>
          </cell>
          <cell r="K130" t="str">
            <v>MXN</v>
          </cell>
          <cell r="L130" t="str">
            <v>TN</v>
          </cell>
          <cell r="M130" t="str">
            <v>01.08.2026</v>
          </cell>
          <cell r="N130" t="str">
            <v>31.12.9999</v>
          </cell>
          <cell r="O130" t="str">
            <v>28.07.2026</v>
          </cell>
          <cell r="P130" t="str">
            <v>ZMIF</v>
          </cell>
          <cell r="Q130">
            <v>-15.67</v>
          </cell>
          <cell r="R130" t="str">
            <v>MXN</v>
          </cell>
          <cell r="S130" t="str">
            <v>TN</v>
          </cell>
          <cell r="T130" t="str">
            <v>01.08.2026</v>
          </cell>
          <cell r="U130" t="str">
            <v>31.12.9999</v>
          </cell>
          <cell r="V130" t="str">
            <v>ZICF</v>
          </cell>
          <cell r="W130" t="str">
            <v>01</v>
          </cell>
          <cell r="X130">
            <v>96.04</v>
          </cell>
          <cell r="Y130" t="str">
            <v>MXN</v>
          </cell>
          <cell r="Z130" t="str">
            <v>TN</v>
          </cell>
          <cell r="AA130" t="str">
            <v>19.06.2025</v>
          </cell>
          <cell r="AB130" t="str">
            <v>31.12.9999</v>
          </cell>
          <cell r="AC130">
            <v>182</v>
          </cell>
        </row>
        <row r="131">
          <cell r="H131" t="str">
            <v>10000287</v>
          </cell>
          <cell r="I131" t="str">
            <v>Grava Triturada Basalto  40 mm</v>
          </cell>
          <cell r="J131">
            <v>197.67</v>
          </cell>
          <cell r="K131" t="str">
            <v>MXN</v>
          </cell>
          <cell r="L131" t="str">
            <v>TN</v>
          </cell>
          <cell r="M131" t="str">
            <v>01.08.2026</v>
          </cell>
          <cell r="N131" t="str">
            <v>31.12.9999</v>
          </cell>
          <cell r="O131" t="str">
            <v>28.07.2026</v>
          </cell>
          <cell r="P131" t="str">
            <v>ZMIF</v>
          </cell>
          <cell r="Q131">
            <v>-15.67</v>
          </cell>
          <cell r="R131" t="str">
            <v>MXN</v>
          </cell>
          <cell r="S131" t="str">
            <v>TN</v>
          </cell>
          <cell r="T131" t="str">
            <v>01.08.2026</v>
          </cell>
          <cell r="U131" t="str">
            <v>31.12.9999</v>
          </cell>
          <cell r="V131" t="str">
            <v>ZICF</v>
          </cell>
          <cell r="W131" t="str">
            <v>01</v>
          </cell>
          <cell r="X131">
            <v>81.64</v>
          </cell>
          <cell r="Y131" t="str">
            <v>MXN</v>
          </cell>
          <cell r="Z131" t="str">
            <v>TN</v>
          </cell>
          <cell r="AA131" t="str">
            <v>19.06.2025</v>
          </cell>
          <cell r="AB131" t="str">
            <v>31.12.9999</v>
          </cell>
          <cell r="AC131">
            <v>182</v>
          </cell>
        </row>
        <row r="132">
          <cell r="H132" t="str">
            <v>10038659</v>
          </cell>
          <cell r="I132" t="str">
            <v>Grava Triturada Caliza 40 mm -</v>
          </cell>
          <cell r="J132">
            <v>120.23</v>
          </cell>
          <cell r="K132" t="str">
            <v>MXN</v>
          </cell>
          <cell r="L132" t="str">
            <v>TN</v>
          </cell>
          <cell r="M132" t="str">
            <v>01.08.2026</v>
          </cell>
          <cell r="N132" t="str">
            <v>31.12.9999</v>
          </cell>
          <cell r="O132" t="str">
            <v>28.07.2026</v>
          </cell>
          <cell r="P132" t="str">
            <v>ZMIF</v>
          </cell>
          <cell r="Q132">
            <v>19.55</v>
          </cell>
          <cell r="R132" t="str">
            <v>MXN</v>
          </cell>
          <cell r="S132" t="str">
            <v>TN</v>
          </cell>
          <cell r="T132" t="str">
            <v>01.08.2026</v>
          </cell>
          <cell r="U132" t="str">
            <v>31.12.9999</v>
          </cell>
          <cell r="V132" t="str">
            <v>ZICF</v>
          </cell>
          <cell r="W132" t="str">
            <v>01</v>
          </cell>
          <cell r="X132">
            <v>60</v>
          </cell>
          <cell r="Y132" t="str">
            <v>MXN</v>
          </cell>
          <cell r="Z132" t="str">
            <v>TN</v>
          </cell>
          <cell r="AA132" t="str">
            <v>18.12.2024</v>
          </cell>
          <cell r="AB132" t="str">
            <v>31.12.9999</v>
          </cell>
          <cell r="AC132">
            <v>139.78</v>
          </cell>
        </row>
        <row r="133">
          <cell r="H133" t="str">
            <v>10038942</v>
          </cell>
          <cell r="I133" t="str">
            <v>Arena Triturada Caliza Malla 8</v>
          </cell>
          <cell r="J133">
            <v>122.03</v>
          </cell>
          <cell r="K133" t="str">
            <v>MXN</v>
          </cell>
          <cell r="L133" t="str">
            <v>TN</v>
          </cell>
          <cell r="M133" t="str">
            <v>01.08.2026</v>
          </cell>
          <cell r="N133" t="str">
            <v>31.12.9999</v>
          </cell>
          <cell r="O133" t="str">
            <v>28.07.2026</v>
          </cell>
          <cell r="P133" t="str">
            <v>ZMIF</v>
          </cell>
          <cell r="Q133">
            <v>9.5299999999999994</v>
          </cell>
          <cell r="R133" t="str">
            <v>MXN</v>
          </cell>
          <cell r="S133" t="str">
            <v>TN</v>
          </cell>
          <cell r="T133" t="str">
            <v>01.08.2026</v>
          </cell>
          <cell r="U133" t="str">
            <v>31.12.9999</v>
          </cell>
          <cell r="V133" t="str">
            <v>ZICF</v>
          </cell>
          <cell r="W133" t="str">
            <v>01</v>
          </cell>
          <cell r="X133">
            <v>63</v>
          </cell>
          <cell r="Y133" t="str">
            <v>MXN</v>
          </cell>
          <cell r="Z133" t="str">
            <v>TN</v>
          </cell>
          <cell r="AA133" t="str">
            <v>18.12.2024</v>
          </cell>
          <cell r="AB133" t="str">
            <v>31.12.9999</v>
          </cell>
          <cell r="AC133">
            <v>131.56</v>
          </cell>
        </row>
        <row r="134">
          <cell r="H134" t="str">
            <v>10038945</v>
          </cell>
          <cell r="I134" t="str">
            <v>Grava Triturada Caliza 20 mm -</v>
          </cell>
          <cell r="J134">
            <v>120.23</v>
          </cell>
          <cell r="K134" t="str">
            <v>MXN</v>
          </cell>
          <cell r="L134" t="str">
            <v>TN</v>
          </cell>
          <cell r="M134" t="str">
            <v>01.08.2026</v>
          </cell>
          <cell r="N134" t="str">
            <v>31.12.9999</v>
          </cell>
          <cell r="O134" t="str">
            <v>28.07.2026</v>
          </cell>
          <cell r="P134" t="str">
            <v>ZMIF</v>
          </cell>
          <cell r="Q134">
            <v>-1.67</v>
          </cell>
          <cell r="R134" t="str">
            <v>MXN</v>
          </cell>
          <cell r="S134" t="str">
            <v>TN</v>
          </cell>
          <cell r="T134" t="str">
            <v>01.08.2026</v>
          </cell>
          <cell r="U134" t="str">
            <v>31.12.9999</v>
          </cell>
          <cell r="V134" t="str">
            <v>ZICF</v>
          </cell>
          <cell r="W134" t="str">
            <v>01</v>
          </cell>
          <cell r="X134">
            <v>68</v>
          </cell>
          <cell r="Y134" t="str">
            <v>MXN</v>
          </cell>
          <cell r="Z134" t="str">
            <v>TN</v>
          </cell>
          <cell r="AA134" t="str">
            <v>18.12.2024</v>
          </cell>
          <cell r="AB134" t="str">
            <v>31.12.9999</v>
          </cell>
          <cell r="AC134">
            <v>118.56</v>
          </cell>
        </row>
        <row r="135">
          <cell r="H135" t="str">
            <v>10038947</v>
          </cell>
          <cell r="I135" t="str">
            <v>Grava Triturada Caliza 10 mm -</v>
          </cell>
          <cell r="J135">
            <v>120.23</v>
          </cell>
          <cell r="K135" t="str">
            <v>MXN</v>
          </cell>
          <cell r="L135" t="str">
            <v>TN</v>
          </cell>
          <cell r="M135" t="str">
            <v>01.08.2026</v>
          </cell>
          <cell r="N135" t="str">
            <v>31.12.9999</v>
          </cell>
          <cell r="O135" t="str">
            <v>28.07.2026</v>
          </cell>
          <cell r="P135" t="str">
            <v>ZMIF</v>
          </cell>
          <cell r="Q135">
            <v>-4.79</v>
          </cell>
          <cell r="R135" t="str">
            <v>MXN</v>
          </cell>
          <cell r="S135" t="str">
            <v>TN</v>
          </cell>
          <cell r="T135" t="str">
            <v>01.08.2026</v>
          </cell>
          <cell r="U135" t="str">
            <v>31.12.9999</v>
          </cell>
          <cell r="V135" t="str">
            <v>ZICF</v>
          </cell>
          <cell r="W135" t="str">
            <v>01</v>
          </cell>
          <cell r="X135">
            <v>60.36</v>
          </cell>
          <cell r="Y135" t="str">
            <v>MXN</v>
          </cell>
          <cell r="Z135" t="str">
            <v>TN</v>
          </cell>
          <cell r="AA135" t="str">
            <v>22.01.2024</v>
          </cell>
          <cell r="AB135" t="str">
            <v>31.12.9999</v>
          </cell>
          <cell r="AC135">
            <v>115.44</v>
          </cell>
        </row>
        <row r="136">
          <cell r="H136" t="str">
            <v>10038659</v>
          </cell>
          <cell r="I136" t="str">
            <v>Grava Triturada Caliza 40 mm -</v>
          </cell>
          <cell r="J136">
            <v>120.23</v>
          </cell>
          <cell r="K136" t="str">
            <v>MXN</v>
          </cell>
          <cell r="L136" t="str">
            <v>TN</v>
          </cell>
          <cell r="M136" t="str">
            <v>01.08.2026</v>
          </cell>
          <cell r="N136" t="str">
            <v>31.12.9999</v>
          </cell>
          <cell r="O136" t="str">
            <v>28.07.2026</v>
          </cell>
          <cell r="P136" t="str">
            <v>ZMIF</v>
          </cell>
          <cell r="Q136">
            <v>19.55</v>
          </cell>
          <cell r="R136" t="str">
            <v>MXN</v>
          </cell>
          <cell r="S136" t="str">
            <v>TN</v>
          </cell>
          <cell r="T136" t="str">
            <v>01.08.2026</v>
          </cell>
          <cell r="U136" t="str">
            <v>31.12.9999</v>
          </cell>
          <cell r="V136" t="str">
            <v>ZICF</v>
          </cell>
          <cell r="W136" t="str">
            <v>01</v>
          </cell>
          <cell r="X136">
            <v>52.5</v>
          </cell>
          <cell r="Y136" t="str">
            <v>MXN</v>
          </cell>
          <cell r="Z136" t="str">
            <v>TN</v>
          </cell>
          <cell r="AA136" t="str">
            <v>22.01.2024</v>
          </cell>
          <cell r="AB136" t="str">
            <v>31.12.9999</v>
          </cell>
          <cell r="AC136">
            <v>139.78</v>
          </cell>
        </row>
        <row r="137">
          <cell r="H137" t="str">
            <v>10038942</v>
          </cell>
          <cell r="I137" t="str">
            <v>Arena Triturada Caliza Malla 8</v>
          </cell>
          <cell r="J137">
            <v>122.03</v>
          </cell>
          <cell r="K137" t="str">
            <v>MXN</v>
          </cell>
          <cell r="L137" t="str">
            <v>TN</v>
          </cell>
          <cell r="M137" t="str">
            <v>01.08.2026</v>
          </cell>
          <cell r="N137" t="str">
            <v>31.12.9999</v>
          </cell>
          <cell r="O137" t="str">
            <v>28.07.2026</v>
          </cell>
          <cell r="P137" t="str">
            <v>ZMIF</v>
          </cell>
          <cell r="Q137">
            <v>9.5299999999999994</v>
          </cell>
          <cell r="R137" t="str">
            <v>MXN</v>
          </cell>
          <cell r="S137" t="str">
            <v>TN</v>
          </cell>
          <cell r="T137" t="str">
            <v>01.08.2026</v>
          </cell>
          <cell r="U137" t="str">
            <v>31.12.9999</v>
          </cell>
          <cell r="V137" t="str">
            <v>ZICF</v>
          </cell>
          <cell r="W137" t="str">
            <v>01</v>
          </cell>
          <cell r="X137">
            <v>47</v>
          </cell>
          <cell r="Y137" t="str">
            <v>MXN</v>
          </cell>
          <cell r="Z137" t="str">
            <v>TN</v>
          </cell>
          <cell r="AA137" t="str">
            <v>18.12.2024</v>
          </cell>
          <cell r="AB137" t="str">
            <v>31.12.9999</v>
          </cell>
          <cell r="AC137">
            <v>131.56</v>
          </cell>
        </row>
        <row r="138">
          <cell r="H138" t="str">
            <v>10038945</v>
          </cell>
          <cell r="I138" t="str">
            <v>Grava Triturada Caliza 20 mm -</v>
          </cell>
          <cell r="J138">
            <v>120.23</v>
          </cell>
          <cell r="K138" t="str">
            <v>MXN</v>
          </cell>
          <cell r="L138" t="str">
            <v>TN</v>
          </cell>
          <cell r="M138" t="str">
            <v>01.08.2026</v>
          </cell>
          <cell r="N138" t="str">
            <v>31.12.9999</v>
          </cell>
          <cell r="O138" t="str">
            <v>28.07.2026</v>
          </cell>
          <cell r="P138" t="str">
            <v>ZMIF</v>
          </cell>
          <cell r="Q138">
            <v>-1.67</v>
          </cell>
          <cell r="R138" t="str">
            <v>MXN</v>
          </cell>
          <cell r="S138" t="str">
            <v>TN</v>
          </cell>
          <cell r="T138" t="str">
            <v>01.08.2026</v>
          </cell>
          <cell r="U138" t="str">
            <v>31.12.9999</v>
          </cell>
          <cell r="V138" t="str">
            <v>ZICF</v>
          </cell>
          <cell r="W138" t="str">
            <v>01</v>
          </cell>
          <cell r="X138">
            <v>50</v>
          </cell>
          <cell r="Y138" t="str">
            <v>MXN</v>
          </cell>
          <cell r="Z138" t="str">
            <v>TN</v>
          </cell>
          <cell r="AA138" t="str">
            <v>18.12.2024</v>
          </cell>
          <cell r="AB138" t="str">
            <v>31.12.9999</v>
          </cell>
          <cell r="AC138">
            <v>118.56</v>
          </cell>
        </row>
        <row r="139">
          <cell r="H139" t="str">
            <v>10038947</v>
          </cell>
          <cell r="I139" t="str">
            <v>Grava Triturada Caliza 10 mm -</v>
          </cell>
          <cell r="J139">
            <v>120.23</v>
          </cell>
          <cell r="K139" t="str">
            <v>MXN</v>
          </cell>
          <cell r="L139" t="str">
            <v>TN</v>
          </cell>
          <cell r="M139" t="str">
            <v>01.08.2026</v>
          </cell>
          <cell r="N139" t="str">
            <v>31.12.9999</v>
          </cell>
          <cell r="O139" t="str">
            <v>28.07.2026</v>
          </cell>
          <cell r="P139" t="str">
            <v>ZMIF</v>
          </cell>
          <cell r="Q139">
            <v>-4.79</v>
          </cell>
          <cell r="R139" t="str">
            <v>MXN</v>
          </cell>
          <cell r="S139" t="str">
            <v>TN</v>
          </cell>
          <cell r="T139" t="str">
            <v>01.08.2026</v>
          </cell>
          <cell r="U139" t="str">
            <v>31.12.9999</v>
          </cell>
          <cell r="V139" t="str">
            <v>ZICF</v>
          </cell>
          <cell r="W139" t="str">
            <v>01</v>
          </cell>
          <cell r="X139">
            <v>47.8</v>
          </cell>
          <cell r="Y139" t="str">
            <v>MXN</v>
          </cell>
          <cell r="Z139" t="str">
            <v>TN</v>
          </cell>
          <cell r="AA139" t="str">
            <v>20.10.2022</v>
          </cell>
          <cell r="AB139" t="str">
            <v>31.12.9999</v>
          </cell>
          <cell r="AC139">
            <v>115.44</v>
          </cell>
        </row>
        <row r="140">
          <cell r="H140" t="str">
            <v>10038659</v>
          </cell>
          <cell r="I140" t="str">
            <v>Grava Triturada Caliza 40 mm -</v>
          </cell>
          <cell r="J140">
            <v>120.23</v>
          </cell>
          <cell r="K140" t="str">
            <v>MXN</v>
          </cell>
          <cell r="L140" t="str">
            <v>TN</v>
          </cell>
          <cell r="M140" t="str">
            <v>01.08.2026</v>
          </cell>
          <cell r="N140" t="str">
            <v>31.12.9999</v>
          </cell>
          <cell r="O140" t="str">
            <v>28.07.2026</v>
          </cell>
          <cell r="P140" t="str">
            <v>ZMIF</v>
          </cell>
          <cell r="Q140">
            <v>19.55</v>
          </cell>
          <cell r="R140" t="str">
            <v>MXN</v>
          </cell>
          <cell r="S140" t="str">
            <v>TN</v>
          </cell>
          <cell r="T140" t="str">
            <v>01.08.2026</v>
          </cell>
          <cell r="U140" t="str">
            <v>31.12.9999</v>
          </cell>
          <cell r="V140" t="str">
            <v>ZICF</v>
          </cell>
          <cell r="W140" t="str">
            <v>01</v>
          </cell>
          <cell r="X140">
            <v>57.03</v>
          </cell>
          <cell r="Y140" t="str">
            <v>MXN</v>
          </cell>
          <cell r="Z140" t="str">
            <v>TN</v>
          </cell>
          <cell r="AA140" t="str">
            <v>22.01.2024</v>
          </cell>
          <cell r="AB140" t="str">
            <v>31.12.9999</v>
          </cell>
          <cell r="AC140">
            <v>139.78</v>
          </cell>
        </row>
        <row r="141">
          <cell r="H141" t="str">
            <v>10038942</v>
          </cell>
          <cell r="I141" t="str">
            <v>Arena Triturada Caliza Malla 8</v>
          </cell>
          <cell r="J141">
            <v>122.03</v>
          </cell>
          <cell r="K141" t="str">
            <v>MXN</v>
          </cell>
          <cell r="L141" t="str">
            <v>TN</v>
          </cell>
          <cell r="M141" t="str">
            <v>01.08.2026</v>
          </cell>
          <cell r="N141" t="str">
            <v>31.12.9999</v>
          </cell>
          <cell r="O141" t="str">
            <v>28.07.2026</v>
          </cell>
          <cell r="P141" t="str">
            <v>ZMIF</v>
          </cell>
          <cell r="Q141">
            <v>9.5299999999999994</v>
          </cell>
          <cell r="R141" t="str">
            <v>MXN</v>
          </cell>
          <cell r="S141" t="str">
            <v>TN</v>
          </cell>
          <cell r="T141" t="str">
            <v>01.08.2026</v>
          </cell>
          <cell r="U141" t="str">
            <v>31.12.9999</v>
          </cell>
          <cell r="V141" t="str">
            <v>ZICF</v>
          </cell>
          <cell r="W141" t="str">
            <v>01</v>
          </cell>
          <cell r="X141">
            <v>60.3</v>
          </cell>
          <cell r="Y141" t="str">
            <v>MXN</v>
          </cell>
          <cell r="Z141" t="str">
            <v>TN</v>
          </cell>
          <cell r="AA141" t="str">
            <v>22.01.2024</v>
          </cell>
          <cell r="AB141" t="str">
            <v>31.12.9999</v>
          </cell>
          <cell r="AC141">
            <v>131.56</v>
          </cell>
        </row>
        <row r="142">
          <cell r="H142" t="str">
            <v>10038945</v>
          </cell>
          <cell r="I142" t="str">
            <v>Grava Triturada Caliza 20 mm -</v>
          </cell>
          <cell r="J142">
            <v>120.23</v>
          </cell>
          <cell r="K142" t="str">
            <v>MXN</v>
          </cell>
          <cell r="L142" t="str">
            <v>TN</v>
          </cell>
          <cell r="M142" t="str">
            <v>01.08.2026</v>
          </cell>
          <cell r="N142" t="str">
            <v>31.12.9999</v>
          </cell>
          <cell r="O142" t="str">
            <v>28.07.2026</v>
          </cell>
          <cell r="P142" t="str">
            <v>ZMIF</v>
          </cell>
          <cell r="Q142">
            <v>-1.67</v>
          </cell>
          <cell r="R142" t="str">
            <v>MXN</v>
          </cell>
          <cell r="S142" t="str">
            <v>TN</v>
          </cell>
          <cell r="T142" t="str">
            <v>01.08.2026</v>
          </cell>
          <cell r="U142" t="str">
            <v>31.12.9999</v>
          </cell>
          <cell r="V142" t="str">
            <v>ZICF</v>
          </cell>
          <cell r="W142" t="str">
            <v>01</v>
          </cell>
          <cell r="X142">
            <v>62.63</v>
          </cell>
          <cell r="Y142" t="str">
            <v>MXN</v>
          </cell>
          <cell r="Z142" t="str">
            <v>TN</v>
          </cell>
          <cell r="AA142" t="str">
            <v>22.01.2024</v>
          </cell>
          <cell r="AB142" t="str">
            <v>31.12.9999</v>
          </cell>
          <cell r="AC142">
            <v>118.56</v>
          </cell>
        </row>
        <row r="143">
          <cell r="H143" t="str">
            <v>10038947</v>
          </cell>
          <cell r="I143" t="str">
            <v>Grava Triturada Caliza 10 mm -</v>
          </cell>
          <cell r="J143">
            <v>120.23</v>
          </cell>
          <cell r="K143" t="str">
            <v>MXN</v>
          </cell>
          <cell r="L143" t="str">
            <v>TN</v>
          </cell>
          <cell r="M143" t="str">
            <v>01.08.2026</v>
          </cell>
          <cell r="N143" t="str">
            <v>31.12.9999</v>
          </cell>
          <cell r="O143" t="str">
            <v>28.07.2026</v>
          </cell>
          <cell r="P143" t="str">
            <v>ZMIF</v>
          </cell>
          <cell r="Q143">
            <v>-4.79</v>
          </cell>
          <cell r="R143" t="str">
            <v>MXN</v>
          </cell>
          <cell r="S143" t="str">
            <v>TN</v>
          </cell>
          <cell r="T143" t="str">
            <v>01.08.2026</v>
          </cell>
          <cell r="U143" t="str">
            <v>31.12.9999</v>
          </cell>
          <cell r="V143" t="str">
            <v>ZICF</v>
          </cell>
          <cell r="W143" t="str">
            <v>01</v>
          </cell>
          <cell r="X143">
            <v>14.97</v>
          </cell>
          <cell r="Y143" t="str">
            <v>MXN</v>
          </cell>
          <cell r="Z143" t="str">
            <v>TN</v>
          </cell>
          <cell r="AA143" t="str">
            <v>01.07.2021</v>
          </cell>
          <cell r="AB143" t="str">
            <v>31.12.9999</v>
          </cell>
          <cell r="AC143">
            <v>115.44</v>
          </cell>
        </row>
        <row r="144">
          <cell r="H144" t="str">
            <v>10000229</v>
          </cell>
          <cell r="I144" t="str">
            <v>Grava Triturada Basalto  10 mm</v>
          </cell>
          <cell r="J144">
            <v>166.98</v>
          </cell>
          <cell r="K144" t="str">
            <v>MXN</v>
          </cell>
          <cell r="L144" t="str">
            <v>TN</v>
          </cell>
          <cell r="M144" t="str">
            <v>01.08.2026</v>
          </cell>
          <cell r="N144" t="str">
            <v>31.12.9999</v>
          </cell>
          <cell r="O144" t="str">
            <v>28.07.2026</v>
          </cell>
          <cell r="P144" t="str">
            <v>ZMIF</v>
          </cell>
          <cell r="Q144">
            <v>82.38</v>
          </cell>
          <cell r="R144" t="str">
            <v>MXN</v>
          </cell>
          <cell r="S144" t="str">
            <v>TN</v>
          </cell>
          <cell r="T144" t="str">
            <v>01.08.2026</v>
          </cell>
          <cell r="U144" t="str">
            <v>31.12.9999</v>
          </cell>
          <cell r="V144" t="str">
            <v>ZICF</v>
          </cell>
          <cell r="W144" t="str">
            <v>01</v>
          </cell>
          <cell r="X144">
            <v>210</v>
          </cell>
          <cell r="Y144" t="str">
            <v>MXN</v>
          </cell>
          <cell r="Z144" t="str">
            <v>TN</v>
          </cell>
          <cell r="AA144" t="str">
            <v>22.05.2026</v>
          </cell>
          <cell r="AB144" t="str">
            <v>31.12.9999</v>
          </cell>
          <cell r="AC144">
            <v>249.35999999999999</v>
          </cell>
        </row>
        <row r="145">
          <cell r="H145" t="str">
            <v>10000229</v>
          </cell>
          <cell r="I145" t="str">
            <v>Grava Triturada Basalto  10 mm</v>
          </cell>
          <cell r="J145">
            <v>166.98</v>
          </cell>
          <cell r="K145" t="str">
            <v>MXN</v>
          </cell>
          <cell r="L145" t="str">
            <v>TN</v>
          </cell>
          <cell r="M145" t="str">
            <v>01.08.2026</v>
          </cell>
          <cell r="N145" t="str">
            <v>31.12.9999</v>
          </cell>
          <cell r="O145" t="str">
            <v>28.07.2026</v>
          </cell>
          <cell r="P145" t="str">
            <v>ZMIF</v>
          </cell>
          <cell r="Q145">
            <v>82.38</v>
          </cell>
          <cell r="R145" t="str">
            <v>MXN</v>
          </cell>
          <cell r="S145" t="str">
            <v>TN</v>
          </cell>
          <cell r="T145" t="str">
            <v>01.08.2026</v>
          </cell>
          <cell r="U145" t="str">
            <v>31.12.9999</v>
          </cell>
          <cell r="V145" t="str">
            <v>ZICF</v>
          </cell>
          <cell r="W145" t="str">
            <v>01</v>
          </cell>
          <cell r="X145">
            <v>628.75</v>
          </cell>
          <cell r="Y145" t="str">
            <v>MXN</v>
          </cell>
          <cell r="Z145" t="str">
            <v>TN</v>
          </cell>
          <cell r="AA145" t="str">
            <v>01.05.2026</v>
          </cell>
          <cell r="AB145" t="str">
            <v>31.12.2030</v>
          </cell>
          <cell r="AC145">
            <v>249.35999999999999</v>
          </cell>
        </row>
        <row r="146">
          <cell r="H146" t="str">
            <v>10000311</v>
          </cell>
          <cell r="I146" t="str">
            <v>Arena Triturada Basalto  Malla</v>
          </cell>
          <cell r="J146">
            <v>171.63</v>
          </cell>
          <cell r="K146" t="str">
            <v>MXN</v>
          </cell>
          <cell r="L146" t="str">
            <v>TN</v>
          </cell>
          <cell r="M146" t="str">
            <v>01.08.2026</v>
          </cell>
          <cell r="N146" t="str">
            <v>31.12.9999</v>
          </cell>
          <cell r="O146" t="str">
            <v>28.07.2026</v>
          </cell>
          <cell r="P146" t="str">
            <v>ZMIF</v>
          </cell>
          <cell r="Q146">
            <v>19.63</v>
          </cell>
          <cell r="R146" t="str">
            <v>MXN</v>
          </cell>
          <cell r="S146" t="str">
            <v>TN</v>
          </cell>
          <cell r="T146" t="str">
            <v>01.08.2026</v>
          </cell>
          <cell r="U146" t="str">
            <v>31.12.9999</v>
          </cell>
          <cell r="V146" t="str">
            <v>ZICF</v>
          </cell>
          <cell r="W146" t="str">
            <v>01</v>
          </cell>
          <cell r="X146">
            <v>579.63</v>
          </cell>
          <cell r="Y146" t="str">
            <v>MXN</v>
          </cell>
          <cell r="Z146" t="str">
            <v>TN</v>
          </cell>
          <cell r="AA146" t="str">
            <v>01.05.2026</v>
          </cell>
          <cell r="AB146" t="str">
            <v>31.12.2030</v>
          </cell>
          <cell r="AC146">
            <v>191.26</v>
          </cell>
        </row>
        <row r="147">
          <cell r="H147" t="str">
            <v>10000229</v>
          </cell>
          <cell r="I147" t="str">
            <v>Grava Triturada Basalto  10 mm</v>
          </cell>
          <cell r="J147">
            <v>166.98</v>
          </cell>
          <cell r="K147" t="str">
            <v>MXN</v>
          </cell>
          <cell r="L147" t="str">
            <v>TN</v>
          </cell>
          <cell r="M147" t="str">
            <v>01.08.2026</v>
          </cell>
          <cell r="N147" t="str">
            <v>31.12.9999</v>
          </cell>
          <cell r="O147" t="str">
            <v>28.07.2026</v>
          </cell>
          <cell r="P147" t="str">
            <v>ZMIF</v>
          </cell>
          <cell r="Q147">
            <v>82.38</v>
          </cell>
          <cell r="R147" t="str">
            <v>MXN</v>
          </cell>
          <cell r="S147" t="str">
            <v>TN</v>
          </cell>
          <cell r="T147" t="str">
            <v>01.08.2026</v>
          </cell>
          <cell r="U147" t="str">
            <v>31.12.9999</v>
          </cell>
          <cell r="V147" t="str">
            <v>ZICF</v>
          </cell>
          <cell r="W147" t="str">
            <v>01</v>
          </cell>
          <cell r="X147">
            <v>56.54</v>
          </cell>
          <cell r="Y147" t="str">
            <v>MXN</v>
          </cell>
          <cell r="Z147" t="str">
            <v>TN</v>
          </cell>
          <cell r="AA147" t="str">
            <v>01.05.2026</v>
          </cell>
          <cell r="AB147" t="str">
            <v>31.12.2030</v>
          </cell>
          <cell r="AC147">
            <v>249.35999999999999</v>
          </cell>
        </row>
        <row r="148">
          <cell r="H148" t="str">
            <v>10000231</v>
          </cell>
          <cell r="I148" t="str">
            <v>Grava Triturada Basalto 20 mm</v>
          </cell>
          <cell r="J148">
            <v>166.98</v>
          </cell>
          <cell r="K148" t="str">
            <v>MXN</v>
          </cell>
          <cell r="L148" t="str">
            <v>TN</v>
          </cell>
          <cell r="M148" t="str">
            <v>01.08.2026</v>
          </cell>
          <cell r="N148" t="str">
            <v>31.12.9999</v>
          </cell>
          <cell r="O148" t="str">
            <v>28.07.2026</v>
          </cell>
          <cell r="P148" t="str">
            <v>ZMIF</v>
          </cell>
          <cell r="Q148">
            <v>57.64</v>
          </cell>
          <cell r="R148" t="str">
            <v>MXN</v>
          </cell>
          <cell r="S148" t="str">
            <v>TN</v>
          </cell>
          <cell r="T148" t="str">
            <v>01.08.2026</v>
          </cell>
          <cell r="U148" t="str">
            <v>31.12.9999</v>
          </cell>
          <cell r="V148" t="str">
            <v>ZICF</v>
          </cell>
          <cell r="W148" t="str">
            <v>01</v>
          </cell>
          <cell r="X148">
            <v>57</v>
          </cell>
          <cell r="Y148" t="str">
            <v>MXN</v>
          </cell>
          <cell r="Z148" t="str">
            <v>TN</v>
          </cell>
          <cell r="AA148" t="str">
            <v>30.06.2026</v>
          </cell>
          <cell r="AB148" t="str">
            <v>31.12.2030</v>
          </cell>
          <cell r="AC148">
            <v>224.62</v>
          </cell>
        </row>
        <row r="149">
          <cell r="H149" t="str">
            <v>10000233</v>
          </cell>
          <cell r="I149" t="str">
            <v>Grava Triturada Basalto  40 mm</v>
          </cell>
          <cell r="J149">
            <v>166.98</v>
          </cell>
          <cell r="K149" t="str">
            <v>MXN</v>
          </cell>
          <cell r="L149" t="str">
            <v>TN</v>
          </cell>
          <cell r="M149" t="str">
            <v>01.08.2026</v>
          </cell>
          <cell r="N149" t="str">
            <v>31.12.9999</v>
          </cell>
          <cell r="O149" t="str">
            <v>28.07.2026</v>
          </cell>
          <cell r="P149" t="str">
            <v>ZMIF</v>
          </cell>
          <cell r="Q149">
            <v>57.64</v>
          </cell>
          <cell r="R149" t="str">
            <v>MXN</v>
          </cell>
          <cell r="S149" t="str">
            <v>TN</v>
          </cell>
          <cell r="T149" t="str">
            <v>01.08.2026</v>
          </cell>
          <cell r="U149" t="str">
            <v>31.12.9999</v>
          </cell>
          <cell r="V149" t="str">
            <v>ZICF</v>
          </cell>
          <cell r="W149" t="str">
            <v>01</v>
          </cell>
          <cell r="X149">
            <v>61.14</v>
          </cell>
          <cell r="Y149" t="str">
            <v>MXN</v>
          </cell>
          <cell r="Z149" t="str">
            <v>TN</v>
          </cell>
          <cell r="AA149" t="str">
            <v>30.06.2026</v>
          </cell>
          <cell r="AB149" t="str">
            <v>31.12.2030</v>
          </cell>
          <cell r="AC149">
            <v>224.62</v>
          </cell>
        </row>
        <row r="150">
          <cell r="H150" t="str">
            <v>10000311</v>
          </cell>
          <cell r="I150" t="str">
            <v>Arena Triturada Basalto  Malla</v>
          </cell>
          <cell r="J150">
            <v>171.63</v>
          </cell>
          <cell r="K150" t="str">
            <v>MXN</v>
          </cell>
          <cell r="L150" t="str">
            <v>TN</v>
          </cell>
          <cell r="M150" t="str">
            <v>01.08.2026</v>
          </cell>
          <cell r="N150" t="str">
            <v>31.12.9999</v>
          </cell>
          <cell r="O150" t="str">
            <v>28.07.2026</v>
          </cell>
          <cell r="P150" t="str">
            <v>ZMIF</v>
          </cell>
          <cell r="Q150">
            <v>19.63</v>
          </cell>
          <cell r="R150" t="str">
            <v>MXN</v>
          </cell>
          <cell r="S150" t="str">
            <v>TN</v>
          </cell>
          <cell r="T150" t="str">
            <v>01.08.2026</v>
          </cell>
          <cell r="U150" t="str">
            <v>31.12.9999</v>
          </cell>
          <cell r="V150" t="str">
            <v>ZICF</v>
          </cell>
          <cell r="W150" t="str">
            <v>01</v>
          </cell>
          <cell r="X150">
            <v>52.12</v>
          </cell>
          <cell r="Y150" t="str">
            <v>MXN</v>
          </cell>
          <cell r="Z150" t="str">
            <v>TN</v>
          </cell>
          <cell r="AA150" t="str">
            <v>01.05.2026</v>
          </cell>
          <cell r="AB150" t="str">
            <v>31.12.2030</v>
          </cell>
          <cell r="AC150">
            <v>191.26</v>
          </cell>
        </row>
        <row r="151">
          <cell r="H151" t="str">
            <v>10000229</v>
          </cell>
          <cell r="I151" t="str">
            <v>Grava Triturada Basalto  10 mm</v>
          </cell>
          <cell r="J151">
            <v>166.98</v>
          </cell>
          <cell r="K151" t="str">
            <v>MXN</v>
          </cell>
          <cell r="L151" t="str">
            <v>TN</v>
          </cell>
          <cell r="M151" t="str">
            <v>01.08.2026</v>
          </cell>
          <cell r="N151" t="str">
            <v>31.12.9999</v>
          </cell>
          <cell r="O151" t="str">
            <v>28.07.2026</v>
          </cell>
          <cell r="P151" t="str">
            <v>ZMIF</v>
          </cell>
          <cell r="Q151">
            <v>82.38</v>
          </cell>
          <cell r="R151" t="str">
            <v>MXN</v>
          </cell>
          <cell r="S151" t="str">
            <v>TN</v>
          </cell>
          <cell r="T151" t="str">
            <v>01.08.2026</v>
          </cell>
          <cell r="U151" t="str">
            <v>31.12.9999</v>
          </cell>
          <cell r="V151" t="str">
            <v>ZICF</v>
          </cell>
          <cell r="W151" t="str">
            <v>01</v>
          </cell>
          <cell r="X151">
            <v>107.77</v>
          </cell>
          <cell r="Y151" t="str">
            <v>MXN</v>
          </cell>
          <cell r="Z151" t="str">
            <v>TN</v>
          </cell>
          <cell r="AA151" t="str">
            <v>30.06.2026</v>
          </cell>
          <cell r="AB151" t="str">
            <v>31.12.2030</v>
          </cell>
          <cell r="AC151">
            <v>249.35999999999999</v>
          </cell>
        </row>
        <row r="152">
          <cell r="H152" t="str">
            <v>10000231</v>
          </cell>
          <cell r="I152" t="str">
            <v>Grava Triturada Basalto 20 mm</v>
          </cell>
          <cell r="J152">
            <v>166.98</v>
          </cell>
          <cell r="K152" t="str">
            <v>MXN</v>
          </cell>
          <cell r="L152" t="str">
            <v>TN</v>
          </cell>
          <cell r="M152" t="str">
            <v>01.08.2026</v>
          </cell>
          <cell r="N152" t="str">
            <v>31.12.9999</v>
          </cell>
          <cell r="O152" t="str">
            <v>28.07.2026</v>
          </cell>
          <cell r="P152" t="str">
            <v>ZMIF</v>
          </cell>
          <cell r="Q152">
            <v>57.64</v>
          </cell>
          <cell r="R152" t="str">
            <v>MXN</v>
          </cell>
          <cell r="S152" t="str">
            <v>TN</v>
          </cell>
          <cell r="T152" t="str">
            <v>01.08.2026</v>
          </cell>
          <cell r="U152" t="str">
            <v>31.12.9999</v>
          </cell>
          <cell r="V152" t="str">
            <v>ZICF</v>
          </cell>
          <cell r="W152" t="str">
            <v>01</v>
          </cell>
          <cell r="X152">
            <v>104.85</v>
          </cell>
          <cell r="Y152" t="str">
            <v>MXN</v>
          </cell>
          <cell r="Z152" t="str">
            <v>TN</v>
          </cell>
          <cell r="AA152" t="str">
            <v>30.06.2026</v>
          </cell>
          <cell r="AB152" t="str">
            <v>31.12.2030</v>
          </cell>
          <cell r="AC152">
            <v>224.62</v>
          </cell>
        </row>
        <row r="153">
          <cell r="H153" t="str">
            <v>10000233</v>
          </cell>
          <cell r="I153" t="str">
            <v>Grava Triturada Basalto  40 mm</v>
          </cell>
          <cell r="J153">
            <v>166.98</v>
          </cell>
          <cell r="K153" t="str">
            <v>MXN</v>
          </cell>
          <cell r="L153" t="str">
            <v>TN</v>
          </cell>
          <cell r="M153" t="str">
            <v>01.08.2026</v>
          </cell>
          <cell r="N153" t="str">
            <v>31.12.9999</v>
          </cell>
          <cell r="O153" t="str">
            <v>28.07.2026</v>
          </cell>
          <cell r="P153" t="str">
            <v>ZMIF</v>
          </cell>
          <cell r="Q153">
            <v>57.64</v>
          </cell>
          <cell r="R153" t="str">
            <v>MXN</v>
          </cell>
          <cell r="S153" t="str">
            <v>TN</v>
          </cell>
          <cell r="T153" t="str">
            <v>01.08.2026</v>
          </cell>
          <cell r="U153" t="str">
            <v>31.12.9999</v>
          </cell>
          <cell r="V153" t="str">
            <v>ZICF</v>
          </cell>
          <cell r="W153" t="str">
            <v>01</v>
          </cell>
          <cell r="X153">
            <v>112.33</v>
          </cell>
          <cell r="Y153" t="str">
            <v>MXN</v>
          </cell>
          <cell r="Z153" t="str">
            <v>TN</v>
          </cell>
          <cell r="AA153" t="str">
            <v>30.06.2026</v>
          </cell>
          <cell r="AB153" t="str">
            <v>31.12.2030</v>
          </cell>
          <cell r="AC153">
            <v>224.62</v>
          </cell>
        </row>
        <row r="154">
          <cell r="H154" t="str">
            <v>10000229</v>
          </cell>
          <cell r="I154" t="str">
            <v>Grava Triturada Basalto  10 mm</v>
          </cell>
          <cell r="J154">
            <v>166.98</v>
          </cell>
          <cell r="K154" t="str">
            <v>MXN</v>
          </cell>
          <cell r="L154" t="str">
            <v>TN</v>
          </cell>
          <cell r="M154" t="str">
            <v>01.08.2026</v>
          </cell>
          <cell r="N154" t="str">
            <v>31.12.9999</v>
          </cell>
          <cell r="O154" t="str">
            <v>28.07.2026</v>
          </cell>
          <cell r="P154" t="str">
            <v>ZMIF</v>
          </cell>
          <cell r="Q154">
            <v>82.38</v>
          </cell>
          <cell r="R154" t="str">
            <v>MXN</v>
          </cell>
          <cell r="S154" t="str">
            <v>TN</v>
          </cell>
          <cell r="T154" t="str">
            <v>01.08.2026</v>
          </cell>
          <cell r="U154" t="str">
            <v>31.12.9999</v>
          </cell>
          <cell r="V154" t="str">
            <v>ZICF</v>
          </cell>
          <cell r="W154" t="str">
            <v>01</v>
          </cell>
          <cell r="X154">
            <v>121.75</v>
          </cell>
          <cell r="Y154" t="str">
            <v>MXN</v>
          </cell>
          <cell r="Z154" t="str">
            <v>TN</v>
          </cell>
          <cell r="AA154" t="str">
            <v>30.06.2026</v>
          </cell>
          <cell r="AB154" t="str">
            <v>31.12.2030</v>
          </cell>
          <cell r="AC154">
            <v>249.35999999999999</v>
          </cell>
        </row>
        <row r="155">
          <cell r="H155" t="str">
            <v>10000231</v>
          </cell>
          <cell r="I155" t="str">
            <v>Grava Triturada Basalto 20 mm</v>
          </cell>
          <cell r="J155">
            <v>166.98</v>
          </cell>
          <cell r="K155" t="str">
            <v>MXN</v>
          </cell>
          <cell r="L155" t="str">
            <v>TN</v>
          </cell>
          <cell r="M155" t="str">
            <v>01.08.2026</v>
          </cell>
          <cell r="N155" t="str">
            <v>31.12.9999</v>
          </cell>
          <cell r="O155" t="str">
            <v>28.07.2026</v>
          </cell>
          <cell r="P155" t="str">
            <v>ZMIF</v>
          </cell>
          <cell r="Q155">
            <v>57.64</v>
          </cell>
          <cell r="R155" t="str">
            <v>MXN</v>
          </cell>
          <cell r="S155" t="str">
            <v>TN</v>
          </cell>
          <cell r="T155" t="str">
            <v>01.08.2026</v>
          </cell>
          <cell r="U155" t="str">
            <v>31.12.9999</v>
          </cell>
          <cell r="V155" t="str">
            <v>ZICF</v>
          </cell>
          <cell r="W155" t="str">
            <v>01</v>
          </cell>
          <cell r="X155">
            <v>118.5</v>
          </cell>
          <cell r="Y155" t="str">
            <v>MXN</v>
          </cell>
          <cell r="Z155" t="str">
            <v>TN</v>
          </cell>
          <cell r="AA155" t="str">
            <v>30.06.2026</v>
          </cell>
          <cell r="AB155" t="str">
            <v>31.12.2030</v>
          </cell>
          <cell r="AC155">
            <v>224.62</v>
          </cell>
        </row>
        <row r="156">
          <cell r="H156" t="str">
            <v>10000233</v>
          </cell>
          <cell r="I156" t="str">
            <v>Grava Triturada Basalto  40 mm</v>
          </cell>
          <cell r="J156">
            <v>166.98</v>
          </cell>
          <cell r="K156" t="str">
            <v>MXN</v>
          </cell>
          <cell r="L156" t="str">
            <v>TN</v>
          </cell>
          <cell r="M156" t="str">
            <v>01.08.2026</v>
          </cell>
          <cell r="N156" t="str">
            <v>31.12.9999</v>
          </cell>
          <cell r="O156" t="str">
            <v>28.07.2026</v>
          </cell>
          <cell r="P156" t="str">
            <v>ZMIF</v>
          </cell>
          <cell r="Q156">
            <v>57.64</v>
          </cell>
          <cell r="R156" t="str">
            <v>MXN</v>
          </cell>
          <cell r="S156" t="str">
            <v>TN</v>
          </cell>
          <cell r="T156" t="str">
            <v>01.08.2026</v>
          </cell>
          <cell r="U156" t="str">
            <v>31.12.9999</v>
          </cell>
          <cell r="V156" t="str">
            <v>ZICF</v>
          </cell>
          <cell r="W156" t="str">
            <v>01</v>
          </cell>
          <cell r="X156">
            <v>127.2</v>
          </cell>
          <cell r="Y156" t="str">
            <v>MXN</v>
          </cell>
          <cell r="Z156" t="str">
            <v>TN</v>
          </cell>
          <cell r="AA156" t="str">
            <v>30.06.2026</v>
          </cell>
          <cell r="AB156" t="str">
            <v>31.12.2030</v>
          </cell>
          <cell r="AC156">
            <v>224.62</v>
          </cell>
        </row>
        <row r="157">
          <cell r="H157" t="str">
            <v>10000229</v>
          </cell>
          <cell r="I157" t="str">
            <v>Grava Triturada Basalto  10 mm</v>
          </cell>
          <cell r="J157">
            <v>166.98</v>
          </cell>
          <cell r="K157" t="str">
            <v>MXN</v>
          </cell>
          <cell r="L157" t="str">
            <v>TN</v>
          </cell>
          <cell r="M157" t="str">
            <v>01.08.2026</v>
          </cell>
          <cell r="N157" t="str">
            <v>31.12.9999</v>
          </cell>
          <cell r="O157" t="str">
            <v>28.07.2026</v>
          </cell>
          <cell r="P157" t="str">
            <v>ZMIF</v>
          </cell>
          <cell r="Q157">
            <v>82.38</v>
          </cell>
          <cell r="R157" t="str">
            <v>MXN</v>
          </cell>
          <cell r="S157" t="str">
            <v>TN</v>
          </cell>
          <cell r="T157" t="str">
            <v>01.08.2026</v>
          </cell>
          <cell r="U157" t="str">
            <v>31.12.9999</v>
          </cell>
          <cell r="V157" t="str">
            <v>ZICF</v>
          </cell>
          <cell r="W157" t="str">
            <v>01</v>
          </cell>
          <cell r="X157">
            <v>137.94</v>
          </cell>
          <cell r="Y157" t="str">
            <v>MXN</v>
          </cell>
          <cell r="Z157" t="str">
            <v>TN</v>
          </cell>
          <cell r="AA157" t="str">
            <v>01.05.2026</v>
          </cell>
          <cell r="AB157" t="str">
            <v>31.12.2030</v>
          </cell>
          <cell r="AC157">
            <v>249.35999999999999</v>
          </cell>
        </row>
        <row r="158">
          <cell r="H158" t="str">
            <v>10000231</v>
          </cell>
          <cell r="I158" t="str">
            <v>Grava Triturada Basalto 20 mm</v>
          </cell>
          <cell r="J158">
            <v>166.98</v>
          </cell>
          <cell r="K158" t="str">
            <v>MXN</v>
          </cell>
          <cell r="L158" t="str">
            <v>TN</v>
          </cell>
          <cell r="M158" t="str">
            <v>01.08.2026</v>
          </cell>
          <cell r="N158" t="str">
            <v>31.12.9999</v>
          </cell>
          <cell r="O158" t="str">
            <v>28.07.2026</v>
          </cell>
          <cell r="P158" t="str">
            <v>ZMIF</v>
          </cell>
          <cell r="Q158">
            <v>57.64</v>
          </cell>
          <cell r="R158" t="str">
            <v>MXN</v>
          </cell>
          <cell r="S158" t="str">
            <v>TN</v>
          </cell>
          <cell r="T158" t="str">
            <v>01.08.2026</v>
          </cell>
          <cell r="U158" t="str">
            <v>31.12.9999</v>
          </cell>
          <cell r="V158" t="str">
            <v>ZICF</v>
          </cell>
          <cell r="W158" t="str">
            <v>01</v>
          </cell>
          <cell r="X158">
            <v>138.9</v>
          </cell>
          <cell r="Y158" t="str">
            <v>MXN</v>
          </cell>
          <cell r="Z158" t="str">
            <v>TN</v>
          </cell>
          <cell r="AA158" t="str">
            <v>30.06.2026</v>
          </cell>
          <cell r="AB158" t="str">
            <v>31.12.2030</v>
          </cell>
          <cell r="AC158">
            <v>224.62</v>
          </cell>
        </row>
        <row r="159">
          <cell r="H159" t="str">
            <v>10000233</v>
          </cell>
          <cell r="I159" t="str">
            <v>Grava Triturada Basalto  40 mm</v>
          </cell>
          <cell r="J159">
            <v>166.98</v>
          </cell>
          <cell r="K159" t="str">
            <v>MXN</v>
          </cell>
          <cell r="L159" t="str">
            <v>TN</v>
          </cell>
          <cell r="M159" t="str">
            <v>01.08.2026</v>
          </cell>
          <cell r="N159" t="str">
            <v>31.12.9999</v>
          </cell>
          <cell r="O159" t="str">
            <v>28.07.2026</v>
          </cell>
          <cell r="P159" t="str">
            <v>ZMIF</v>
          </cell>
          <cell r="Q159">
            <v>57.64</v>
          </cell>
          <cell r="R159" t="str">
            <v>MXN</v>
          </cell>
          <cell r="S159" t="str">
            <v>TN</v>
          </cell>
          <cell r="T159" t="str">
            <v>01.08.2026</v>
          </cell>
          <cell r="U159" t="str">
            <v>31.12.9999</v>
          </cell>
          <cell r="V159" t="str">
            <v>ZICF</v>
          </cell>
          <cell r="W159" t="str">
            <v>01</v>
          </cell>
          <cell r="X159">
            <v>144.19</v>
          </cell>
          <cell r="Y159" t="str">
            <v>MXN</v>
          </cell>
          <cell r="Z159" t="str">
            <v>TN</v>
          </cell>
          <cell r="AA159" t="str">
            <v>01.05.2026</v>
          </cell>
          <cell r="AB159" t="str">
            <v>31.12.2030</v>
          </cell>
          <cell r="AC159">
            <v>224.62</v>
          </cell>
        </row>
        <row r="160">
          <cell r="H160" t="str">
            <v>10000311</v>
          </cell>
          <cell r="I160" t="str">
            <v>Arena Triturada Basalto  Malla</v>
          </cell>
          <cell r="J160">
            <v>171.63</v>
          </cell>
          <cell r="K160" t="str">
            <v>MXN</v>
          </cell>
          <cell r="L160" t="str">
            <v>TN</v>
          </cell>
          <cell r="M160" t="str">
            <v>01.08.2026</v>
          </cell>
          <cell r="N160" t="str">
            <v>31.12.9999</v>
          </cell>
          <cell r="O160" t="str">
            <v>28.07.2026</v>
          </cell>
          <cell r="P160" t="str">
            <v>ZMIF</v>
          </cell>
          <cell r="Q160">
            <v>19.63</v>
          </cell>
          <cell r="R160" t="str">
            <v>MXN</v>
          </cell>
          <cell r="S160" t="str">
            <v>TN</v>
          </cell>
          <cell r="T160" t="str">
            <v>01.08.2026</v>
          </cell>
          <cell r="U160" t="str">
            <v>31.12.9999</v>
          </cell>
          <cell r="V160" t="str">
            <v>ZICF</v>
          </cell>
          <cell r="W160" t="str">
            <v>01</v>
          </cell>
          <cell r="X160">
            <v>127.16</v>
          </cell>
          <cell r="Y160" t="str">
            <v>MXN</v>
          </cell>
          <cell r="Z160" t="str">
            <v>TN</v>
          </cell>
          <cell r="AA160" t="str">
            <v>01.05.2026</v>
          </cell>
          <cell r="AB160" t="str">
            <v>31.12.2030</v>
          </cell>
          <cell r="AC160">
            <v>191.26</v>
          </cell>
        </row>
        <row r="161">
          <cell r="H161" t="str">
            <v>10066861</v>
          </cell>
          <cell r="I161" t="str">
            <v>GRAVA TRITURADA BASALTO DE 40</v>
          </cell>
          <cell r="J161">
            <v>166.98</v>
          </cell>
          <cell r="K161" t="str">
            <v>MXN</v>
          </cell>
          <cell r="L161" t="str">
            <v>TN</v>
          </cell>
          <cell r="M161" t="str">
            <v>01.08.2026</v>
          </cell>
          <cell r="N161" t="str">
            <v>31.12.9999</v>
          </cell>
          <cell r="O161" t="str">
            <v>28.07.2026</v>
          </cell>
          <cell r="P161" t="str">
            <v>ZMIF</v>
          </cell>
          <cell r="Q161">
            <v>57.64</v>
          </cell>
          <cell r="R161" t="str">
            <v>MXN</v>
          </cell>
          <cell r="S161" t="str">
            <v>TN</v>
          </cell>
          <cell r="T161" t="str">
            <v>01.08.2026</v>
          </cell>
          <cell r="U161" t="str">
            <v>31.12.9999</v>
          </cell>
          <cell r="V161" t="str">
            <v>ZICF</v>
          </cell>
          <cell r="W161" t="str">
            <v>01</v>
          </cell>
          <cell r="X161">
            <v>143.4</v>
          </cell>
          <cell r="Y161" t="str">
            <v>MXN</v>
          </cell>
          <cell r="Z161" t="str">
            <v>TN</v>
          </cell>
          <cell r="AA161" t="str">
            <v>01.05.2026</v>
          </cell>
          <cell r="AB161" t="str">
            <v>31.12.2030</v>
          </cell>
          <cell r="AC161">
            <v>224.62</v>
          </cell>
        </row>
        <row r="162">
          <cell r="H162" t="str">
            <v>10000229</v>
          </cell>
          <cell r="I162" t="str">
            <v>Grava Triturada Basalto  10 mm</v>
          </cell>
          <cell r="J162">
            <v>166.98</v>
          </cell>
          <cell r="K162" t="str">
            <v>MXN</v>
          </cell>
          <cell r="L162" t="str">
            <v>TN</v>
          </cell>
          <cell r="M162" t="str">
            <v>01.08.2026</v>
          </cell>
          <cell r="N162" t="str">
            <v>31.12.9999</v>
          </cell>
          <cell r="O162" t="str">
            <v>28.07.2026</v>
          </cell>
          <cell r="P162" t="str">
            <v>ZMIF</v>
          </cell>
          <cell r="Q162">
            <v>82.38</v>
          </cell>
          <cell r="R162" t="str">
            <v>MXN</v>
          </cell>
          <cell r="S162" t="str">
            <v>TN</v>
          </cell>
          <cell r="T162" t="str">
            <v>01.08.2026</v>
          </cell>
          <cell r="U162" t="str">
            <v>31.12.9999</v>
          </cell>
          <cell r="V162" t="str">
            <v>ZICF</v>
          </cell>
          <cell r="W162" t="str">
            <v>01</v>
          </cell>
          <cell r="X162">
            <v>107.5</v>
          </cell>
          <cell r="Y162" t="str">
            <v>MXN</v>
          </cell>
          <cell r="Z162" t="str">
            <v>TN</v>
          </cell>
          <cell r="AA162" t="str">
            <v>30.06.2026</v>
          </cell>
          <cell r="AB162" t="str">
            <v>31.12.2030</v>
          </cell>
          <cell r="AC162">
            <v>249.35999999999999</v>
          </cell>
        </row>
        <row r="163">
          <cell r="H163" t="str">
            <v>10000231</v>
          </cell>
          <cell r="I163" t="str">
            <v>Grava Triturada Basalto 20 mm</v>
          </cell>
          <cell r="J163">
            <v>166.98</v>
          </cell>
          <cell r="K163" t="str">
            <v>MXN</v>
          </cell>
          <cell r="L163" t="str">
            <v>TN</v>
          </cell>
          <cell r="M163" t="str">
            <v>01.08.2026</v>
          </cell>
          <cell r="N163" t="str">
            <v>31.12.9999</v>
          </cell>
          <cell r="O163" t="str">
            <v>28.07.2026</v>
          </cell>
          <cell r="P163" t="str">
            <v>ZMIF</v>
          </cell>
          <cell r="Q163">
            <v>57.64</v>
          </cell>
          <cell r="R163" t="str">
            <v>MXN</v>
          </cell>
          <cell r="S163" t="str">
            <v>TN</v>
          </cell>
          <cell r="T163" t="str">
            <v>01.08.2026</v>
          </cell>
          <cell r="U163" t="str">
            <v>31.12.9999</v>
          </cell>
          <cell r="V163" t="str">
            <v>ZICF</v>
          </cell>
          <cell r="W163" t="str">
            <v>01</v>
          </cell>
          <cell r="X163">
            <v>104.8</v>
          </cell>
          <cell r="Y163" t="str">
            <v>MXN</v>
          </cell>
          <cell r="Z163" t="str">
            <v>TN</v>
          </cell>
          <cell r="AA163" t="str">
            <v>30.06.2026</v>
          </cell>
          <cell r="AB163" t="str">
            <v>31.12.2030</v>
          </cell>
          <cell r="AC163">
            <v>224.62</v>
          </cell>
        </row>
        <row r="164">
          <cell r="H164" t="str">
            <v>10000233</v>
          </cell>
          <cell r="I164" t="str">
            <v>Grava Triturada Basalto  40 mm</v>
          </cell>
          <cell r="J164">
            <v>166.98</v>
          </cell>
          <cell r="K164" t="str">
            <v>MXN</v>
          </cell>
          <cell r="L164" t="str">
            <v>TN</v>
          </cell>
          <cell r="M164" t="str">
            <v>01.08.2026</v>
          </cell>
          <cell r="N164" t="str">
            <v>31.12.9999</v>
          </cell>
          <cell r="O164" t="str">
            <v>28.07.2026</v>
          </cell>
          <cell r="P164" t="str">
            <v>ZMIF</v>
          </cell>
          <cell r="Q164">
            <v>57.64</v>
          </cell>
          <cell r="R164" t="str">
            <v>MXN</v>
          </cell>
          <cell r="S164" t="str">
            <v>TN</v>
          </cell>
          <cell r="T164" t="str">
            <v>01.08.2026</v>
          </cell>
          <cell r="U164" t="str">
            <v>31.12.9999</v>
          </cell>
          <cell r="V164" t="str">
            <v>ZICF</v>
          </cell>
          <cell r="W164" t="str">
            <v>01</v>
          </cell>
          <cell r="X164">
            <v>112.3</v>
          </cell>
          <cell r="Y164" t="str">
            <v>MXN</v>
          </cell>
          <cell r="Z164" t="str">
            <v>TN</v>
          </cell>
          <cell r="AA164" t="str">
            <v>30.06.2026</v>
          </cell>
          <cell r="AB164" t="str">
            <v>31.12.2030</v>
          </cell>
          <cell r="AC164">
            <v>224.62</v>
          </cell>
        </row>
        <row r="165">
          <cell r="H165" t="str">
            <v>10000229</v>
          </cell>
          <cell r="I165" t="str">
            <v>Grava Triturada Basalto  10 mm</v>
          </cell>
          <cell r="J165">
            <v>166.98</v>
          </cell>
          <cell r="K165" t="str">
            <v>MXN</v>
          </cell>
          <cell r="L165" t="str">
            <v>TN</v>
          </cell>
          <cell r="M165" t="str">
            <v>01.08.2026</v>
          </cell>
          <cell r="N165" t="str">
            <v>31.12.9999</v>
          </cell>
          <cell r="O165" t="str">
            <v>28.07.2026</v>
          </cell>
          <cell r="P165" t="str">
            <v>ZMIF</v>
          </cell>
          <cell r="Q165">
            <v>82.38</v>
          </cell>
          <cell r="R165" t="str">
            <v>MXN</v>
          </cell>
          <cell r="S165" t="str">
            <v>TN</v>
          </cell>
          <cell r="T165" t="str">
            <v>01.08.2026</v>
          </cell>
          <cell r="U165" t="str">
            <v>31.12.9999</v>
          </cell>
          <cell r="V165" t="str">
            <v>ZICF</v>
          </cell>
          <cell r="W165" t="str">
            <v>01</v>
          </cell>
          <cell r="X165">
            <v>77.22</v>
          </cell>
          <cell r="Y165" t="str">
            <v>MXN</v>
          </cell>
          <cell r="Z165" t="str">
            <v>TN</v>
          </cell>
          <cell r="AA165" t="str">
            <v>30.06.2026</v>
          </cell>
          <cell r="AB165" t="str">
            <v>31.12.2030</v>
          </cell>
          <cell r="AC165">
            <v>249.35999999999999</v>
          </cell>
        </row>
        <row r="166">
          <cell r="H166" t="str">
            <v>10000231</v>
          </cell>
          <cell r="I166" t="str">
            <v>Grava Triturada Basalto 20 mm</v>
          </cell>
          <cell r="J166">
            <v>166.98</v>
          </cell>
          <cell r="K166" t="str">
            <v>MXN</v>
          </cell>
          <cell r="L166" t="str">
            <v>TN</v>
          </cell>
          <cell r="M166" t="str">
            <v>01.08.2026</v>
          </cell>
          <cell r="N166" t="str">
            <v>31.12.9999</v>
          </cell>
          <cell r="O166" t="str">
            <v>28.07.2026</v>
          </cell>
          <cell r="P166" t="str">
            <v>ZMIF</v>
          </cell>
          <cell r="Q166">
            <v>57.64</v>
          </cell>
          <cell r="R166" t="str">
            <v>MXN</v>
          </cell>
          <cell r="S166" t="str">
            <v>TN</v>
          </cell>
          <cell r="T166" t="str">
            <v>01.08.2026</v>
          </cell>
          <cell r="U166" t="str">
            <v>31.12.9999</v>
          </cell>
          <cell r="V166" t="str">
            <v>ZICF</v>
          </cell>
          <cell r="W166" t="str">
            <v>01</v>
          </cell>
          <cell r="X166">
            <v>75.2</v>
          </cell>
          <cell r="Y166" t="str">
            <v>MXN</v>
          </cell>
          <cell r="Z166" t="str">
            <v>TN</v>
          </cell>
          <cell r="AA166" t="str">
            <v>30.06.2026</v>
          </cell>
          <cell r="AB166" t="str">
            <v>31.12.2030</v>
          </cell>
          <cell r="AC166">
            <v>224.62</v>
          </cell>
        </row>
        <row r="167">
          <cell r="H167" t="str">
            <v>10000233</v>
          </cell>
          <cell r="I167" t="str">
            <v>Grava Triturada Basalto  40 mm</v>
          </cell>
          <cell r="J167">
            <v>166.98</v>
          </cell>
          <cell r="K167" t="str">
            <v>MXN</v>
          </cell>
          <cell r="L167" t="str">
            <v>TN</v>
          </cell>
          <cell r="M167" t="str">
            <v>01.08.2026</v>
          </cell>
          <cell r="N167" t="str">
            <v>31.12.9999</v>
          </cell>
          <cell r="O167" t="str">
            <v>28.07.2026</v>
          </cell>
          <cell r="P167" t="str">
            <v>ZMIF</v>
          </cell>
          <cell r="Q167">
            <v>57.64</v>
          </cell>
          <cell r="R167" t="str">
            <v>MXN</v>
          </cell>
          <cell r="S167" t="str">
            <v>TN</v>
          </cell>
          <cell r="T167" t="str">
            <v>01.08.2026</v>
          </cell>
          <cell r="U167" t="str">
            <v>31.12.9999</v>
          </cell>
          <cell r="V167" t="str">
            <v>ZICF</v>
          </cell>
          <cell r="W167" t="str">
            <v>01</v>
          </cell>
          <cell r="X167">
            <v>80.709999999999994</v>
          </cell>
          <cell r="Y167" t="str">
            <v>MXN</v>
          </cell>
          <cell r="Z167" t="str">
            <v>TN</v>
          </cell>
          <cell r="AA167" t="str">
            <v>30.06.2026</v>
          </cell>
          <cell r="AB167" t="str">
            <v>31.12.2030</v>
          </cell>
          <cell r="AC167">
            <v>224.62</v>
          </cell>
        </row>
        <row r="168">
          <cell r="H168" t="str">
            <v>10000229</v>
          </cell>
          <cell r="I168" t="str">
            <v>Grava Triturada Basalto  10 mm</v>
          </cell>
          <cell r="J168">
            <v>133.91999999999999</v>
          </cell>
          <cell r="K168" t="str">
            <v>MXN</v>
          </cell>
          <cell r="L168" t="str">
            <v>TN</v>
          </cell>
          <cell r="M168" t="str">
            <v>07.07.2026</v>
          </cell>
          <cell r="N168" t="str">
            <v>31.12.9999</v>
          </cell>
          <cell r="O168" t="str">
            <v>07.07.2026</v>
          </cell>
          <cell r="P168" t="str">
            <v>ZMIF</v>
          </cell>
          <cell r="Q168">
            <v>115.44</v>
          </cell>
          <cell r="R168" t="str">
            <v>MXN</v>
          </cell>
          <cell r="S168" t="str">
            <v>TN</v>
          </cell>
          <cell r="T168" t="str">
            <v>07.07.2026</v>
          </cell>
          <cell r="U168" t="str">
            <v>31.12.9999</v>
          </cell>
          <cell r="V168" t="str">
            <v>ZICF</v>
          </cell>
          <cell r="W168" t="str">
            <v>01</v>
          </cell>
          <cell r="X168">
            <v>329.07</v>
          </cell>
          <cell r="Y168" t="str">
            <v>MXN</v>
          </cell>
          <cell r="Z168" t="str">
            <v>TN</v>
          </cell>
          <cell r="AA168" t="str">
            <v>07.07.2026</v>
          </cell>
          <cell r="AB168" t="str">
            <v>31.12.9999</v>
          </cell>
          <cell r="AC168">
            <v>249.35999999999999</v>
          </cell>
        </row>
        <row r="169">
          <cell r="H169" t="str">
            <v>10000231</v>
          </cell>
          <cell r="I169" t="str">
            <v>Grava Triturada Basalto 20 mm</v>
          </cell>
          <cell r="J169">
            <v>166.98</v>
          </cell>
          <cell r="K169" t="str">
            <v>MXN</v>
          </cell>
          <cell r="L169" t="str">
            <v>TN</v>
          </cell>
          <cell r="M169" t="str">
            <v>01.08.2026</v>
          </cell>
          <cell r="N169" t="str">
            <v>31.12.9999</v>
          </cell>
          <cell r="O169" t="str">
            <v>28.07.2026</v>
          </cell>
          <cell r="P169" t="str">
            <v>ZMIF</v>
          </cell>
          <cell r="Q169">
            <v>57.64</v>
          </cell>
          <cell r="R169" t="str">
            <v>MXN</v>
          </cell>
          <cell r="S169" t="str">
            <v>TN</v>
          </cell>
          <cell r="T169" t="str">
            <v>01.08.2026</v>
          </cell>
          <cell r="U169" t="str">
            <v>31.12.9999</v>
          </cell>
          <cell r="V169" t="str">
            <v>ZICF</v>
          </cell>
          <cell r="W169" t="str">
            <v>01</v>
          </cell>
          <cell r="X169">
            <v>329.07</v>
          </cell>
          <cell r="Y169" t="str">
            <v>MXN</v>
          </cell>
          <cell r="Z169" t="str">
            <v>TN</v>
          </cell>
          <cell r="AA169" t="str">
            <v>12.06.2026</v>
          </cell>
          <cell r="AB169" t="str">
            <v>31.12.9999</v>
          </cell>
          <cell r="AC169">
            <v>224.62</v>
          </cell>
        </row>
        <row r="170">
          <cell r="H170" t="str">
            <v>10000229</v>
          </cell>
          <cell r="I170" t="str">
            <v>Grava Triturada Basalto  10 mm</v>
          </cell>
          <cell r="J170">
            <v>166.98</v>
          </cell>
          <cell r="K170" t="str">
            <v>MXN</v>
          </cell>
          <cell r="L170" t="str">
            <v>TN</v>
          </cell>
          <cell r="M170" t="str">
            <v>01.08.2026</v>
          </cell>
          <cell r="N170" t="str">
            <v>31.12.9999</v>
          </cell>
          <cell r="O170" t="str">
            <v>28.07.2026</v>
          </cell>
          <cell r="P170" t="str">
            <v>ZMIF</v>
          </cell>
          <cell r="Q170">
            <v>82.38</v>
          </cell>
          <cell r="R170" t="str">
            <v>MXN</v>
          </cell>
          <cell r="S170" t="str">
            <v>TN</v>
          </cell>
          <cell r="T170" t="str">
            <v>01.08.2026</v>
          </cell>
          <cell r="U170" t="str">
            <v>31.12.9999</v>
          </cell>
          <cell r="V170"/>
          <cell r="W170"/>
          <cell r="X170"/>
          <cell r="Y170"/>
          <cell r="Z170"/>
          <cell r="AA170"/>
          <cell r="AB170"/>
          <cell r="AC170">
            <v>249.35999999999999</v>
          </cell>
        </row>
        <row r="171">
          <cell r="H171" t="str">
            <v>10000231</v>
          </cell>
          <cell r="I171" t="str">
            <v>Grava Triturada Basalto 20 mm</v>
          </cell>
          <cell r="J171">
            <v>166.98</v>
          </cell>
          <cell r="K171" t="str">
            <v>MXN</v>
          </cell>
          <cell r="L171" t="str">
            <v>TN</v>
          </cell>
          <cell r="M171" t="str">
            <v>01.08.2026</v>
          </cell>
          <cell r="N171" t="str">
            <v>31.12.9999</v>
          </cell>
          <cell r="O171" t="str">
            <v>28.07.2026</v>
          </cell>
          <cell r="P171" t="str">
            <v>ZMIF</v>
          </cell>
          <cell r="Q171">
            <v>57.64</v>
          </cell>
          <cell r="R171" t="str">
            <v>MXN</v>
          </cell>
          <cell r="S171" t="str">
            <v>TN</v>
          </cell>
          <cell r="T171" t="str">
            <v>01.08.2026</v>
          </cell>
          <cell r="U171" t="str">
            <v>31.12.9999</v>
          </cell>
          <cell r="V171" t="str">
            <v>ZICF</v>
          </cell>
          <cell r="W171" t="str">
            <v>01</v>
          </cell>
          <cell r="X171">
            <v>284.35000000000002</v>
          </cell>
          <cell r="Y171" t="str">
            <v>MXN</v>
          </cell>
          <cell r="Z171" t="str">
            <v>TN</v>
          </cell>
          <cell r="AA171" t="str">
            <v>30.06.2026</v>
          </cell>
          <cell r="AB171" t="str">
            <v>31.12.2030</v>
          </cell>
          <cell r="AC171">
            <v>224.62</v>
          </cell>
        </row>
        <row r="172">
          <cell r="H172" t="str">
            <v>10000233</v>
          </cell>
          <cell r="I172" t="str">
            <v>Grava Triturada Basalto  40 mm</v>
          </cell>
          <cell r="J172">
            <v>166.98</v>
          </cell>
          <cell r="K172" t="str">
            <v>MXN</v>
          </cell>
          <cell r="L172" t="str">
            <v>TN</v>
          </cell>
          <cell r="M172" t="str">
            <v>01.08.2026</v>
          </cell>
          <cell r="N172" t="str">
            <v>31.12.9999</v>
          </cell>
          <cell r="O172" t="str">
            <v>28.07.2026</v>
          </cell>
          <cell r="P172" t="str">
            <v>ZMIF</v>
          </cell>
          <cell r="Q172">
            <v>57.64</v>
          </cell>
          <cell r="R172" t="str">
            <v>MXN</v>
          </cell>
          <cell r="S172" t="str">
            <v>TN</v>
          </cell>
          <cell r="T172" t="str">
            <v>01.08.2026</v>
          </cell>
          <cell r="U172" t="str">
            <v>31.12.9999</v>
          </cell>
          <cell r="V172"/>
          <cell r="W172"/>
          <cell r="X172"/>
          <cell r="Y172"/>
          <cell r="Z172"/>
          <cell r="AA172"/>
          <cell r="AB172"/>
          <cell r="AC172">
            <v>224.62</v>
          </cell>
        </row>
        <row r="173">
          <cell r="H173" t="str">
            <v>10000311</v>
          </cell>
          <cell r="I173" t="str">
            <v>Arena Triturada Basalto  Malla</v>
          </cell>
          <cell r="J173">
            <v>171.63</v>
          </cell>
          <cell r="K173" t="str">
            <v>MXN</v>
          </cell>
          <cell r="L173" t="str">
            <v>TN</v>
          </cell>
          <cell r="M173" t="str">
            <v>01.08.2026</v>
          </cell>
          <cell r="N173" t="str">
            <v>31.12.9999</v>
          </cell>
          <cell r="O173" t="str">
            <v>28.07.2026</v>
          </cell>
          <cell r="P173" t="str">
            <v>ZMIF</v>
          </cell>
          <cell r="Q173">
            <v>68.739999999999995</v>
          </cell>
          <cell r="R173" t="str">
            <v>MXN</v>
          </cell>
          <cell r="S173" t="str">
            <v>TN</v>
          </cell>
          <cell r="T173" t="str">
            <v>01.08.2026</v>
          </cell>
          <cell r="U173" t="str">
            <v>31.12.9999</v>
          </cell>
          <cell r="V173"/>
          <cell r="W173"/>
          <cell r="X173"/>
          <cell r="Y173"/>
          <cell r="Z173"/>
          <cell r="AA173"/>
          <cell r="AB173"/>
          <cell r="AC173">
            <v>240.37</v>
          </cell>
        </row>
        <row r="174">
          <cell r="H174" t="str">
            <v>10000229</v>
          </cell>
          <cell r="I174" t="str">
            <v>Grava Triturada Basalto  10 mm</v>
          </cell>
          <cell r="J174">
            <v>166.98</v>
          </cell>
          <cell r="K174" t="str">
            <v>MXN</v>
          </cell>
          <cell r="L174" t="str">
            <v>TN</v>
          </cell>
          <cell r="M174" t="str">
            <v>01.08.2026</v>
          </cell>
          <cell r="N174" t="str">
            <v>31.12.9999</v>
          </cell>
          <cell r="O174" t="str">
            <v>28.07.2026</v>
          </cell>
          <cell r="P174" t="str">
            <v>ZMIF</v>
          </cell>
          <cell r="Q174">
            <v>82.38</v>
          </cell>
          <cell r="R174" t="str">
            <v>MXN</v>
          </cell>
          <cell r="S174" t="str">
            <v>TN</v>
          </cell>
          <cell r="T174" t="str">
            <v>01.08.2026</v>
          </cell>
          <cell r="U174" t="str">
            <v>31.12.9999</v>
          </cell>
          <cell r="V174" t="str">
            <v>ZICF</v>
          </cell>
          <cell r="W174" t="str">
            <v>01</v>
          </cell>
          <cell r="X174">
            <v>76.819999999999993</v>
          </cell>
          <cell r="Y174" t="str">
            <v>MXN</v>
          </cell>
          <cell r="Z174" t="str">
            <v>TN</v>
          </cell>
          <cell r="AA174" t="str">
            <v>01.05.2026</v>
          </cell>
          <cell r="AB174" t="str">
            <v>31.12.2030</v>
          </cell>
          <cell r="AC174">
            <v>249.35999999999999</v>
          </cell>
        </row>
        <row r="175">
          <cell r="H175" t="str">
            <v>10000231</v>
          </cell>
          <cell r="I175" t="str">
            <v>Grava Triturada Basalto 20 mm</v>
          </cell>
          <cell r="J175">
            <v>166.98</v>
          </cell>
          <cell r="K175" t="str">
            <v>MXN</v>
          </cell>
          <cell r="L175" t="str">
            <v>TN</v>
          </cell>
          <cell r="M175" t="str">
            <v>01.08.2026</v>
          </cell>
          <cell r="N175" t="str">
            <v>31.12.9999</v>
          </cell>
          <cell r="O175" t="str">
            <v>28.07.2026</v>
          </cell>
          <cell r="P175" t="str">
            <v>ZMIF</v>
          </cell>
          <cell r="Q175">
            <v>57.64</v>
          </cell>
          <cell r="R175" t="str">
            <v>MXN</v>
          </cell>
          <cell r="S175" t="str">
            <v>TN</v>
          </cell>
          <cell r="T175" t="str">
            <v>01.08.2026</v>
          </cell>
          <cell r="U175" t="str">
            <v>31.12.9999</v>
          </cell>
          <cell r="V175" t="str">
            <v>ZICF</v>
          </cell>
          <cell r="W175" t="str">
            <v>01</v>
          </cell>
          <cell r="X175">
            <v>77.41</v>
          </cell>
          <cell r="Y175" t="str">
            <v>MXN</v>
          </cell>
          <cell r="Z175" t="str">
            <v>TN</v>
          </cell>
          <cell r="AA175" t="str">
            <v>30.06.2026</v>
          </cell>
          <cell r="AB175" t="str">
            <v>31.12.2030</v>
          </cell>
          <cell r="AC175">
            <v>224.62</v>
          </cell>
        </row>
        <row r="176">
          <cell r="H176" t="str">
            <v>10000233</v>
          </cell>
          <cell r="I176" t="str">
            <v>Grava Triturada Basalto  40 mm</v>
          </cell>
          <cell r="J176">
            <v>166.98</v>
          </cell>
          <cell r="K176" t="str">
            <v>MXN</v>
          </cell>
          <cell r="L176" t="str">
            <v>TN</v>
          </cell>
          <cell r="M176" t="str">
            <v>01.08.2026</v>
          </cell>
          <cell r="N176" t="str">
            <v>31.12.9999</v>
          </cell>
          <cell r="O176" t="str">
            <v>28.07.2026</v>
          </cell>
          <cell r="P176" t="str">
            <v>ZMIF</v>
          </cell>
          <cell r="Q176">
            <v>57.64</v>
          </cell>
          <cell r="R176" t="str">
            <v>MXN</v>
          </cell>
          <cell r="S176" t="str">
            <v>TN</v>
          </cell>
          <cell r="T176" t="str">
            <v>01.08.2026</v>
          </cell>
          <cell r="U176" t="str">
            <v>31.12.9999</v>
          </cell>
          <cell r="V176" t="str">
            <v>ZICF</v>
          </cell>
          <cell r="W176" t="str">
            <v>01</v>
          </cell>
          <cell r="X176">
            <v>80.3</v>
          </cell>
          <cell r="Y176" t="str">
            <v>MXN</v>
          </cell>
          <cell r="Z176" t="str">
            <v>TN</v>
          </cell>
          <cell r="AA176" t="str">
            <v>01.05.2026</v>
          </cell>
          <cell r="AB176" t="str">
            <v>31.12.2030</v>
          </cell>
          <cell r="AC176">
            <v>224.62</v>
          </cell>
        </row>
        <row r="177">
          <cell r="H177" t="str">
            <v>10000311</v>
          </cell>
          <cell r="I177" t="str">
            <v>Arena Triturada Basalto  Malla</v>
          </cell>
          <cell r="J177">
            <v>171.63</v>
          </cell>
          <cell r="K177" t="str">
            <v>MXN</v>
          </cell>
          <cell r="L177" t="str">
            <v>TN</v>
          </cell>
          <cell r="M177" t="str">
            <v>01.08.2026</v>
          </cell>
          <cell r="N177" t="str">
            <v>31.12.9999</v>
          </cell>
          <cell r="O177" t="str">
            <v>28.07.2026</v>
          </cell>
          <cell r="P177" t="str">
            <v>ZMIF</v>
          </cell>
          <cell r="Q177">
            <v>19.63</v>
          </cell>
          <cell r="R177" t="str">
            <v>MXN</v>
          </cell>
          <cell r="S177" t="str">
            <v>TN</v>
          </cell>
          <cell r="T177" t="str">
            <v>01.08.2026</v>
          </cell>
          <cell r="U177" t="str">
            <v>31.12.9999</v>
          </cell>
          <cell r="V177" t="str">
            <v>ZICF</v>
          </cell>
          <cell r="W177" t="str">
            <v>01</v>
          </cell>
          <cell r="X177">
            <v>70.819999999999993</v>
          </cell>
          <cell r="Y177" t="str">
            <v>MXN</v>
          </cell>
          <cell r="Z177" t="str">
            <v>TN</v>
          </cell>
          <cell r="AA177" t="str">
            <v>01.05.2026</v>
          </cell>
          <cell r="AB177" t="str">
            <v>31.12.2030</v>
          </cell>
          <cell r="AC177">
            <v>191.26</v>
          </cell>
        </row>
        <row r="178">
          <cell r="H178" t="str">
            <v>10000229</v>
          </cell>
          <cell r="I178" t="str">
            <v>Grava Triturada Basalto  10 mm</v>
          </cell>
          <cell r="J178">
            <v>166.98</v>
          </cell>
          <cell r="K178" t="str">
            <v>MXN</v>
          </cell>
          <cell r="L178" t="str">
            <v>TN</v>
          </cell>
          <cell r="M178" t="str">
            <v>01.08.2026</v>
          </cell>
          <cell r="N178" t="str">
            <v>31.12.9999</v>
          </cell>
          <cell r="O178" t="str">
            <v>28.07.2026</v>
          </cell>
          <cell r="P178" t="str">
            <v>ZMIF</v>
          </cell>
          <cell r="Q178">
            <v>82.38</v>
          </cell>
          <cell r="R178" t="str">
            <v>MXN</v>
          </cell>
          <cell r="S178" t="str">
            <v>TN</v>
          </cell>
          <cell r="T178" t="str">
            <v>01.08.2026</v>
          </cell>
          <cell r="U178" t="str">
            <v>31.12.9999</v>
          </cell>
          <cell r="V178" t="str">
            <v>ZICF</v>
          </cell>
          <cell r="W178" t="str">
            <v>01</v>
          </cell>
          <cell r="X178">
            <v>172.49</v>
          </cell>
          <cell r="Y178" t="str">
            <v>MXN</v>
          </cell>
          <cell r="Z178" t="str">
            <v>TN</v>
          </cell>
          <cell r="AA178" t="str">
            <v>27.11.2025</v>
          </cell>
          <cell r="AB178" t="str">
            <v>31.12.9999</v>
          </cell>
          <cell r="AC178">
            <v>249.35999999999999</v>
          </cell>
        </row>
        <row r="179">
          <cell r="H179" t="str">
            <v>10000229</v>
          </cell>
          <cell r="I179" t="str">
            <v>Grava Triturada Basalto  10 mm</v>
          </cell>
          <cell r="J179">
            <v>166.98</v>
          </cell>
          <cell r="K179" t="str">
            <v>MXN</v>
          </cell>
          <cell r="L179" t="str">
            <v>TN</v>
          </cell>
          <cell r="M179" t="str">
            <v>01.08.2026</v>
          </cell>
          <cell r="N179" t="str">
            <v>31.12.9999</v>
          </cell>
          <cell r="O179" t="str">
            <v>28.07.2026</v>
          </cell>
          <cell r="P179" t="str">
            <v>ZMIF</v>
          </cell>
          <cell r="Q179">
            <v>82.38</v>
          </cell>
          <cell r="R179" t="str">
            <v>MXN</v>
          </cell>
          <cell r="S179" t="str">
            <v>TN</v>
          </cell>
          <cell r="T179" t="str">
            <v>01.08.2026</v>
          </cell>
          <cell r="U179" t="str">
            <v>31.12.9999</v>
          </cell>
          <cell r="V179" t="str">
            <v>ZICF</v>
          </cell>
          <cell r="W179" t="str">
            <v>01</v>
          </cell>
          <cell r="X179">
            <v>170.65</v>
          </cell>
          <cell r="Y179" t="str">
            <v>MXN</v>
          </cell>
          <cell r="Z179" t="str">
            <v>TN</v>
          </cell>
          <cell r="AA179" t="str">
            <v>24.06.2026</v>
          </cell>
          <cell r="AB179" t="str">
            <v>31.12.9999</v>
          </cell>
          <cell r="AC179">
            <v>249.35999999999999</v>
          </cell>
        </row>
        <row r="180">
          <cell r="H180" t="str">
            <v>10000311</v>
          </cell>
          <cell r="I180" t="str">
            <v>Arena Triturada Basalto  Malla</v>
          </cell>
          <cell r="J180">
            <v>170</v>
          </cell>
          <cell r="K180" t="str">
            <v>MXN</v>
          </cell>
          <cell r="L180" t="str">
            <v>TN</v>
          </cell>
          <cell r="M180" t="str">
            <v>01.07.2025</v>
          </cell>
          <cell r="N180" t="str">
            <v>31.12.9999</v>
          </cell>
          <cell r="O180" t="str">
            <v>22.12.2023</v>
          </cell>
          <cell r="P180"/>
          <cell r="Q180"/>
          <cell r="R180"/>
          <cell r="S180"/>
          <cell r="T180"/>
          <cell r="U180"/>
          <cell r="V180" t="str">
            <v>ZICF</v>
          </cell>
          <cell r="W180" t="str">
            <v>01</v>
          </cell>
          <cell r="X180">
            <v>128.41</v>
          </cell>
          <cell r="Y180" t="str">
            <v>MXN</v>
          </cell>
          <cell r="Z180" t="str">
            <v>TN</v>
          </cell>
          <cell r="AA180" t="str">
            <v>01.07.2025</v>
          </cell>
          <cell r="AB180" t="str">
            <v>31.12.9999</v>
          </cell>
          <cell r="AC180">
            <v>170</v>
          </cell>
        </row>
        <row r="181">
          <cell r="H181" t="str">
            <v>10066861</v>
          </cell>
          <cell r="I181" t="str">
            <v>GRAVA TRITURADA BASALTO DE 40</v>
          </cell>
          <cell r="J181">
            <v>170</v>
          </cell>
          <cell r="K181" t="str">
            <v>MXN</v>
          </cell>
          <cell r="L181" t="str">
            <v>TN</v>
          </cell>
          <cell r="M181" t="str">
            <v>01.07.2025</v>
          </cell>
          <cell r="N181" t="str">
            <v>31.12.9999</v>
          </cell>
          <cell r="O181" t="str">
            <v>22.12.2023</v>
          </cell>
          <cell r="P181"/>
          <cell r="Q181"/>
          <cell r="R181"/>
          <cell r="S181"/>
          <cell r="T181"/>
          <cell r="U181"/>
          <cell r="V181" t="str">
            <v>ZICF</v>
          </cell>
          <cell r="W181" t="str">
            <v>01</v>
          </cell>
          <cell r="X181">
            <v>144.81</v>
          </cell>
          <cell r="Y181" t="str">
            <v>MXN</v>
          </cell>
          <cell r="Z181" t="str">
            <v>TN</v>
          </cell>
          <cell r="AA181" t="str">
            <v>01.07.2025</v>
          </cell>
          <cell r="AB181" t="str">
            <v>31.12.9999</v>
          </cell>
          <cell r="AC181">
            <v>170</v>
          </cell>
        </row>
        <row r="182">
          <cell r="H182" t="str">
            <v>10038952</v>
          </cell>
          <cell r="I182" t="str">
            <v>Arena Triturada Caliza Malla 4</v>
          </cell>
          <cell r="J182">
            <v>121.61</v>
          </cell>
          <cell r="K182" t="str">
            <v>MXN</v>
          </cell>
          <cell r="L182" t="str">
            <v>TN</v>
          </cell>
          <cell r="M182" t="str">
            <v>01.08.2026</v>
          </cell>
          <cell r="N182" t="str">
            <v>31.12.9999</v>
          </cell>
          <cell r="O182" t="str">
            <v>28.07.2026</v>
          </cell>
          <cell r="P182" t="str">
            <v>ZMIF</v>
          </cell>
          <cell r="Q182">
            <v>38.43</v>
          </cell>
          <cell r="R182" t="str">
            <v>MXN</v>
          </cell>
          <cell r="S182" t="str">
            <v>TN</v>
          </cell>
          <cell r="T182" t="str">
            <v>01.08.2026</v>
          </cell>
          <cell r="U182" t="str">
            <v>31.12.9999</v>
          </cell>
          <cell r="V182" t="str">
            <v>ZICF</v>
          </cell>
          <cell r="W182" t="str">
            <v>01</v>
          </cell>
          <cell r="X182">
            <v>473</v>
          </cell>
          <cell r="Y182" t="str">
            <v>MXN</v>
          </cell>
          <cell r="Z182" t="str">
            <v>TN</v>
          </cell>
          <cell r="AA182" t="str">
            <v>18.12.2024</v>
          </cell>
          <cell r="AB182" t="str">
            <v>31.12.9999</v>
          </cell>
          <cell r="AC182">
            <v>160.04</v>
          </cell>
        </row>
        <row r="183">
          <cell r="H183" t="str">
            <v>10038949</v>
          </cell>
          <cell r="I183" t="str">
            <v>Grava Triturada Caliza 10 mm -</v>
          </cell>
          <cell r="J183">
            <v>121.89</v>
          </cell>
          <cell r="K183" t="str">
            <v>MXN</v>
          </cell>
          <cell r="L183" t="str">
            <v>TN</v>
          </cell>
          <cell r="M183" t="str">
            <v>01.08.2026</v>
          </cell>
          <cell r="N183" t="str">
            <v>31.12.9999</v>
          </cell>
          <cell r="O183" t="str">
            <v>28.07.2026</v>
          </cell>
          <cell r="P183" t="str">
            <v>ZMIF</v>
          </cell>
          <cell r="Q183">
            <v>45.08</v>
          </cell>
          <cell r="R183" t="str">
            <v>MXN</v>
          </cell>
          <cell r="S183" t="str">
            <v>TN</v>
          </cell>
          <cell r="T183" t="str">
            <v>01.08.2026</v>
          </cell>
          <cell r="U183" t="str">
            <v>31.12.9999</v>
          </cell>
          <cell r="V183" t="str">
            <v>ZICF</v>
          </cell>
          <cell r="W183" t="str">
            <v>01</v>
          </cell>
          <cell r="X183">
            <v>178.57</v>
          </cell>
          <cell r="Y183" t="str">
            <v>MXN</v>
          </cell>
          <cell r="Z183" t="str">
            <v>TN</v>
          </cell>
          <cell r="AA183" t="str">
            <v>29.04.2026</v>
          </cell>
          <cell r="AB183" t="str">
            <v>31.12.9999</v>
          </cell>
          <cell r="AC183">
            <v>166.97</v>
          </cell>
        </row>
        <row r="184">
          <cell r="H184" t="str">
            <v>10038950</v>
          </cell>
          <cell r="I184" t="str">
            <v>Grava Triturada Caliza 20 mm -</v>
          </cell>
          <cell r="J184">
            <v>121.89</v>
          </cell>
          <cell r="K184" t="str">
            <v>MXN</v>
          </cell>
          <cell r="L184" t="str">
            <v>TN</v>
          </cell>
          <cell r="M184" t="str">
            <v>01.08.2026</v>
          </cell>
          <cell r="N184" t="str">
            <v>31.12.9999</v>
          </cell>
          <cell r="O184" t="str">
            <v>28.07.2026</v>
          </cell>
          <cell r="P184" t="str">
            <v>ZMIF</v>
          </cell>
          <cell r="Q184">
            <v>38.15</v>
          </cell>
          <cell r="R184" t="str">
            <v>MXN</v>
          </cell>
          <cell r="S184" t="str">
            <v>TN</v>
          </cell>
          <cell r="T184" t="str">
            <v>01.08.2026</v>
          </cell>
          <cell r="U184" t="str">
            <v>31.12.9999</v>
          </cell>
          <cell r="V184" t="str">
            <v>ZICF</v>
          </cell>
          <cell r="W184" t="str">
            <v>01</v>
          </cell>
          <cell r="X184">
            <v>178.57</v>
          </cell>
          <cell r="Y184" t="str">
            <v>MXN</v>
          </cell>
          <cell r="Z184" t="str">
            <v>TN</v>
          </cell>
          <cell r="AA184" t="str">
            <v>22.01.2024</v>
          </cell>
          <cell r="AB184" t="str">
            <v>31.12.9999</v>
          </cell>
          <cell r="AC184">
            <v>160.04</v>
          </cell>
        </row>
        <row r="185">
          <cell r="H185" t="str">
            <v>10038952</v>
          </cell>
          <cell r="I185" t="str">
            <v>Arena Triturada Caliza Malla 4</v>
          </cell>
          <cell r="J185">
            <v>121.61</v>
          </cell>
          <cell r="K185" t="str">
            <v>MXN</v>
          </cell>
          <cell r="L185" t="str">
            <v>TN</v>
          </cell>
          <cell r="M185" t="str">
            <v>01.08.2026</v>
          </cell>
          <cell r="N185" t="str">
            <v>31.12.9999</v>
          </cell>
          <cell r="O185" t="str">
            <v>28.07.2026</v>
          </cell>
          <cell r="P185" t="str">
            <v>ZMIF</v>
          </cell>
          <cell r="Q185">
            <v>38.43</v>
          </cell>
          <cell r="R185" t="str">
            <v>MXN</v>
          </cell>
          <cell r="S185" t="str">
            <v>TN</v>
          </cell>
          <cell r="T185" t="str">
            <v>01.08.2026</v>
          </cell>
          <cell r="U185" t="str">
            <v>31.12.9999</v>
          </cell>
          <cell r="V185" t="str">
            <v>ZICF</v>
          </cell>
          <cell r="W185" t="str">
            <v>01</v>
          </cell>
          <cell r="X185">
            <v>176.97</v>
          </cell>
          <cell r="Y185" t="str">
            <v>MXN</v>
          </cell>
          <cell r="Z185" t="str">
            <v>TN</v>
          </cell>
          <cell r="AA185" t="str">
            <v>22.01.2024</v>
          </cell>
          <cell r="AB185" t="str">
            <v>31.12.9999</v>
          </cell>
          <cell r="AC185">
            <v>160.04</v>
          </cell>
        </row>
        <row r="186">
          <cell r="H186" t="str">
            <v>10049672</v>
          </cell>
          <cell r="I186" t="str">
            <v>Grava Triturada Caliza 40- 4mm</v>
          </cell>
          <cell r="J186">
            <v>121.89</v>
          </cell>
          <cell r="K186" t="str">
            <v>MXN</v>
          </cell>
          <cell r="L186" t="str">
            <v>TN</v>
          </cell>
          <cell r="M186" t="str">
            <v>01.08.2026</v>
          </cell>
          <cell r="N186" t="str">
            <v>31.12.9999</v>
          </cell>
          <cell r="O186" t="str">
            <v>28.07.2026</v>
          </cell>
          <cell r="P186" t="str">
            <v>ZMIF</v>
          </cell>
          <cell r="Q186">
            <v>44.51</v>
          </cell>
          <cell r="R186" t="str">
            <v>MXN</v>
          </cell>
          <cell r="S186" t="str">
            <v>TN</v>
          </cell>
          <cell r="T186" t="str">
            <v>01.08.2026</v>
          </cell>
          <cell r="U186" t="str">
            <v>31.12.9999</v>
          </cell>
          <cell r="V186" t="str">
            <v>ZICF</v>
          </cell>
          <cell r="W186" t="str">
            <v>01</v>
          </cell>
          <cell r="X186">
            <v>174.39</v>
          </cell>
          <cell r="Y186" t="str">
            <v>MXN</v>
          </cell>
          <cell r="Z186" t="str">
            <v>TN</v>
          </cell>
          <cell r="AA186" t="str">
            <v>22.01.2024</v>
          </cell>
          <cell r="AB186" t="str">
            <v>31.12.9999</v>
          </cell>
          <cell r="AC186">
            <v>166.4</v>
          </cell>
        </row>
        <row r="187">
          <cell r="H187" t="str">
            <v>10038949</v>
          </cell>
          <cell r="I187" t="str">
            <v>Grava Triturada Caliza 10 mm -</v>
          </cell>
          <cell r="J187">
            <v>121.89</v>
          </cell>
          <cell r="K187" t="str">
            <v>MXN</v>
          </cell>
          <cell r="L187" t="str">
            <v>TN</v>
          </cell>
          <cell r="M187" t="str">
            <v>01.08.2026</v>
          </cell>
          <cell r="N187" t="str">
            <v>31.12.9999</v>
          </cell>
          <cell r="O187" t="str">
            <v>28.07.2026</v>
          </cell>
          <cell r="P187" t="str">
            <v>ZMIF</v>
          </cell>
          <cell r="Q187">
            <v>45.08</v>
          </cell>
          <cell r="R187" t="str">
            <v>MXN</v>
          </cell>
          <cell r="S187" t="str">
            <v>TN</v>
          </cell>
          <cell r="T187" t="str">
            <v>01.08.2026</v>
          </cell>
          <cell r="U187" t="str">
            <v>31.12.9999</v>
          </cell>
          <cell r="V187" t="str">
            <v>ZICF</v>
          </cell>
          <cell r="W187" t="str">
            <v>01</v>
          </cell>
          <cell r="X187">
            <v>556.73</v>
          </cell>
          <cell r="Y187" t="str">
            <v>MXN</v>
          </cell>
          <cell r="Z187" t="str">
            <v>TN</v>
          </cell>
          <cell r="AA187" t="str">
            <v>22.01.2024</v>
          </cell>
          <cell r="AB187" t="str">
            <v>31.12.9999</v>
          </cell>
          <cell r="AC187">
            <v>166.97</v>
          </cell>
        </row>
        <row r="188">
          <cell r="H188" t="str">
            <v>10038950</v>
          </cell>
          <cell r="I188" t="str">
            <v>Grava Triturada Caliza 20 mm -</v>
          </cell>
          <cell r="J188">
            <v>121.89</v>
          </cell>
          <cell r="K188" t="str">
            <v>MXN</v>
          </cell>
          <cell r="L188" t="str">
            <v>TN</v>
          </cell>
          <cell r="M188" t="str">
            <v>01.08.2026</v>
          </cell>
          <cell r="N188" t="str">
            <v>31.12.9999</v>
          </cell>
          <cell r="O188" t="str">
            <v>28.07.2026</v>
          </cell>
          <cell r="P188" t="str">
            <v>ZMIF</v>
          </cell>
          <cell r="Q188">
            <v>38.15</v>
          </cell>
          <cell r="R188" t="str">
            <v>MXN</v>
          </cell>
          <cell r="S188" t="str">
            <v>TN</v>
          </cell>
          <cell r="T188" t="str">
            <v>01.08.2026</v>
          </cell>
          <cell r="U188" t="str">
            <v>31.12.9999</v>
          </cell>
          <cell r="V188" t="str">
            <v>ZICF</v>
          </cell>
          <cell r="W188" t="str">
            <v>01</v>
          </cell>
          <cell r="X188">
            <v>511.96</v>
          </cell>
          <cell r="Y188" t="str">
            <v>MXN</v>
          </cell>
          <cell r="Z188" t="str">
            <v>TN</v>
          </cell>
          <cell r="AA188" t="str">
            <v>19.04.2024</v>
          </cell>
          <cell r="AB188" t="str">
            <v>31.12.9999</v>
          </cell>
          <cell r="AC188">
            <v>160.04</v>
          </cell>
        </row>
        <row r="189">
          <cell r="H189" t="str">
            <v>10038952</v>
          </cell>
          <cell r="I189" t="str">
            <v>Arena Triturada Caliza Malla 4</v>
          </cell>
          <cell r="J189">
            <v>121.61</v>
          </cell>
          <cell r="K189" t="str">
            <v>MXN</v>
          </cell>
          <cell r="L189" t="str">
            <v>TN</v>
          </cell>
          <cell r="M189" t="str">
            <v>01.08.2026</v>
          </cell>
          <cell r="N189" t="str">
            <v>31.12.9999</v>
          </cell>
          <cell r="O189" t="str">
            <v>28.07.2026</v>
          </cell>
          <cell r="P189" t="str">
            <v>ZMIF</v>
          </cell>
          <cell r="Q189">
            <v>38.43</v>
          </cell>
          <cell r="R189" t="str">
            <v>MXN</v>
          </cell>
          <cell r="S189" t="str">
            <v>TN</v>
          </cell>
          <cell r="T189" t="str">
            <v>01.08.2026</v>
          </cell>
          <cell r="U189" t="str">
            <v>31.12.9999</v>
          </cell>
          <cell r="V189" t="str">
            <v>ZICF</v>
          </cell>
          <cell r="W189" t="str">
            <v>01</v>
          </cell>
          <cell r="X189">
            <v>484.5</v>
          </cell>
          <cell r="Y189" t="str">
            <v>MXN</v>
          </cell>
          <cell r="Z189" t="str">
            <v>TN</v>
          </cell>
          <cell r="AA189" t="str">
            <v>19.06.2025</v>
          </cell>
          <cell r="AB189" t="str">
            <v>31.12.9999</v>
          </cell>
          <cell r="AC189">
            <v>160.04</v>
          </cell>
        </row>
        <row r="190">
          <cell r="H190" t="str">
            <v>10038952</v>
          </cell>
          <cell r="I190" t="str">
            <v>Arena Triturada Caliza Malla 4</v>
          </cell>
          <cell r="J190">
            <v>121.61</v>
          </cell>
          <cell r="K190" t="str">
            <v>MXN</v>
          </cell>
          <cell r="L190" t="str">
            <v>TN</v>
          </cell>
          <cell r="M190" t="str">
            <v>01.08.2026</v>
          </cell>
          <cell r="N190" t="str">
            <v>31.12.9999</v>
          </cell>
          <cell r="O190" t="str">
            <v>28.07.2026</v>
          </cell>
          <cell r="P190" t="str">
            <v>ZMIF</v>
          </cell>
          <cell r="Q190">
            <v>38.43</v>
          </cell>
          <cell r="R190" t="str">
            <v>MXN</v>
          </cell>
          <cell r="S190" t="str">
            <v>TN</v>
          </cell>
          <cell r="T190" t="str">
            <v>01.08.2026</v>
          </cell>
          <cell r="U190" t="str">
            <v>31.12.9999</v>
          </cell>
          <cell r="V190" t="str">
            <v>ZICF</v>
          </cell>
          <cell r="W190" t="str">
            <v>01</v>
          </cell>
          <cell r="X190">
            <v>452</v>
          </cell>
          <cell r="Y190" t="str">
            <v>MXN</v>
          </cell>
          <cell r="Z190" t="str">
            <v>TN</v>
          </cell>
          <cell r="AA190" t="str">
            <v>15.10.2023</v>
          </cell>
          <cell r="AB190" t="str">
            <v>31.12.9999</v>
          </cell>
          <cell r="AC190">
            <v>160.04</v>
          </cell>
        </row>
        <row r="191">
          <cell r="H191" t="str">
            <v>10038949</v>
          </cell>
          <cell r="I191" t="str">
            <v>Grava Triturada Caliza 10 mm -</v>
          </cell>
          <cell r="J191">
            <v>121.89</v>
          </cell>
          <cell r="K191" t="str">
            <v>MXN</v>
          </cell>
          <cell r="L191" t="str">
            <v>TN</v>
          </cell>
          <cell r="M191" t="str">
            <v>01.08.2026</v>
          </cell>
          <cell r="N191" t="str">
            <v>31.12.9999</v>
          </cell>
          <cell r="O191" t="str">
            <v>28.07.2026</v>
          </cell>
          <cell r="P191" t="str">
            <v>ZMIF</v>
          </cell>
          <cell r="Q191">
            <v>45.08</v>
          </cell>
          <cell r="R191" t="str">
            <v>MXN</v>
          </cell>
          <cell r="S191" t="str">
            <v>TN</v>
          </cell>
          <cell r="T191" t="str">
            <v>01.08.2026</v>
          </cell>
          <cell r="U191" t="str">
            <v>31.12.9999</v>
          </cell>
          <cell r="V191" t="str">
            <v>ZICF</v>
          </cell>
          <cell r="W191" t="str">
            <v>01</v>
          </cell>
          <cell r="X191">
            <v>192.73</v>
          </cell>
          <cell r="Y191" t="str">
            <v>MXN</v>
          </cell>
          <cell r="Z191" t="str">
            <v>TN</v>
          </cell>
          <cell r="AA191" t="str">
            <v>22.01.2024</v>
          </cell>
          <cell r="AB191" t="str">
            <v>31.12.9999</v>
          </cell>
          <cell r="AC191">
            <v>166.97</v>
          </cell>
        </row>
        <row r="192">
          <cell r="H192" t="str">
            <v>10038950</v>
          </cell>
          <cell r="I192" t="str">
            <v>Grava Triturada Caliza 20 mm -</v>
          </cell>
          <cell r="J192">
            <v>121.89</v>
          </cell>
          <cell r="K192" t="str">
            <v>MXN</v>
          </cell>
          <cell r="L192" t="str">
            <v>TN</v>
          </cell>
          <cell r="M192" t="str">
            <v>01.08.2026</v>
          </cell>
          <cell r="N192" t="str">
            <v>31.12.9999</v>
          </cell>
          <cell r="O192" t="str">
            <v>28.07.2026</v>
          </cell>
          <cell r="P192" t="str">
            <v>ZMIF</v>
          </cell>
          <cell r="Q192">
            <v>38.15</v>
          </cell>
          <cell r="R192" t="str">
            <v>MXN</v>
          </cell>
          <cell r="S192" t="str">
            <v>TN</v>
          </cell>
          <cell r="T192" t="str">
            <v>01.08.2026</v>
          </cell>
          <cell r="U192" t="str">
            <v>31.12.9999</v>
          </cell>
          <cell r="V192" t="str">
            <v>ZICF</v>
          </cell>
          <cell r="W192" t="str">
            <v>01</v>
          </cell>
          <cell r="X192">
            <v>192.15</v>
          </cell>
          <cell r="Y192" t="str">
            <v>MXN</v>
          </cell>
          <cell r="Z192" t="str">
            <v>TN</v>
          </cell>
          <cell r="AA192" t="str">
            <v>22.01.2024</v>
          </cell>
          <cell r="AB192" t="str">
            <v>31.12.9999</v>
          </cell>
          <cell r="AC192">
            <v>160.04</v>
          </cell>
        </row>
        <row r="193">
          <cell r="H193" t="str">
            <v>10038952</v>
          </cell>
          <cell r="I193" t="str">
            <v>Arena Triturada Caliza Malla 4</v>
          </cell>
          <cell r="J193">
            <v>121.61</v>
          </cell>
          <cell r="K193" t="str">
            <v>MXN</v>
          </cell>
          <cell r="L193" t="str">
            <v>TN</v>
          </cell>
          <cell r="M193" t="str">
            <v>01.08.2026</v>
          </cell>
          <cell r="N193" t="str">
            <v>31.12.9999</v>
          </cell>
          <cell r="O193" t="str">
            <v>28.07.2026</v>
          </cell>
          <cell r="P193" t="str">
            <v>ZMIF</v>
          </cell>
          <cell r="Q193">
            <v>38.43</v>
          </cell>
          <cell r="R193" t="str">
            <v>MXN</v>
          </cell>
          <cell r="S193" t="str">
            <v>TN</v>
          </cell>
          <cell r="T193" t="str">
            <v>01.08.2026</v>
          </cell>
          <cell r="U193" t="str">
            <v>31.12.9999</v>
          </cell>
          <cell r="V193" t="str">
            <v>ZICF</v>
          </cell>
          <cell r="W193" t="str">
            <v>01</v>
          </cell>
          <cell r="X193">
            <v>193.83</v>
          </cell>
          <cell r="Y193" t="str">
            <v>MXN</v>
          </cell>
          <cell r="Z193" t="str">
            <v>TN</v>
          </cell>
          <cell r="AA193" t="str">
            <v>22.01.2024</v>
          </cell>
          <cell r="AB193" t="str">
            <v>31.12.9999</v>
          </cell>
          <cell r="AC193">
            <v>160.04</v>
          </cell>
        </row>
        <row r="194">
          <cell r="H194" t="str">
            <v>10049672</v>
          </cell>
          <cell r="I194" t="str">
            <v>Grava Triturada Caliza 40- 4mm</v>
          </cell>
          <cell r="J194">
            <v>121.89</v>
          </cell>
          <cell r="K194" t="str">
            <v>MXN</v>
          </cell>
          <cell r="L194" t="str">
            <v>TN</v>
          </cell>
          <cell r="M194" t="str">
            <v>01.08.2026</v>
          </cell>
          <cell r="N194" t="str">
            <v>31.12.9999</v>
          </cell>
          <cell r="O194" t="str">
            <v>28.07.2026</v>
          </cell>
          <cell r="P194" t="str">
            <v>ZMIF</v>
          </cell>
          <cell r="Q194">
            <v>44.51</v>
          </cell>
          <cell r="R194" t="str">
            <v>MXN</v>
          </cell>
          <cell r="S194" t="str">
            <v>TN</v>
          </cell>
          <cell r="T194" t="str">
            <v>01.08.2026</v>
          </cell>
          <cell r="U194" t="str">
            <v>31.12.9999</v>
          </cell>
          <cell r="V194" t="str">
            <v>ZICF</v>
          </cell>
          <cell r="W194" t="str">
            <v>01</v>
          </cell>
          <cell r="X194">
            <v>216.09</v>
          </cell>
          <cell r="Y194" t="str">
            <v>MXN</v>
          </cell>
          <cell r="Z194" t="str">
            <v>TN</v>
          </cell>
          <cell r="AA194" t="str">
            <v>22.01.2024</v>
          </cell>
          <cell r="AB194" t="str">
            <v>31.12.9999</v>
          </cell>
          <cell r="AC194">
            <v>166.4</v>
          </cell>
        </row>
        <row r="195">
          <cell r="H195" t="str">
            <v>10038952</v>
          </cell>
          <cell r="I195" t="str">
            <v>Arena Triturada Caliza Malla 4</v>
          </cell>
          <cell r="J195">
            <v>121.61</v>
          </cell>
          <cell r="K195" t="str">
            <v>MXN</v>
          </cell>
          <cell r="L195" t="str">
            <v>TN</v>
          </cell>
          <cell r="M195" t="str">
            <v>01.08.2026</v>
          </cell>
          <cell r="N195" t="str">
            <v>31.12.9999</v>
          </cell>
          <cell r="O195" t="str">
            <v>28.07.2026</v>
          </cell>
          <cell r="P195" t="str">
            <v>ZMIF</v>
          </cell>
          <cell r="Q195">
            <v>38.43</v>
          </cell>
          <cell r="R195" t="str">
            <v>MXN</v>
          </cell>
          <cell r="S195" t="str">
            <v>TN</v>
          </cell>
          <cell r="T195" t="str">
            <v>01.08.2026</v>
          </cell>
          <cell r="U195" t="str">
            <v>31.12.9999</v>
          </cell>
          <cell r="V195" t="str">
            <v>ZICF</v>
          </cell>
          <cell r="W195" t="str">
            <v>01</v>
          </cell>
          <cell r="X195">
            <v>504.31</v>
          </cell>
          <cell r="Y195" t="str">
            <v>MXN</v>
          </cell>
          <cell r="Z195" t="str">
            <v>TN</v>
          </cell>
          <cell r="AA195" t="str">
            <v>19.04.2024</v>
          </cell>
          <cell r="AB195" t="str">
            <v>31.12.9999</v>
          </cell>
          <cell r="AC195">
            <v>160.04</v>
          </cell>
        </row>
        <row r="196">
          <cell r="H196" t="str">
            <v>10000240</v>
          </cell>
          <cell r="I196" t="str">
            <v>Grava Triturada Caliza 20 mm -</v>
          </cell>
          <cell r="J196">
            <v>96.64</v>
          </cell>
          <cell r="K196" t="str">
            <v>MXN</v>
          </cell>
          <cell r="L196" t="str">
            <v>TN</v>
          </cell>
          <cell r="M196" t="str">
            <v>22.07.2026</v>
          </cell>
          <cell r="N196" t="str">
            <v>31.12.9999</v>
          </cell>
          <cell r="O196" t="str">
            <v>22.07.2026</v>
          </cell>
          <cell r="P196" t="str">
            <v>ZMIF</v>
          </cell>
          <cell r="Q196">
            <v>35.44</v>
          </cell>
          <cell r="R196" t="str">
            <v>MXN</v>
          </cell>
          <cell r="S196" t="str">
            <v>TN</v>
          </cell>
          <cell r="T196" t="str">
            <v>22.07.2026</v>
          </cell>
          <cell r="U196" t="str">
            <v>31.12.9999</v>
          </cell>
          <cell r="V196" t="str">
            <v>ZICF</v>
          </cell>
          <cell r="W196" t="str">
            <v>01</v>
          </cell>
          <cell r="X196">
            <v>406.35</v>
          </cell>
          <cell r="Y196" t="str">
            <v>MXN</v>
          </cell>
          <cell r="Z196" t="str">
            <v>TN</v>
          </cell>
          <cell r="AA196" t="str">
            <v>22.07.2026</v>
          </cell>
          <cell r="AB196" t="str">
            <v>31.12.9999</v>
          </cell>
          <cell r="AC196">
            <v>132.07999999999998</v>
          </cell>
        </row>
        <row r="197">
          <cell r="H197" t="str">
            <v>10001073</v>
          </cell>
          <cell r="I197" t="str">
            <v>Arena Triturada Caliza Malla 4</v>
          </cell>
          <cell r="J197">
            <v>98.49</v>
          </cell>
          <cell r="K197" t="str">
            <v>MXN</v>
          </cell>
          <cell r="L197" t="str">
            <v>TN</v>
          </cell>
          <cell r="M197" t="str">
            <v>22.07.2026</v>
          </cell>
          <cell r="N197" t="str">
            <v>31.12.9999</v>
          </cell>
          <cell r="O197" t="str">
            <v>22.07.2026</v>
          </cell>
          <cell r="P197" t="str">
            <v>ZMIF</v>
          </cell>
          <cell r="Q197">
            <v>-7.49</v>
          </cell>
          <cell r="R197" t="str">
            <v>MXN</v>
          </cell>
          <cell r="S197" t="str">
            <v>TN</v>
          </cell>
          <cell r="T197" t="str">
            <v>22.07.2026</v>
          </cell>
          <cell r="U197" t="str">
            <v>31.12.9999</v>
          </cell>
          <cell r="V197" t="str">
            <v>ZICF</v>
          </cell>
          <cell r="W197" t="str">
            <v>01</v>
          </cell>
          <cell r="X197">
            <v>380.83</v>
          </cell>
          <cell r="Y197" t="str">
            <v>MXN</v>
          </cell>
          <cell r="Z197" t="str">
            <v>TN</v>
          </cell>
          <cell r="AA197" t="str">
            <v>22.07.2026</v>
          </cell>
          <cell r="AB197" t="str">
            <v>31.12.9999</v>
          </cell>
          <cell r="AC197">
            <v>91</v>
          </cell>
        </row>
        <row r="198">
          <cell r="H198" t="str">
            <v>10000236</v>
          </cell>
          <cell r="I198" t="str">
            <v>Grava Triturada Caliza 10 mm -</v>
          </cell>
          <cell r="J198">
            <v>113.67</v>
          </cell>
          <cell r="K198" t="str">
            <v>MXN</v>
          </cell>
          <cell r="L198" t="str">
            <v>TN</v>
          </cell>
          <cell r="M198" t="str">
            <v>01.08.2026</v>
          </cell>
          <cell r="N198" t="str">
            <v>31.12.9999</v>
          </cell>
          <cell r="O198" t="str">
            <v>28.07.2026</v>
          </cell>
          <cell r="P198" t="str">
            <v>ZMIF</v>
          </cell>
          <cell r="Q198">
            <v>11.13</v>
          </cell>
          <cell r="R198" t="str">
            <v>MXN</v>
          </cell>
          <cell r="S198" t="str">
            <v>TN</v>
          </cell>
          <cell r="T198" t="str">
            <v>01.08.2026</v>
          </cell>
          <cell r="U198" t="str">
            <v>31.12.9999</v>
          </cell>
          <cell r="V198" t="str">
            <v>ZICF</v>
          </cell>
          <cell r="W198" t="str">
            <v>01</v>
          </cell>
          <cell r="X198">
            <v>263.76</v>
          </cell>
          <cell r="Y198" t="str">
            <v>MXN</v>
          </cell>
          <cell r="Z198" t="str">
            <v>TN</v>
          </cell>
          <cell r="AA198" t="str">
            <v>01.05.2026</v>
          </cell>
          <cell r="AB198" t="str">
            <v>31.12.2030</v>
          </cell>
          <cell r="AC198">
            <v>124.8</v>
          </cell>
        </row>
        <row r="199">
          <cell r="H199" t="str">
            <v>10000240</v>
          </cell>
          <cell r="I199" t="str">
            <v>Grava Triturada Caliza 20 mm -</v>
          </cell>
          <cell r="J199">
            <v>113.67</v>
          </cell>
          <cell r="K199" t="str">
            <v>MXN</v>
          </cell>
          <cell r="L199" t="str">
            <v>TN</v>
          </cell>
          <cell r="M199" t="str">
            <v>01.08.2026</v>
          </cell>
          <cell r="N199" t="str">
            <v>31.12.9999</v>
          </cell>
          <cell r="O199" t="str">
            <v>28.07.2026</v>
          </cell>
          <cell r="P199" t="str">
            <v>ZMIF</v>
          </cell>
          <cell r="Q199">
            <v>18.41</v>
          </cell>
          <cell r="R199" t="str">
            <v>MXN</v>
          </cell>
          <cell r="S199" t="str">
            <v>TN</v>
          </cell>
          <cell r="T199" t="str">
            <v>01.08.2026</v>
          </cell>
          <cell r="U199" t="str">
            <v>31.12.9999</v>
          </cell>
          <cell r="V199" t="str">
            <v>ZICF</v>
          </cell>
          <cell r="W199" t="str">
            <v>01</v>
          </cell>
          <cell r="X199">
            <v>256.98</v>
          </cell>
          <cell r="Y199" t="str">
            <v>MXN</v>
          </cell>
          <cell r="Z199" t="str">
            <v>TN</v>
          </cell>
          <cell r="AA199" t="str">
            <v>01.05.2026</v>
          </cell>
          <cell r="AB199" t="str">
            <v>31.12.2030</v>
          </cell>
          <cell r="AC199">
            <v>132.08000000000001</v>
          </cell>
        </row>
        <row r="200">
          <cell r="H200" t="str">
            <v>10000269</v>
          </cell>
          <cell r="I200" t="str">
            <v>Grava Triturada Caliza 13 mm -</v>
          </cell>
          <cell r="J200">
            <v>113.67</v>
          </cell>
          <cell r="K200" t="str">
            <v>MXN</v>
          </cell>
          <cell r="L200" t="str">
            <v>TN</v>
          </cell>
          <cell r="M200" t="str">
            <v>01.08.2026</v>
          </cell>
          <cell r="N200" t="str">
            <v>31.12.9999</v>
          </cell>
          <cell r="O200" t="str">
            <v>28.07.2026</v>
          </cell>
          <cell r="P200" t="str">
            <v>ZMIF</v>
          </cell>
          <cell r="Q200">
            <v>28.81</v>
          </cell>
          <cell r="R200" t="str">
            <v>MXN</v>
          </cell>
          <cell r="S200" t="str">
            <v>TN</v>
          </cell>
          <cell r="T200" t="str">
            <v>01.08.2026</v>
          </cell>
          <cell r="U200" t="str">
            <v>31.12.9999</v>
          </cell>
          <cell r="V200" t="str">
            <v>ZICF</v>
          </cell>
          <cell r="W200" t="str">
            <v>01</v>
          </cell>
          <cell r="X200">
            <v>261.35000000000002</v>
          </cell>
          <cell r="Y200" t="str">
            <v>MXN</v>
          </cell>
          <cell r="Z200" t="str">
            <v>TN</v>
          </cell>
          <cell r="AA200" t="str">
            <v>01.05.2026</v>
          </cell>
          <cell r="AB200" t="str">
            <v>31.12.2030</v>
          </cell>
          <cell r="AC200">
            <v>142.47999999999999</v>
          </cell>
        </row>
        <row r="201">
          <cell r="H201" t="str">
            <v>10001073</v>
          </cell>
          <cell r="I201" t="str">
            <v>Arena Triturada Caliza Malla 4</v>
          </cell>
          <cell r="J201">
            <v>109.7</v>
          </cell>
          <cell r="K201" t="str">
            <v>MXN</v>
          </cell>
          <cell r="L201" t="str">
            <v>TN</v>
          </cell>
          <cell r="M201" t="str">
            <v>01.08.2026</v>
          </cell>
          <cell r="N201" t="str">
            <v>31.12.9999</v>
          </cell>
          <cell r="O201" t="str">
            <v>28.07.2026</v>
          </cell>
          <cell r="P201" t="str">
            <v>ZMIF</v>
          </cell>
          <cell r="Q201">
            <v>-18.7</v>
          </cell>
          <cell r="R201" t="str">
            <v>MXN</v>
          </cell>
          <cell r="S201" t="str">
            <v>TN</v>
          </cell>
          <cell r="T201" t="str">
            <v>01.08.2026</v>
          </cell>
          <cell r="U201" t="str">
            <v>31.12.9999</v>
          </cell>
          <cell r="V201" t="str">
            <v>ZICF</v>
          </cell>
          <cell r="W201" t="str">
            <v>01</v>
          </cell>
          <cell r="X201">
            <v>238.4</v>
          </cell>
          <cell r="Y201" t="str">
            <v>MXN</v>
          </cell>
          <cell r="Z201" t="str">
            <v>TN</v>
          </cell>
          <cell r="AA201" t="str">
            <v>01.05.2026</v>
          </cell>
          <cell r="AB201" t="str">
            <v>31.12.2030</v>
          </cell>
          <cell r="AC201">
            <v>91</v>
          </cell>
        </row>
        <row r="202">
          <cell r="H202" t="str">
            <v>10001074</v>
          </cell>
          <cell r="I202" t="str">
            <v>Grava Triturada Caliza 40 mm -</v>
          </cell>
          <cell r="J202">
            <v>113.67</v>
          </cell>
          <cell r="K202" t="str">
            <v>MXN</v>
          </cell>
          <cell r="L202" t="str">
            <v>TN</v>
          </cell>
          <cell r="M202" t="str">
            <v>01.08.2026</v>
          </cell>
          <cell r="N202" t="str">
            <v>31.12.9999</v>
          </cell>
          <cell r="O202" t="str">
            <v>28.07.2026</v>
          </cell>
          <cell r="P202" t="str">
            <v>ZMIF</v>
          </cell>
          <cell r="Q202">
            <v>28.81</v>
          </cell>
          <cell r="R202" t="str">
            <v>MXN</v>
          </cell>
          <cell r="S202" t="str">
            <v>TN</v>
          </cell>
          <cell r="T202" t="str">
            <v>01.08.2026</v>
          </cell>
          <cell r="U202" t="str">
            <v>31.12.9999</v>
          </cell>
          <cell r="V202" t="str">
            <v>ZICF</v>
          </cell>
          <cell r="W202" t="str">
            <v>01</v>
          </cell>
          <cell r="X202">
            <v>256.5</v>
          </cell>
          <cell r="Y202" t="str">
            <v>MXN</v>
          </cell>
          <cell r="Z202" t="str">
            <v>TN</v>
          </cell>
          <cell r="AA202" t="str">
            <v>01.05.2026</v>
          </cell>
          <cell r="AB202" t="str">
            <v>31.12.2030</v>
          </cell>
          <cell r="AC202">
            <v>142.47999999999999</v>
          </cell>
        </row>
        <row r="203">
          <cell r="H203" t="str">
            <v>10000236</v>
          </cell>
          <cell r="I203" t="str">
            <v>Grava Triturada Caliza 10 mm -</v>
          </cell>
          <cell r="J203">
            <v>113.67</v>
          </cell>
          <cell r="K203" t="str">
            <v>MXN</v>
          </cell>
          <cell r="L203" t="str">
            <v>TN</v>
          </cell>
          <cell r="M203" t="str">
            <v>01.08.2026</v>
          </cell>
          <cell r="N203" t="str">
            <v>31.12.9999</v>
          </cell>
          <cell r="O203" t="str">
            <v>28.07.2026</v>
          </cell>
          <cell r="P203" t="str">
            <v>ZMIF</v>
          </cell>
          <cell r="Q203">
            <v>11.13</v>
          </cell>
          <cell r="R203" t="str">
            <v>MXN</v>
          </cell>
          <cell r="S203" t="str">
            <v>TN</v>
          </cell>
          <cell r="T203" t="str">
            <v>01.08.2026</v>
          </cell>
          <cell r="U203" t="str">
            <v>31.12.9999</v>
          </cell>
          <cell r="V203" t="str">
            <v>ZICF</v>
          </cell>
          <cell r="W203" t="str">
            <v>01</v>
          </cell>
          <cell r="X203">
            <v>231.59</v>
          </cell>
          <cell r="Y203" t="str">
            <v>MXN</v>
          </cell>
          <cell r="Z203" t="str">
            <v>TN</v>
          </cell>
          <cell r="AA203" t="str">
            <v>01.05.2026</v>
          </cell>
          <cell r="AB203" t="str">
            <v>31.12.2030</v>
          </cell>
          <cell r="AC203">
            <v>124.8</v>
          </cell>
        </row>
        <row r="204">
          <cell r="H204" t="str">
            <v>10000240</v>
          </cell>
          <cell r="I204" t="str">
            <v>Grava Triturada Caliza 20 mm -</v>
          </cell>
          <cell r="J204">
            <v>113.67</v>
          </cell>
          <cell r="K204" t="str">
            <v>MXN</v>
          </cell>
          <cell r="L204" t="str">
            <v>TN</v>
          </cell>
          <cell r="M204" t="str">
            <v>01.08.2026</v>
          </cell>
          <cell r="N204" t="str">
            <v>31.12.9999</v>
          </cell>
          <cell r="O204" t="str">
            <v>28.07.2026</v>
          </cell>
          <cell r="P204" t="str">
            <v>ZMIF</v>
          </cell>
          <cell r="Q204">
            <v>18.41</v>
          </cell>
          <cell r="R204" t="str">
            <v>MXN</v>
          </cell>
          <cell r="S204" t="str">
            <v>TN</v>
          </cell>
          <cell r="T204" t="str">
            <v>01.08.2026</v>
          </cell>
          <cell r="U204" t="str">
            <v>31.12.9999</v>
          </cell>
          <cell r="V204" t="str">
            <v>ZICF</v>
          </cell>
          <cell r="W204" t="str">
            <v>01</v>
          </cell>
          <cell r="X204">
            <v>225.64</v>
          </cell>
          <cell r="Y204" t="str">
            <v>MXN</v>
          </cell>
          <cell r="Z204" t="str">
            <v>TN</v>
          </cell>
          <cell r="AA204" t="str">
            <v>01.05.2026</v>
          </cell>
          <cell r="AB204" t="str">
            <v>31.12.2030</v>
          </cell>
          <cell r="AC204">
            <v>132.08000000000001</v>
          </cell>
        </row>
        <row r="205">
          <cell r="H205" t="str">
            <v>10000269</v>
          </cell>
          <cell r="I205" t="str">
            <v>Grava Triturada Caliza 13 mm -</v>
          </cell>
          <cell r="J205">
            <v>113.67</v>
          </cell>
          <cell r="K205" t="str">
            <v>MXN</v>
          </cell>
          <cell r="L205" t="str">
            <v>TN</v>
          </cell>
          <cell r="M205" t="str">
            <v>01.08.2026</v>
          </cell>
          <cell r="N205" t="str">
            <v>31.12.9999</v>
          </cell>
          <cell r="O205" t="str">
            <v>28.07.2026</v>
          </cell>
          <cell r="P205" t="str">
            <v>ZMIF</v>
          </cell>
          <cell r="Q205">
            <v>28.81</v>
          </cell>
          <cell r="R205" t="str">
            <v>MXN</v>
          </cell>
          <cell r="S205" t="str">
            <v>TN</v>
          </cell>
          <cell r="T205" t="str">
            <v>01.08.2026</v>
          </cell>
          <cell r="U205" t="str">
            <v>31.12.9999</v>
          </cell>
          <cell r="V205" t="str">
            <v>ZICF</v>
          </cell>
          <cell r="W205" t="str">
            <v>01</v>
          </cell>
          <cell r="X205">
            <v>229.48</v>
          </cell>
          <cell r="Y205" t="str">
            <v>MXN</v>
          </cell>
          <cell r="Z205" t="str">
            <v>TN</v>
          </cell>
          <cell r="AA205" t="str">
            <v>01.05.2026</v>
          </cell>
          <cell r="AB205" t="str">
            <v>31.12.2030</v>
          </cell>
          <cell r="AC205">
            <v>142.47999999999999</v>
          </cell>
        </row>
        <row r="206">
          <cell r="H206" t="str">
            <v>10001073</v>
          </cell>
          <cell r="I206" t="str">
            <v>Arena Triturada Caliza Malla 4</v>
          </cell>
          <cell r="J206">
            <v>109.7</v>
          </cell>
          <cell r="K206" t="str">
            <v>MXN</v>
          </cell>
          <cell r="L206" t="str">
            <v>TN</v>
          </cell>
          <cell r="M206" t="str">
            <v>01.08.2026</v>
          </cell>
          <cell r="N206" t="str">
            <v>31.12.9999</v>
          </cell>
          <cell r="O206" t="str">
            <v>28.07.2026</v>
          </cell>
          <cell r="P206" t="str">
            <v>ZMIF</v>
          </cell>
          <cell r="Q206">
            <v>-18.7</v>
          </cell>
          <cell r="R206" t="str">
            <v>MXN</v>
          </cell>
          <cell r="S206" t="str">
            <v>TN</v>
          </cell>
          <cell r="T206" t="str">
            <v>01.08.2026</v>
          </cell>
          <cell r="U206" t="str">
            <v>31.12.9999</v>
          </cell>
          <cell r="V206" t="str">
            <v>ZICF</v>
          </cell>
          <cell r="W206" t="str">
            <v>01</v>
          </cell>
          <cell r="X206">
            <v>209.32</v>
          </cell>
          <cell r="Y206" t="str">
            <v>MXN</v>
          </cell>
          <cell r="Z206" t="str">
            <v>TN</v>
          </cell>
          <cell r="AA206" t="str">
            <v>01.05.2026</v>
          </cell>
          <cell r="AB206" t="str">
            <v>31.12.2030</v>
          </cell>
          <cell r="AC206">
            <v>91</v>
          </cell>
        </row>
        <row r="207">
          <cell r="H207" t="str">
            <v>10000236</v>
          </cell>
          <cell r="I207" t="str">
            <v>Grava Triturada Caliza 10 mm -</v>
          </cell>
          <cell r="J207">
            <v>113.67</v>
          </cell>
          <cell r="K207" t="str">
            <v>MXN</v>
          </cell>
          <cell r="L207" t="str">
            <v>TN</v>
          </cell>
          <cell r="M207" t="str">
            <v>01.08.2026</v>
          </cell>
          <cell r="N207" t="str">
            <v>31.12.9999</v>
          </cell>
          <cell r="O207" t="str">
            <v>28.07.2026</v>
          </cell>
          <cell r="P207" t="str">
            <v>ZMIF</v>
          </cell>
          <cell r="Q207">
            <v>11.13</v>
          </cell>
          <cell r="R207" t="str">
            <v>MXN</v>
          </cell>
          <cell r="S207" t="str">
            <v>TN</v>
          </cell>
          <cell r="T207" t="str">
            <v>01.08.2026</v>
          </cell>
          <cell r="U207" t="str">
            <v>31.12.9999</v>
          </cell>
          <cell r="V207" t="str">
            <v>ZICF</v>
          </cell>
          <cell r="W207" t="str">
            <v>01</v>
          </cell>
          <cell r="X207">
            <v>347.39</v>
          </cell>
          <cell r="Y207" t="str">
            <v>MXN</v>
          </cell>
          <cell r="Z207" t="str">
            <v>TN</v>
          </cell>
          <cell r="AA207" t="str">
            <v>01.05.2026</v>
          </cell>
          <cell r="AB207" t="str">
            <v>31.12.2030</v>
          </cell>
          <cell r="AC207">
            <v>124.8</v>
          </cell>
        </row>
        <row r="208">
          <cell r="H208" t="str">
            <v>10000240</v>
          </cell>
          <cell r="I208" t="str">
            <v>Grava Triturada Caliza 20 mm -</v>
          </cell>
          <cell r="J208">
            <v>113.67</v>
          </cell>
          <cell r="K208" t="str">
            <v>MXN</v>
          </cell>
          <cell r="L208" t="str">
            <v>TN</v>
          </cell>
          <cell r="M208" t="str">
            <v>01.08.2026</v>
          </cell>
          <cell r="N208" t="str">
            <v>31.12.9999</v>
          </cell>
          <cell r="O208" t="str">
            <v>28.07.2026</v>
          </cell>
          <cell r="P208" t="str">
            <v>ZMIF</v>
          </cell>
          <cell r="Q208">
            <v>18.41</v>
          </cell>
          <cell r="R208" t="str">
            <v>MXN</v>
          </cell>
          <cell r="S208" t="str">
            <v>TN</v>
          </cell>
          <cell r="T208" t="str">
            <v>01.08.2026</v>
          </cell>
          <cell r="U208" t="str">
            <v>31.12.9999</v>
          </cell>
          <cell r="V208" t="str">
            <v>ZICF</v>
          </cell>
          <cell r="W208" t="str">
            <v>01</v>
          </cell>
          <cell r="X208">
            <v>338.45</v>
          </cell>
          <cell r="Y208" t="str">
            <v>MXN</v>
          </cell>
          <cell r="Z208" t="str">
            <v>TN</v>
          </cell>
          <cell r="AA208" t="str">
            <v>01.05.2026</v>
          </cell>
          <cell r="AB208" t="str">
            <v>31.12.2030</v>
          </cell>
          <cell r="AC208">
            <v>132.08000000000001</v>
          </cell>
        </row>
        <row r="209">
          <cell r="H209" t="str">
            <v>10001073</v>
          </cell>
          <cell r="I209" t="str">
            <v>Arena Triturada Caliza Malla 4</v>
          </cell>
          <cell r="J209">
            <v>109.7</v>
          </cell>
          <cell r="K209" t="str">
            <v>MXN</v>
          </cell>
          <cell r="L209" t="str">
            <v>TN</v>
          </cell>
          <cell r="M209" t="str">
            <v>01.08.2026</v>
          </cell>
          <cell r="N209" t="str">
            <v>31.12.9999</v>
          </cell>
          <cell r="O209" t="str">
            <v>28.07.2026</v>
          </cell>
          <cell r="P209" t="str">
            <v>ZMIF</v>
          </cell>
          <cell r="Q209">
            <v>-18.7</v>
          </cell>
          <cell r="R209" t="str">
            <v>MXN</v>
          </cell>
          <cell r="S209" t="str">
            <v>TN</v>
          </cell>
          <cell r="T209" t="str">
            <v>01.08.2026</v>
          </cell>
          <cell r="U209" t="str">
            <v>31.12.9999</v>
          </cell>
          <cell r="V209" t="str">
            <v>ZICF</v>
          </cell>
          <cell r="W209" t="str">
            <v>01</v>
          </cell>
          <cell r="X209">
            <v>313.99</v>
          </cell>
          <cell r="Y209" t="str">
            <v>MXN</v>
          </cell>
          <cell r="Z209" t="str">
            <v>TN</v>
          </cell>
          <cell r="AA209" t="str">
            <v>01.05.2026</v>
          </cell>
          <cell r="AB209" t="str">
            <v>31.12.2030</v>
          </cell>
          <cell r="AC209">
            <v>91</v>
          </cell>
        </row>
        <row r="210">
          <cell r="H210" t="str">
            <v>10001074</v>
          </cell>
          <cell r="I210" t="str">
            <v>Grava Triturada Caliza 40 mm -</v>
          </cell>
          <cell r="J210">
            <v>113.67</v>
          </cell>
          <cell r="K210" t="str">
            <v>MXN</v>
          </cell>
          <cell r="L210" t="str">
            <v>TN</v>
          </cell>
          <cell r="M210" t="str">
            <v>01.08.2026</v>
          </cell>
          <cell r="N210" t="str">
            <v>31.12.9999</v>
          </cell>
          <cell r="O210" t="str">
            <v>28.07.2026</v>
          </cell>
          <cell r="P210" t="str">
            <v>ZMIF</v>
          </cell>
          <cell r="Q210">
            <v>28.81</v>
          </cell>
          <cell r="R210" t="str">
            <v>MXN</v>
          </cell>
          <cell r="S210" t="str">
            <v>TN</v>
          </cell>
          <cell r="T210" t="str">
            <v>01.08.2026</v>
          </cell>
          <cell r="U210" t="str">
            <v>31.12.9999</v>
          </cell>
          <cell r="V210" t="str">
            <v>ZICF</v>
          </cell>
          <cell r="W210" t="str">
            <v>01</v>
          </cell>
          <cell r="X210">
            <v>337.84</v>
          </cell>
          <cell r="Y210" t="str">
            <v>MXN</v>
          </cell>
          <cell r="Z210" t="str">
            <v>TN</v>
          </cell>
          <cell r="AA210" t="str">
            <v>01.05.2026</v>
          </cell>
          <cell r="AB210" t="str">
            <v>31.12.2030</v>
          </cell>
          <cell r="AC210">
            <v>142.47999999999999</v>
          </cell>
        </row>
        <row r="211">
          <cell r="H211" t="str">
            <v>10000236</v>
          </cell>
          <cell r="I211" t="str">
            <v>Grava Triturada Caliza 10 mm -</v>
          </cell>
          <cell r="J211">
            <v>113.67</v>
          </cell>
          <cell r="K211" t="str">
            <v>MXN</v>
          </cell>
          <cell r="L211" t="str">
            <v>TN</v>
          </cell>
          <cell r="M211" t="str">
            <v>01.08.2026</v>
          </cell>
          <cell r="N211" t="str">
            <v>31.12.9999</v>
          </cell>
          <cell r="O211" t="str">
            <v>28.07.2026</v>
          </cell>
          <cell r="P211" t="str">
            <v>ZMIF</v>
          </cell>
          <cell r="Q211">
            <v>11.13</v>
          </cell>
          <cell r="R211" t="str">
            <v>MXN</v>
          </cell>
          <cell r="S211" t="str">
            <v>TN</v>
          </cell>
          <cell r="T211" t="str">
            <v>01.08.2026</v>
          </cell>
          <cell r="U211" t="str">
            <v>31.12.9999</v>
          </cell>
          <cell r="V211" t="str">
            <v>ZICF</v>
          </cell>
          <cell r="W211" t="str">
            <v>01</v>
          </cell>
          <cell r="X211">
            <v>344.18</v>
          </cell>
          <cell r="Y211" t="str">
            <v>MXN</v>
          </cell>
          <cell r="Z211" t="str">
            <v>TN</v>
          </cell>
          <cell r="AA211" t="str">
            <v>01.05.2026</v>
          </cell>
          <cell r="AB211" t="str">
            <v>31.12.2030</v>
          </cell>
          <cell r="AC211">
            <v>124.8</v>
          </cell>
        </row>
        <row r="212">
          <cell r="H212" t="str">
            <v>10000240</v>
          </cell>
          <cell r="I212" t="str">
            <v>Grava Triturada Caliza 20 mm -</v>
          </cell>
          <cell r="J212">
            <v>113.67</v>
          </cell>
          <cell r="K212" t="str">
            <v>MXN</v>
          </cell>
          <cell r="L212" t="str">
            <v>TN</v>
          </cell>
          <cell r="M212" t="str">
            <v>01.08.2026</v>
          </cell>
          <cell r="N212" t="str">
            <v>31.12.9999</v>
          </cell>
          <cell r="O212" t="str">
            <v>28.07.2026</v>
          </cell>
          <cell r="P212" t="str">
            <v>ZMIF</v>
          </cell>
          <cell r="Q212">
            <v>18.41</v>
          </cell>
          <cell r="R212" t="str">
            <v>MXN</v>
          </cell>
          <cell r="S212" t="str">
            <v>TN</v>
          </cell>
          <cell r="T212" t="str">
            <v>01.08.2026</v>
          </cell>
          <cell r="U212" t="str">
            <v>31.12.9999</v>
          </cell>
          <cell r="V212" t="str">
            <v>ZICF</v>
          </cell>
          <cell r="W212" t="str">
            <v>01</v>
          </cell>
          <cell r="X212">
            <v>335.32</v>
          </cell>
          <cell r="Y212" t="str">
            <v>MXN</v>
          </cell>
          <cell r="Z212" t="str">
            <v>TN</v>
          </cell>
          <cell r="AA212" t="str">
            <v>01.05.2026</v>
          </cell>
          <cell r="AB212" t="str">
            <v>31.12.2030</v>
          </cell>
          <cell r="AC212">
            <v>132.08000000000001</v>
          </cell>
        </row>
        <row r="213">
          <cell r="H213" t="str">
            <v>10001073</v>
          </cell>
          <cell r="I213" t="str">
            <v>Arena Triturada Caliza Malla 4</v>
          </cell>
          <cell r="J213">
            <v>109.7</v>
          </cell>
          <cell r="K213" t="str">
            <v>MXN</v>
          </cell>
          <cell r="L213" t="str">
            <v>TN</v>
          </cell>
          <cell r="M213" t="str">
            <v>01.08.2026</v>
          </cell>
          <cell r="N213" t="str">
            <v>31.12.9999</v>
          </cell>
          <cell r="O213" t="str">
            <v>28.07.2026</v>
          </cell>
          <cell r="P213" t="str">
            <v>ZMIF</v>
          </cell>
          <cell r="Q213">
            <v>-18.7</v>
          </cell>
          <cell r="R213" t="str">
            <v>MXN</v>
          </cell>
          <cell r="S213" t="str">
            <v>TN</v>
          </cell>
          <cell r="T213" t="str">
            <v>01.08.2026</v>
          </cell>
          <cell r="U213" t="str">
            <v>31.12.9999</v>
          </cell>
          <cell r="V213" t="str">
            <v>ZICF</v>
          </cell>
          <cell r="W213" t="str">
            <v>01</v>
          </cell>
          <cell r="X213">
            <v>311.08</v>
          </cell>
          <cell r="Y213" t="str">
            <v>MXN</v>
          </cell>
          <cell r="Z213" t="str">
            <v>TN</v>
          </cell>
          <cell r="AA213" t="str">
            <v>01.05.2026</v>
          </cell>
          <cell r="AB213" t="str">
            <v>31.12.2030</v>
          </cell>
          <cell r="AC213">
            <v>91</v>
          </cell>
        </row>
        <row r="214">
          <cell r="H214" t="str">
            <v>10001074</v>
          </cell>
          <cell r="I214" t="str">
            <v>Grava Triturada Caliza 40 mm -</v>
          </cell>
          <cell r="J214">
            <v>113.67</v>
          </cell>
          <cell r="K214" t="str">
            <v>MXN</v>
          </cell>
          <cell r="L214" t="str">
            <v>TN</v>
          </cell>
          <cell r="M214" t="str">
            <v>01.08.2026</v>
          </cell>
          <cell r="N214" t="str">
            <v>31.12.9999</v>
          </cell>
          <cell r="O214" t="str">
            <v>28.07.2026</v>
          </cell>
          <cell r="P214" t="str">
            <v>ZMIF</v>
          </cell>
          <cell r="Q214">
            <v>28.81</v>
          </cell>
          <cell r="R214" t="str">
            <v>MXN</v>
          </cell>
          <cell r="S214" t="str">
            <v>TN</v>
          </cell>
          <cell r="T214" t="str">
            <v>01.08.2026</v>
          </cell>
          <cell r="U214" t="str">
            <v>31.12.9999</v>
          </cell>
          <cell r="V214" t="str">
            <v>ZICF</v>
          </cell>
          <cell r="W214" t="str">
            <v>01</v>
          </cell>
          <cell r="X214">
            <v>334.71</v>
          </cell>
          <cell r="Y214" t="str">
            <v>MXN</v>
          </cell>
          <cell r="Z214" t="str">
            <v>TN</v>
          </cell>
          <cell r="AA214" t="str">
            <v>01.05.2026</v>
          </cell>
          <cell r="AB214" t="str">
            <v>31.12.2030</v>
          </cell>
          <cell r="AC214">
            <v>142.47999999999999</v>
          </cell>
        </row>
        <row r="215">
          <cell r="H215" t="str">
            <v>10000236</v>
          </cell>
          <cell r="I215" t="str">
            <v>Grava Triturada Caliza 10 mm -</v>
          </cell>
          <cell r="J215">
            <v>113.67</v>
          </cell>
          <cell r="K215" t="str">
            <v>MXN</v>
          </cell>
          <cell r="L215" t="str">
            <v>TN</v>
          </cell>
          <cell r="M215" t="str">
            <v>01.08.2026</v>
          </cell>
          <cell r="N215" t="str">
            <v>31.12.9999</v>
          </cell>
          <cell r="O215" t="str">
            <v>28.07.2026</v>
          </cell>
          <cell r="P215" t="str">
            <v>ZMIF</v>
          </cell>
          <cell r="Q215">
            <v>11.13</v>
          </cell>
          <cell r="R215" t="str">
            <v>MXN</v>
          </cell>
          <cell r="S215" t="str">
            <v>TN</v>
          </cell>
          <cell r="T215" t="str">
            <v>01.08.2026</v>
          </cell>
          <cell r="U215" t="str">
            <v>31.12.9999</v>
          </cell>
          <cell r="V215" t="str">
            <v>ZICF</v>
          </cell>
          <cell r="W215" t="str">
            <v>01</v>
          </cell>
          <cell r="X215">
            <v>231.59</v>
          </cell>
          <cell r="Y215" t="str">
            <v>MXN</v>
          </cell>
          <cell r="Z215" t="str">
            <v>TN</v>
          </cell>
          <cell r="AA215" t="str">
            <v>01.05.2026</v>
          </cell>
          <cell r="AB215" t="str">
            <v>31.12.2030</v>
          </cell>
          <cell r="AC215">
            <v>124.8</v>
          </cell>
        </row>
        <row r="216">
          <cell r="H216" t="str">
            <v>10000240</v>
          </cell>
          <cell r="I216" t="str">
            <v>Grava Triturada Caliza 20 mm -</v>
          </cell>
          <cell r="J216">
            <v>113.67</v>
          </cell>
          <cell r="K216" t="str">
            <v>MXN</v>
          </cell>
          <cell r="L216" t="str">
            <v>TN</v>
          </cell>
          <cell r="M216" t="str">
            <v>01.08.2026</v>
          </cell>
          <cell r="N216" t="str">
            <v>31.12.9999</v>
          </cell>
          <cell r="O216" t="str">
            <v>28.07.2026</v>
          </cell>
          <cell r="P216" t="str">
            <v>ZMIF</v>
          </cell>
          <cell r="Q216">
            <v>18.41</v>
          </cell>
          <cell r="R216" t="str">
            <v>MXN</v>
          </cell>
          <cell r="S216" t="str">
            <v>TN</v>
          </cell>
          <cell r="T216" t="str">
            <v>01.08.2026</v>
          </cell>
          <cell r="U216" t="str">
            <v>31.12.9999</v>
          </cell>
          <cell r="V216" t="str">
            <v>ZICF</v>
          </cell>
          <cell r="W216" t="str">
            <v>01</v>
          </cell>
          <cell r="X216">
            <v>225.64</v>
          </cell>
          <cell r="Y216" t="str">
            <v>MXN</v>
          </cell>
          <cell r="Z216" t="str">
            <v>TN</v>
          </cell>
          <cell r="AA216" t="str">
            <v>01.05.2026</v>
          </cell>
          <cell r="AB216" t="str">
            <v>31.12.2030</v>
          </cell>
          <cell r="AC216">
            <v>132.08000000000001</v>
          </cell>
        </row>
        <row r="217">
          <cell r="H217" t="str">
            <v>10000269</v>
          </cell>
          <cell r="I217" t="str">
            <v>Grava Triturada Caliza 13 mm -</v>
          </cell>
          <cell r="J217">
            <v>113.67</v>
          </cell>
          <cell r="K217" t="str">
            <v>MXN</v>
          </cell>
          <cell r="L217" t="str">
            <v>TN</v>
          </cell>
          <cell r="M217" t="str">
            <v>01.08.2026</v>
          </cell>
          <cell r="N217" t="str">
            <v>31.12.9999</v>
          </cell>
          <cell r="O217" t="str">
            <v>28.07.2026</v>
          </cell>
          <cell r="P217" t="str">
            <v>ZMIF</v>
          </cell>
          <cell r="Q217">
            <v>28.81</v>
          </cell>
          <cell r="R217" t="str">
            <v>MXN</v>
          </cell>
          <cell r="S217" t="str">
            <v>TN</v>
          </cell>
          <cell r="T217" t="str">
            <v>01.08.2026</v>
          </cell>
          <cell r="U217" t="str">
            <v>31.12.9999</v>
          </cell>
          <cell r="V217" t="str">
            <v>ZICF</v>
          </cell>
          <cell r="W217" t="str">
            <v>01</v>
          </cell>
          <cell r="X217">
            <v>229.48</v>
          </cell>
          <cell r="Y217" t="str">
            <v>MXN</v>
          </cell>
          <cell r="Z217" t="str">
            <v>TN</v>
          </cell>
          <cell r="AA217" t="str">
            <v>01.05.2026</v>
          </cell>
          <cell r="AB217" t="str">
            <v>31.12.2030</v>
          </cell>
          <cell r="AC217">
            <v>142.47999999999999</v>
          </cell>
        </row>
        <row r="218">
          <cell r="H218" t="str">
            <v>10001073</v>
          </cell>
          <cell r="I218" t="str">
            <v>Arena Triturada Caliza Malla 4</v>
          </cell>
          <cell r="J218">
            <v>109.7</v>
          </cell>
          <cell r="K218" t="str">
            <v>MXN</v>
          </cell>
          <cell r="L218" t="str">
            <v>TN</v>
          </cell>
          <cell r="M218" t="str">
            <v>01.08.2026</v>
          </cell>
          <cell r="N218" t="str">
            <v>31.12.9999</v>
          </cell>
          <cell r="O218" t="str">
            <v>28.07.2026</v>
          </cell>
          <cell r="P218" t="str">
            <v>ZMIF</v>
          </cell>
          <cell r="Q218">
            <v>-18.7</v>
          </cell>
          <cell r="R218" t="str">
            <v>MXN</v>
          </cell>
          <cell r="S218" t="str">
            <v>TN</v>
          </cell>
          <cell r="T218" t="str">
            <v>01.08.2026</v>
          </cell>
          <cell r="U218" t="str">
            <v>31.12.9999</v>
          </cell>
          <cell r="V218" t="str">
            <v>ZICF</v>
          </cell>
          <cell r="W218" t="str">
            <v>01</v>
          </cell>
          <cell r="X218">
            <v>209.32</v>
          </cell>
          <cell r="Y218" t="str">
            <v>MXN</v>
          </cell>
          <cell r="Z218" t="str">
            <v>TN</v>
          </cell>
          <cell r="AA218" t="str">
            <v>01.05.2026</v>
          </cell>
          <cell r="AB218" t="str">
            <v>31.12.2030</v>
          </cell>
          <cell r="AC218">
            <v>91</v>
          </cell>
        </row>
        <row r="219">
          <cell r="H219" t="str">
            <v>10001074</v>
          </cell>
          <cell r="I219" t="str">
            <v>Grava Triturada Caliza 40 mm -</v>
          </cell>
          <cell r="J219">
            <v>113.67</v>
          </cell>
          <cell r="K219" t="str">
            <v>MXN</v>
          </cell>
          <cell r="L219" t="str">
            <v>TN</v>
          </cell>
          <cell r="M219" t="str">
            <v>01.08.2026</v>
          </cell>
          <cell r="N219" t="str">
            <v>31.12.9999</v>
          </cell>
          <cell r="O219" t="str">
            <v>28.07.2026</v>
          </cell>
          <cell r="P219" t="str">
            <v>ZMIF</v>
          </cell>
          <cell r="Q219">
            <v>28.81</v>
          </cell>
          <cell r="R219" t="str">
            <v>MXN</v>
          </cell>
          <cell r="S219" t="str">
            <v>TN</v>
          </cell>
          <cell r="T219" t="str">
            <v>01.08.2026</v>
          </cell>
          <cell r="U219" t="str">
            <v>31.12.9999</v>
          </cell>
          <cell r="V219" t="str">
            <v>ZICF</v>
          </cell>
          <cell r="W219" t="str">
            <v>01</v>
          </cell>
          <cell r="X219">
            <v>225.22</v>
          </cell>
          <cell r="Y219" t="str">
            <v>MXN</v>
          </cell>
          <cell r="Z219" t="str">
            <v>TN</v>
          </cell>
          <cell r="AA219" t="str">
            <v>01.05.2026</v>
          </cell>
          <cell r="AB219" t="str">
            <v>31.12.2030</v>
          </cell>
          <cell r="AC219">
            <v>142.47999999999999</v>
          </cell>
        </row>
        <row r="220">
          <cell r="H220" t="str">
            <v>10000236</v>
          </cell>
          <cell r="I220" t="str">
            <v>Grava Triturada Caliza 10 mm -</v>
          </cell>
          <cell r="J220">
            <v>113.67</v>
          </cell>
          <cell r="K220" t="str">
            <v>MXN</v>
          </cell>
          <cell r="L220" t="str">
            <v>TN</v>
          </cell>
          <cell r="M220" t="str">
            <v>01.08.2026</v>
          </cell>
          <cell r="N220" t="str">
            <v>31.12.9999</v>
          </cell>
          <cell r="O220" t="str">
            <v>28.07.2026</v>
          </cell>
          <cell r="P220" t="str">
            <v>ZMIF</v>
          </cell>
          <cell r="Q220">
            <v>11.13</v>
          </cell>
          <cell r="R220" t="str">
            <v>MXN</v>
          </cell>
          <cell r="S220" t="str">
            <v>TN</v>
          </cell>
          <cell r="T220" t="str">
            <v>01.08.2026</v>
          </cell>
          <cell r="U220" t="str">
            <v>31.12.9999</v>
          </cell>
          <cell r="V220" t="str">
            <v>ZICF</v>
          </cell>
          <cell r="W220" t="str">
            <v>01</v>
          </cell>
          <cell r="X220">
            <v>215.51</v>
          </cell>
          <cell r="Y220" t="str">
            <v>MXN</v>
          </cell>
          <cell r="Z220" t="str">
            <v>TN</v>
          </cell>
          <cell r="AA220" t="str">
            <v>01.05.2026</v>
          </cell>
          <cell r="AB220" t="str">
            <v>31.12.2030</v>
          </cell>
          <cell r="AC220">
            <v>124.8</v>
          </cell>
        </row>
        <row r="221">
          <cell r="H221" t="str">
            <v>10000240</v>
          </cell>
          <cell r="I221" t="str">
            <v>Grava Triturada Caliza 20 mm -</v>
          </cell>
          <cell r="J221">
            <v>113.67</v>
          </cell>
          <cell r="K221" t="str">
            <v>MXN</v>
          </cell>
          <cell r="L221" t="str">
            <v>TN</v>
          </cell>
          <cell r="M221" t="str">
            <v>01.08.2026</v>
          </cell>
          <cell r="N221" t="str">
            <v>31.12.9999</v>
          </cell>
          <cell r="O221" t="str">
            <v>28.07.2026</v>
          </cell>
          <cell r="P221" t="str">
            <v>ZMIF</v>
          </cell>
          <cell r="Q221">
            <v>18.41</v>
          </cell>
          <cell r="R221" t="str">
            <v>MXN</v>
          </cell>
          <cell r="S221" t="str">
            <v>TN</v>
          </cell>
          <cell r="T221" t="str">
            <v>01.08.2026</v>
          </cell>
          <cell r="U221" t="str">
            <v>31.12.9999</v>
          </cell>
          <cell r="V221" t="str">
            <v>ZICF</v>
          </cell>
          <cell r="W221" t="str">
            <v>01</v>
          </cell>
          <cell r="X221">
            <v>209.97</v>
          </cell>
          <cell r="Y221" t="str">
            <v>MXN</v>
          </cell>
          <cell r="Z221" t="str">
            <v>TN</v>
          </cell>
          <cell r="AA221" t="str">
            <v>01.05.2026</v>
          </cell>
          <cell r="AB221" t="str">
            <v>31.12.2030</v>
          </cell>
          <cell r="AC221">
            <v>132.08000000000001</v>
          </cell>
        </row>
        <row r="222">
          <cell r="H222" t="str">
            <v>10000269</v>
          </cell>
          <cell r="I222" t="str">
            <v>Grava Triturada Caliza 13 mm -</v>
          </cell>
          <cell r="J222">
            <v>113.67</v>
          </cell>
          <cell r="K222" t="str">
            <v>MXN</v>
          </cell>
          <cell r="L222" t="str">
            <v>TN</v>
          </cell>
          <cell r="M222" t="str">
            <v>01.08.2026</v>
          </cell>
          <cell r="N222" t="str">
            <v>31.12.9999</v>
          </cell>
          <cell r="O222" t="str">
            <v>28.07.2026</v>
          </cell>
          <cell r="P222" t="str">
            <v>ZMIF</v>
          </cell>
          <cell r="Q222">
            <v>28.81</v>
          </cell>
          <cell r="R222" t="str">
            <v>MXN</v>
          </cell>
          <cell r="S222" t="str">
            <v>TN</v>
          </cell>
          <cell r="T222" t="str">
            <v>01.08.2026</v>
          </cell>
          <cell r="U222" t="str">
            <v>31.12.9999</v>
          </cell>
          <cell r="V222" t="str">
            <v>ZICF</v>
          </cell>
          <cell r="W222" t="str">
            <v>01</v>
          </cell>
          <cell r="X222">
            <v>213.54</v>
          </cell>
          <cell r="Y222" t="str">
            <v>MXN</v>
          </cell>
          <cell r="Z222" t="str">
            <v>TN</v>
          </cell>
          <cell r="AA222" t="str">
            <v>01.05.2026</v>
          </cell>
          <cell r="AB222" t="str">
            <v>31.12.2030</v>
          </cell>
          <cell r="AC222">
            <v>142.47999999999999</v>
          </cell>
        </row>
        <row r="223">
          <cell r="H223" t="str">
            <v>10001073</v>
          </cell>
          <cell r="I223" t="str">
            <v>Arena Triturada Caliza Malla 4</v>
          </cell>
          <cell r="J223">
            <v>109.7</v>
          </cell>
          <cell r="K223" t="str">
            <v>MXN</v>
          </cell>
          <cell r="L223" t="str">
            <v>TN</v>
          </cell>
          <cell r="M223" t="str">
            <v>01.08.2026</v>
          </cell>
          <cell r="N223" t="str">
            <v>31.12.9999</v>
          </cell>
          <cell r="O223" t="str">
            <v>28.07.2026</v>
          </cell>
          <cell r="P223" t="str">
            <v>ZMIF</v>
          </cell>
          <cell r="Q223">
            <v>-18.7</v>
          </cell>
          <cell r="R223" t="str">
            <v>MXN</v>
          </cell>
          <cell r="S223" t="str">
            <v>TN</v>
          </cell>
          <cell r="T223" t="str">
            <v>01.08.2026</v>
          </cell>
          <cell r="U223" t="str">
            <v>31.12.9999</v>
          </cell>
          <cell r="V223" t="str">
            <v>ZICF</v>
          </cell>
          <cell r="W223" t="str">
            <v>01</v>
          </cell>
          <cell r="X223">
            <v>194.79</v>
          </cell>
          <cell r="Y223" t="str">
            <v>MXN</v>
          </cell>
          <cell r="Z223" t="str">
            <v>TN</v>
          </cell>
          <cell r="AA223" t="str">
            <v>01.05.2026</v>
          </cell>
          <cell r="AB223" t="str">
            <v>31.12.2030</v>
          </cell>
          <cell r="AC223">
            <v>91</v>
          </cell>
        </row>
        <row r="224">
          <cell r="H224" t="str">
            <v>10001074</v>
          </cell>
          <cell r="I224" t="str">
            <v>Grava Triturada Caliza 40 mm -</v>
          </cell>
          <cell r="J224">
            <v>113.67</v>
          </cell>
          <cell r="K224" t="str">
            <v>MXN</v>
          </cell>
          <cell r="L224" t="str">
            <v>TN</v>
          </cell>
          <cell r="M224" t="str">
            <v>01.08.2026</v>
          </cell>
          <cell r="N224" t="str">
            <v>31.12.9999</v>
          </cell>
          <cell r="O224" t="str">
            <v>28.07.2026</v>
          </cell>
          <cell r="P224" t="str">
            <v>ZMIF</v>
          </cell>
          <cell r="Q224">
            <v>28.81</v>
          </cell>
          <cell r="R224" t="str">
            <v>MXN</v>
          </cell>
          <cell r="S224" t="str">
            <v>TN</v>
          </cell>
          <cell r="T224" t="str">
            <v>01.08.2026</v>
          </cell>
          <cell r="U224" t="str">
            <v>31.12.9999</v>
          </cell>
          <cell r="V224" t="str">
            <v>ZICF</v>
          </cell>
          <cell r="W224" t="str">
            <v>01</v>
          </cell>
          <cell r="X224">
            <v>209.58</v>
          </cell>
          <cell r="Y224" t="str">
            <v>MXN</v>
          </cell>
          <cell r="Z224" t="str">
            <v>TN</v>
          </cell>
          <cell r="AA224" t="str">
            <v>01.05.2026</v>
          </cell>
          <cell r="AB224" t="str">
            <v>31.12.2030</v>
          </cell>
          <cell r="AC224">
            <v>142.47999999999999</v>
          </cell>
        </row>
        <row r="225">
          <cell r="H225" t="str">
            <v>10000236</v>
          </cell>
          <cell r="I225" t="str">
            <v>Grava Triturada Caliza 10 mm -</v>
          </cell>
          <cell r="J225">
            <v>113.67</v>
          </cell>
          <cell r="K225" t="str">
            <v>MXN</v>
          </cell>
          <cell r="L225" t="str">
            <v>TN</v>
          </cell>
          <cell r="M225" t="str">
            <v>01.08.2026</v>
          </cell>
          <cell r="N225" t="str">
            <v>31.12.9999</v>
          </cell>
          <cell r="O225" t="str">
            <v>28.07.2026</v>
          </cell>
          <cell r="P225" t="str">
            <v>ZMIF</v>
          </cell>
          <cell r="Q225">
            <v>11.13</v>
          </cell>
          <cell r="R225" t="str">
            <v>MXN</v>
          </cell>
          <cell r="S225" t="str">
            <v>TN</v>
          </cell>
          <cell r="T225" t="str">
            <v>01.08.2026</v>
          </cell>
          <cell r="U225" t="str">
            <v>31.12.9999</v>
          </cell>
          <cell r="V225" t="str">
            <v>ZICF</v>
          </cell>
          <cell r="W225" t="str">
            <v>01</v>
          </cell>
          <cell r="X225">
            <v>263.76</v>
          </cell>
          <cell r="Y225" t="str">
            <v>MXN</v>
          </cell>
          <cell r="Z225" t="str">
            <v>TN</v>
          </cell>
          <cell r="AA225" t="str">
            <v>01.05.2026</v>
          </cell>
          <cell r="AB225" t="str">
            <v>31.12.2030</v>
          </cell>
          <cell r="AC225">
            <v>124.8</v>
          </cell>
        </row>
        <row r="226">
          <cell r="H226" t="str">
            <v>10000240</v>
          </cell>
          <cell r="I226" t="str">
            <v>Grava Triturada Caliza 20 mm -</v>
          </cell>
          <cell r="J226">
            <v>113.67</v>
          </cell>
          <cell r="K226" t="str">
            <v>MXN</v>
          </cell>
          <cell r="L226" t="str">
            <v>TN</v>
          </cell>
          <cell r="M226" t="str">
            <v>01.08.2026</v>
          </cell>
          <cell r="N226" t="str">
            <v>31.12.9999</v>
          </cell>
          <cell r="O226" t="str">
            <v>28.07.2026</v>
          </cell>
          <cell r="P226" t="str">
            <v>ZMIF</v>
          </cell>
          <cell r="Q226">
            <v>18.41</v>
          </cell>
          <cell r="R226" t="str">
            <v>MXN</v>
          </cell>
          <cell r="S226" t="str">
            <v>TN</v>
          </cell>
          <cell r="T226" t="str">
            <v>01.08.2026</v>
          </cell>
          <cell r="U226" t="str">
            <v>31.12.9999</v>
          </cell>
          <cell r="V226" t="str">
            <v>ZICF</v>
          </cell>
          <cell r="W226" t="str">
            <v>01</v>
          </cell>
          <cell r="X226">
            <v>256.98</v>
          </cell>
          <cell r="Y226" t="str">
            <v>MXN</v>
          </cell>
          <cell r="Z226" t="str">
            <v>TN</v>
          </cell>
          <cell r="AA226" t="str">
            <v>01.05.2026</v>
          </cell>
          <cell r="AB226" t="str">
            <v>31.12.2030</v>
          </cell>
          <cell r="AC226">
            <v>132.08000000000001</v>
          </cell>
        </row>
        <row r="227">
          <cell r="H227" t="str">
            <v>10000269</v>
          </cell>
          <cell r="I227" t="str">
            <v>Grava Triturada Caliza 13 mm -</v>
          </cell>
          <cell r="J227">
            <v>113.67</v>
          </cell>
          <cell r="K227" t="str">
            <v>MXN</v>
          </cell>
          <cell r="L227" t="str">
            <v>TN</v>
          </cell>
          <cell r="M227" t="str">
            <v>01.08.2026</v>
          </cell>
          <cell r="N227" t="str">
            <v>31.12.9999</v>
          </cell>
          <cell r="O227" t="str">
            <v>28.07.2026</v>
          </cell>
          <cell r="P227" t="str">
            <v>ZMIF</v>
          </cell>
          <cell r="Q227">
            <v>28.81</v>
          </cell>
          <cell r="R227" t="str">
            <v>MXN</v>
          </cell>
          <cell r="S227" t="str">
            <v>TN</v>
          </cell>
          <cell r="T227" t="str">
            <v>01.08.2026</v>
          </cell>
          <cell r="U227" t="str">
            <v>31.12.9999</v>
          </cell>
          <cell r="V227" t="str">
            <v>ZICF</v>
          </cell>
          <cell r="W227" t="str">
            <v>01</v>
          </cell>
          <cell r="X227">
            <v>261.35000000000002</v>
          </cell>
          <cell r="Y227" t="str">
            <v>MXN</v>
          </cell>
          <cell r="Z227" t="str">
            <v>TN</v>
          </cell>
          <cell r="AA227" t="str">
            <v>01.05.2026</v>
          </cell>
          <cell r="AB227" t="str">
            <v>31.12.2030</v>
          </cell>
          <cell r="AC227">
            <v>142.47999999999999</v>
          </cell>
        </row>
        <row r="228">
          <cell r="H228" t="str">
            <v>10001073</v>
          </cell>
          <cell r="I228" t="str">
            <v>Arena Triturada Caliza Malla 4</v>
          </cell>
          <cell r="J228">
            <v>109.7</v>
          </cell>
          <cell r="K228" t="str">
            <v>MXN</v>
          </cell>
          <cell r="L228" t="str">
            <v>TN</v>
          </cell>
          <cell r="M228" t="str">
            <v>01.08.2026</v>
          </cell>
          <cell r="N228" t="str">
            <v>31.12.9999</v>
          </cell>
          <cell r="O228" t="str">
            <v>28.07.2026</v>
          </cell>
          <cell r="P228" t="str">
            <v>ZMIF</v>
          </cell>
          <cell r="Q228">
            <v>-18.7</v>
          </cell>
          <cell r="R228" t="str">
            <v>MXN</v>
          </cell>
          <cell r="S228" t="str">
            <v>TN</v>
          </cell>
          <cell r="T228" t="str">
            <v>01.08.2026</v>
          </cell>
          <cell r="U228" t="str">
            <v>31.12.9999</v>
          </cell>
          <cell r="V228" t="str">
            <v>ZICF</v>
          </cell>
          <cell r="W228" t="str">
            <v>01</v>
          </cell>
          <cell r="X228">
            <v>238.4</v>
          </cell>
          <cell r="Y228" t="str">
            <v>MXN</v>
          </cell>
          <cell r="Z228" t="str">
            <v>TN</v>
          </cell>
          <cell r="AA228" t="str">
            <v>01.05.2026</v>
          </cell>
          <cell r="AB228" t="str">
            <v>31.12.2030</v>
          </cell>
          <cell r="AC228">
            <v>91</v>
          </cell>
        </row>
        <row r="229">
          <cell r="H229" t="str">
            <v>10001074</v>
          </cell>
          <cell r="I229" t="str">
            <v>Grava Triturada Caliza 40 mm -</v>
          </cell>
          <cell r="J229">
            <v>113.67</v>
          </cell>
          <cell r="K229" t="str">
            <v>MXN</v>
          </cell>
          <cell r="L229" t="str">
            <v>TN</v>
          </cell>
          <cell r="M229" t="str">
            <v>01.08.2026</v>
          </cell>
          <cell r="N229" t="str">
            <v>31.12.9999</v>
          </cell>
          <cell r="O229" t="str">
            <v>28.07.2026</v>
          </cell>
          <cell r="P229" t="str">
            <v>ZMIF</v>
          </cell>
          <cell r="Q229">
            <v>28.81</v>
          </cell>
          <cell r="R229" t="str">
            <v>MXN</v>
          </cell>
          <cell r="S229" t="str">
            <v>TN</v>
          </cell>
          <cell r="T229" t="str">
            <v>01.08.2026</v>
          </cell>
          <cell r="U229" t="str">
            <v>31.12.9999</v>
          </cell>
          <cell r="V229" t="str">
            <v>ZICF</v>
          </cell>
          <cell r="W229" t="str">
            <v>01</v>
          </cell>
          <cell r="X229">
            <v>256.5</v>
          </cell>
          <cell r="Y229" t="str">
            <v>MXN</v>
          </cell>
          <cell r="Z229" t="str">
            <v>TN</v>
          </cell>
          <cell r="AA229" t="str">
            <v>01.05.2026</v>
          </cell>
          <cell r="AB229" t="str">
            <v>31.12.2030</v>
          </cell>
          <cell r="AC229">
            <v>142.47999999999999</v>
          </cell>
        </row>
        <row r="230">
          <cell r="H230" t="str">
            <v>10000236</v>
          </cell>
          <cell r="I230" t="str">
            <v>Grava Triturada Caliza 10 mm -</v>
          </cell>
          <cell r="J230">
            <v>113.67</v>
          </cell>
          <cell r="K230" t="str">
            <v>MXN</v>
          </cell>
          <cell r="L230" t="str">
            <v>TN</v>
          </cell>
          <cell r="M230" t="str">
            <v>01.08.2026</v>
          </cell>
          <cell r="N230" t="str">
            <v>31.12.9999</v>
          </cell>
          <cell r="O230" t="str">
            <v>28.07.2026</v>
          </cell>
          <cell r="P230" t="str">
            <v>ZMIF</v>
          </cell>
          <cell r="Q230">
            <v>11.13</v>
          </cell>
          <cell r="R230" t="str">
            <v>MXN</v>
          </cell>
          <cell r="S230" t="str">
            <v>TN</v>
          </cell>
          <cell r="T230" t="str">
            <v>01.08.2026</v>
          </cell>
          <cell r="U230" t="str">
            <v>31.12.9999</v>
          </cell>
          <cell r="V230" t="str">
            <v>ZICF</v>
          </cell>
          <cell r="W230" t="str">
            <v>01</v>
          </cell>
          <cell r="X230">
            <v>324.88</v>
          </cell>
          <cell r="Y230" t="str">
            <v>MXN</v>
          </cell>
          <cell r="Z230" t="str">
            <v>TN</v>
          </cell>
          <cell r="AA230" t="str">
            <v>01.05.2026</v>
          </cell>
          <cell r="AB230" t="str">
            <v>31.12.2030</v>
          </cell>
          <cell r="AC230">
            <v>124.8</v>
          </cell>
        </row>
        <row r="231">
          <cell r="H231" t="str">
            <v>10000240</v>
          </cell>
          <cell r="I231" t="str">
            <v>Grava Triturada Caliza 20 mm -</v>
          </cell>
          <cell r="J231">
            <v>113.67</v>
          </cell>
          <cell r="K231" t="str">
            <v>MXN</v>
          </cell>
          <cell r="L231" t="str">
            <v>TN</v>
          </cell>
          <cell r="M231" t="str">
            <v>01.08.2026</v>
          </cell>
          <cell r="N231" t="str">
            <v>31.12.9999</v>
          </cell>
          <cell r="O231" t="str">
            <v>28.07.2026</v>
          </cell>
          <cell r="P231" t="str">
            <v>ZMIF</v>
          </cell>
          <cell r="Q231">
            <v>18.41</v>
          </cell>
          <cell r="R231" t="str">
            <v>MXN</v>
          </cell>
          <cell r="S231" t="str">
            <v>TN</v>
          </cell>
          <cell r="T231" t="str">
            <v>01.08.2026</v>
          </cell>
          <cell r="U231" t="str">
            <v>31.12.9999</v>
          </cell>
          <cell r="V231" t="str">
            <v>ZICF</v>
          </cell>
          <cell r="W231" t="str">
            <v>01</v>
          </cell>
          <cell r="X231">
            <v>316.51</v>
          </cell>
          <cell r="Y231" t="str">
            <v>MXN</v>
          </cell>
          <cell r="Z231" t="str">
            <v>TN</v>
          </cell>
          <cell r="AA231" t="str">
            <v>01.05.2026</v>
          </cell>
          <cell r="AB231" t="str">
            <v>31.12.2030</v>
          </cell>
          <cell r="AC231">
            <v>132.08000000000001</v>
          </cell>
        </row>
        <row r="232">
          <cell r="H232" t="str">
            <v>10001073</v>
          </cell>
          <cell r="I232" t="str">
            <v>Arena Triturada Caliza Malla 4</v>
          </cell>
          <cell r="J232">
            <v>109.7</v>
          </cell>
          <cell r="K232" t="str">
            <v>MXN</v>
          </cell>
          <cell r="L232" t="str">
            <v>TN</v>
          </cell>
          <cell r="M232" t="str">
            <v>01.08.2026</v>
          </cell>
          <cell r="N232" t="str">
            <v>31.12.9999</v>
          </cell>
          <cell r="O232" t="str">
            <v>28.07.2026</v>
          </cell>
          <cell r="P232" t="str">
            <v>ZMIF</v>
          </cell>
          <cell r="Q232">
            <v>-18.7</v>
          </cell>
          <cell r="R232" t="str">
            <v>MXN</v>
          </cell>
          <cell r="S232" t="str">
            <v>TN</v>
          </cell>
          <cell r="T232" t="str">
            <v>01.08.2026</v>
          </cell>
          <cell r="U232" t="str">
            <v>31.12.9999</v>
          </cell>
          <cell r="V232" t="str">
            <v>ZICF</v>
          </cell>
          <cell r="W232" t="str">
            <v>01</v>
          </cell>
          <cell r="X232">
            <v>293.64</v>
          </cell>
          <cell r="Y232" t="str">
            <v>MXN</v>
          </cell>
          <cell r="Z232" t="str">
            <v>TN</v>
          </cell>
          <cell r="AA232" t="str">
            <v>01.05.2026</v>
          </cell>
          <cell r="AB232" t="str">
            <v>31.12.2030</v>
          </cell>
          <cell r="AC232">
            <v>91</v>
          </cell>
        </row>
        <row r="233">
          <cell r="H233" t="str">
            <v>10001074</v>
          </cell>
          <cell r="I233" t="str">
            <v>Grava Triturada Caliza 40 mm -</v>
          </cell>
          <cell r="J233">
            <v>113.67</v>
          </cell>
          <cell r="K233" t="str">
            <v>MXN</v>
          </cell>
          <cell r="L233" t="str">
            <v>TN</v>
          </cell>
          <cell r="M233" t="str">
            <v>01.08.2026</v>
          </cell>
          <cell r="N233" t="str">
            <v>31.12.9999</v>
          </cell>
          <cell r="O233" t="str">
            <v>28.07.2026</v>
          </cell>
          <cell r="P233" t="str">
            <v>ZMIF</v>
          </cell>
          <cell r="Q233">
            <v>28.81</v>
          </cell>
          <cell r="R233" t="str">
            <v>MXN</v>
          </cell>
          <cell r="S233" t="str">
            <v>TN</v>
          </cell>
          <cell r="T233" t="str">
            <v>01.08.2026</v>
          </cell>
          <cell r="U233" t="str">
            <v>31.12.9999</v>
          </cell>
          <cell r="V233" t="str">
            <v>ZICF</v>
          </cell>
          <cell r="W233" t="str">
            <v>01</v>
          </cell>
          <cell r="X233">
            <v>315.94</v>
          </cell>
          <cell r="Y233" t="str">
            <v>MXN</v>
          </cell>
          <cell r="Z233" t="str">
            <v>TN</v>
          </cell>
          <cell r="AA233" t="str">
            <v>01.05.2026</v>
          </cell>
          <cell r="AB233" t="str">
            <v>31.12.2030</v>
          </cell>
          <cell r="AC233">
            <v>142.47999999999999</v>
          </cell>
        </row>
        <row r="234">
          <cell r="H234" t="str">
            <v>10000236</v>
          </cell>
          <cell r="I234" t="str">
            <v>Grava Triturada Caliza 10 mm -</v>
          </cell>
          <cell r="J234">
            <v>113.67</v>
          </cell>
          <cell r="K234" t="str">
            <v>MXN</v>
          </cell>
          <cell r="L234" t="str">
            <v>TN</v>
          </cell>
          <cell r="M234" t="str">
            <v>01.08.2026</v>
          </cell>
          <cell r="N234" t="str">
            <v>31.12.9999</v>
          </cell>
          <cell r="O234" t="str">
            <v>28.07.2026</v>
          </cell>
          <cell r="P234" t="str">
            <v>ZMIF</v>
          </cell>
          <cell r="Q234">
            <v>11.13</v>
          </cell>
          <cell r="R234" t="str">
            <v>MXN</v>
          </cell>
          <cell r="S234" t="str">
            <v>TN</v>
          </cell>
          <cell r="T234" t="str">
            <v>01.08.2026</v>
          </cell>
          <cell r="U234" t="str">
            <v>31.12.9999</v>
          </cell>
          <cell r="V234" t="str">
            <v>ZICF</v>
          </cell>
          <cell r="W234" t="str">
            <v>01</v>
          </cell>
          <cell r="X234">
            <v>315.22000000000003</v>
          </cell>
          <cell r="Y234" t="str">
            <v>MXN</v>
          </cell>
          <cell r="Z234" t="str">
            <v>TN</v>
          </cell>
          <cell r="AA234" t="str">
            <v>01.05.2026</v>
          </cell>
          <cell r="AB234" t="str">
            <v>31.12.2030</v>
          </cell>
          <cell r="AC234">
            <v>124.8</v>
          </cell>
        </row>
        <row r="235">
          <cell r="H235" t="str">
            <v>10000240</v>
          </cell>
          <cell r="I235" t="str">
            <v>Grava Triturada Caliza 20 mm -</v>
          </cell>
          <cell r="J235">
            <v>113.67</v>
          </cell>
          <cell r="K235" t="str">
            <v>MXN</v>
          </cell>
          <cell r="L235" t="str">
            <v>TN</v>
          </cell>
          <cell r="M235" t="str">
            <v>01.08.2026</v>
          </cell>
          <cell r="N235" t="str">
            <v>31.12.9999</v>
          </cell>
          <cell r="O235" t="str">
            <v>28.07.2026</v>
          </cell>
          <cell r="P235" t="str">
            <v>ZMIF</v>
          </cell>
          <cell r="Q235">
            <v>18.41</v>
          </cell>
          <cell r="R235" t="str">
            <v>MXN</v>
          </cell>
          <cell r="S235" t="str">
            <v>TN</v>
          </cell>
          <cell r="T235" t="str">
            <v>01.08.2026</v>
          </cell>
          <cell r="U235" t="str">
            <v>31.12.9999</v>
          </cell>
          <cell r="V235" t="str">
            <v>ZICF</v>
          </cell>
          <cell r="W235" t="str">
            <v>01</v>
          </cell>
          <cell r="X235">
            <v>307.11</v>
          </cell>
          <cell r="Y235" t="str">
            <v>MXN</v>
          </cell>
          <cell r="Z235" t="str">
            <v>TN</v>
          </cell>
          <cell r="AA235" t="str">
            <v>01.05.2026</v>
          </cell>
          <cell r="AB235" t="str">
            <v>31.12.2030</v>
          </cell>
          <cell r="AC235">
            <v>132.08000000000001</v>
          </cell>
        </row>
        <row r="236">
          <cell r="H236" t="str">
            <v>10001073</v>
          </cell>
          <cell r="I236" t="str">
            <v>Arena Triturada Caliza Malla 4</v>
          </cell>
          <cell r="J236">
            <v>109.7</v>
          </cell>
          <cell r="K236" t="str">
            <v>MXN</v>
          </cell>
          <cell r="L236" t="str">
            <v>TN</v>
          </cell>
          <cell r="M236" t="str">
            <v>01.08.2026</v>
          </cell>
          <cell r="N236" t="str">
            <v>31.12.9999</v>
          </cell>
          <cell r="O236" t="str">
            <v>28.07.2026</v>
          </cell>
          <cell r="P236" t="str">
            <v>ZMIF</v>
          </cell>
          <cell r="Q236">
            <v>-18.7</v>
          </cell>
          <cell r="R236" t="str">
            <v>MXN</v>
          </cell>
          <cell r="S236" t="str">
            <v>TN</v>
          </cell>
          <cell r="T236" t="str">
            <v>01.08.2026</v>
          </cell>
          <cell r="U236" t="str">
            <v>31.12.9999</v>
          </cell>
          <cell r="V236" t="str">
            <v>ZICF</v>
          </cell>
          <cell r="W236" t="str">
            <v>01</v>
          </cell>
          <cell r="X236">
            <v>284.91000000000003</v>
          </cell>
          <cell r="Y236" t="str">
            <v>MXN</v>
          </cell>
          <cell r="Z236" t="str">
            <v>TN</v>
          </cell>
          <cell r="AA236" t="str">
            <v>01.05.2026</v>
          </cell>
          <cell r="AB236" t="str">
            <v>31.12.2030</v>
          </cell>
          <cell r="AC236">
            <v>91</v>
          </cell>
        </row>
        <row r="237">
          <cell r="H237" t="str">
            <v>10001074</v>
          </cell>
          <cell r="I237" t="str">
            <v>Grava Triturada Caliza 40 mm -</v>
          </cell>
          <cell r="J237">
            <v>113.67</v>
          </cell>
          <cell r="K237" t="str">
            <v>MXN</v>
          </cell>
          <cell r="L237" t="str">
            <v>TN</v>
          </cell>
          <cell r="M237" t="str">
            <v>01.08.2026</v>
          </cell>
          <cell r="N237" t="str">
            <v>31.12.9999</v>
          </cell>
          <cell r="O237" t="str">
            <v>28.07.2026</v>
          </cell>
          <cell r="P237" t="str">
            <v>ZMIF</v>
          </cell>
          <cell r="Q237">
            <v>28.81</v>
          </cell>
          <cell r="R237" t="str">
            <v>MXN</v>
          </cell>
          <cell r="S237" t="str">
            <v>TN</v>
          </cell>
          <cell r="T237" t="str">
            <v>01.08.2026</v>
          </cell>
          <cell r="U237" t="str">
            <v>31.12.9999</v>
          </cell>
          <cell r="V237" t="str">
            <v>ZICF</v>
          </cell>
          <cell r="W237" t="str">
            <v>01</v>
          </cell>
          <cell r="X237">
            <v>306.55</v>
          </cell>
          <cell r="Y237" t="str">
            <v>MXN</v>
          </cell>
          <cell r="Z237" t="str">
            <v>TN</v>
          </cell>
          <cell r="AA237" t="str">
            <v>01.05.2026</v>
          </cell>
          <cell r="AB237" t="str">
            <v>31.12.2030</v>
          </cell>
          <cell r="AC237">
            <v>142.47999999999999</v>
          </cell>
        </row>
        <row r="238">
          <cell r="H238" t="str">
            <v>10000236</v>
          </cell>
          <cell r="I238" t="str">
            <v>Grava Triturada Caliza 10 mm -</v>
          </cell>
          <cell r="J238">
            <v>113.67</v>
          </cell>
          <cell r="K238" t="str">
            <v>MXN</v>
          </cell>
          <cell r="L238" t="str">
            <v>TN</v>
          </cell>
          <cell r="M238" t="str">
            <v>01.08.2026</v>
          </cell>
          <cell r="N238" t="str">
            <v>31.12.9999</v>
          </cell>
          <cell r="O238" t="str">
            <v>28.07.2026</v>
          </cell>
          <cell r="P238" t="str">
            <v>ZMIF</v>
          </cell>
          <cell r="Q238">
            <v>11.13</v>
          </cell>
          <cell r="R238" t="str">
            <v>MXN</v>
          </cell>
          <cell r="S238" t="str">
            <v>TN</v>
          </cell>
          <cell r="T238" t="str">
            <v>01.08.2026</v>
          </cell>
          <cell r="U238" t="str">
            <v>31.12.9999</v>
          </cell>
          <cell r="V238" t="str">
            <v>ZICF</v>
          </cell>
          <cell r="W238" t="str">
            <v>01</v>
          </cell>
          <cell r="X238">
            <v>270.19</v>
          </cell>
          <cell r="Y238" t="str">
            <v>MXN</v>
          </cell>
          <cell r="Z238" t="str">
            <v>TN</v>
          </cell>
          <cell r="AA238" t="str">
            <v>01.05.2026</v>
          </cell>
          <cell r="AB238" t="str">
            <v>31.12.2030</v>
          </cell>
          <cell r="AC238">
            <v>124.8</v>
          </cell>
        </row>
        <row r="239">
          <cell r="H239" t="str">
            <v>10000240</v>
          </cell>
          <cell r="I239" t="str">
            <v>Grava Triturada Caliza 20 mm -</v>
          </cell>
          <cell r="J239">
            <v>113.67</v>
          </cell>
          <cell r="K239" t="str">
            <v>MXN</v>
          </cell>
          <cell r="L239" t="str">
            <v>TN</v>
          </cell>
          <cell r="M239" t="str">
            <v>01.08.2026</v>
          </cell>
          <cell r="N239" t="str">
            <v>31.12.9999</v>
          </cell>
          <cell r="O239" t="str">
            <v>28.07.2026</v>
          </cell>
          <cell r="P239" t="str">
            <v>ZMIF</v>
          </cell>
          <cell r="Q239">
            <v>18.41</v>
          </cell>
          <cell r="R239" t="str">
            <v>MXN</v>
          </cell>
          <cell r="S239" t="str">
            <v>TN</v>
          </cell>
          <cell r="T239" t="str">
            <v>01.08.2026</v>
          </cell>
          <cell r="U239" t="str">
            <v>31.12.9999</v>
          </cell>
          <cell r="V239" t="str">
            <v>ZICF</v>
          </cell>
          <cell r="W239" t="str">
            <v>01</v>
          </cell>
          <cell r="X239">
            <v>263.24</v>
          </cell>
          <cell r="Y239" t="str">
            <v>MXN</v>
          </cell>
          <cell r="Z239" t="str">
            <v>TN</v>
          </cell>
          <cell r="AA239" t="str">
            <v>01.05.2026</v>
          </cell>
          <cell r="AB239" t="str">
            <v>31.12.2030</v>
          </cell>
          <cell r="AC239">
            <v>132.08000000000001</v>
          </cell>
        </row>
        <row r="240">
          <cell r="H240" t="str">
            <v>10000269</v>
          </cell>
          <cell r="I240" t="str">
            <v>Grava Triturada Caliza 13 mm -</v>
          </cell>
          <cell r="J240">
            <v>113.67</v>
          </cell>
          <cell r="K240" t="str">
            <v>MXN</v>
          </cell>
          <cell r="L240" t="str">
            <v>TN</v>
          </cell>
          <cell r="M240" t="str">
            <v>01.08.2026</v>
          </cell>
          <cell r="N240" t="str">
            <v>31.12.9999</v>
          </cell>
          <cell r="O240" t="str">
            <v>28.07.2026</v>
          </cell>
          <cell r="P240" t="str">
            <v>ZMIF</v>
          </cell>
          <cell r="Q240">
            <v>28.81</v>
          </cell>
          <cell r="R240" t="str">
            <v>MXN</v>
          </cell>
          <cell r="S240" t="str">
            <v>TN</v>
          </cell>
          <cell r="T240" t="str">
            <v>01.08.2026</v>
          </cell>
          <cell r="U240" t="str">
            <v>31.12.9999</v>
          </cell>
          <cell r="V240" t="str">
            <v>ZICF</v>
          </cell>
          <cell r="W240" t="str">
            <v>01</v>
          </cell>
          <cell r="X240">
            <v>267.72000000000003</v>
          </cell>
          <cell r="Y240" t="str">
            <v>MXN</v>
          </cell>
          <cell r="Z240" t="str">
            <v>TN</v>
          </cell>
          <cell r="AA240" t="str">
            <v>01.05.2026</v>
          </cell>
          <cell r="AB240" t="str">
            <v>31.12.2030</v>
          </cell>
          <cell r="AC240">
            <v>142.47999999999999</v>
          </cell>
        </row>
        <row r="241">
          <cell r="H241" t="str">
            <v>10001073</v>
          </cell>
          <cell r="I241" t="str">
            <v>Arena Triturada Caliza Malla 4</v>
          </cell>
          <cell r="J241">
            <v>109.7</v>
          </cell>
          <cell r="K241" t="str">
            <v>MXN</v>
          </cell>
          <cell r="L241" t="str">
            <v>TN</v>
          </cell>
          <cell r="M241" t="str">
            <v>01.08.2026</v>
          </cell>
          <cell r="N241" t="str">
            <v>31.12.9999</v>
          </cell>
          <cell r="O241" t="str">
            <v>28.07.2026</v>
          </cell>
          <cell r="P241" t="str">
            <v>ZMIF</v>
          </cell>
          <cell r="Q241">
            <v>-18.7</v>
          </cell>
          <cell r="R241" t="str">
            <v>MXN</v>
          </cell>
          <cell r="S241" t="str">
            <v>TN</v>
          </cell>
          <cell r="T241" t="str">
            <v>01.08.2026</v>
          </cell>
          <cell r="U241" t="str">
            <v>31.12.9999</v>
          </cell>
          <cell r="V241" t="str">
            <v>ZICF</v>
          </cell>
          <cell r="W241" t="str">
            <v>01</v>
          </cell>
          <cell r="X241">
            <v>244.21</v>
          </cell>
          <cell r="Y241" t="str">
            <v>MXN</v>
          </cell>
          <cell r="Z241" t="str">
            <v>TN</v>
          </cell>
          <cell r="AA241" t="str">
            <v>01.05.2026</v>
          </cell>
          <cell r="AB241" t="str">
            <v>31.12.2030</v>
          </cell>
          <cell r="AC241">
            <v>91</v>
          </cell>
        </row>
        <row r="242">
          <cell r="H242" t="str">
            <v>10001074</v>
          </cell>
          <cell r="I242" t="str">
            <v>Grava Triturada Caliza 40 mm -</v>
          </cell>
          <cell r="J242">
            <v>113.67</v>
          </cell>
          <cell r="K242" t="str">
            <v>MXN</v>
          </cell>
          <cell r="L242" t="str">
            <v>TN</v>
          </cell>
          <cell r="M242" t="str">
            <v>01.08.2026</v>
          </cell>
          <cell r="N242" t="str">
            <v>31.12.9999</v>
          </cell>
          <cell r="O242" t="str">
            <v>28.07.2026</v>
          </cell>
          <cell r="P242" t="str">
            <v>ZMIF</v>
          </cell>
          <cell r="Q242">
            <v>28.81</v>
          </cell>
          <cell r="R242" t="str">
            <v>MXN</v>
          </cell>
          <cell r="S242" t="str">
            <v>TN</v>
          </cell>
          <cell r="T242" t="str">
            <v>01.08.2026</v>
          </cell>
          <cell r="U242" t="str">
            <v>31.12.9999</v>
          </cell>
          <cell r="V242" t="str">
            <v>ZICF</v>
          </cell>
          <cell r="W242" t="str">
            <v>01</v>
          </cell>
          <cell r="X242">
            <v>262.76</v>
          </cell>
          <cell r="Y242" t="str">
            <v>MXN</v>
          </cell>
          <cell r="Z242" t="str">
            <v>TN</v>
          </cell>
          <cell r="AA242" t="str">
            <v>01.05.2026</v>
          </cell>
          <cell r="AB242" t="str">
            <v>31.12.2030</v>
          </cell>
          <cell r="AC242">
            <v>142.47999999999999</v>
          </cell>
        </row>
        <row r="243">
          <cell r="H243" t="str">
            <v>10000236</v>
          </cell>
          <cell r="I243" t="str">
            <v>Grava Triturada Caliza 10 mm -</v>
          </cell>
          <cell r="J243">
            <v>113.67</v>
          </cell>
          <cell r="K243" t="str">
            <v>MXN</v>
          </cell>
          <cell r="L243" t="str">
            <v>TN</v>
          </cell>
          <cell r="M243" t="str">
            <v>01.08.2026</v>
          </cell>
          <cell r="N243" t="str">
            <v>31.12.9999</v>
          </cell>
          <cell r="O243" t="str">
            <v>28.07.2026</v>
          </cell>
          <cell r="P243" t="str">
            <v>ZMIF</v>
          </cell>
          <cell r="Q243">
            <v>11.13</v>
          </cell>
          <cell r="R243" t="str">
            <v>MXN</v>
          </cell>
          <cell r="S243" t="str">
            <v>TN</v>
          </cell>
          <cell r="T243" t="str">
            <v>01.08.2026</v>
          </cell>
          <cell r="U243" t="str">
            <v>31.12.9999</v>
          </cell>
          <cell r="V243" t="str">
            <v>ZICF</v>
          </cell>
          <cell r="W243" t="str">
            <v>01</v>
          </cell>
          <cell r="X243">
            <v>81.680000000000007</v>
          </cell>
          <cell r="Y243" t="str">
            <v>MXN</v>
          </cell>
          <cell r="Z243" t="str">
            <v>TN</v>
          </cell>
          <cell r="AA243" t="str">
            <v>01.05.2026</v>
          </cell>
          <cell r="AB243" t="str">
            <v>31.12.2030</v>
          </cell>
          <cell r="AC243">
            <v>124.8</v>
          </cell>
        </row>
        <row r="244">
          <cell r="H244" t="str">
            <v>10000240</v>
          </cell>
          <cell r="I244" t="str">
            <v>Grava Triturada Caliza 20 mm -</v>
          </cell>
          <cell r="J244">
            <v>113.67</v>
          </cell>
          <cell r="K244" t="str">
            <v>MXN</v>
          </cell>
          <cell r="L244" t="str">
            <v>TN</v>
          </cell>
          <cell r="M244" t="str">
            <v>01.08.2026</v>
          </cell>
          <cell r="N244" t="str">
            <v>31.12.9999</v>
          </cell>
          <cell r="O244" t="str">
            <v>28.07.2026</v>
          </cell>
          <cell r="P244" t="str">
            <v>ZMIF</v>
          </cell>
          <cell r="Q244">
            <v>18.41</v>
          </cell>
          <cell r="R244" t="str">
            <v>MXN</v>
          </cell>
          <cell r="S244" t="str">
            <v>TN</v>
          </cell>
          <cell r="T244" t="str">
            <v>01.08.2026</v>
          </cell>
          <cell r="U244" t="str">
            <v>31.12.9999</v>
          </cell>
          <cell r="V244" t="str">
            <v>ZICF</v>
          </cell>
          <cell r="W244" t="str">
            <v>01</v>
          </cell>
          <cell r="X244">
            <v>81.25</v>
          </cell>
          <cell r="Y244" t="str">
            <v>MXN</v>
          </cell>
          <cell r="Z244" t="str">
            <v>TN</v>
          </cell>
          <cell r="AA244" t="str">
            <v>30.06.2026</v>
          </cell>
          <cell r="AB244" t="str">
            <v>31.12.2030</v>
          </cell>
          <cell r="AC244">
            <v>132.08000000000001</v>
          </cell>
        </row>
        <row r="245">
          <cell r="H245" t="str">
            <v>10000269</v>
          </cell>
          <cell r="I245" t="str">
            <v>Grava Triturada Caliza 13 mm -</v>
          </cell>
          <cell r="J245">
            <v>113.67</v>
          </cell>
          <cell r="K245" t="str">
            <v>MXN</v>
          </cell>
          <cell r="L245" t="str">
            <v>TN</v>
          </cell>
          <cell r="M245" t="str">
            <v>01.08.2026</v>
          </cell>
          <cell r="N245" t="str">
            <v>31.12.9999</v>
          </cell>
          <cell r="O245" t="str">
            <v>28.07.2026</v>
          </cell>
          <cell r="P245" t="str">
            <v>ZMIF</v>
          </cell>
          <cell r="Q245">
            <v>28.81</v>
          </cell>
          <cell r="R245" t="str">
            <v>MXN</v>
          </cell>
          <cell r="S245" t="str">
            <v>TN</v>
          </cell>
          <cell r="T245" t="str">
            <v>01.08.2026</v>
          </cell>
          <cell r="U245" t="str">
            <v>31.12.9999</v>
          </cell>
          <cell r="V245" t="str">
            <v>ZICF</v>
          </cell>
          <cell r="W245" t="str">
            <v>01</v>
          </cell>
          <cell r="X245">
            <v>80.94</v>
          </cell>
          <cell r="Y245" t="str">
            <v>MXN</v>
          </cell>
          <cell r="Z245" t="str">
            <v>TN</v>
          </cell>
          <cell r="AA245" t="str">
            <v>01.05.2026</v>
          </cell>
          <cell r="AB245" t="str">
            <v>31.12.2030</v>
          </cell>
          <cell r="AC245">
            <v>142.47999999999999</v>
          </cell>
        </row>
        <row r="246">
          <cell r="H246" t="str">
            <v>10001073</v>
          </cell>
          <cell r="I246" t="str">
            <v>Arena Triturada Caliza Malla 4</v>
          </cell>
          <cell r="J246">
            <v>109.7</v>
          </cell>
          <cell r="K246" t="str">
            <v>MXN</v>
          </cell>
          <cell r="L246" t="str">
            <v>TN</v>
          </cell>
          <cell r="M246" t="str">
            <v>01.08.2026</v>
          </cell>
          <cell r="N246" t="str">
            <v>31.12.9999</v>
          </cell>
          <cell r="O246" t="str">
            <v>28.07.2026</v>
          </cell>
          <cell r="P246" t="str">
            <v>ZMIF</v>
          </cell>
          <cell r="Q246">
            <v>-18.7</v>
          </cell>
          <cell r="R246" t="str">
            <v>MXN</v>
          </cell>
          <cell r="S246" t="str">
            <v>TN</v>
          </cell>
          <cell r="T246" t="str">
            <v>01.08.2026</v>
          </cell>
          <cell r="U246" t="str">
            <v>31.12.9999</v>
          </cell>
          <cell r="V246" t="str">
            <v>ZICF</v>
          </cell>
          <cell r="W246" t="str">
            <v>01</v>
          </cell>
          <cell r="X246">
            <v>73.83</v>
          </cell>
          <cell r="Y246" t="str">
            <v>MXN</v>
          </cell>
          <cell r="Z246" t="str">
            <v>TN</v>
          </cell>
          <cell r="AA246" t="str">
            <v>01.05.2026</v>
          </cell>
          <cell r="AB246" t="str">
            <v>31.12.2030</v>
          </cell>
          <cell r="AC246">
            <v>91</v>
          </cell>
        </row>
        <row r="247">
          <cell r="H247" t="str">
            <v>10001074</v>
          </cell>
          <cell r="I247" t="str">
            <v>Grava Triturada Caliza 40 mm -</v>
          </cell>
          <cell r="J247">
            <v>113.67</v>
          </cell>
          <cell r="K247" t="str">
            <v>MXN</v>
          </cell>
          <cell r="L247" t="str">
            <v>TN</v>
          </cell>
          <cell r="M247" t="str">
            <v>01.08.2026</v>
          </cell>
          <cell r="N247" t="str">
            <v>31.12.9999</v>
          </cell>
          <cell r="O247" t="str">
            <v>28.07.2026</v>
          </cell>
          <cell r="P247" t="str">
            <v>ZMIF</v>
          </cell>
          <cell r="Q247">
            <v>28.81</v>
          </cell>
          <cell r="R247" t="str">
            <v>MXN</v>
          </cell>
          <cell r="S247" t="str">
            <v>TN</v>
          </cell>
          <cell r="T247" t="str">
            <v>01.08.2026</v>
          </cell>
          <cell r="U247" t="str">
            <v>31.12.9999</v>
          </cell>
          <cell r="V247" t="str">
            <v>ZICF</v>
          </cell>
          <cell r="W247" t="str">
            <v>01</v>
          </cell>
          <cell r="X247">
            <v>82.27</v>
          </cell>
          <cell r="Y247" t="str">
            <v>MXN</v>
          </cell>
          <cell r="Z247" t="str">
            <v>TN</v>
          </cell>
          <cell r="AA247" t="str">
            <v>01.05.2026</v>
          </cell>
          <cell r="AB247" t="str">
            <v>31.12.2030</v>
          </cell>
          <cell r="AC247">
            <v>142.47999999999999</v>
          </cell>
        </row>
        <row r="248">
          <cell r="H248" t="str">
            <v>10000236</v>
          </cell>
          <cell r="I248" t="str">
            <v>Grava Triturada Caliza 10 mm -</v>
          </cell>
          <cell r="J248">
            <v>113.67</v>
          </cell>
          <cell r="K248" t="str">
            <v>MXN</v>
          </cell>
          <cell r="L248" t="str">
            <v>TN</v>
          </cell>
          <cell r="M248" t="str">
            <v>01.08.2026</v>
          </cell>
          <cell r="N248" t="str">
            <v>31.12.9999</v>
          </cell>
          <cell r="O248" t="str">
            <v>28.07.2026</v>
          </cell>
          <cell r="P248" t="str">
            <v>ZMIF</v>
          </cell>
          <cell r="Q248">
            <v>11.13</v>
          </cell>
          <cell r="R248" t="str">
            <v>MXN</v>
          </cell>
          <cell r="S248" t="str">
            <v>TN</v>
          </cell>
          <cell r="T248" t="str">
            <v>01.08.2026</v>
          </cell>
          <cell r="U248" t="str">
            <v>31.12.9999</v>
          </cell>
          <cell r="V248" t="str">
            <v>ZICF</v>
          </cell>
          <cell r="W248" t="str">
            <v>01</v>
          </cell>
          <cell r="X248">
            <v>154.38999999999999</v>
          </cell>
          <cell r="Y248" t="str">
            <v>MXN</v>
          </cell>
          <cell r="Z248" t="str">
            <v>TN</v>
          </cell>
          <cell r="AA248" t="str">
            <v>01.05.2026</v>
          </cell>
          <cell r="AB248" t="str">
            <v>31.12.2030</v>
          </cell>
          <cell r="AC248">
            <v>124.8</v>
          </cell>
        </row>
        <row r="249">
          <cell r="H249" t="str">
            <v>10000240</v>
          </cell>
          <cell r="I249" t="str">
            <v>Grava Triturada Caliza 20 mm -</v>
          </cell>
          <cell r="J249">
            <v>113.67</v>
          </cell>
          <cell r="K249" t="str">
            <v>MXN</v>
          </cell>
          <cell r="L249" t="str">
            <v>TN</v>
          </cell>
          <cell r="M249" t="str">
            <v>01.08.2026</v>
          </cell>
          <cell r="N249" t="str">
            <v>31.12.9999</v>
          </cell>
          <cell r="O249" t="str">
            <v>28.07.2026</v>
          </cell>
          <cell r="P249" t="str">
            <v>ZMIF</v>
          </cell>
          <cell r="Q249">
            <v>18.41</v>
          </cell>
          <cell r="R249" t="str">
            <v>MXN</v>
          </cell>
          <cell r="S249" t="str">
            <v>TN</v>
          </cell>
          <cell r="T249" t="str">
            <v>01.08.2026</v>
          </cell>
          <cell r="U249" t="str">
            <v>31.12.9999</v>
          </cell>
          <cell r="V249" t="str">
            <v>ZICF</v>
          </cell>
          <cell r="W249" t="str">
            <v>01</v>
          </cell>
          <cell r="X249">
            <v>150.41999999999999</v>
          </cell>
          <cell r="Y249" t="str">
            <v>MXN</v>
          </cell>
          <cell r="Z249" t="str">
            <v>TN</v>
          </cell>
          <cell r="AA249" t="str">
            <v>01.05.2026</v>
          </cell>
          <cell r="AB249" t="str">
            <v>31.12.2030</v>
          </cell>
          <cell r="AC249">
            <v>132.08000000000001</v>
          </cell>
        </row>
        <row r="250">
          <cell r="H250" t="str">
            <v>10000269</v>
          </cell>
          <cell r="I250" t="str">
            <v>Grava Triturada Caliza 13 mm -</v>
          </cell>
          <cell r="J250">
            <v>113.67</v>
          </cell>
          <cell r="K250" t="str">
            <v>MXN</v>
          </cell>
          <cell r="L250" t="str">
            <v>TN</v>
          </cell>
          <cell r="M250" t="str">
            <v>01.08.2026</v>
          </cell>
          <cell r="N250" t="str">
            <v>31.12.9999</v>
          </cell>
          <cell r="O250" t="str">
            <v>28.07.2026</v>
          </cell>
          <cell r="P250" t="str">
            <v>ZMIF</v>
          </cell>
          <cell r="Q250">
            <v>28.81</v>
          </cell>
          <cell r="R250" t="str">
            <v>MXN</v>
          </cell>
          <cell r="S250" t="str">
            <v>TN</v>
          </cell>
          <cell r="T250" t="str">
            <v>01.08.2026</v>
          </cell>
          <cell r="U250" t="str">
            <v>31.12.9999</v>
          </cell>
          <cell r="V250" t="str">
            <v>ZICF</v>
          </cell>
          <cell r="W250" t="str">
            <v>01</v>
          </cell>
          <cell r="X250">
            <v>152.97999999999999</v>
          </cell>
          <cell r="Y250" t="str">
            <v>MXN</v>
          </cell>
          <cell r="Z250" t="str">
            <v>TN</v>
          </cell>
          <cell r="AA250" t="str">
            <v>01.05.2026</v>
          </cell>
          <cell r="AB250" t="str">
            <v>31.12.2030</v>
          </cell>
          <cell r="AC250">
            <v>142.47999999999999</v>
          </cell>
        </row>
        <row r="251">
          <cell r="H251" t="str">
            <v>10001073</v>
          </cell>
          <cell r="I251" t="str">
            <v>Arena Triturada Caliza Malla 4</v>
          </cell>
          <cell r="J251">
            <v>109.7</v>
          </cell>
          <cell r="K251" t="str">
            <v>MXN</v>
          </cell>
          <cell r="L251" t="str">
            <v>TN</v>
          </cell>
          <cell r="M251" t="str">
            <v>01.08.2026</v>
          </cell>
          <cell r="N251" t="str">
            <v>31.12.9999</v>
          </cell>
          <cell r="O251" t="str">
            <v>28.07.2026</v>
          </cell>
          <cell r="P251" t="str">
            <v>ZMIF</v>
          </cell>
          <cell r="Q251">
            <v>-18.7</v>
          </cell>
          <cell r="R251" t="str">
            <v>MXN</v>
          </cell>
          <cell r="S251" t="str">
            <v>TN</v>
          </cell>
          <cell r="T251" t="str">
            <v>01.08.2026</v>
          </cell>
          <cell r="U251" t="str">
            <v>31.12.9999</v>
          </cell>
          <cell r="V251" t="str">
            <v>ZICF</v>
          </cell>
          <cell r="W251" t="str">
            <v>01</v>
          </cell>
          <cell r="X251">
            <v>139.55000000000001</v>
          </cell>
          <cell r="Y251" t="str">
            <v>MXN</v>
          </cell>
          <cell r="Z251" t="str">
            <v>TN</v>
          </cell>
          <cell r="AA251" t="str">
            <v>01.05.2026</v>
          </cell>
          <cell r="AB251" t="str">
            <v>31.12.2030</v>
          </cell>
          <cell r="AC251">
            <v>91</v>
          </cell>
        </row>
        <row r="252">
          <cell r="H252" t="str">
            <v>10001074</v>
          </cell>
          <cell r="I252" t="str">
            <v>Grava Triturada Caliza 40 mm -</v>
          </cell>
          <cell r="J252">
            <v>113.67</v>
          </cell>
          <cell r="K252" t="str">
            <v>MXN</v>
          </cell>
          <cell r="L252" t="str">
            <v>TN</v>
          </cell>
          <cell r="M252" t="str">
            <v>01.08.2026</v>
          </cell>
          <cell r="N252" t="str">
            <v>31.12.9999</v>
          </cell>
          <cell r="O252" t="str">
            <v>28.07.2026</v>
          </cell>
          <cell r="P252" t="str">
            <v>ZMIF</v>
          </cell>
          <cell r="Q252">
            <v>28.81</v>
          </cell>
          <cell r="R252" t="str">
            <v>MXN</v>
          </cell>
          <cell r="S252" t="str">
            <v>TN</v>
          </cell>
          <cell r="T252" t="str">
            <v>01.08.2026</v>
          </cell>
          <cell r="U252" t="str">
            <v>31.12.9999</v>
          </cell>
          <cell r="V252" t="str">
            <v>ZICF</v>
          </cell>
          <cell r="W252" t="str">
            <v>01</v>
          </cell>
          <cell r="X252">
            <v>150.15</v>
          </cell>
          <cell r="Y252" t="str">
            <v>MXN</v>
          </cell>
          <cell r="Z252" t="str">
            <v>TN</v>
          </cell>
          <cell r="AA252" t="str">
            <v>01.05.2026</v>
          </cell>
          <cell r="AB252" t="str">
            <v>31.12.2030</v>
          </cell>
          <cell r="AC252">
            <v>142.47999999999999</v>
          </cell>
        </row>
        <row r="253">
          <cell r="H253" t="str">
            <v>10000236</v>
          </cell>
          <cell r="I253" t="str">
            <v>Grava Triturada Caliza 10 mm -</v>
          </cell>
          <cell r="J253">
            <v>113.67</v>
          </cell>
          <cell r="K253" t="str">
            <v>MXN</v>
          </cell>
          <cell r="L253" t="str">
            <v>TN</v>
          </cell>
          <cell r="M253" t="str">
            <v>01.08.2026</v>
          </cell>
          <cell r="N253" t="str">
            <v>31.12.9999</v>
          </cell>
          <cell r="O253" t="str">
            <v>28.07.2026</v>
          </cell>
          <cell r="P253" t="str">
            <v>ZMIF</v>
          </cell>
          <cell r="Q253">
            <v>11.13</v>
          </cell>
          <cell r="R253" t="str">
            <v>MXN</v>
          </cell>
          <cell r="S253" t="str">
            <v>TN</v>
          </cell>
          <cell r="T253" t="str">
            <v>01.08.2026</v>
          </cell>
          <cell r="U253" t="str">
            <v>31.12.9999</v>
          </cell>
          <cell r="V253" t="str">
            <v>ZICF</v>
          </cell>
          <cell r="W253" t="str">
            <v>01</v>
          </cell>
          <cell r="X253">
            <v>156.35</v>
          </cell>
          <cell r="Y253" t="str">
            <v>MXN</v>
          </cell>
          <cell r="Z253" t="str">
            <v>TN</v>
          </cell>
          <cell r="AA253" t="str">
            <v>01.05.2026</v>
          </cell>
          <cell r="AB253" t="str">
            <v>31.12.2030</v>
          </cell>
          <cell r="AC253">
            <v>124.8</v>
          </cell>
        </row>
        <row r="254">
          <cell r="H254" t="str">
            <v>10000240</v>
          </cell>
          <cell r="I254" t="str">
            <v>Grava Triturada Caliza 20 mm -</v>
          </cell>
          <cell r="J254">
            <v>113.67</v>
          </cell>
          <cell r="K254" t="str">
            <v>MXN</v>
          </cell>
          <cell r="L254" t="str">
            <v>TN</v>
          </cell>
          <cell r="M254" t="str">
            <v>01.08.2026</v>
          </cell>
          <cell r="N254" t="str">
            <v>31.12.9999</v>
          </cell>
          <cell r="O254" t="str">
            <v>28.07.2026</v>
          </cell>
          <cell r="P254" t="str">
            <v>ZMIF</v>
          </cell>
          <cell r="Q254">
            <v>18.41</v>
          </cell>
          <cell r="R254" t="str">
            <v>MXN</v>
          </cell>
          <cell r="S254" t="str">
            <v>TN</v>
          </cell>
          <cell r="T254" t="str">
            <v>01.08.2026</v>
          </cell>
          <cell r="U254" t="str">
            <v>31.12.9999</v>
          </cell>
          <cell r="V254" t="str">
            <v>ZICF</v>
          </cell>
          <cell r="W254" t="str">
            <v>01</v>
          </cell>
          <cell r="X254">
            <v>153.16999999999999</v>
          </cell>
          <cell r="Y254" t="str">
            <v>MXN</v>
          </cell>
          <cell r="Z254" t="str">
            <v>TN</v>
          </cell>
          <cell r="AA254" t="str">
            <v>01.05.2026</v>
          </cell>
          <cell r="AB254" t="str">
            <v>31.12.2030</v>
          </cell>
          <cell r="AC254">
            <v>132.08000000000001</v>
          </cell>
        </row>
        <row r="255">
          <cell r="H255" t="str">
            <v>10000269</v>
          </cell>
          <cell r="I255" t="str">
            <v>Grava Triturada Caliza 13 mm -</v>
          </cell>
          <cell r="J255">
            <v>113.67</v>
          </cell>
          <cell r="K255" t="str">
            <v>MXN</v>
          </cell>
          <cell r="L255" t="str">
            <v>TN</v>
          </cell>
          <cell r="M255" t="str">
            <v>01.08.2026</v>
          </cell>
          <cell r="N255" t="str">
            <v>31.12.9999</v>
          </cell>
          <cell r="O255" t="str">
            <v>28.07.2026</v>
          </cell>
          <cell r="P255" t="str">
            <v>ZMIF</v>
          </cell>
          <cell r="Q255">
            <v>28.81</v>
          </cell>
          <cell r="R255" t="str">
            <v>MXN</v>
          </cell>
          <cell r="S255" t="str">
            <v>TN</v>
          </cell>
          <cell r="T255" t="str">
            <v>01.08.2026</v>
          </cell>
          <cell r="U255" t="str">
            <v>31.12.9999</v>
          </cell>
          <cell r="V255" t="str">
            <v>ZICF</v>
          </cell>
          <cell r="W255" t="str">
            <v>01</v>
          </cell>
          <cell r="X255">
            <v>154.74</v>
          </cell>
          <cell r="Y255" t="str">
            <v>MXN</v>
          </cell>
          <cell r="Z255" t="str">
            <v>TN</v>
          </cell>
          <cell r="AA255" t="str">
            <v>01.05.2026</v>
          </cell>
          <cell r="AB255" t="str">
            <v>31.12.2030</v>
          </cell>
          <cell r="AC255">
            <v>142.47999999999999</v>
          </cell>
        </row>
        <row r="256">
          <cell r="H256" t="str">
            <v>10001073</v>
          </cell>
          <cell r="I256" t="str">
            <v>Arena Triturada Caliza Malla 4</v>
          </cell>
          <cell r="J256">
            <v>109.7</v>
          </cell>
          <cell r="K256" t="str">
            <v>MXN</v>
          </cell>
          <cell r="L256" t="str">
            <v>TN</v>
          </cell>
          <cell r="M256" t="str">
            <v>01.08.2026</v>
          </cell>
          <cell r="N256" t="str">
            <v>31.12.9999</v>
          </cell>
          <cell r="O256" t="str">
            <v>28.07.2026</v>
          </cell>
          <cell r="P256" t="str">
            <v>ZMIF</v>
          </cell>
          <cell r="Q256">
            <v>-18.7</v>
          </cell>
          <cell r="R256" t="str">
            <v>MXN</v>
          </cell>
          <cell r="S256" t="str">
            <v>TN</v>
          </cell>
          <cell r="T256" t="str">
            <v>01.08.2026</v>
          </cell>
          <cell r="U256" t="str">
            <v>31.12.9999</v>
          </cell>
          <cell r="V256" t="str">
            <v>ZICF</v>
          </cell>
          <cell r="W256" t="str">
            <v>01</v>
          </cell>
          <cell r="X256">
            <v>134.41</v>
          </cell>
          <cell r="Y256" t="str">
            <v>MXN</v>
          </cell>
          <cell r="Z256" t="str">
            <v>TN</v>
          </cell>
          <cell r="AA256" t="str">
            <v>01.05.2026</v>
          </cell>
          <cell r="AB256" t="str">
            <v>31.12.2030</v>
          </cell>
          <cell r="AC256">
            <v>91</v>
          </cell>
        </row>
        <row r="257">
          <cell r="H257" t="str">
            <v>10001074</v>
          </cell>
          <cell r="I257" t="str">
            <v>Grava Triturada Caliza 40 mm -</v>
          </cell>
          <cell r="J257">
            <v>113.67</v>
          </cell>
          <cell r="K257" t="str">
            <v>MXN</v>
          </cell>
          <cell r="L257" t="str">
            <v>TN</v>
          </cell>
          <cell r="M257" t="str">
            <v>01.08.2026</v>
          </cell>
          <cell r="N257" t="str">
            <v>31.12.9999</v>
          </cell>
          <cell r="O257" t="str">
            <v>28.07.2026</v>
          </cell>
          <cell r="P257" t="str">
            <v>ZMIF</v>
          </cell>
          <cell r="Q257">
            <v>28.81</v>
          </cell>
          <cell r="R257" t="str">
            <v>MXN</v>
          </cell>
          <cell r="S257" t="str">
            <v>TN</v>
          </cell>
          <cell r="T257" t="str">
            <v>01.08.2026</v>
          </cell>
          <cell r="U257" t="str">
            <v>31.12.9999</v>
          </cell>
          <cell r="V257" t="str">
            <v>ZICF</v>
          </cell>
          <cell r="W257" t="str">
            <v>01</v>
          </cell>
          <cell r="X257">
            <v>157.97999999999999</v>
          </cell>
          <cell r="Y257" t="str">
            <v>MXN</v>
          </cell>
          <cell r="Z257" t="str">
            <v>TN</v>
          </cell>
          <cell r="AA257" t="str">
            <v>01.05.2026</v>
          </cell>
          <cell r="AB257" t="str">
            <v>31.12.2030</v>
          </cell>
          <cell r="AC257">
            <v>142.47999999999999</v>
          </cell>
        </row>
        <row r="258">
          <cell r="H258" t="str">
            <v>10000236</v>
          </cell>
          <cell r="I258" t="str">
            <v>Grava Triturada Caliza 10 mm -</v>
          </cell>
          <cell r="J258">
            <v>113.67</v>
          </cell>
          <cell r="K258" t="str">
            <v>MXN</v>
          </cell>
          <cell r="L258" t="str">
            <v>TN</v>
          </cell>
          <cell r="M258" t="str">
            <v>01.08.2026</v>
          </cell>
          <cell r="N258" t="str">
            <v>31.12.9999</v>
          </cell>
          <cell r="O258" t="str">
            <v>28.07.2026</v>
          </cell>
          <cell r="P258" t="str">
            <v>ZMIF</v>
          </cell>
          <cell r="Q258">
            <v>11.13</v>
          </cell>
          <cell r="R258" t="str">
            <v>MXN</v>
          </cell>
          <cell r="S258" t="str">
            <v>TN</v>
          </cell>
          <cell r="T258" t="str">
            <v>01.08.2026</v>
          </cell>
          <cell r="U258" t="str">
            <v>31.12.9999</v>
          </cell>
          <cell r="V258" t="str">
            <v>ZICF</v>
          </cell>
          <cell r="W258" t="str">
            <v>01</v>
          </cell>
          <cell r="X258">
            <v>157.61000000000001</v>
          </cell>
          <cell r="Y258" t="str">
            <v>MXN</v>
          </cell>
          <cell r="Z258" t="str">
            <v>TN</v>
          </cell>
          <cell r="AA258" t="str">
            <v>01.05.2026</v>
          </cell>
          <cell r="AB258" t="str">
            <v>31.12.2030</v>
          </cell>
          <cell r="AC258">
            <v>124.8</v>
          </cell>
        </row>
        <row r="259">
          <cell r="H259" t="str">
            <v>10000240</v>
          </cell>
          <cell r="I259" t="str">
            <v>Grava Triturada Caliza 20 mm -</v>
          </cell>
          <cell r="J259">
            <v>113.67</v>
          </cell>
          <cell r="K259" t="str">
            <v>MXN</v>
          </cell>
          <cell r="L259" t="str">
            <v>TN</v>
          </cell>
          <cell r="M259" t="str">
            <v>01.08.2026</v>
          </cell>
          <cell r="N259" t="str">
            <v>31.12.9999</v>
          </cell>
          <cell r="O259" t="str">
            <v>28.07.2026</v>
          </cell>
          <cell r="P259" t="str">
            <v>ZMIF</v>
          </cell>
          <cell r="Q259">
            <v>18.41</v>
          </cell>
          <cell r="R259" t="str">
            <v>MXN</v>
          </cell>
          <cell r="S259" t="str">
            <v>TN</v>
          </cell>
          <cell r="T259" t="str">
            <v>01.08.2026</v>
          </cell>
          <cell r="U259" t="str">
            <v>31.12.9999</v>
          </cell>
          <cell r="V259" t="str">
            <v>ZICF</v>
          </cell>
          <cell r="W259" t="str">
            <v>01</v>
          </cell>
          <cell r="X259">
            <v>153.56</v>
          </cell>
          <cell r="Y259" t="str">
            <v>MXN</v>
          </cell>
          <cell r="Z259" t="str">
            <v>TN</v>
          </cell>
          <cell r="AA259" t="str">
            <v>01.05.2026</v>
          </cell>
          <cell r="AB259" t="str">
            <v>31.12.2030</v>
          </cell>
          <cell r="AC259">
            <v>132.08000000000001</v>
          </cell>
        </row>
        <row r="260">
          <cell r="H260" t="str">
            <v>10001073</v>
          </cell>
          <cell r="I260" t="str">
            <v>Arena Triturada Caliza Malla 4</v>
          </cell>
          <cell r="J260">
            <v>109.7</v>
          </cell>
          <cell r="K260" t="str">
            <v>MXN</v>
          </cell>
          <cell r="L260" t="str">
            <v>TN</v>
          </cell>
          <cell r="M260" t="str">
            <v>01.08.2026</v>
          </cell>
          <cell r="N260" t="str">
            <v>31.12.9999</v>
          </cell>
          <cell r="O260" t="str">
            <v>28.07.2026</v>
          </cell>
          <cell r="P260" t="str">
            <v>ZMIF</v>
          </cell>
          <cell r="Q260">
            <v>-18.7</v>
          </cell>
          <cell r="R260" t="str">
            <v>MXN</v>
          </cell>
          <cell r="S260" t="str">
            <v>TN</v>
          </cell>
          <cell r="T260" t="str">
            <v>01.08.2026</v>
          </cell>
          <cell r="U260" t="str">
            <v>31.12.9999</v>
          </cell>
          <cell r="V260" t="str">
            <v>ZICF</v>
          </cell>
          <cell r="W260" t="str">
            <v>01</v>
          </cell>
          <cell r="X260">
            <v>142.46</v>
          </cell>
          <cell r="Y260" t="str">
            <v>MXN</v>
          </cell>
          <cell r="Z260" t="str">
            <v>TN</v>
          </cell>
          <cell r="AA260" t="str">
            <v>01.05.2026</v>
          </cell>
          <cell r="AB260" t="str">
            <v>31.12.2030</v>
          </cell>
          <cell r="AC260">
            <v>91</v>
          </cell>
        </row>
        <row r="261">
          <cell r="H261" t="str">
            <v>10001074</v>
          </cell>
          <cell r="I261" t="str">
            <v>Grava Triturada Caliza 40 mm -</v>
          </cell>
          <cell r="J261">
            <v>113.67</v>
          </cell>
          <cell r="K261" t="str">
            <v>MXN</v>
          </cell>
          <cell r="L261" t="str">
            <v>TN</v>
          </cell>
          <cell r="M261" t="str">
            <v>01.08.2026</v>
          </cell>
          <cell r="N261" t="str">
            <v>31.12.9999</v>
          </cell>
          <cell r="O261" t="str">
            <v>28.07.2026</v>
          </cell>
          <cell r="P261" t="str">
            <v>ZMIF</v>
          </cell>
          <cell r="Q261">
            <v>28.81</v>
          </cell>
          <cell r="R261" t="str">
            <v>MXN</v>
          </cell>
          <cell r="S261" t="str">
            <v>TN</v>
          </cell>
          <cell r="T261" t="str">
            <v>01.08.2026</v>
          </cell>
          <cell r="U261" t="str">
            <v>31.12.9999</v>
          </cell>
          <cell r="V261" t="str">
            <v>ZICF</v>
          </cell>
          <cell r="W261" t="str">
            <v>01</v>
          </cell>
          <cell r="X261">
            <v>153.28</v>
          </cell>
          <cell r="Y261" t="str">
            <v>MXN</v>
          </cell>
          <cell r="Z261" t="str">
            <v>TN</v>
          </cell>
          <cell r="AA261" t="str">
            <v>01.05.2026</v>
          </cell>
          <cell r="AB261" t="str">
            <v>31.12.2030</v>
          </cell>
          <cell r="AC261">
            <v>142.47999999999999</v>
          </cell>
        </row>
        <row r="262">
          <cell r="H262" t="str">
            <v>10001203</v>
          </cell>
          <cell r="I262" t="str">
            <v>Desperdicio Triturado Caliza</v>
          </cell>
          <cell r="J262">
            <v>1.1499999999999999</v>
          </cell>
          <cell r="K262" t="str">
            <v>MXN</v>
          </cell>
          <cell r="L262" t="str">
            <v>TN</v>
          </cell>
          <cell r="M262" t="str">
            <v>01.08.2026</v>
          </cell>
          <cell r="N262" t="str">
            <v>31.12.9999</v>
          </cell>
          <cell r="O262" t="str">
            <v>28.07.2026</v>
          </cell>
          <cell r="P262" t="str">
            <v>ZMIF</v>
          </cell>
          <cell r="Q262">
            <v>22.31</v>
          </cell>
          <cell r="R262" t="str">
            <v>MXN</v>
          </cell>
          <cell r="S262" t="str">
            <v>TN</v>
          </cell>
          <cell r="T262" t="str">
            <v>01.08.2026</v>
          </cell>
          <cell r="U262" t="str">
            <v>31.12.9999</v>
          </cell>
          <cell r="V262" t="str">
            <v>ZICF</v>
          </cell>
          <cell r="W262" t="str">
            <v>01</v>
          </cell>
          <cell r="X262">
            <v>133.47999999999999</v>
          </cell>
          <cell r="Y262" t="str">
            <v>MXN</v>
          </cell>
          <cell r="Z262" t="str">
            <v>TN</v>
          </cell>
          <cell r="AA262" t="str">
            <v>01.05.2026</v>
          </cell>
          <cell r="AB262" t="str">
            <v>31.12.2030</v>
          </cell>
          <cell r="AC262">
            <v>23.459999999999997</v>
          </cell>
        </row>
        <row r="263">
          <cell r="H263" t="str">
            <v>10000236</v>
          </cell>
          <cell r="I263" t="str">
            <v>Grava Triturada Caliza 10 mm -</v>
          </cell>
          <cell r="J263">
            <v>113.67</v>
          </cell>
          <cell r="K263" t="str">
            <v>MXN</v>
          </cell>
          <cell r="L263" t="str">
            <v>TN</v>
          </cell>
          <cell r="M263" t="str">
            <v>01.08.2026</v>
          </cell>
          <cell r="N263" t="str">
            <v>31.12.9999</v>
          </cell>
          <cell r="O263" t="str">
            <v>28.07.2026</v>
          </cell>
          <cell r="P263" t="str">
            <v>ZMIF</v>
          </cell>
          <cell r="Q263">
            <v>11.13</v>
          </cell>
          <cell r="R263" t="str">
            <v>MXN</v>
          </cell>
          <cell r="S263" t="str">
            <v>TN</v>
          </cell>
          <cell r="T263" t="str">
            <v>01.08.2026</v>
          </cell>
          <cell r="U263" t="str">
            <v>31.12.9999</v>
          </cell>
          <cell r="V263" t="str">
            <v>ZICF</v>
          </cell>
          <cell r="W263" t="str">
            <v>01</v>
          </cell>
          <cell r="X263">
            <v>221.95</v>
          </cell>
          <cell r="Y263" t="str">
            <v>MXN</v>
          </cell>
          <cell r="Z263" t="str">
            <v>TN</v>
          </cell>
          <cell r="AA263" t="str">
            <v>01.05.2026</v>
          </cell>
          <cell r="AB263" t="str">
            <v>31.12.2030</v>
          </cell>
          <cell r="AC263">
            <v>124.8</v>
          </cell>
        </row>
        <row r="264">
          <cell r="H264" t="str">
            <v>10000240</v>
          </cell>
          <cell r="I264" t="str">
            <v>Grava Triturada Caliza 20 mm -</v>
          </cell>
          <cell r="J264">
            <v>113.67</v>
          </cell>
          <cell r="K264" t="str">
            <v>MXN</v>
          </cell>
          <cell r="L264" t="str">
            <v>TN</v>
          </cell>
          <cell r="M264" t="str">
            <v>01.08.2026</v>
          </cell>
          <cell r="N264" t="str">
            <v>31.12.9999</v>
          </cell>
          <cell r="O264" t="str">
            <v>28.07.2026</v>
          </cell>
          <cell r="P264" t="str">
            <v>ZMIF</v>
          </cell>
          <cell r="Q264">
            <v>18.41</v>
          </cell>
          <cell r="R264" t="str">
            <v>MXN</v>
          </cell>
          <cell r="S264" t="str">
            <v>TN</v>
          </cell>
          <cell r="T264" t="str">
            <v>01.08.2026</v>
          </cell>
          <cell r="U264" t="str">
            <v>31.12.9999</v>
          </cell>
          <cell r="V264" t="str">
            <v>ZICF</v>
          </cell>
          <cell r="W264" t="str">
            <v>01</v>
          </cell>
          <cell r="X264">
            <v>216.23</v>
          </cell>
          <cell r="Y264" t="str">
            <v>MXN</v>
          </cell>
          <cell r="Z264" t="str">
            <v>TN</v>
          </cell>
          <cell r="AA264" t="str">
            <v>01.05.2026</v>
          </cell>
          <cell r="AB264" t="str">
            <v>31.12.2030</v>
          </cell>
          <cell r="AC264">
            <v>132.08000000000001</v>
          </cell>
        </row>
        <row r="265">
          <cell r="H265" t="str">
            <v>10000269</v>
          </cell>
          <cell r="I265" t="str">
            <v>Grava Triturada Caliza 13 mm -</v>
          </cell>
          <cell r="J265">
            <v>113.67</v>
          </cell>
          <cell r="K265" t="str">
            <v>MXN</v>
          </cell>
          <cell r="L265" t="str">
            <v>TN</v>
          </cell>
          <cell r="M265" t="str">
            <v>01.08.2026</v>
          </cell>
          <cell r="N265" t="str">
            <v>31.12.9999</v>
          </cell>
          <cell r="O265" t="str">
            <v>28.07.2026</v>
          </cell>
          <cell r="P265" t="str">
            <v>ZMIF</v>
          </cell>
          <cell r="Q265">
            <v>28.81</v>
          </cell>
          <cell r="R265" t="str">
            <v>MXN</v>
          </cell>
          <cell r="S265" t="str">
            <v>TN</v>
          </cell>
          <cell r="T265" t="str">
            <v>01.08.2026</v>
          </cell>
          <cell r="U265" t="str">
            <v>31.12.9999</v>
          </cell>
          <cell r="V265" t="str">
            <v>ZICF</v>
          </cell>
          <cell r="W265" t="str">
            <v>01</v>
          </cell>
          <cell r="X265">
            <v>219.92</v>
          </cell>
          <cell r="Y265" t="str">
            <v>MXN</v>
          </cell>
          <cell r="Z265" t="str">
            <v>TN</v>
          </cell>
          <cell r="AA265" t="str">
            <v>01.05.2026</v>
          </cell>
          <cell r="AB265" t="str">
            <v>31.12.2030</v>
          </cell>
          <cell r="AC265">
            <v>142.47999999999999</v>
          </cell>
        </row>
        <row r="266">
          <cell r="H266" t="str">
            <v>10001073</v>
          </cell>
          <cell r="I266" t="str">
            <v>Arena Triturada Caliza Malla 4</v>
          </cell>
          <cell r="J266">
            <v>109.7</v>
          </cell>
          <cell r="K266" t="str">
            <v>MXN</v>
          </cell>
          <cell r="L266" t="str">
            <v>TN</v>
          </cell>
          <cell r="M266" t="str">
            <v>01.08.2026</v>
          </cell>
          <cell r="N266" t="str">
            <v>31.12.9999</v>
          </cell>
          <cell r="O266" t="str">
            <v>28.07.2026</v>
          </cell>
          <cell r="P266" t="str">
            <v>ZMIF</v>
          </cell>
          <cell r="Q266">
            <v>-18.7</v>
          </cell>
          <cell r="R266" t="str">
            <v>MXN</v>
          </cell>
          <cell r="S266" t="str">
            <v>TN</v>
          </cell>
          <cell r="T266" t="str">
            <v>01.08.2026</v>
          </cell>
          <cell r="U266" t="str">
            <v>31.12.9999</v>
          </cell>
          <cell r="V266" t="str">
            <v>ZICF</v>
          </cell>
          <cell r="W266" t="str">
            <v>01</v>
          </cell>
          <cell r="X266">
            <v>200.61</v>
          </cell>
          <cell r="Y266" t="str">
            <v>MXN</v>
          </cell>
          <cell r="Z266" t="str">
            <v>TN</v>
          </cell>
          <cell r="AA266" t="str">
            <v>01.05.2026</v>
          </cell>
          <cell r="AB266" t="str">
            <v>31.12.2030</v>
          </cell>
          <cell r="AC266">
            <v>91</v>
          </cell>
        </row>
        <row r="267">
          <cell r="H267" t="str">
            <v>10001074</v>
          </cell>
          <cell r="I267" t="str">
            <v>Grava Triturada Caliza 40 mm -</v>
          </cell>
          <cell r="J267">
            <v>113.67</v>
          </cell>
          <cell r="K267" t="str">
            <v>MXN</v>
          </cell>
          <cell r="L267" t="str">
            <v>TN</v>
          </cell>
          <cell r="M267" t="str">
            <v>01.08.2026</v>
          </cell>
          <cell r="N267" t="str">
            <v>31.12.9999</v>
          </cell>
          <cell r="O267" t="str">
            <v>28.07.2026</v>
          </cell>
          <cell r="P267" t="str">
            <v>ZMIF</v>
          </cell>
          <cell r="Q267">
            <v>28.81</v>
          </cell>
          <cell r="R267" t="str">
            <v>MXN</v>
          </cell>
          <cell r="S267" t="str">
            <v>TN</v>
          </cell>
          <cell r="T267" t="str">
            <v>01.08.2026</v>
          </cell>
          <cell r="U267" t="str">
            <v>31.12.9999</v>
          </cell>
          <cell r="V267" t="str">
            <v>ZICF</v>
          </cell>
          <cell r="W267" t="str">
            <v>01</v>
          </cell>
          <cell r="X267">
            <v>215.84</v>
          </cell>
          <cell r="Y267" t="str">
            <v>MXN</v>
          </cell>
          <cell r="Z267" t="str">
            <v>TN</v>
          </cell>
          <cell r="AA267" t="str">
            <v>01.05.2026</v>
          </cell>
          <cell r="AB267" t="str">
            <v>31.12.2030</v>
          </cell>
          <cell r="AC267">
            <v>142.47999999999999</v>
          </cell>
        </row>
        <row r="268">
          <cell r="H268" t="str">
            <v>10000240</v>
          </cell>
          <cell r="I268" t="str">
            <v>Grava Triturada Caliza 20 mm -</v>
          </cell>
          <cell r="J268">
            <v>96.64</v>
          </cell>
          <cell r="K268" t="str">
            <v>MXN</v>
          </cell>
          <cell r="L268" t="str">
            <v>TN</v>
          </cell>
          <cell r="M268" t="str">
            <v>22.07.2026</v>
          </cell>
          <cell r="N268" t="str">
            <v>31.12.9999</v>
          </cell>
          <cell r="O268" t="str">
            <v>22.07.2026</v>
          </cell>
          <cell r="P268" t="str">
            <v>ZMIF</v>
          </cell>
          <cell r="Q268">
            <v>35.44</v>
          </cell>
          <cell r="R268" t="str">
            <v>MXN</v>
          </cell>
          <cell r="S268" t="str">
            <v>TN</v>
          </cell>
          <cell r="T268" t="str">
            <v>22.07.2026</v>
          </cell>
          <cell r="U268" t="str">
            <v>31.12.9999</v>
          </cell>
          <cell r="V268" t="str">
            <v>ZICF</v>
          </cell>
          <cell r="W268" t="str">
            <v>01</v>
          </cell>
          <cell r="X268">
            <v>437.37</v>
          </cell>
          <cell r="Y268" t="str">
            <v>MXN</v>
          </cell>
          <cell r="Z268" t="str">
            <v>TN</v>
          </cell>
          <cell r="AA268" t="str">
            <v>22.07.2026</v>
          </cell>
          <cell r="AB268" t="str">
            <v>31.12.9999</v>
          </cell>
          <cell r="AC268">
            <v>132.07999999999998</v>
          </cell>
        </row>
        <row r="269">
          <cell r="H269" t="str">
            <v>10001073</v>
          </cell>
          <cell r="I269" t="str">
            <v>Arena Triturada Caliza Malla 4</v>
          </cell>
          <cell r="J269">
            <v>98.49</v>
          </cell>
          <cell r="K269" t="str">
            <v>MXN</v>
          </cell>
          <cell r="L269" t="str">
            <v>TN</v>
          </cell>
          <cell r="M269" t="str">
            <v>22.07.2026</v>
          </cell>
          <cell r="N269" t="str">
            <v>31.12.9999</v>
          </cell>
          <cell r="O269" t="str">
            <v>22.07.2026</v>
          </cell>
          <cell r="P269" t="str">
            <v>ZMIF</v>
          </cell>
          <cell r="Q269">
            <v>-7.49</v>
          </cell>
          <cell r="R269" t="str">
            <v>MXN</v>
          </cell>
          <cell r="S269" t="str">
            <v>TN</v>
          </cell>
          <cell r="T269" t="str">
            <v>22.07.2026</v>
          </cell>
          <cell r="U269" t="str">
            <v>31.12.9999</v>
          </cell>
          <cell r="V269" t="str">
            <v>ZICF</v>
          </cell>
          <cell r="W269" t="str">
            <v>01</v>
          </cell>
          <cell r="X269">
            <v>409.9</v>
          </cell>
          <cell r="Y269" t="str">
            <v>MXN</v>
          </cell>
          <cell r="Z269" t="str">
            <v>TN</v>
          </cell>
          <cell r="AA269" t="str">
            <v>22.07.2026</v>
          </cell>
          <cell r="AB269" t="str">
            <v>31.12.9999</v>
          </cell>
          <cell r="AC269">
            <v>91</v>
          </cell>
        </row>
        <row r="270">
          <cell r="H270" t="str">
            <v>10000236</v>
          </cell>
          <cell r="I270" t="str">
            <v>Grava Triturada Caliza 10 mm -</v>
          </cell>
          <cell r="J270">
            <v>113.67</v>
          </cell>
          <cell r="K270" t="str">
            <v>MXN</v>
          </cell>
          <cell r="L270" t="str">
            <v>TN</v>
          </cell>
          <cell r="M270" t="str">
            <v>01.08.2026</v>
          </cell>
          <cell r="N270" t="str">
            <v>31.12.9999</v>
          </cell>
          <cell r="O270" t="str">
            <v>28.07.2026</v>
          </cell>
          <cell r="P270" t="str">
            <v>ZMIF</v>
          </cell>
          <cell r="Q270">
            <v>11.13</v>
          </cell>
          <cell r="R270" t="str">
            <v>MXN</v>
          </cell>
          <cell r="S270" t="str">
            <v>TN</v>
          </cell>
          <cell r="T270" t="str">
            <v>01.08.2026</v>
          </cell>
          <cell r="U270" t="str">
            <v>31.12.9999</v>
          </cell>
          <cell r="V270" t="str">
            <v>ZICF</v>
          </cell>
          <cell r="W270" t="str">
            <v>01</v>
          </cell>
          <cell r="X270">
            <v>199.47</v>
          </cell>
          <cell r="Y270" t="str">
            <v>MXN</v>
          </cell>
          <cell r="Z270" t="str">
            <v>TN</v>
          </cell>
          <cell r="AA270" t="str">
            <v>01.05.2026</v>
          </cell>
          <cell r="AB270" t="str">
            <v>31.12.2030</v>
          </cell>
          <cell r="AC270">
            <v>124.8</v>
          </cell>
        </row>
        <row r="271">
          <cell r="H271" t="str">
            <v>10000240</v>
          </cell>
          <cell r="I271" t="str">
            <v>Grava Triturada Caliza 20 mm -</v>
          </cell>
          <cell r="J271">
            <v>113.67</v>
          </cell>
          <cell r="K271" t="str">
            <v>MXN</v>
          </cell>
          <cell r="L271" t="str">
            <v>TN</v>
          </cell>
          <cell r="M271" t="str">
            <v>01.08.2026</v>
          </cell>
          <cell r="N271" t="str">
            <v>31.12.9999</v>
          </cell>
          <cell r="O271" t="str">
            <v>28.07.2026</v>
          </cell>
          <cell r="P271" t="str">
            <v>ZMIF</v>
          </cell>
          <cell r="Q271">
            <v>18.41</v>
          </cell>
          <cell r="R271" t="str">
            <v>MXN</v>
          </cell>
          <cell r="S271" t="str">
            <v>TN</v>
          </cell>
          <cell r="T271" t="str">
            <v>01.08.2026</v>
          </cell>
          <cell r="U271" t="str">
            <v>31.12.9999</v>
          </cell>
          <cell r="V271" t="str">
            <v>ZICF</v>
          </cell>
          <cell r="W271" t="str">
            <v>01</v>
          </cell>
          <cell r="X271">
            <v>192.37</v>
          </cell>
          <cell r="Y271" t="str">
            <v>MXN</v>
          </cell>
          <cell r="Z271" t="str">
            <v>TN</v>
          </cell>
          <cell r="AA271" t="str">
            <v>01.05.2026</v>
          </cell>
          <cell r="AB271" t="str">
            <v>31.12.2030</v>
          </cell>
          <cell r="AC271">
            <v>132.08000000000001</v>
          </cell>
        </row>
        <row r="272">
          <cell r="H272" t="str">
            <v>10001073</v>
          </cell>
          <cell r="I272" t="str">
            <v>Arena Triturada Caliza Malla 4</v>
          </cell>
          <cell r="J272">
            <v>109.7</v>
          </cell>
          <cell r="K272" t="str">
            <v>MXN</v>
          </cell>
          <cell r="L272" t="str">
            <v>TN</v>
          </cell>
          <cell r="M272" t="str">
            <v>01.08.2026</v>
          </cell>
          <cell r="N272" t="str">
            <v>31.12.9999</v>
          </cell>
          <cell r="O272" t="str">
            <v>28.07.2026</v>
          </cell>
          <cell r="P272" t="str">
            <v>ZMIF</v>
          </cell>
          <cell r="Q272">
            <v>-18.7</v>
          </cell>
          <cell r="R272" t="str">
            <v>MXN</v>
          </cell>
          <cell r="S272" t="str">
            <v>TN</v>
          </cell>
          <cell r="T272" t="str">
            <v>01.08.2026</v>
          </cell>
          <cell r="U272" t="str">
            <v>31.12.9999</v>
          </cell>
          <cell r="V272" t="str">
            <v>ZICF</v>
          </cell>
          <cell r="W272" t="str">
            <v>01</v>
          </cell>
          <cell r="X272">
            <v>180.29</v>
          </cell>
          <cell r="Y272" t="str">
            <v>MXN</v>
          </cell>
          <cell r="Z272" t="str">
            <v>TN</v>
          </cell>
          <cell r="AA272" t="str">
            <v>01.05.2026</v>
          </cell>
          <cell r="AB272" t="str">
            <v>31.12.2030</v>
          </cell>
          <cell r="AC272">
            <v>91</v>
          </cell>
        </row>
        <row r="273">
          <cell r="H273" t="str">
            <v>10001074</v>
          </cell>
          <cell r="I273" t="str">
            <v>Grava Triturada Caliza 40 mm -</v>
          </cell>
          <cell r="J273">
            <v>113.67</v>
          </cell>
          <cell r="K273" t="str">
            <v>MXN</v>
          </cell>
          <cell r="L273" t="str">
            <v>TN</v>
          </cell>
          <cell r="M273" t="str">
            <v>01.08.2026</v>
          </cell>
          <cell r="N273" t="str">
            <v>31.12.9999</v>
          </cell>
          <cell r="O273" t="str">
            <v>28.07.2026</v>
          </cell>
          <cell r="P273" t="str">
            <v>ZMIF</v>
          </cell>
          <cell r="Q273">
            <v>28.81</v>
          </cell>
          <cell r="R273" t="str">
            <v>MXN</v>
          </cell>
          <cell r="S273" t="str">
            <v>TN</v>
          </cell>
          <cell r="T273" t="str">
            <v>01.08.2026</v>
          </cell>
          <cell r="U273" t="str">
            <v>31.12.9999</v>
          </cell>
          <cell r="V273" t="str">
            <v>ZICF</v>
          </cell>
          <cell r="W273" t="str">
            <v>01</v>
          </cell>
          <cell r="X273">
            <v>200.89</v>
          </cell>
          <cell r="Y273" t="str">
            <v>MXN</v>
          </cell>
          <cell r="Z273" t="str">
            <v>TN</v>
          </cell>
          <cell r="AA273" t="str">
            <v>01.05.2026</v>
          </cell>
          <cell r="AB273" t="str">
            <v>31.12.2030</v>
          </cell>
          <cell r="AC273">
            <v>142.47999999999999</v>
          </cell>
        </row>
        <row r="274">
          <cell r="H274" t="str">
            <v>10000240</v>
          </cell>
          <cell r="I274" t="str">
            <v>Grava Triturada Caliza 20 mm -</v>
          </cell>
          <cell r="J274">
            <v>113.67</v>
          </cell>
          <cell r="K274" t="str">
            <v>MXN</v>
          </cell>
          <cell r="L274" t="str">
            <v>TN</v>
          </cell>
          <cell r="M274" t="str">
            <v>01.08.2026</v>
          </cell>
          <cell r="N274" t="str">
            <v>31.12.9999</v>
          </cell>
          <cell r="O274" t="str">
            <v>28.07.2026</v>
          </cell>
          <cell r="P274" t="str">
            <v>ZMIF</v>
          </cell>
          <cell r="Q274">
            <v>18.41</v>
          </cell>
          <cell r="R274" t="str">
            <v>MXN</v>
          </cell>
          <cell r="S274" t="str">
            <v>TN</v>
          </cell>
          <cell r="T274" t="str">
            <v>01.08.2026</v>
          </cell>
          <cell r="U274" t="str">
            <v>31.12.9999</v>
          </cell>
          <cell r="V274" t="str">
            <v>ZICF</v>
          </cell>
          <cell r="W274" t="str">
            <v>01</v>
          </cell>
          <cell r="X274">
            <v>244.59</v>
          </cell>
          <cell r="Y274" t="str">
            <v>MXN</v>
          </cell>
          <cell r="Z274" t="str">
            <v>TN</v>
          </cell>
          <cell r="AA274" t="str">
            <v>01.05.2026</v>
          </cell>
          <cell r="AB274" t="str">
            <v>31.12.2030</v>
          </cell>
          <cell r="AC274">
            <v>132.08000000000001</v>
          </cell>
        </row>
        <row r="275">
          <cell r="H275" t="str">
            <v>10001073</v>
          </cell>
          <cell r="I275" t="str">
            <v>Arena Triturada Caliza Malla 4</v>
          </cell>
          <cell r="J275">
            <v>109.7</v>
          </cell>
          <cell r="K275" t="str">
            <v>MXN</v>
          </cell>
          <cell r="L275" t="str">
            <v>TN</v>
          </cell>
          <cell r="M275" t="str">
            <v>01.08.2026</v>
          </cell>
          <cell r="N275" t="str">
            <v>31.12.9999</v>
          </cell>
          <cell r="O275" t="str">
            <v>28.07.2026</v>
          </cell>
          <cell r="P275" t="str">
            <v>ZMIF</v>
          </cell>
          <cell r="Q275">
            <v>-18.7</v>
          </cell>
          <cell r="R275" t="str">
            <v>MXN</v>
          </cell>
          <cell r="S275" t="str">
            <v>TN</v>
          </cell>
          <cell r="T275" t="str">
            <v>01.08.2026</v>
          </cell>
          <cell r="U275" t="str">
            <v>31.12.9999</v>
          </cell>
          <cell r="V275" t="str">
            <v>ZICF</v>
          </cell>
          <cell r="W275" t="str">
            <v>01</v>
          </cell>
          <cell r="X275">
            <v>229.22</v>
          </cell>
          <cell r="Y275" t="str">
            <v>MXN</v>
          </cell>
          <cell r="Z275" t="str">
            <v>TN</v>
          </cell>
          <cell r="AA275" t="str">
            <v>01.05.2026</v>
          </cell>
          <cell r="AB275" t="str">
            <v>31.12.2030</v>
          </cell>
          <cell r="AC275">
            <v>91</v>
          </cell>
        </row>
        <row r="276">
          <cell r="H276" t="str">
            <v>10001074</v>
          </cell>
          <cell r="I276" t="str">
            <v>Grava Triturada Caliza 40 mm -</v>
          </cell>
          <cell r="J276">
            <v>113.67</v>
          </cell>
          <cell r="K276" t="str">
            <v>MXN</v>
          </cell>
          <cell r="L276" t="str">
            <v>TN</v>
          </cell>
          <cell r="M276" t="str">
            <v>01.08.2026</v>
          </cell>
          <cell r="N276" t="str">
            <v>31.12.9999</v>
          </cell>
          <cell r="O276" t="str">
            <v>28.07.2026</v>
          </cell>
          <cell r="P276" t="str">
            <v>ZMIF</v>
          </cell>
          <cell r="Q276">
            <v>28.81</v>
          </cell>
          <cell r="R276" t="str">
            <v>MXN</v>
          </cell>
          <cell r="S276" t="str">
            <v>TN</v>
          </cell>
          <cell r="T276" t="str">
            <v>01.08.2026</v>
          </cell>
          <cell r="U276" t="str">
            <v>31.12.9999</v>
          </cell>
          <cell r="V276" t="str">
            <v>ZICF</v>
          </cell>
          <cell r="W276" t="str">
            <v>01</v>
          </cell>
          <cell r="X276">
            <v>255.42</v>
          </cell>
          <cell r="Y276" t="str">
            <v>MXN</v>
          </cell>
          <cell r="Z276" t="str">
            <v>TN</v>
          </cell>
          <cell r="AA276" t="str">
            <v>01.05.2026</v>
          </cell>
          <cell r="AB276" t="str">
            <v>31.12.2030</v>
          </cell>
          <cell r="AC276">
            <v>142.47999999999999</v>
          </cell>
        </row>
        <row r="277">
          <cell r="H277" t="str">
            <v>10000240</v>
          </cell>
          <cell r="I277" t="str">
            <v>Grava Triturada Caliza 20 mm -</v>
          </cell>
          <cell r="J277">
            <v>113.67</v>
          </cell>
          <cell r="K277" t="str">
            <v>MXN</v>
          </cell>
          <cell r="L277" t="str">
            <v>TN</v>
          </cell>
          <cell r="M277" t="str">
            <v>01.08.2026</v>
          </cell>
          <cell r="N277" t="str">
            <v>31.12.9999</v>
          </cell>
          <cell r="O277" t="str">
            <v>28.07.2026</v>
          </cell>
          <cell r="P277" t="str">
            <v>ZMIF</v>
          </cell>
          <cell r="Q277">
            <v>18.41</v>
          </cell>
          <cell r="R277" t="str">
            <v>MXN</v>
          </cell>
          <cell r="S277" t="str">
            <v>TN</v>
          </cell>
          <cell r="T277" t="str">
            <v>01.08.2026</v>
          </cell>
          <cell r="U277" t="str">
            <v>31.12.9999</v>
          </cell>
          <cell r="V277" t="str">
            <v>ZICF</v>
          </cell>
          <cell r="W277" t="str">
            <v>01</v>
          </cell>
          <cell r="X277">
            <v>373.43</v>
          </cell>
          <cell r="Y277" t="str">
            <v>MXN</v>
          </cell>
          <cell r="Z277" t="str">
            <v>TN</v>
          </cell>
          <cell r="AA277" t="str">
            <v>01.05.2026</v>
          </cell>
          <cell r="AB277" t="str">
            <v>31.12.2030</v>
          </cell>
          <cell r="AC277">
            <v>132.08000000000001</v>
          </cell>
        </row>
        <row r="278">
          <cell r="H278" t="str">
            <v>10001073</v>
          </cell>
          <cell r="I278" t="str">
            <v>Arena Triturada Caliza Malla 4</v>
          </cell>
          <cell r="J278">
            <v>109.7</v>
          </cell>
          <cell r="K278" t="str">
            <v>MXN</v>
          </cell>
          <cell r="L278" t="str">
            <v>TN</v>
          </cell>
          <cell r="M278" t="str">
            <v>01.08.2026</v>
          </cell>
          <cell r="N278" t="str">
            <v>31.12.9999</v>
          </cell>
          <cell r="O278" t="str">
            <v>28.07.2026</v>
          </cell>
          <cell r="P278" t="str">
            <v>ZMIF</v>
          </cell>
          <cell r="Q278">
            <v>-18.7</v>
          </cell>
          <cell r="R278" t="str">
            <v>MXN</v>
          </cell>
          <cell r="S278" t="str">
            <v>TN</v>
          </cell>
          <cell r="T278" t="str">
            <v>01.08.2026</v>
          </cell>
          <cell r="U278" t="str">
            <v>31.12.9999</v>
          </cell>
          <cell r="V278" t="str">
            <v>ZICF</v>
          </cell>
          <cell r="W278" t="str">
            <v>01</v>
          </cell>
          <cell r="X278">
            <v>349.97</v>
          </cell>
          <cell r="Y278" t="str">
            <v>MXN</v>
          </cell>
          <cell r="Z278" t="str">
            <v>TN</v>
          </cell>
          <cell r="AA278" t="str">
            <v>01.05.2026</v>
          </cell>
          <cell r="AB278" t="str">
            <v>31.12.2030</v>
          </cell>
          <cell r="AC278">
            <v>91</v>
          </cell>
        </row>
        <row r="279">
          <cell r="H279" t="str">
            <v>10001074</v>
          </cell>
          <cell r="I279" t="str">
            <v>Grava Triturada Caliza 40 mm -</v>
          </cell>
          <cell r="J279">
            <v>113.67</v>
          </cell>
          <cell r="K279" t="str">
            <v>MXN</v>
          </cell>
          <cell r="L279" t="str">
            <v>TN</v>
          </cell>
          <cell r="M279" t="str">
            <v>01.08.2026</v>
          </cell>
          <cell r="N279" t="str">
            <v>31.12.9999</v>
          </cell>
          <cell r="O279" t="str">
            <v>28.07.2026</v>
          </cell>
          <cell r="P279" t="str">
            <v>ZMIF</v>
          </cell>
          <cell r="Q279">
            <v>28.81</v>
          </cell>
          <cell r="R279" t="str">
            <v>MXN</v>
          </cell>
          <cell r="S279" t="str">
            <v>TN</v>
          </cell>
          <cell r="T279" t="str">
            <v>01.08.2026</v>
          </cell>
          <cell r="U279" t="str">
            <v>31.12.9999</v>
          </cell>
          <cell r="V279" t="str">
            <v>ZICF</v>
          </cell>
          <cell r="W279" t="str">
            <v>01</v>
          </cell>
          <cell r="X279">
            <v>389.97</v>
          </cell>
          <cell r="Y279" t="str">
            <v>MXN</v>
          </cell>
          <cell r="Z279" t="str">
            <v>TN</v>
          </cell>
          <cell r="AA279" t="str">
            <v>01.05.2026</v>
          </cell>
          <cell r="AB279" t="str">
            <v>31.12.2030</v>
          </cell>
          <cell r="AC279">
            <v>142.47999999999999</v>
          </cell>
        </row>
        <row r="280">
          <cell r="H280" t="str">
            <v>10000236</v>
          </cell>
          <cell r="I280" t="str">
            <v>Grava Triturada Caliza 10 mm -</v>
          </cell>
          <cell r="J280">
            <v>113.67</v>
          </cell>
          <cell r="K280" t="str">
            <v>MXN</v>
          </cell>
          <cell r="L280" t="str">
            <v>TN</v>
          </cell>
          <cell r="M280" t="str">
            <v>01.08.2026</v>
          </cell>
          <cell r="N280" t="str">
            <v>31.12.9999</v>
          </cell>
          <cell r="O280" t="str">
            <v>28.07.2026</v>
          </cell>
          <cell r="P280" t="str">
            <v>ZMIF</v>
          </cell>
          <cell r="Q280">
            <v>11.13</v>
          </cell>
          <cell r="R280" t="str">
            <v>MXN</v>
          </cell>
          <cell r="S280" t="str">
            <v>TN</v>
          </cell>
          <cell r="T280" t="str">
            <v>01.08.2026</v>
          </cell>
          <cell r="U280" t="str">
            <v>31.12.9999</v>
          </cell>
          <cell r="V280" t="str">
            <v>ZICF</v>
          </cell>
          <cell r="W280" t="str">
            <v>01</v>
          </cell>
          <cell r="X280">
            <v>270.19</v>
          </cell>
          <cell r="Y280" t="str">
            <v>MXN</v>
          </cell>
          <cell r="Z280" t="str">
            <v>TN</v>
          </cell>
          <cell r="AA280" t="str">
            <v>01.05.2026</v>
          </cell>
          <cell r="AB280" t="str">
            <v>31.12.2030</v>
          </cell>
          <cell r="AC280">
            <v>124.8</v>
          </cell>
        </row>
        <row r="281">
          <cell r="H281" t="str">
            <v>10000240</v>
          </cell>
          <cell r="I281" t="str">
            <v>Grava Triturada Caliza 20 mm -</v>
          </cell>
          <cell r="J281">
            <v>113.67</v>
          </cell>
          <cell r="K281" t="str">
            <v>MXN</v>
          </cell>
          <cell r="L281" t="str">
            <v>TN</v>
          </cell>
          <cell r="M281" t="str">
            <v>01.08.2026</v>
          </cell>
          <cell r="N281" t="str">
            <v>31.12.9999</v>
          </cell>
          <cell r="O281" t="str">
            <v>28.07.2026</v>
          </cell>
          <cell r="P281" t="str">
            <v>ZMIF</v>
          </cell>
          <cell r="Q281">
            <v>18.41</v>
          </cell>
          <cell r="R281" t="str">
            <v>MXN</v>
          </cell>
          <cell r="S281" t="str">
            <v>TN</v>
          </cell>
          <cell r="T281" t="str">
            <v>01.08.2026</v>
          </cell>
          <cell r="U281" t="str">
            <v>31.12.9999</v>
          </cell>
          <cell r="V281" t="str">
            <v>ZICF</v>
          </cell>
          <cell r="W281" t="str">
            <v>01</v>
          </cell>
          <cell r="X281">
            <v>263.24</v>
          </cell>
          <cell r="Y281" t="str">
            <v>MXN</v>
          </cell>
          <cell r="Z281" t="str">
            <v>TN</v>
          </cell>
          <cell r="AA281" t="str">
            <v>01.05.2026</v>
          </cell>
          <cell r="AB281" t="str">
            <v>31.12.2030</v>
          </cell>
          <cell r="AC281">
            <v>132.08000000000001</v>
          </cell>
        </row>
        <row r="282">
          <cell r="H282" t="str">
            <v>10001073</v>
          </cell>
          <cell r="I282" t="str">
            <v>Arena Triturada Caliza Malla 4</v>
          </cell>
          <cell r="J282">
            <v>109.7</v>
          </cell>
          <cell r="K282" t="str">
            <v>MXN</v>
          </cell>
          <cell r="L282" t="str">
            <v>TN</v>
          </cell>
          <cell r="M282" t="str">
            <v>01.08.2026</v>
          </cell>
          <cell r="N282" t="str">
            <v>31.12.9999</v>
          </cell>
          <cell r="O282" t="str">
            <v>28.07.2026</v>
          </cell>
          <cell r="P282" t="str">
            <v>ZMIF</v>
          </cell>
          <cell r="Q282">
            <v>-18.7</v>
          </cell>
          <cell r="R282" t="str">
            <v>MXN</v>
          </cell>
          <cell r="S282" t="str">
            <v>TN</v>
          </cell>
          <cell r="T282" t="str">
            <v>01.08.2026</v>
          </cell>
          <cell r="U282" t="str">
            <v>31.12.9999</v>
          </cell>
          <cell r="V282" t="str">
            <v>ZICF</v>
          </cell>
          <cell r="W282" t="str">
            <v>01</v>
          </cell>
          <cell r="X282">
            <v>244.21</v>
          </cell>
          <cell r="Y282" t="str">
            <v>MXN</v>
          </cell>
          <cell r="Z282" t="str">
            <v>TN</v>
          </cell>
          <cell r="AA282" t="str">
            <v>01.05.2026</v>
          </cell>
          <cell r="AB282" t="str">
            <v>31.12.2030</v>
          </cell>
          <cell r="AC282">
            <v>91</v>
          </cell>
        </row>
        <row r="283">
          <cell r="H283" t="str">
            <v>10001074</v>
          </cell>
          <cell r="I283" t="str">
            <v>Grava Triturada Caliza 40 mm -</v>
          </cell>
          <cell r="J283">
            <v>113.67</v>
          </cell>
          <cell r="K283" t="str">
            <v>MXN</v>
          </cell>
          <cell r="L283" t="str">
            <v>TN</v>
          </cell>
          <cell r="M283" t="str">
            <v>01.08.2026</v>
          </cell>
          <cell r="N283" t="str">
            <v>31.12.9999</v>
          </cell>
          <cell r="O283" t="str">
            <v>28.07.2026</v>
          </cell>
          <cell r="P283" t="str">
            <v>ZMIF</v>
          </cell>
          <cell r="Q283">
            <v>28.81</v>
          </cell>
          <cell r="R283" t="str">
            <v>MXN</v>
          </cell>
          <cell r="S283" t="str">
            <v>TN</v>
          </cell>
          <cell r="T283" t="str">
            <v>01.08.2026</v>
          </cell>
          <cell r="U283" t="str">
            <v>31.12.9999</v>
          </cell>
          <cell r="V283" t="str">
            <v>ZICF</v>
          </cell>
          <cell r="W283" t="str">
            <v>01</v>
          </cell>
          <cell r="X283">
            <v>262.76</v>
          </cell>
          <cell r="Y283" t="str">
            <v>MXN</v>
          </cell>
          <cell r="Z283" t="str">
            <v>TN</v>
          </cell>
          <cell r="AA283" t="str">
            <v>01.05.2026</v>
          </cell>
          <cell r="AB283" t="str">
            <v>31.12.9999</v>
          </cell>
          <cell r="AC283">
            <v>142.47999999999999</v>
          </cell>
        </row>
        <row r="284">
          <cell r="H284" t="str">
            <v>10000236</v>
          </cell>
          <cell r="I284" t="str">
            <v>Grava Triturada Caliza 10 mm -</v>
          </cell>
          <cell r="J284">
            <v>113.67</v>
          </cell>
          <cell r="K284" t="str">
            <v>MXN</v>
          </cell>
          <cell r="L284" t="str">
            <v>TN</v>
          </cell>
          <cell r="M284" t="str">
            <v>01.08.2026</v>
          </cell>
          <cell r="N284" t="str">
            <v>31.12.9999</v>
          </cell>
          <cell r="O284" t="str">
            <v>28.07.2026</v>
          </cell>
          <cell r="P284" t="str">
            <v>ZMIF</v>
          </cell>
          <cell r="Q284">
            <v>11.13</v>
          </cell>
          <cell r="R284" t="str">
            <v>MXN</v>
          </cell>
          <cell r="S284" t="str">
            <v>TN</v>
          </cell>
          <cell r="T284" t="str">
            <v>01.08.2026</v>
          </cell>
          <cell r="U284" t="str">
            <v>31.12.9999</v>
          </cell>
          <cell r="V284" t="str">
            <v>ZICF</v>
          </cell>
          <cell r="W284" t="str">
            <v>01</v>
          </cell>
          <cell r="X284">
            <v>244.46</v>
          </cell>
          <cell r="Y284" t="str">
            <v>MXN</v>
          </cell>
          <cell r="Z284" t="str">
            <v>TN</v>
          </cell>
          <cell r="AA284" t="str">
            <v>01.05.2026</v>
          </cell>
          <cell r="AB284" t="str">
            <v>31.12.2030</v>
          </cell>
          <cell r="AC284">
            <v>124.8</v>
          </cell>
        </row>
        <row r="285">
          <cell r="H285" t="str">
            <v>10000240</v>
          </cell>
          <cell r="I285" t="str">
            <v>Grava Triturada Caliza 20 mm -</v>
          </cell>
          <cell r="J285">
            <v>113.67</v>
          </cell>
          <cell r="K285" t="str">
            <v>MXN</v>
          </cell>
          <cell r="L285" t="str">
            <v>TN</v>
          </cell>
          <cell r="M285" t="str">
            <v>01.08.2026</v>
          </cell>
          <cell r="N285" t="str">
            <v>31.12.9999</v>
          </cell>
          <cell r="O285" t="str">
            <v>28.07.2026</v>
          </cell>
          <cell r="P285" t="str">
            <v>ZMIF</v>
          </cell>
          <cell r="Q285">
            <v>18.41</v>
          </cell>
          <cell r="R285" t="str">
            <v>MXN</v>
          </cell>
          <cell r="S285" t="str">
            <v>TN</v>
          </cell>
          <cell r="T285" t="str">
            <v>01.08.2026</v>
          </cell>
          <cell r="U285" t="str">
            <v>31.12.9999</v>
          </cell>
          <cell r="V285" t="str">
            <v>ZICF</v>
          </cell>
          <cell r="W285" t="str">
            <v>01</v>
          </cell>
          <cell r="X285">
            <v>238.17</v>
          </cell>
          <cell r="Y285" t="str">
            <v>MXN</v>
          </cell>
          <cell r="Z285" t="str">
            <v>TN</v>
          </cell>
          <cell r="AA285" t="str">
            <v>01.05.2026</v>
          </cell>
          <cell r="AB285" t="str">
            <v>31.12.2030</v>
          </cell>
          <cell r="AC285">
            <v>132.08000000000001</v>
          </cell>
        </row>
        <row r="286">
          <cell r="H286" t="str">
            <v>10000269</v>
          </cell>
          <cell r="I286" t="str">
            <v>Grava Triturada Caliza 13 mm -</v>
          </cell>
          <cell r="J286">
            <v>113.67</v>
          </cell>
          <cell r="K286" t="str">
            <v>MXN</v>
          </cell>
          <cell r="L286" t="str">
            <v>TN</v>
          </cell>
          <cell r="M286" t="str">
            <v>01.08.2026</v>
          </cell>
          <cell r="N286" t="str">
            <v>31.12.9999</v>
          </cell>
          <cell r="O286" t="str">
            <v>28.07.2026</v>
          </cell>
          <cell r="P286" t="str">
            <v>ZMIF</v>
          </cell>
          <cell r="Q286">
            <v>28.81</v>
          </cell>
          <cell r="R286" t="str">
            <v>MXN</v>
          </cell>
          <cell r="S286" t="str">
            <v>TN</v>
          </cell>
          <cell r="T286" t="str">
            <v>01.08.2026</v>
          </cell>
          <cell r="U286" t="str">
            <v>31.12.9999</v>
          </cell>
          <cell r="V286" t="str">
            <v>ZICF</v>
          </cell>
          <cell r="W286" t="str">
            <v>01</v>
          </cell>
          <cell r="X286">
            <v>242.22</v>
          </cell>
          <cell r="Y286" t="str">
            <v>MXN</v>
          </cell>
          <cell r="Z286" t="str">
            <v>TN</v>
          </cell>
          <cell r="AA286" t="str">
            <v>01.05.2026</v>
          </cell>
          <cell r="AB286" t="str">
            <v>31.12.2030</v>
          </cell>
          <cell r="AC286">
            <v>142.47999999999999</v>
          </cell>
        </row>
        <row r="287">
          <cell r="H287" t="str">
            <v>10001073</v>
          </cell>
          <cell r="I287" t="str">
            <v>Arena Triturada Caliza Malla 4</v>
          </cell>
          <cell r="J287">
            <v>109.7</v>
          </cell>
          <cell r="K287" t="str">
            <v>MXN</v>
          </cell>
          <cell r="L287" t="str">
            <v>TN</v>
          </cell>
          <cell r="M287" t="str">
            <v>01.08.2026</v>
          </cell>
          <cell r="N287" t="str">
            <v>31.12.9999</v>
          </cell>
          <cell r="O287" t="str">
            <v>28.07.2026</v>
          </cell>
          <cell r="P287" t="str">
            <v>ZMIF</v>
          </cell>
          <cell r="Q287">
            <v>-18.7</v>
          </cell>
          <cell r="R287" t="str">
            <v>MXN</v>
          </cell>
          <cell r="S287" t="str">
            <v>TN</v>
          </cell>
          <cell r="T287" t="str">
            <v>01.08.2026</v>
          </cell>
          <cell r="U287" t="str">
            <v>31.12.9999</v>
          </cell>
          <cell r="V287" t="str">
            <v>ZICF</v>
          </cell>
          <cell r="W287" t="str">
            <v>01</v>
          </cell>
          <cell r="X287">
            <v>220.95</v>
          </cell>
          <cell r="Y287" t="str">
            <v>MXN</v>
          </cell>
          <cell r="Z287" t="str">
            <v>TN</v>
          </cell>
          <cell r="AA287" t="str">
            <v>01.05.2026</v>
          </cell>
          <cell r="AB287" t="str">
            <v>31.12.2030</v>
          </cell>
          <cell r="AC287">
            <v>91</v>
          </cell>
        </row>
        <row r="288">
          <cell r="H288" t="str">
            <v>10001074</v>
          </cell>
          <cell r="I288" t="str">
            <v>Grava Triturada Caliza 40 mm -</v>
          </cell>
          <cell r="J288">
            <v>113.67</v>
          </cell>
          <cell r="K288" t="str">
            <v>MXN</v>
          </cell>
          <cell r="L288" t="str">
            <v>TN</v>
          </cell>
          <cell r="M288" t="str">
            <v>01.08.2026</v>
          </cell>
          <cell r="N288" t="str">
            <v>31.12.9999</v>
          </cell>
          <cell r="O288" t="str">
            <v>28.07.2026</v>
          </cell>
          <cell r="P288" t="str">
            <v>ZMIF</v>
          </cell>
          <cell r="Q288">
            <v>28.81</v>
          </cell>
          <cell r="R288" t="str">
            <v>MXN</v>
          </cell>
          <cell r="S288" t="str">
            <v>TN</v>
          </cell>
          <cell r="T288" t="str">
            <v>01.08.2026</v>
          </cell>
          <cell r="U288" t="str">
            <v>31.12.9999</v>
          </cell>
          <cell r="V288" t="str">
            <v>ZICF</v>
          </cell>
          <cell r="W288" t="str">
            <v>01</v>
          </cell>
          <cell r="X288">
            <v>237.74</v>
          </cell>
          <cell r="Y288" t="str">
            <v>MXN</v>
          </cell>
          <cell r="Z288" t="str">
            <v>TN</v>
          </cell>
          <cell r="AA288" t="str">
            <v>01.05.2026</v>
          </cell>
          <cell r="AB288" t="str">
            <v>31.12.2030</v>
          </cell>
          <cell r="AC288">
            <v>142.47999999999999</v>
          </cell>
        </row>
        <row r="289">
          <cell r="H289" t="str">
            <v>10000236</v>
          </cell>
          <cell r="I289" t="str">
            <v>Grava Triturada Caliza 10 mm -</v>
          </cell>
          <cell r="J289">
            <v>113.67</v>
          </cell>
          <cell r="K289" t="str">
            <v>MXN</v>
          </cell>
          <cell r="L289" t="str">
            <v>TN</v>
          </cell>
          <cell r="M289" t="str">
            <v>01.08.2026</v>
          </cell>
          <cell r="N289" t="str">
            <v>31.12.9999</v>
          </cell>
          <cell r="O289" t="str">
            <v>28.07.2026</v>
          </cell>
          <cell r="P289" t="str">
            <v>ZMIF</v>
          </cell>
          <cell r="Q289">
            <v>11.13</v>
          </cell>
          <cell r="R289" t="str">
            <v>MXN</v>
          </cell>
          <cell r="S289" t="str">
            <v>TN</v>
          </cell>
          <cell r="T289" t="str">
            <v>01.08.2026</v>
          </cell>
          <cell r="U289" t="str">
            <v>31.12.9999</v>
          </cell>
          <cell r="V289" t="str">
            <v>ZICF</v>
          </cell>
          <cell r="W289" t="str">
            <v>01</v>
          </cell>
          <cell r="X289">
            <v>235.2</v>
          </cell>
          <cell r="Y289" t="str">
            <v>MXN</v>
          </cell>
          <cell r="Z289" t="str">
            <v>TN</v>
          </cell>
          <cell r="AA289" t="str">
            <v>30.06.2026</v>
          </cell>
          <cell r="AB289" t="str">
            <v>31.12.9999</v>
          </cell>
          <cell r="AC289">
            <v>124.8</v>
          </cell>
        </row>
        <row r="290">
          <cell r="H290" t="str">
            <v>10000240</v>
          </cell>
          <cell r="I290" t="str">
            <v>Grava Triturada Caliza 20 mm -</v>
          </cell>
          <cell r="J290">
            <v>113.67</v>
          </cell>
          <cell r="K290" t="str">
            <v>MXN</v>
          </cell>
          <cell r="L290" t="str">
            <v>TN</v>
          </cell>
          <cell r="M290" t="str">
            <v>01.08.2026</v>
          </cell>
          <cell r="N290" t="str">
            <v>31.12.9999</v>
          </cell>
          <cell r="O290" t="str">
            <v>28.07.2026</v>
          </cell>
          <cell r="P290" t="str">
            <v>ZMIF</v>
          </cell>
          <cell r="Q290">
            <v>18.41</v>
          </cell>
          <cell r="R290" t="str">
            <v>MXN</v>
          </cell>
          <cell r="S290" t="str">
            <v>TN</v>
          </cell>
          <cell r="T290" t="str">
            <v>01.08.2026</v>
          </cell>
          <cell r="U290" t="str">
            <v>31.12.9999</v>
          </cell>
          <cell r="V290" t="str">
            <v>ZICF</v>
          </cell>
          <cell r="W290" t="str">
            <v>01</v>
          </cell>
          <cell r="X290">
            <v>226.94</v>
          </cell>
          <cell r="Y290" t="str">
            <v>MXN</v>
          </cell>
          <cell r="Z290" t="str">
            <v>TN</v>
          </cell>
          <cell r="AA290" t="str">
            <v>30.06.2026</v>
          </cell>
          <cell r="AB290" t="str">
            <v>31.12.2030</v>
          </cell>
          <cell r="AC290">
            <v>132.08000000000001</v>
          </cell>
        </row>
        <row r="291">
          <cell r="H291" t="str">
            <v>10000269</v>
          </cell>
          <cell r="I291" t="str">
            <v>Grava Triturada Caliza 13 mm -</v>
          </cell>
          <cell r="J291">
            <v>113.67</v>
          </cell>
          <cell r="K291" t="str">
            <v>MXN</v>
          </cell>
          <cell r="L291" t="str">
            <v>TN</v>
          </cell>
          <cell r="M291" t="str">
            <v>01.08.2026</v>
          </cell>
          <cell r="N291" t="str">
            <v>31.12.9999</v>
          </cell>
          <cell r="O291" t="str">
            <v>28.07.2026</v>
          </cell>
          <cell r="P291" t="str">
            <v>ZMIF</v>
          </cell>
          <cell r="Q291">
            <v>28.81</v>
          </cell>
          <cell r="R291" t="str">
            <v>MXN</v>
          </cell>
          <cell r="S291" t="str">
            <v>TN</v>
          </cell>
          <cell r="T291" t="str">
            <v>01.08.2026</v>
          </cell>
          <cell r="U291" t="str">
            <v>31.12.9999</v>
          </cell>
          <cell r="V291" t="str">
            <v>ZICF</v>
          </cell>
          <cell r="W291" t="str">
            <v>01</v>
          </cell>
          <cell r="X291">
            <v>226.28</v>
          </cell>
          <cell r="Y291" t="str">
            <v>MXN</v>
          </cell>
          <cell r="Z291" t="str">
            <v>TN</v>
          </cell>
          <cell r="AA291" t="str">
            <v>01.05.2026</v>
          </cell>
          <cell r="AB291" t="str">
            <v>31.12.2030</v>
          </cell>
          <cell r="AC291">
            <v>142.47999999999999</v>
          </cell>
        </row>
        <row r="292">
          <cell r="H292" t="str">
            <v>10001073</v>
          </cell>
          <cell r="I292" t="str">
            <v>Arena Triturada Caliza Malla 4</v>
          </cell>
          <cell r="J292">
            <v>109.7</v>
          </cell>
          <cell r="K292" t="str">
            <v>MXN</v>
          </cell>
          <cell r="L292" t="str">
            <v>TN</v>
          </cell>
          <cell r="M292" t="str">
            <v>01.08.2026</v>
          </cell>
          <cell r="N292" t="str">
            <v>31.12.9999</v>
          </cell>
          <cell r="O292" t="str">
            <v>28.07.2026</v>
          </cell>
          <cell r="P292" t="str">
            <v>ZMIF</v>
          </cell>
          <cell r="Q292">
            <v>-18.7</v>
          </cell>
          <cell r="R292" t="str">
            <v>MXN</v>
          </cell>
          <cell r="S292" t="str">
            <v>TN</v>
          </cell>
          <cell r="T292" t="str">
            <v>01.08.2026</v>
          </cell>
          <cell r="U292" t="str">
            <v>31.12.9999</v>
          </cell>
          <cell r="V292" t="str">
            <v>ZICF</v>
          </cell>
          <cell r="W292" t="str">
            <v>01</v>
          </cell>
          <cell r="X292">
            <v>206.41</v>
          </cell>
          <cell r="Y292" t="str">
            <v>MXN</v>
          </cell>
          <cell r="Z292" t="str">
            <v>TN</v>
          </cell>
          <cell r="AA292" t="str">
            <v>01.05.2026</v>
          </cell>
          <cell r="AB292" t="str">
            <v>31.12.2030</v>
          </cell>
          <cell r="AC292">
            <v>91</v>
          </cell>
        </row>
        <row r="293">
          <cell r="H293" t="str">
            <v>10001074</v>
          </cell>
          <cell r="I293" t="str">
            <v>Grava Triturada Caliza 40 mm -</v>
          </cell>
          <cell r="J293">
            <v>113.67</v>
          </cell>
          <cell r="K293" t="str">
            <v>MXN</v>
          </cell>
          <cell r="L293" t="str">
            <v>TN</v>
          </cell>
          <cell r="M293" t="str">
            <v>01.08.2026</v>
          </cell>
          <cell r="N293" t="str">
            <v>31.12.9999</v>
          </cell>
          <cell r="O293" t="str">
            <v>28.07.2026</v>
          </cell>
          <cell r="P293" t="str">
            <v>ZMIF</v>
          </cell>
          <cell r="Q293">
            <v>28.81</v>
          </cell>
          <cell r="R293" t="str">
            <v>MXN</v>
          </cell>
          <cell r="S293" t="str">
            <v>TN</v>
          </cell>
          <cell r="T293" t="str">
            <v>01.08.2026</v>
          </cell>
          <cell r="U293" t="str">
            <v>31.12.9999</v>
          </cell>
          <cell r="V293" t="str">
            <v>ZICF</v>
          </cell>
          <cell r="W293" t="str">
            <v>01</v>
          </cell>
          <cell r="X293">
            <v>230</v>
          </cell>
          <cell r="Y293" t="str">
            <v>MXN</v>
          </cell>
          <cell r="Z293" t="str">
            <v>TN</v>
          </cell>
          <cell r="AA293" t="str">
            <v>01.05.2026</v>
          </cell>
          <cell r="AB293" t="str">
            <v>31.12.2030</v>
          </cell>
          <cell r="AC293">
            <v>142.47999999999999</v>
          </cell>
        </row>
        <row r="294">
          <cell r="H294" t="str">
            <v>10000236</v>
          </cell>
          <cell r="I294" t="str">
            <v>Grava Triturada Caliza 10 mm -</v>
          </cell>
          <cell r="J294">
            <v>113.67</v>
          </cell>
          <cell r="K294" t="str">
            <v>MXN</v>
          </cell>
          <cell r="L294" t="str">
            <v>TN</v>
          </cell>
          <cell r="M294" t="str">
            <v>01.08.2026</v>
          </cell>
          <cell r="N294" t="str">
            <v>31.12.9999</v>
          </cell>
          <cell r="O294" t="str">
            <v>28.07.2026</v>
          </cell>
          <cell r="P294" t="str">
            <v>ZMIF</v>
          </cell>
          <cell r="Q294">
            <v>11.13</v>
          </cell>
          <cell r="R294" t="str">
            <v>MXN</v>
          </cell>
          <cell r="S294" t="str">
            <v>TN</v>
          </cell>
          <cell r="T294" t="str">
            <v>01.08.2026</v>
          </cell>
          <cell r="U294" t="str">
            <v>31.12.9999</v>
          </cell>
          <cell r="V294" t="str">
            <v>ZICF</v>
          </cell>
          <cell r="W294" t="str">
            <v>01</v>
          </cell>
          <cell r="X294">
            <v>183.35</v>
          </cell>
          <cell r="Y294" t="str">
            <v>MXN</v>
          </cell>
          <cell r="Z294" t="str">
            <v>TN</v>
          </cell>
          <cell r="AA294" t="str">
            <v>01.05.2026</v>
          </cell>
          <cell r="AB294" t="str">
            <v>31.12.2030</v>
          </cell>
          <cell r="AC294">
            <v>124.8</v>
          </cell>
        </row>
        <row r="295">
          <cell r="H295" t="str">
            <v>10000240</v>
          </cell>
          <cell r="I295" t="str">
            <v>Grava Triturada Caliza 20 mm -</v>
          </cell>
          <cell r="J295">
            <v>113.67</v>
          </cell>
          <cell r="K295" t="str">
            <v>MXN</v>
          </cell>
          <cell r="L295" t="str">
            <v>TN</v>
          </cell>
          <cell r="M295" t="str">
            <v>01.08.2026</v>
          </cell>
          <cell r="N295" t="str">
            <v>31.12.9999</v>
          </cell>
          <cell r="O295" t="str">
            <v>28.07.2026</v>
          </cell>
          <cell r="P295" t="str">
            <v>ZMIF</v>
          </cell>
          <cell r="Q295">
            <v>18.41</v>
          </cell>
          <cell r="R295" t="str">
            <v>MXN</v>
          </cell>
          <cell r="S295" t="str">
            <v>TN</v>
          </cell>
          <cell r="T295" t="str">
            <v>01.08.2026</v>
          </cell>
          <cell r="U295" t="str">
            <v>31.12.9999</v>
          </cell>
          <cell r="V295" t="str">
            <v>ZICF</v>
          </cell>
          <cell r="W295" t="str">
            <v>01</v>
          </cell>
          <cell r="X295">
            <v>178.63</v>
          </cell>
          <cell r="Y295" t="str">
            <v>MXN</v>
          </cell>
          <cell r="Z295" t="str">
            <v>TN</v>
          </cell>
          <cell r="AA295" t="str">
            <v>01.05.2026</v>
          </cell>
          <cell r="AB295" t="str">
            <v>31.12.2030</v>
          </cell>
          <cell r="AC295">
            <v>132.08000000000001</v>
          </cell>
        </row>
        <row r="296">
          <cell r="H296" t="str">
            <v>10001073</v>
          </cell>
          <cell r="I296" t="str">
            <v>Arena Triturada Caliza Malla 4</v>
          </cell>
          <cell r="J296">
            <v>109.7</v>
          </cell>
          <cell r="K296" t="str">
            <v>MXN</v>
          </cell>
          <cell r="L296" t="str">
            <v>TN</v>
          </cell>
          <cell r="M296" t="str">
            <v>01.08.2026</v>
          </cell>
          <cell r="N296" t="str">
            <v>31.12.9999</v>
          </cell>
          <cell r="O296" t="str">
            <v>28.07.2026</v>
          </cell>
          <cell r="P296" t="str">
            <v>ZMIF</v>
          </cell>
          <cell r="Q296">
            <v>-18.7</v>
          </cell>
          <cell r="R296" t="str">
            <v>MXN</v>
          </cell>
          <cell r="S296" t="str">
            <v>TN</v>
          </cell>
          <cell r="T296" t="str">
            <v>01.08.2026</v>
          </cell>
          <cell r="U296" t="str">
            <v>31.12.9999</v>
          </cell>
          <cell r="V296" t="str">
            <v>ZICF</v>
          </cell>
          <cell r="W296" t="str">
            <v>01</v>
          </cell>
          <cell r="X296">
            <v>165.72</v>
          </cell>
          <cell r="Y296" t="str">
            <v>MXN</v>
          </cell>
          <cell r="Z296" t="str">
            <v>TN</v>
          </cell>
          <cell r="AA296" t="str">
            <v>01.05.2026</v>
          </cell>
          <cell r="AB296" t="str">
            <v>31.12.2030</v>
          </cell>
          <cell r="AC296">
            <v>91</v>
          </cell>
        </row>
        <row r="297">
          <cell r="H297" t="str">
            <v>10001074</v>
          </cell>
          <cell r="I297" t="str">
            <v>Grava Triturada Caliza 40 mm -</v>
          </cell>
          <cell r="J297">
            <v>113.67</v>
          </cell>
          <cell r="K297" t="str">
            <v>MXN</v>
          </cell>
          <cell r="L297" t="str">
            <v>TN</v>
          </cell>
          <cell r="M297" t="str">
            <v>01.08.2026</v>
          </cell>
          <cell r="N297" t="str">
            <v>31.12.9999</v>
          </cell>
          <cell r="O297" t="str">
            <v>28.07.2026</v>
          </cell>
          <cell r="P297" t="str">
            <v>ZMIF</v>
          </cell>
          <cell r="Q297">
            <v>28.81</v>
          </cell>
          <cell r="R297" t="str">
            <v>MXN</v>
          </cell>
          <cell r="S297" t="str">
            <v>TN</v>
          </cell>
          <cell r="T297" t="str">
            <v>01.08.2026</v>
          </cell>
          <cell r="U297" t="str">
            <v>31.12.9999</v>
          </cell>
          <cell r="V297" t="str">
            <v>ZICF</v>
          </cell>
          <cell r="W297" t="str">
            <v>01</v>
          </cell>
          <cell r="X297">
            <v>178.3</v>
          </cell>
          <cell r="Y297" t="str">
            <v>MXN</v>
          </cell>
          <cell r="Z297" t="str">
            <v>TN</v>
          </cell>
          <cell r="AA297" t="str">
            <v>01.05.2026</v>
          </cell>
          <cell r="AB297" t="str">
            <v>31.12.2030</v>
          </cell>
          <cell r="AC297">
            <v>142.47999999999999</v>
          </cell>
        </row>
        <row r="298">
          <cell r="H298" t="str">
            <v>10000266</v>
          </cell>
          <cell r="I298" t="str">
            <v>Arena Triturada Basalto Malla</v>
          </cell>
          <cell r="J298">
            <v>138.62</v>
          </cell>
          <cell r="K298" t="str">
            <v>MXN</v>
          </cell>
          <cell r="L298" t="str">
            <v>TN</v>
          </cell>
          <cell r="M298" t="str">
            <v>01.08.2026</v>
          </cell>
          <cell r="N298" t="str">
            <v>31.12.9999</v>
          </cell>
          <cell r="O298" t="str">
            <v>28.07.2026</v>
          </cell>
          <cell r="P298" t="str">
            <v>ZMIF</v>
          </cell>
          <cell r="Q298">
            <v>68.290000000000006</v>
          </cell>
          <cell r="R298" t="str">
            <v>MXN</v>
          </cell>
          <cell r="S298" t="str">
            <v>TN</v>
          </cell>
          <cell r="T298" t="str">
            <v>01.08.2026</v>
          </cell>
          <cell r="U298" t="str">
            <v>31.12.9999</v>
          </cell>
          <cell r="V298" t="str">
            <v>ZICF</v>
          </cell>
          <cell r="W298" t="str">
            <v>01</v>
          </cell>
          <cell r="X298">
            <v>163.97</v>
          </cell>
          <cell r="Y298" t="str">
            <v>MXN</v>
          </cell>
          <cell r="Z298" t="str">
            <v>TN</v>
          </cell>
          <cell r="AA298" t="str">
            <v>29.07.2026</v>
          </cell>
          <cell r="AB298" t="str">
            <v>31.12.9999</v>
          </cell>
          <cell r="AC298">
            <v>206.91000000000003</v>
          </cell>
        </row>
        <row r="299">
          <cell r="H299" t="str">
            <v>10000274</v>
          </cell>
          <cell r="I299" t="str">
            <v>Grava Triturada Basalto  20 mm</v>
          </cell>
          <cell r="J299">
            <v>134.84</v>
          </cell>
          <cell r="K299" t="str">
            <v>MXN</v>
          </cell>
          <cell r="L299" t="str">
            <v>TN</v>
          </cell>
          <cell r="M299" t="str">
            <v>01.08.2026</v>
          </cell>
          <cell r="N299" t="str">
            <v>31.12.9999</v>
          </cell>
          <cell r="O299" t="str">
            <v>28.07.2026</v>
          </cell>
          <cell r="P299" t="str">
            <v>ZMIF</v>
          </cell>
          <cell r="Q299">
            <v>49.75</v>
          </cell>
          <cell r="R299" t="str">
            <v>MXN</v>
          </cell>
          <cell r="S299" t="str">
            <v>TN</v>
          </cell>
          <cell r="T299" t="str">
            <v>01.08.2026</v>
          </cell>
          <cell r="U299" t="str">
            <v>31.12.9999</v>
          </cell>
          <cell r="V299" t="str">
            <v>ZICF</v>
          </cell>
          <cell r="W299" t="str">
            <v>01</v>
          </cell>
          <cell r="X299">
            <v>168.73</v>
          </cell>
          <cell r="Y299" t="str">
            <v>MXN</v>
          </cell>
          <cell r="Z299" t="str">
            <v>TN</v>
          </cell>
          <cell r="AA299" t="str">
            <v>12.04.2024</v>
          </cell>
          <cell r="AB299" t="str">
            <v>31.12.9999</v>
          </cell>
          <cell r="AC299">
            <v>184.59</v>
          </cell>
        </row>
        <row r="300">
          <cell r="H300" t="str">
            <v>10000293</v>
          </cell>
          <cell r="I300" t="str">
            <v>Grava Triturada Basalto 10mm -</v>
          </cell>
          <cell r="J300">
            <v>134.84</v>
          </cell>
          <cell r="K300" t="str">
            <v>MXN</v>
          </cell>
          <cell r="L300" t="str">
            <v>TN</v>
          </cell>
          <cell r="M300" t="str">
            <v>01.08.2026</v>
          </cell>
          <cell r="N300" t="str">
            <v>31.12.9999</v>
          </cell>
          <cell r="O300" t="str">
            <v>28.07.2026</v>
          </cell>
          <cell r="P300" t="str">
            <v>ZMIF</v>
          </cell>
          <cell r="Q300">
            <v>132.69999999999999</v>
          </cell>
          <cell r="R300" t="str">
            <v>MXN</v>
          </cell>
          <cell r="S300" t="str">
            <v>TN</v>
          </cell>
          <cell r="T300" t="str">
            <v>01.08.2026</v>
          </cell>
          <cell r="U300" t="str">
            <v>31.12.9999</v>
          </cell>
          <cell r="V300" t="str">
            <v>ZICF</v>
          </cell>
          <cell r="W300" t="str">
            <v>01</v>
          </cell>
          <cell r="X300">
            <v>153.86000000000001</v>
          </cell>
          <cell r="Y300" t="str">
            <v>MXN</v>
          </cell>
          <cell r="Z300" t="str">
            <v>TN</v>
          </cell>
          <cell r="AA300" t="str">
            <v>29.07.2026</v>
          </cell>
          <cell r="AB300" t="str">
            <v>31.12.9999</v>
          </cell>
          <cell r="AC300">
            <v>267.53999999999996</v>
          </cell>
        </row>
        <row r="301">
          <cell r="H301" t="str">
            <v>10000266</v>
          </cell>
          <cell r="I301" t="str">
            <v>Arena Triturada Basalto Malla</v>
          </cell>
          <cell r="J301">
            <v>138.62</v>
          </cell>
          <cell r="K301" t="str">
            <v>MXN</v>
          </cell>
          <cell r="L301" t="str">
            <v>TN</v>
          </cell>
          <cell r="M301" t="str">
            <v>01.08.2026</v>
          </cell>
          <cell r="N301" t="str">
            <v>31.12.9999</v>
          </cell>
          <cell r="O301" t="str">
            <v>28.07.2026</v>
          </cell>
          <cell r="P301" t="str">
            <v>ZMIF</v>
          </cell>
          <cell r="Q301">
            <v>68.290000000000006</v>
          </cell>
          <cell r="R301" t="str">
            <v>MXN</v>
          </cell>
          <cell r="S301" t="str">
            <v>TN</v>
          </cell>
          <cell r="T301" t="str">
            <v>01.08.2026</v>
          </cell>
          <cell r="U301" t="str">
            <v>31.12.9999</v>
          </cell>
          <cell r="V301" t="str">
            <v>ZICF</v>
          </cell>
          <cell r="W301" t="str">
            <v>01</v>
          </cell>
          <cell r="X301">
            <v>121.29</v>
          </cell>
          <cell r="Y301" t="str">
            <v>MXN</v>
          </cell>
          <cell r="Z301" t="str">
            <v>TN</v>
          </cell>
          <cell r="AA301" t="str">
            <v>29.07.2026</v>
          </cell>
          <cell r="AB301" t="str">
            <v>31.12.9999</v>
          </cell>
          <cell r="AC301">
            <v>206.91000000000003</v>
          </cell>
        </row>
        <row r="302">
          <cell r="H302" t="str">
            <v>10000274</v>
          </cell>
          <cell r="I302" t="str">
            <v>Grava Triturada Basalto  20 mm</v>
          </cell>
          <cell r="J302">
            <v>134.84</v>
          </cell>
          <cell r="K302" t="str">
            <v>MXN</v>
          </cell>
          <cell r="L302" t="str">
            <v>TN</v>
          </cell>
          <cell r="M302" t="str">
            <v>01.08.2026</v>
          </cell>
          <cell r="N302" t="str">
            <v>31.12.9999</v>
          </cell>
          <cell r="O302" t="str">
            <v>28.07.2026</v>
          </cell>
          <cell r="P302" t="str">
            <v>ZMIF</v>
          </cell>
          <cell r="Q302">
            <v>49.75</v>
          </cell>
          <cell r="R302" t="str">
            <v>MXN</v>
          </cell>
          <cell r="S302" t="str">
            <v>TN</v>
          </cell>
          <cell r="T302" t="str">
            <v>01.08.2026</v>
          </cell>
          <cell r="U302" t="str">
            <v>31.12.9999</v>
          </cell>
          <cell r="V302" t="str">
            <v>ZICF</v>
          </cell>
          <cell r="W302" t="str">
            <v>01</v>
          </cell>
          <cell r="X302">
            <v>134.94999999999999</v>
          </cell>
          <cell r="Y302" t="str">
            <v>MXN</v>
          </cell>
          <cell r="Z302" t="str">
            <v>TN</v>
          </cell>
          <cell r="AA302" t="str">
            <v>29.07.2026</v>
          </cell>
          <cell r="AB302" t="str">
            <v>31.12.9999</v>
          </cell>
          <cell r="AC302">
            <v>184.59</v>
          </cell>
        </row>
        <row r="303">
          <cell r="H303" t="str">
            <v>10000293</v>
          </cell>
          <cell r="I303" t="str">
            <v>Grava Triturada Basalto 10mm -</v>
          </cell>
          <cell r="J303">
            <v>134.84</v>
          </cell>
          <cell r="K303" t="str">
            <v>MXN</v>
          </cell>
          <cell r="L303" t="str">
            <v>TN</v>
          </cell>
          <cell r="M303" t="str">
            <v>01.08.2026</v>
          </cell>
          <cell r="N303" t="str">
            <v>31.12.9999</v>
          </cell>
          <cell r="O303" t="str">
            <v>28.07.2026</v>
          </cell>
          <cell r="P303" t="str">
            <v>ZMIF</v>
          </cell>
          <cell r="Q303">
            <v>132.69999999999999</v>
          </cell>
          <cell r="R303" t="str">
            <v>MXN</v>
          </cell>
          <cell r="S303" t="str">
            <v>TN</v>
          </cell>
          <cell r="T303" t="str">
            <v>01.08.2026</v>
          </cell>
          <cell r="U303" t="str">
            <v>31.12.9999</v>
          </cell>
          <cell r="V303" t="str">
            <v>ZICF</v>
          </cell>
          <cell r="W303" t="str">
            <v>01</v>
          </cell>
          <cell r="X303">
            <v>128.22999999999999</v>
          </cell>
          <cell r="Y303" t="str">
            <v>MXN</v>
          </cell>
          <cell r="Z303" t="str">
            <v>TN</v>
          </cell>
          <cell r="AA303" t="str">
            <v>29.07.2026</v>
          </cell>
          <cell r="AB303" t="str">
            <v>31.12.9999</v>
          </cell>
          <cell r="AC303">
            <v>267.53999999999996</v>
          </cell>
        </row>
        <row r="304">
          <cell r="H304" t="str">
            <v>10000266</v>
          </cell>
          <cell r="I304" t="str">
            <v>Arena Triturada Basalto Malla</v>
          </cell>
          <cell r="J304">
            <v>138.62</v>
          </cell>
          <cell r="K304" t="str">
            <v>MXN</v>
          </cell>
          <cell r="L304" t="str">
            <v>TN</v>
          </cell>
          <cell r="M304" t="str">
            <v>01.08.2026</v>
          </cell>
          <cell r="N304" t="str">
            <v>31.12.9999</v>
          </cell>
          <cell r="O304" t="str">
            <v>28.07.2026</v>
          </cell>
          <cell r="P304" t="str">
            <v>ZMIF</v>
          </cell>
          <cell r="Q304">
            <v>68.290000000000006</v>
          </cell>
          <cell r="R304" t="str">
            <v>MXN</v>
          </cell>
          <cell r="S304" t="str">
            <v>TN</v>
          </cell>
          <cell r="T304" t="str">
            <v>01.08.2026</v>
          </cell>
          <cell r="U304" t="str">
            <v>31.12.9999</v>
          </cell>
          <cell r="V304" t="str">
            <v>ZICF</v>
          </cell>
          <cell r="W304" t="str">
            <v>01</v>
          </cell>
          <cell r="X304">
            <v>113.83</v>
          </cell>
          <cell r="Y304" t="str">
            <v>MXN</v>
          </cell>
          <cell r="Z304" t="str">
            <v>TN</v>
          </cell>
          <cell r="AA304" t="str">
            <v>29.07.2026</v>
          </cell>
          <cell r="AB304" t="str">
            <v>31.12.9999</v>
          </cell>
          <cell r="AC304">
            <v>206.91000000000003</v>
          </cell>
        </row>
        <row r="305">
          <cell r="H305" t="str">
            <v>10000274</v>
          </cell>
          <cell r="I305" t="str">
            <v>Grava Triturada Basalto  20 mm</v>
          </cell>
          <cell r="J305">
            <v>134.84</v>
          </cell>
          <cell r="K305" t="str">
            <v>MXN</v>
          </cell>
          <cell r="L305" t="str">
            <v>TN</v>
          </cell>
          <cell r="M305" t="str">
            <v>01.08.2026</v>
          </cell>
          <cell r="N305" t="str">
            <v>31.12.9999</v>
          </cell>
          <cell r="O305" t="str">
            <v>28.07.2026</v>
          </cell>
          <cell r="P305" t="str">
            <v>ZMIF</v>
          </cell>
          <cell r="Q305">
            <v>49.75</v>
          </cell>
          <cell r="R305" t="str">
            <v>MXN</v>
          </cell>
          <cell r="S305" t="str">
            <v>TN</v>
          </cell>
          <cell r="T305" t="str">
            <v>01.08.2026</v>
          </cell>
          <cell r="U305" t="str">
            <v>31.12.9999</v>
          </cell>
          <cell r="V305" t="str">
            <v>ZICF</v>
          </cell>
          <cell r="W305" t="str">
            <v>01</v>
          </cell>
          <cell r="X305">
            <v>128.16999999999999</v>
          </cell>
          <cell r="Y305" t="str">
            <v>MXN</v>
          </cell>
          <cell r="Z305" t="str">
            <v>TN</v>
          </cell>
          <cell r="AA305" t="str">
            <v>29.07.2026</v>
          </cell>
          <cell r="AB305" t="str">
            <v>31.12.9999</v>
          </cell>
          <cell r="AC305">
            <v>184.59</v>
          </cell>
        </row>
        <row r="306">
          <cell r="H306" t="str">
            <v>10000293</v>
          </cell>
          <cell r="I306" t="str">
            <v>Grava Triturada Basalto 10mm -</v>
          </cell>
          <cell r="J306">
            <v>134.84</v>
          </cell>
          <cell r="K306" t="str">
            <v>MXN</v>
          </cell>
          <cell r="L306" t="str">
            <v>TN</v>
          </cell>
          <cell r="M306" t="str">
            <v>01.08.2026</v>
          </cell>
          <cell r="N306" t="str">
            <v>31.12.9999</v>
          </cell>
          <cell r="O306" t="str">
            <v>28.07.2026</v>
          </cell>
          <cell r="P306" t="str">
            <v>ZMIF</v>
          </cell>
          <cell r="Q306">
            <v>132.69999999999999</v>
          </cell>
          <cell r="R306" t="str">
            <v>MXN</v>
          </cell>
          <cell r="S306" t="str">
            <v>TN</v>
          </cell>
          <cell r="T306" t="str">
            <v>01.08.2026</v>
          </cell>
          <cell r="U306" t="str">
            <v>31.12.9999</v>
          </cell>
          <cell r="V306" t="str">
            <v>ZICF</v>
          </cell>
          <cell r="W306" t="str">
            <v>01</v>
          </cell>
          <cell r="X306">
            <v>124.41</v>
          </cell>
          <cell r="Y306" t="str">
            <v>MXN</v>
          </cell>
          <cell r="Z306" t="str">
            <v>TN</v>
          </cell>
          <cell r="AA306" t="str">
            <v>29.07.2026</v>
          </cell>
          <cell r="AB306" t="str">
            <v>31.12.9999</v>
          </cell>
          <cell r="AC306">
            <v>267.53999999999996</v>
          </cell>
        </row>
        <row r="307">
          <cell r="H307" t="str">
            <v>10000266</v>
          </cell>
          <cell r="I307" t="str">
            <v>Arena Triturada Basalto Malla</v>
          </cell>
          <cell r="J307">
            <v>138.62</v>
          </cell>
          <cell r="K307" t="str">
            <v>MXN</v>
          </cell>
          <cell r="L307" t="str">
            <v>TN</v>
          </cell>
          <cell r="M307" t="str">
            <v>01.08.2026</v>
          </cell>
          <cell r="N307" t="str">
            <v>31.12.9999</v>
          </cell>
          <cell r="O307" t="str">
            <v>28.07.2026</v>
          </cell>
          <cell r="P307" t="str">
            <v>ZMIF</v>
          </cell>
          <cell r="Q307">
            <v>68.290000000000006</v>
          </cell>
          <cell r="R307" t="str">
            <v>MXN</v>
          </cell>
          <cell r="S307" t="str">
            <v>TN</v>
          </cell>
          <cell r="T307" t="str">
            <v>01.08.2026</v>
          </cell>
          <cell r="U307" t="str">
            <v>31.12.9999</v>
          </cell>
          <cell r="V307" t="str">
            <v>ZICF</v>
          </cell>
          <cell r="W307" t="str">
            <v>01</v>
          </cell>
          <cell r="X307">
            <v>87.21</v>
          </cell>
          <cell r="Y307" t="str">
            <v>MXN</v>
          </cell>
          <cell r="Z307" t="str">
            <v>TN</v>
          </cell>
          <cell r="AA307" t="str">
            <v>12.04.2024</v>
          </cell>
          <cell r="AB307" t="str">
            <v>31.12.9999</v>
          </cell>
          <cell r="AC307">
            <v>206.91000000000003</v>
          </cell>
        </row>
        <row r="308">
          <cell r="H308" t="str">
            <v>10000274</v>
          </cell>
          <cell r="I308" t="str">
            <v>Grava Triturada Basalto  20 mm</v>
          </cell>
          <cell r="J308">
            <v>134.84</v>
          </cell>
          <cell r="K308" t="str">
            <v>MXN</v>
          </cell>
          <cell r="L308" t="str">
            <v>TN</v>
          </cell>
          <cell r="M308" t="str">
            <v>01.08.2026</v>
          </cell>
          <cell r="N308" t="str">
            <v>31.12.9999</v>
          </cell>
          <cell r="O308" t="str">
            <v>28.07.2026</v>
          </cell>
          <cell r="P308" t="str">
            <v>ZMIF</v>
          </cell>
          <cell r="Q308">
            <v>49.75</v>
          </cell>
          <cell r="R308" t="str">
            <v>MXN</v>
          </cell>
          <cell r="S308" t="str">
            <v>TN</v>
          </cell>
          <cell r="T308" t="str">
            <v>01.08.2026</v>
          </cell>
          <cell r="U308" t="str">
            <v>31.12.9999</v>
          </cell>
          <cell r="V308" t="str">
            <v>ZICF</v>
          </cell>
          <cell r="W308" t="str">
            <v>01</v>
          </cell>
          <cell r="X308">
            <v>72.48</v>
          </cell>
          <cell r="Y308" t="str">
            <v>MXN</v>
          </cell>
          <cell r="Z308" t="str">
            <v>TN</v>
          </cell>
          <cell r="AA308" t="str">
            <v>29.07.2026</v>
          </cell>
          <cell r="AB308" t="str">
            <v>31.12.9999</v>
          </cell>
          <cell r="AC308">
            <v>184.59</v>
          </cell>
        </row>
        <row r="309">
          <cell r="H309" t="str">
            <v>10000293</v>
          </cell>
          <cell r="I309" t="str">
            <v>Grava Triturada Basalto 10mm -</v>
          </cell>
          <cell r="J309">
            <v>134.84</v>
          </cell>
          <cell r="K309" t="str">
            <v>MXN</v>
          </cell>
          <cell r="L309" t="str">
            <v>TN</v>
          </cell>
          <cell r="M309" t="str">
            <v>01.08.2026</v>
          </cell>
          <cell r="N309" t="str">
            <v>31.12.9999</v>
          </cell>
          <cell r="O309" t="str">
            <v>28.07.2026</v>
          </cell>
          <cell r="P309" t="str">
            <v>ZMIF</v>
          </cell>
          <cell r="Q309">
            <v>132.69999999999999</v>
          </cell>
          <cell r="R309" t="str">
            <v>MXN</v>
          </cell>
          <cell r="S309" t="str">
            <v>TN</v>
          </cell>
          <cell r="T309" t="str">
            <v>01.08.2026</v>
          </cell>
          <cell r="U309" t="str">
            <v>31.12.9999</v>
          </cell>
          <cell r="V309" t="str">
            <v>ZICF</v>
          </cell>
          <cell r="W309" t="str">
            <v>01</v>
          </cell>
          <cell r="X309">
            <v>84.06</v>
          </cell>
          <cell r="Y309" t="str">
            <v>MXN</v>
          </cell>
          <cell r="Z309" t="str">
            <v>TN</v>
          </cell>
          <cell r="AA309" t="str">
            <v>19.04.2024</v>
          </cell>
          <cell r="AB309" t="str">
            <v>31.12.9999</v>
          </cell>
          <cell r="AC309">
            <v>267.53999999999996</v>
          </cell>
        </row>
        <row r="310">
          <cell r="H310" t="str">
            <v>10000266</v>
          </cell>
          <cell r="I310" t="str">
            <v>Arena Triturada Basalto Malla</v>
          </cell>
          <cell r="J310">
            <v>138.62</v>
          </cell>
          <cell r="K310" t="str">
            <v>MXN</v>
          </cell>
          <cell r="L310" t="str">
            <v>TN</v>
          </cell>
          <cell r="M310" t="str">
            <v>01.08.2026</v>
          </cell>
          <cell r="N310" t="str">
            <v>31.12.9999</v>
          </cell>
          <cell r="O310" t="str">
            <v>28.07.2026</v>
          </cell>
          <cell r="P310" t="str">
            <v>ZMIF</v>
          </cell>
          <cell r="Q310">
            <v>68.290000000000006</v>
          </cell>
          <cell r="R310" t="str">
            <v>MXN</v>
          </cell>
          <cell r="S310" t="str">
            <v>TN</v>
          </cell>
          <cell r="T310" t="str">
            <v>01.08.2026</v>
          </cell>
          <cell r="U310" t="str">
            <v>31.12.9999</v>
          </cell>
          <cell r="V310" t="str">
            <v>ZICF</v>
          </cell>
          <cell r="W310" t="str">
            <v>01</v>
          </cell>
          <cell r="X310">
            <v>191.15</v>
          </cell>
          <cell r="Y310" t="str">
            <v>MXN</v>
          </cell>
          <cell r="Z310" t="str">
            <v>TN</v>
          </cell>
          <cell r="AA310" t="str">
            <v>29.07.2026</v>
          </cell>
          <cell r="AB310" t="str">
            <v>31.12.9999</v>
          </cell>
          <cell r="AC310">
            <v>206.91000000000003</v>
          </cell>
        </row>
        <row r="311">
          <cell r="H311" t="str">
            <v>10000274</v>
          </cell>
          <cell r="I311" t="str">
            <v>Grava Triturada Basalto  20 mm</v>
          </cell>
          <cell r="J311">
            <v>134.84</v>
          </cell>
          <cell r="K311" t="str">
            <v>MXN</v>
          </cell>
          <cell r="L311" t="str">
            <v>TN</v>
          </cell>
          <cell r="M311" t="str">
            <v>01.08.2026</v>
          </cell>
          <cell r="N311" t="str">
            <v>31.12.9999</v>
          </cell>
          <cell r="O311" t="str">
            <v>28.07.2026</v>
          </cell>
          <cell r="P311" t="str">
            <v>ZMIF</v>
          </cell>
          <cell r="Q311">
            <v>49.75</v>
          </cell>
          <cell r="R311" t="str">
            <v>MXN</v>
          </cell>
          <cell r="S311" t="str">
            <v>TN</v>
          </cell>
          <cell r="T311" t="str">
            <v>01.08.2026</v>
          </cell>
          <cell r="U311" t="str">
            <v>31.12.9999</v>
          </cell>
          <cell r="V311" t="str">
            <v>ZICF</v>
          </cell>
          <cell r="W311" t="str">
            <v>01</v>
          </cell>
          <cell r="X311">
            <v>195.26</v>
          </cell>
          <cell r="Y311" t="str">
            <v>MXN</v>
          </cell>
          <cell r="Z311" t="str">
            <v>TN</v>
          </cell>
          <cell r="AA311" t="str">
            <v>20.10.2022</v>
          </cell>
          <cell r="AB311" t="str">
            <v>31.12.9999</v>
          </cell>
          <cell r="AC311">
            <v>184.59</v>
          </cell>
        </row>
        <row r="312">
          <cell r="H312" t="str">
            <v>10000293</v>
          </cell>
          <cell r="I312" t="str">
            <v>Grava Triturada Basalto 10mm -</v>
          </cell>
          <cell r="J312">
            <v>134.84</v>
          </cell>
          <cell r="K312" t="str">
            <v>MXN</v>
          </cell>
          <cell r="L312" t="str">
            <v>TN</v>
          </cell>
          <cell r="M312" t="str">
            <v>01.08.2026</v>
          </cell>
          <cell r="N312" t="str">
            <v>31.12.9999</v>
          </cell>
          <cell r="O312" t="str">
            <v>28.07.2026</v>
          </cell>
          <cell r="P312" t="str">
            <v>ZMIF</v>
          </cell>
          <cell r="Q312">
            <v>132.69999999999999</v>
          </cell>
          <cell r="R312" t="str">
            <v>MXN</v>
          </cell>
          <cell r="S312" t="str">
            <v>TN</v>
          </cell>
          <cell r="T312" t="str">
            <v>01.08.2026</v>
          </cell>
          <cell r="U312" t="str">
            <v>31.12.9999</v>
          </cell>
          <cell r="V312" t="str">
            <v>ZICF</v>
          </cell>
          <cell r="W312" t="str">
            <v>01</v>
          </cell>
          <cell r="X312">
            <v>249.64</v>
          </cell>
          <cell r="Y312" t="str">
            <v>MXN</v>
          </cell>
          <cell r="Z312" t="str">
            <v>TN</v>
          </cell>
          <cell r="AA312" t="str">
            <v>12.04.2024</v>
          </cell>
          <cell r="AB312" t="str">
            <v>31.12.9999</v>
          </cell>
          <cell r="AC312">
            <v>267.53999999999996</v>
          </cell>
        </row>
        <row r="313">
          <cell r="H313" t="str">
            <v>10000266</v>
          </cell>
          <cell r="I313" t="str">
            <v>Arena Triturada Basalto Malla</v>
          </cell>
          <cell r="J313">
            <v>138.62</v>
          </cell>
          <cell r="K313" t="str">
            <v>MXN</v>
          </cell>
          <cell r="L313" t="str">
            <v>TN</v>
          </cell>
          <cell r="M313" t="str">
            <v>01.08.2026</v>
          </cell>
          <cell r="N313" t="str">
            <v>31.12.9999</v>
          </cell>
          <cell r="O313" t="str">
            <v>28.07.2026</v>
          </cell>
          <cell r="P313" t="str">
            <v>ZMIF</v>
          </cell>
          <cell r="Q313">
            <v>68.290000000000006</v>
          </cell>
          <cell r="R313" t="str">
            <v>MXN</v>
          </cell>
          <cell r="S313" t="str">
            <v>TN</v>
          </cell>
          <cell r="T313" t="str">
            <v>01.08.2026</v>
          </cell>
          <cell r="U313" t="str">
            <v>31.12.9999</v>
          </cell>
          <cell r="V313" t="str">
            <v>ZICF</v>
          </cell>
          <cell r="W313" t="str">
            <v>01</v>
          </cell>
          <cell r="X313">
            <v>220.05</v>
          </cell>
          <cell r="Y313" t="str">
            <v>MXN</v>
          </cell>
          <cell r="Z313" t="str">
            <v>TN</v>
          </cell>
          <cell r="AA313" t="str">
            <v>12.04.2024</v>
          </cell>
          <cell r="AB313" t="str">
            <v>31.12.9999</v>
          </cell>
          <cell r="AC313">
            <v>206.91000000000003</v>
          </cell>
        </row>
        <row r="314">
          <cell r="H314" t="str">
            <v>10000274</v>
          </cell>
          <cell r="I314" t="str">
            <v>Grava Triturada Basalto  20 mm</v>
          </cell>
          <cell r="J314">
            <v>134.84</v>
          </cell>
          <cell r="K314" t="str">
            <v>MXN</v>
          </cell>
          <cell r="L314" t="str">
            <v>TN</v>
          </cell>
          <cell r="M314" t="str">
            <v>01.08.2026</v>
          </cell>
          <cell r="N314" t="str">
            <v>31.12.9999</v>
          </cell>
          <cell r="O314" t="str">
            <v>28.07.2026</v>
          </cell>
          <cell r="P314" t="str">
            <v>ZMIF</v>
          </cell>
          <cell r="Q314">
            <v>49.75</v>
          </cell>
          <cell r="R314" t="str">
            <v>MXN</v>
          </cell>
          <cell r="S314" t="str">
            <v>TN</v>
          </cell>
          <cell r="T314" t="str">
            <v>01.08.2026</v>
          </cell>
          <cell r="U314" t="str">
            <v>31.12.9999</v>
          </cell>
          <cell r="V314" t="str">
            <v>ZICF</v>
          </cell>
          <cell r="W314" t="str">
            <v>01</v>
          </cell>
          <cell r="X314">
            <v>225.2</v>
          </cell>
          <cell r="Y314" t="str">
            <v>MXN</v>
          </cell>
          <cell r="Z314" t="str">
            <v>TN</v>
          </cell>
          <cell r="AA314" t="str">
            <v>12.04.2024</v>
          </cell>
          <cell r="AB314" t="str">
            <v>31.12.9999</v>
          </cell>
          <cell r="AC314">
            <v>184.59</v>
          </cell>
        </row>
        <row r="315">
          <cell r="H315" t="str">
            <v>10000293</v>
          </cell>
          <cell r="I315" t="str">
            <v>Grava Triturada Basalto 10mm -</v>
          </cell>
          <cell r="J315">
            <v>134.84</v>
          </cell>
          <cell r="K315" t="str">
            <v>MXN</v>
          </cell>
          <cell r="L315" t="str">
            <v>TN</v>
          </cell>
          <cell r="M315" t="str">
            <v>01.08.2026</v>
          </cell>
          <cell r="N315" t="str">
            <v>31.12.9999</v>
          </cell>
          <cell r="O315" t="str">
            <v>28.07.2026</v>
          </cell>
          <cell r="P315" t="str">
            <v>ZMIF</v>
          </cell>
          <cell r="Q315">
            <v>132.69999999999999</v>
          </cell>
          <cell r="R315" t="str">
            <v>MXN</v>
          </cell>
          <cell r="S315" t="str">
            <v>TN</v>
          </cell>
          <cell r="T315" t="str">
            <v>01.08.2026</v>
          </cell>
          <cell r="U315" t="str">
            <v>31.12.9999</v>
          </cell>
          <cell r="V315" t="str">
            <v>ZICF</v>
          </cell>
          <cell r="W315" t="str">
            <v>01</v>
          </cell>
          <cell r="X315">
            <v>154.27000000000001</v>
          </cell>
          <cell r="Y315" t="str">
            <v>MXN</v>
          </cell>
          <cell r="Z315" t="str">
            <v>TN</v>
          </cell>
          <cell r="AA315" t="str">
            <v>29.07.2026</v>
          </cell>
          <cell r="AB315" t="str">
            <v>31.12.9999</v>
          </cell>
          <cell r="AC315">
            <v>267.53999999999996</v>
          </cell>
        </row>
        <row r="316">
          <cell r="H316" t="str">
            <v>10000266</v>
          </cell>
          <cell r="I316" t="str">
            <v>Arena Triturada Basalto Malla</v>
          </cell>
          <cell r="J316">
            <v>138.62</v>
          </cell>
          <cell r="K316" t="str">
            <v>MXN</v>
          </cell>
          <cell r="L316" t="str">
            <v>TN</v>
          </cell>
          <cell r="M316" t="str">
            <v>01.08.2026</v>
          </cell>
          <cell r="N316" t="str">
            <v>31.12.9999</v>
          </cell>
          <cell r="O316" t="str">
            <v>28.07.2026</v>
          </cell>
          <cell r="P316" t="str">
            <v>ZMIF</v>
          </cell>
          <cell r="Q316">
            <v>68.290000000000006</v>
          </cell>
          <cell r="R316" t="str">
            <v>MXN</v>
          </cell>
          <cell r="S316" t="str">
            <v>TN</v>
          </cell>
          <cell r="T316" t="str">
            <v>01.08.2026</v>
          </cell>
          <cell r="U316" t="str">
            <v>31.12.9999</v>
          </cell>
          <cell r="V316" t="str">
            <v>ZICF</v>
          </cell>
          <cell r="W316" t="str">
            <v>01</v>
          </cell>
          <cell r="X316">
            <v>165.5</v>
          </cell>
          <cell r="Y316" t="str">
            <v>MXN</v>
          </cell>
          <cell r="Z316" t="str">
            <v>TN</v>
          </cell>
          <cell r="AA316" t="str">
            <v>29.07.2026</v>
          </cell>
          <cell r="AB316" t="str">
            <v>31.12.9999</v>
          </cell>
          <cell r="AC316">
            <v>206.91000000000003</v>
          </cell>
        </row>
        <row r="317">
          <cell r="H317" t="str">
            <v>10000274</v>
          </cell>
          <cell r="I317" t="str">
            <v>Grava Triturada Basalto  20 mm</v>
          </cell>
          <cell r="J317">
            <v>134.84</v>
          </cell>
          <cell r="K317" t="str">
            <v>MXN</v>
          </cell>
          <cell r="L317" t="str">
            <v>TN</v>
          </cell>
          <cell r="M317" t="str">
            <v>01.08.2026</v>
          </cell>
          <cell r="N317" t="str">
            <v>31.12.9999</v>
          </cell>
          <cell r="O317" t="str">
            <v>28.07.2026</v>
          </cell>
          <cell r="P317" t="str">
            <v>ZMIF</v>
          </cell>
          <cell r="Q317">
            <v>49.75</v>
          </cell>
          <cell r="R317" t="str">
            <v>MXN</v>
          </cell>
          <cell r="S317" t="str">
            <v>TN</v>
          </cell>
          <cell r="T317" t="str">
            <v>01.08.2026</v>
          </cell>
          <cell r="U317" t="str">
            <v>31.12.9999</v>
          </cell>
          <cell r="V317" t="str">
            <v>ZICF</v>
          </cell>
          <cell r="W317" t="str">
            <v>01</v>
          </cell>
          <cell r="X317">
            <v>168.43</v>
          </cell>
          <cell r="Y317" t="str">
            <v>MXN</v>
          </cell>
          <cell r="Z317" t="str">
            <v>TN</v>
          </cell>
          <cell r="AA317" t="str">
            <v>29.07.2026</v>
          </cell>
          <cell r="AB317" t="str">
            <v>31.12.9999</v>
          </cell>
          <cell r="AC317">
            <v>184.59</v>
          </cell>
        </row>
        <row r="318">
          <cell r="H318" t="str">
            <v>10000293</v>
          </cell>
          <cell r="I318" t="str">
            <v>Grava Triturada Basalto 10mm -</v>
          </cell>
          <cell r="J318">
            <v>134.84</v>
          </cell>
          <cell r="K318" t="str">
            <v>MXN</v>
          </cell>
          <cell r="L318" t="str">
            <v>TN</v>
          </cell>
          <cell r="M318" t="str">
            <v>01.08.2026</v>
          </cell>
          <cell r="N318" t="str">
            <v>31.12.9999</v>
          </cell>
          <cell r="O318" t="str">
            <v>28.07.2026</v>
          </cell>
          <cell r="P318" t="str">
            <v>ZMIF</v>
          </cell>
          <cell r="Q318">
            <v>132.69999999999999</v>
          </cell>
          <cell r="R318" t="str">
            <v>MXN</v>
          </cell>
          <cell r="S318" t="str">
            <v>TN</v>
          </cell>
          <cell r="T318" t="str">
            <v>01.08.2026</v>
          </cell>
          <cell r="U318" t="str">
            <v>31.12.9999</v>
          </cell>
          <cell r="V318" t="str">
            <v>ZICF</v>
          </cell>
          <cell r="W318" t="str">
            <v>01</v>
          </cell>
          <cell r="X318">
            <v>162.28</v>
          </cell>
          <cell r="Y318" t="str">
            <v>MXN</v>
          </cell>
          <cell r="Z318" t="str">
            <v>TN</v>
          </cell>
          <cell r="AA318" t="str">
            <v>29.07.2026</v>
          </cell>
          <cell r="AB318" t="str">
            <v>31.12.9999</v>
          </cell>
          <cell r="AC318">
            <v>267.53999999999996</v>
          </cell>
        </row>
        <row r="319">
          <cell r="H319" t="str">
            <v>10000266</v>
          </cell>
          <cell r="I319" t="str">
            <v>Arena Triturada Basalto Malla</v>
          </cell>
          <cell r="J319">
            <v>138.62</v>
          </cell>
          <cell r="K319" t="str">
            <v>MXN</v>
          </cell>
          <cell r="L319" t="str">
            <v>TN</v>
          </cell>
          <cell r="M319" t="str">
            <v>01.08.2026</v>
          </cell>
          <cell r="N319" t="str">
            <v>31.12.9999</v>
          </cell>
          <cell r="O319" t="str">
            <v>28.07.2026</v>
          </cell>
          <cell r="P319" t="str">
            <v>ZMIF</v>
          </cell>
          <cell r="Q319">
            <v>68.290000000000006</v>
          </cell>
          <cell r="R319" t="str">
            <v>MXN</v>
          </cell>
          <cell r="S319" t="str">
            <v>TN</v>
          </cell>
          <cell r="T319" t="str">
            <v>01.08.2026</v>
          </cell>
          <cell r="U319" t="str">
            <v>31.12.9999</v>
          </cell>
          <cell r="V319" t="str">
            <v>ZICF</v>
          </cell>
          <cell r="W319" t="str">
            <v>01</v>
          </cell>
          <cell r="X319">
            <v>174.67</v>
          </cell>
          <cell r="Y319" t="str">
            <v>MXN</v>
          </cell>
          <cell r="Z319" t="str">
            <v>TN</v>
          </cell>
          <cell r="AA319" t="str">
            <v>12.04.2024</v>
          </cell>
          <cell r="AB319" t="str">
            <v>31.12.9999</v>
          </cell>
          <cell r="AC319">
            <v>206.91000000000003</v>
          </cell>
        </row>
        <row r="320">
          <cell r="H320" t="str">
            <v>10000274</v>
          </cell>
          <cell r="I320" t="str">
            <v>Grava Triturada Basalto  20 mm</v>
          </cell>
          <cell r="J320">
            <v>134.84</v>
          </cell>
          <cell r="K320" t="str">
            <v>MXN</v>
          </cell>
          <cell r="L320" t="str">
            <v>TN</v>
          </cell>
          <cell r="M320" t="str">
            <v>01.08.2026</v>
          </cell>
          <cell r="N320" t="str">
            <v>31.12.9999</v>
          </cell>
          <cell r="O320" t="str">
            <v>28.07.2026</v>
          </cell>
          <cell r="P320" t="str">
            <v>ZMIF</v>
          </cell>
          <cell r="Q320">
            <v>49.75</v>
          </cell>
          <cell r="R320" t="str">
            <v>MXN</v>
          </cell>
          <cell r="S320" t="str">
            <v>TN</v>
          </cell>
          <cell r="T320" t="str">
            <v>01.08.2026</v>
          </cell>
          <cell r="U320" t="str">
            <v>31.12.9999</v>
          </cell>
          <cell r="V320" t="str">
            <v>ZICF</v>
          </cell>
          <cell r="W320" t="str">
            <v>01</v>
          </cell>
          <cell r="X320">
            <v>127.95</v>
          </cell>
          <cell r="Y320" t="str">
            <v>MXN</v>
          </cell>
          <cell r="Z320" t="str">
            <v>TN</v>
          </cell>
          <cell r="AA320" t="str">
            <v>29.07.2026</v>
          </cell>
          <cell r="AB320" t="str">
            <v>31.12.9999</v>
          </cell>
          <cell r="AC320">
            <v>184.59</v>
          </cell>
        </row>
        <row r="321">
          <cell r="H321" t="str">
            <v>10000293</v>
          </cell>
          <cell r="I321" t="str">
            <v>Grava Triturada Basalto 10mm -</v>
          </cell>
          <cell r="J321">
            <v>134.84</v>
          </cell>
          <cell r="K321" t="str">
            <v>MXN</v>
          </cell>
          <cell r="L321" t="str">
            <v>TN</v>
          </cell>
          <cell r="M321" t="str">
            <v>01.08.2026</v>
          </cell>
          <cell r="N321" t="str">
            <v>31.12.9999</v>
          </cell>
          <cell r="O321" t="str">
            <v>28.07.2026</v>
          </cell>
          <cell r="P321" t="str">
            <v>ZMIF</v>
          </cell>
          <cell r="Q321">
            <v>132.69999999999999</v>
          </cell>
          <cell r="R321" t="str">
            <v>MXN</v>
          </cell>
          <cell r="S321" t="str">
            <v>TN</v>
          </cell>
          <cell r="T321" t="str">
            <v>01.08.2026</v>
          </cell>
          <cell r="U321" t="str">
            <v>31.12.9999</v>
          </cell>
          <cell r="V321" t="str">
            <v>ZICF</v>
          </cell>
          <cell r="W321" t="str">
            <v>01</v>
          </cell>
          <cell r="X321">
            <v>150.31</v>
          </cell>
          <cell r="Y321" t="str">
            <v>MXN</v>
          </cell>
          <cell r="Z321" t="str">
            <v>TN</v>
          </cell>
          <cell r="AA321" t="str">
            <v>12.04.2024</v>
          </cell>
          <cell r="AB321" t="str">
            <v>31.12.9999</v>
          </cell>
          <cell r="AC321">
            <v>267.53999999999996</v>
          </cell>
        </row>
        <row r="322">
          <cell r="H322" t="str">
            <v>10000266</v>
          </cell>
          <cell r="I322" t="str">
            <v>Arena Triturada Basalto Malla</v>
          </cell>
          <cell r="J322">
            <v>138.62</v>
          </cell>
          <cell r="K322" t="str">
            <v>MXN</v>
          </cell>
          <cell r="L322" t="str">
            <v>TN</v>
          </cell>
          <cell r="M322" t="str">
            <v>01.08.2026</v>
          </cell>
          <cell r="N322" t="str">
            <v>31.12.9999</v>
          </cell>
          <cell r="O322" t="str">
            <v>28.07.2026</v>
          </cell>
          <cell r="P322" t="str">
            <v>ZMIF</v>
          </cell>
          <cell r="Q322">
            <v>68.290000000000006</v>
          </cell>
          <cell r="R322" t="str">
            <v>MXN</v>
          </cell>
          <cell r="S322" t="str">
            <v>TN</v>
          </cell>
          <cell r="T322" t="str">
            <v>01.08.2026</v>
          </cell>
          <cell r="U322" t="str">
            <v>31.12.9999</v>
          </cell>
          <cell r="V322" t="str">
            <v>ZICF</v>
          </cell>
          <cell r="W322" t="str">
            <v>01</v>
          </cell>
          <cell r="X322">
            <v>101.97</v>
          </cell>
          <cell r="Y322" t="str">
            <v>MXN</v>
          </cell>
          <cell r="Z322" t="str">
            <v>TN</v>
          </cell>
          <cell r="AA322" t="str">
            <v>29.07.2026</v>
          </cell>
          <cell r="AB322" t="str">
            <v>31.12.9999</v>
          </cell>
          <cell r="AC322">
            <v>206.91000000000003</v>
          </cell>
        </row>
        <row r="323">
          <cell r="H323" t="str">
            <v>10000274</v>
          </cell>
          <cell r="I323" t="str">
            <v>Grava Triturada Basalto  20 mm</v>
          </cell>
          <cell r="J323">
            <v>134.84</v>
          </cell>
          <cell r="K323" t="str">
            <v>MXN</v>
          </cell>
          <cell r="L323" t="str">
            <v>TN</v>
          </cell>
          <cell r="M323" t="str">
            <v>01.08.2026</v>
          </cell>
          <cell r="N323" t="str">
            <v>31.12.9999</v>
          </cell>
          <cell r="O323" t="str">
            <v>28.07.2026</v>
          </cell>
          <cell r="P323" t="str">
            <v>ZMIF</v>
          </cell>
          <cell r="Q323">
            <v>49.75</v>
          </cell>
          <cell r="R323" t="str">
            <v>MXN</v>
          </cell>
          <cell r="S323" t="str">
            <v>TN</v>
          </cell>
          <cell r="T323" t="str">
            <v>01.08.2026</v>
          </cell>
          <cell r="U323" t="str">
            <v>31.12.9999</v>
          </cell>
          <cell r="V323" t="str">
            <v>ZICF</v>
          </cell>
          <cell r="W323" t="str">
            <v>01</v>
          </cell>
          <cell r="X323">
            <v>113.09</v>
          </cell>
          <cell r="Y323" t="str">
            <v>MXN</v>
          </cell>
          <cell r="Z323" t="str">
            <v>TN</v>
          </cell>
          <cell r="AA323" t="str">
            <v>29.07.2026</v>
          </cell>
          <cell r="AB323" t="str">
            <v>31.12.9999</v>
          </cell>
          <cell r="AC323">
            <v>184.59</v>
          </cell>
        </row>
        <row r="324">
          <cell r="H324" t="str">
            <v>10000293</v>
          </cell>
          <cell r="I324" t="str">
            <v>Grava Triturada Basalto 10mm -</v>
          </cell>
          <cell r="J324">
            <v>134.84</v>
          </cell>
          <cell r="K324" t="str">
            <v>MXN</v>
          </cell>
          <cell r="L324" t="str">
            <v>TN</v>
          </cell>
          <cell r="M324" t="str">
            <v>01.08.2026</v>
          </cell>
          <cell r="N324" t="str">
            <v>31.12.9999</v>
          </cell>
          <cell r="O324" t="str">
            <v>28.07.2026</v>
          </cell>
          <cell r="P324" t="str">
            <v>ZMIF</v>
          </cell>
          <cell r="Q324">
            <v>132.69999999999999</v>
          </cell>
          <cell r="R324" t="str">
            <v>MXN</v>
          </cell>
          <cell r="S324" t="str">
            <v>TN</v>
          </cell>
          <cell r="T324" t="str">
            <v>01.08.2026</v>
          </cell>
          <cell r="U324" t="str">
            <v>31.12.9999</v>
          </cell>
          <cell r="V324" t="str">
            <v>ZICF</v>
          </cell>
          <cell r="W324" t="str">
            <v>01</v>
          </cell>
          <cell r="X324">
            <v>110.96</v>
          </cell>
          <cell r="Y324" t="str">
            <v>MXN</v>
          </cell>
          <cell r="Z324" t="str">
            <v>TN</v>
          </cell>
          <cell r="AA324" t="str">
            <v>29.07.2026</v>
          </cell>
          <cell r="AB324" t="str">
            <v>31.12.9999</v>
          </cell>
          <cell r="AC324">
            <v>267.53999999999996</v>
          </cell>
        </row>
        <row r="325">
          <cell r="H325" t="str">
            <v>10000266</v>
          </cell>
          <cell r="I325" t="str">
            <v>Arena Triturada Basalto Malla</v>
          </cell>
          <cell r="J325">
            <v>138.62</v>
          </cell>
          <cell r="K325" t="str">
            <v>MXN</v>
          </cell>
          <cell r="L325" t="str">
            <v>TN</v>
          </cell>
          <cell r="M325" t="str">
            <v>01.08.2026</v>
          </cell>
          <cell r="N325" t="str">
            <v>31.12.9999</v>
          </cell>
          <cell r="O325" t="str">
            <v>28.07.2026</v>
          </cell>
          <cell r="P325" t="str">
            <v>ZMIF</v>
          </cell>
          <cell r="Q325">
            <v>68.290000000000006</v>
          </cell>
          <cell r="R325" t="str">
            <v>MXN</v>
          </cell>
          <cell r="S325" t="str">
            <v>TN</v>
          </cell>
          <cell r="T325" t="str">
            <v>01.08.2026</v>
          </cell>
          <cell r="U325" t="str">
            <v>31.12.9999</v>
          </cell>
          <cell r="V325" t="str">
            <v>ZICF</v>
          </cell>
          <cell r="W325" t="str">
            <v>01</v>
          </cell>
          <cell r="X325">
            <v>118.67</v>
          </cell>
          <cell r="Y325" t="str">
            <v>MXN</v>
          </cell>
          <cell r="Z325" t="str">
            <v>TN</v>
          </cell>
          <cell r="AA325" t="str">
            <v>29.07.2026</v>
          </cell>
          <cell r="AB325" t="str">
            <v>31.12.9999</v>
          </cell>
          <cell r="AC325">
            <v>206.91000000000003</v>
          </cell>
        </row>
        <row r="326">
          <cell r="H326" t="str">
            <v>10000274</v>
          </cell>
          <cell r="I326" t="str">
            <v>Grava Triturada Basalto  20 mm</v>
          </cell>
          <cell r="J326">
            <v>134.84</v>
          </cell>
          <cell r="K326" t="str">
            <v>MXN</v>
          </cell>
          <cell r="L326" t="str">
            <v>TN</v>
          </cell>
          <cell r="M326" t="str">
            <v>01.08.2026</v>
          </cell>
          <cell r="N326" t="str">
            <v>31.12.9999</v>
          </cell>
          <cell r="O326" t="str">
            <v>28.07.2026</v>
          </cell>
          <cell r="P326" t="str">
            <v>ZMIF</v>
          </cell>
          <cell r="Q326">
            <v>49.75</v>
          </cell>
          <cell r="R326" t="str">
            <v>MXN</v>
          </cell>
          <cell r="S326" t="str">
            <v>TN</v>
          </cell>
          <cell r="T326" t="str">
            <v>01.08.2026</v>
          </cell>
          <cell r="U326" t="str">
            <v>31.12.9999</v>
          </cell>
          <cell r="V326" t="str">
            <v>ZICF</v>
          </cell>
          <cell r="W326" t="str">
            <v>01</v>
          </cell>
          <cell r="X326">
            <v>115.12</v>
          </cell>
          <cell r="Y326" t="str">
            <v>MXN</v>
          </cell>
          <cell r="Z326" t="str">
            <v>TN</v>
          </cell>
          <cell r="AA326" t="str">
            <v>29.07.2026</v>
          </cell>
          <cell r="AB326" t="str">
            <v>31.12.9999</v>
          </cell>
          <cell r="AC326">
            <v>184.59</v>
          </cell>
        </row>
        <row r="327">
          <cell r="H327" t="str">
            <v>10000293</v>
          </cell>
          <cell r="I327" t="str">
            <v>Grava Triturada Basalto 10mm -</v>
          </cell>
          <cell r="J327">
            <v>134.84</v>
          </cell>
          <cell r="K327" t="str">
            <v>MXN</v>
          </cell>
          <cell r="L327" t="str">
            <v>TN</v>
          </cell>
          <cell r="M327" t="str">
            <v>01.08.2026</v>
          </cell>
          <cell r="N327" t="str">
            <v>31.12.9999</v>
          </cell>
          <cell r="O327" t="str">
            <v>28.07.2026</v>
          </cell>
          <cell r="P327" t="str">
            <v>ZMIF</v>
          </cell>
          <cell r="Q327">
            <v>132.69999999999999</v>
          </cell>
          <cell r="R327" t="str">
            <v>MXN</v>
          </cell>
          <cell r="S327" t="str">
            <v>TN</v>
          </cell>
          <cell r="T327" t="str">
            <v>01.08.2026</v>
          </cell>
          <cell r="U327" t="str">
            <v>31.12.9999</v>
          </cell>
          <cell r="V327" t="str">
            <v>ZICF</v>
          </cell>
          <cell r="W327" t="str">
            <v>01</v>
          </cell>
          <cell r="X327">
            <v>124</v>
          </cell>
          <cell r="Y327" t="str">
            <v>MXN</v>
          </cell>
          <cell r="Z327" t="str">
            <v>TN</v>
          </cell>
          <cell r="AA327" t="str">
            <v>29.07.2026</v>
          </cell>
          <cell r="AB327" t="str">
            <v>31.12.9999</v>
          </cell>
          <cell r="AC327">
            <v>267.53999999999996</v>
          </cell>
        </row>
        <row r="328">
          <cell r="H328" t="str">
            <v>10000266</v>
          </cell>
          <cell r="I328" t="str">
            <v>Arena Triturada Basalto Malla</v>
          </cell>
          <cell r="J328">
            <v>138.62</v>
          </cell>
          <cell r="K328" t="str">
            <v>MXN</v>
          </cell>
          <cell r="L328" t="str">
            <v>TN</v>
          </cell>
          <cell r="M328" t="str">
            <v>01.08.2026</v>
          </cell>
          <cell r="N328" t="str">
            <v>31.12.9999</v>
          </cell>
          <cell r="O328" t="str">
            <v>28.07.2026</v>
          </cell>
          <cell r="P328" t="str">
            <v>ZMIF</v>
          </cell>
          <cell r="Q328">
            <v>68.290000000000006</v>
          </cell>
          <cell r="R328" t="str">
            <v>MXN</v>
          </cell>
          <cell r="S328" t="str">
            <v>TN</v>
          </cell>
          <cell r="T328" t="str">
            <v>01.08.2026</v>
          </cell>
          <cell r="U328" t="str">
            <v>31.12.9999</v>
          </cell>
          <cell r="V328" t="str">
            <v>ZICF</v>
          </cell>
          <cell r="W328" t="str">
            <v>01</v>
          </cell>
          <cell r="X328">
            <v>197.46</v>
          </cell>
          <cell r="Y328" t="str">
            <v>MXN</v>
          </cell>
          <cell r="Z328" t="str">
            <v>TN</v>
          </cell>
          <cell r="AA328" t="str">
            <v>29.07.2026</v>
          </cell>
          <cell r="AB328" t="str">
            <v>31.12.9999</v>
          </cell>
          <cell r="AC328">
            <v>206.91000000000003</v>
          </cell>
        </row>
        <row r="329">
          <cell r="H329" t="str">
            <v>10000274</v>
          </cell>
          <cell r="I329" t="str">
            <v>Grava Triturada Basalto  20 mm</v>
          </cell>
          <cell r="J329">
            <v>134.84</v>
          </cell>
          <cell r="K329" t="str">
            <v>MXN</v>
          </cell>
          <cell r="L329" t="str">
            <v>TN</v>
          </cell>
          <cell r="M329" t="str">
            <v>01.08.2026</v>
          </cell>
          <cell r="N329" t="str">
            <v>31.12.9999</v>
          </cell>
          <cell r="O329" t="str">
            <v>28.07.2026</v>
          </cell>
          <cell r="P329" t="str">
            <v>ZMIF</v>
          </cell>
          <cell r="Q329">
            <v>49.75</v>
          </cell>
          <cell r="R329" t="str">
            <v>MXN</v>
          </cell>
          <cell r="S329" t="str">
            <v>TN</v>
          </cell>
          <cell r="T329" t="str">
            <v>01.08.2026</v>
          </cell>
          <cell r="U329" t="str">
            <v>31.12.9999</v>
          </cell>
          <cell r="V329" t="str">
            <v>ZICF</v>
          </cell>
          <cell r="W329" t="str">
            <v>01</v>
          </cell>
          <cell r="X329">
            <v>218.01</v>
          </cell>
          <cell r="Y329" t="str">
            <v>MXN</v>
          </cell>
          <cell r="Z329" t="str">
            <v>TN</v>
          </cell>
          <cell r="AA329" t="str">
            <v>20.10.2022</v>
          </cell>
          <cell r="AB329" t="str">
            <v>31.12.9999</v>
          </cell>
          <cell r="AC329">
            <v>184.59</v>
          </cell>
        </row>
        <row r="330">
          <cell r="H330" t="str">
            <v>10000293</v>
          </cell>
          <cell r="I330" t="str">
            <v>Grava Triturada Basalto 10mm -</v>
          </cell>
          <cell r="J330">
            <v>134.84</v>
          </cell>
          <cell r="K330" t="str">
            <v>MXN</v>
          </cell>
          <cell r="L330" t="str">
            <v>TN</v>
          </cell>
          <cell r="M330" t="str">
            <v>01.08.2026</v>
          </cell>
          <cell r="N330" t="str">
            <v>31.12.9999</v>
          </cell>
          <cell r="O330" t="str">
            <v>28.07.2026</v>
          </cell>
          <cell r="P330" t="str">
            <v>ZMIF</v>
          </cell>
          <cell r="Q330">
            <v>132.69999999999999</v>
          </cell>
          <cell r="R330" t="str">
            <v>MXN</v>
          </cell>
          <cell r="S330" t="str">
            <v>TN</v>
          </cell>
          <cell r="T330" t="str">
            <v>01.08.2026</v>
          </cell>
          <cell r="U330" t="str">
            <v>31.12.9999</v>
          </cell>
          <cell r="V330" t="str">
            <v>ZICF</v>
          </cell>
          <cell r="W330" t="str">
            <v>01</v>
          </cell>
          <cell r="X330">
            <v>219.23</v>
          </cell>
          <cell r="Y330" t="str">
            <v>MXN</v>
          </cell>
          <cell r="Z330" t="str">
            <v>TN</v>
          </cell>
          <cell r="AA330" t="str">
            <v>12.04.2024</v>
          </cell>
          <cell r="AB330" t="str">
            <v>31.12.9999</v>
          </cell>
          <cell r="AC330">
            <v>267.53999999999996</v>
          </cell>
        </row>
        <row r="331">
          <cell r="H331" t="str">
            <v>10000266</v>
          </cell>
          <cell r="I331" t="str">
            <v>Arena Triturada Basalto Malla</v>
          </cell>
          <cell r="J331">
            <v>138.62</v>
          </cell>
          <cell r="K331" t="str">
            <v>MXN</v>
          </cell>
          <cell r="L331" t="str">
            <v>TN</v>
          </cell>
          <cell r="M331" t="str">
            <v>01.08.2026</v>
          </cell>
          <cell r="N331" t="str">
            <v>31.12.9999</v>
          </cell>
          <cell r="O331" t="str">
            <v>28.07.2026</v>
          </cell>
          <cell r="P331" t="str">
            <v>ZMIF</v>
          </cell>
          <cell r="Q331">
            <v>68.290000000000006</v>
          </cell>
          <cell r="R331" t="str">
            <v>MXN</v>
          </cell>
          <cell r="S331" t="str">
            <v>TN</v>
          </cell>
          <cell r="T331" t="str">
            <v>01.08.2026</v>
          </cell>
          <cell r="U331" t="str">
            <v>31.12.9999</v>
          </cell>
          <cell r="V331" t="str">
            <v>ZICF</v>
          </cell>
          <cell r="W331" t="str">
            <v>01</v>
          </cell>
          <cell r="X331">
            <v>103.51</v>
          </cell>
          <cell r="Y331" t="str">
            <v>MXN</v>
          </cell>
          <cell r="Z331" t="str">
            <v>TN</v>
          </cell>
          <cell r="AA331" t="str">
            <v>20.10.2022</v>
          </cell>
          <cell r="AB331" t="str">
            <v>31.12.9999</v>
          </cell>
          <cell r="AC331">
            <v>206.91000000000003</v>
          </cell>
        </row>
        <row r="332">
          <cell r="H332" t="str">
            <v>10000274</v>
          </cell>
          <cell r="I332" t="str">
            <v>Grava Triturada Basalto  20 mm</v>
          </cell>
          <cell r="J332">
            <v>134.84</v>
          </cell>
          <cell r="K332" t="str">
            <v>MXN</v>
          </cell>
          <cell r="L332" t="str">
            <v>TN</v>
          </cell>
          <cell r="M332" t="str">
            <v>01.08.2026</v>
          </cell>
          <cell r="N332" t="str">
            <v>31.12.9999</v>
          </cell>
          <cell r="O332" t="str">
            <v>28.07.2026</v>
          </cell>
          <cell r="P332" t="str">
            <v>ZMIF</v>
          </cell>
          <cell r="Q332">
            <v>49.75</v>
          </cell>
          <cell r="R332" t="str">
            <v>MXN</v>
          </cell>
          <cell r="S332" t="str">
            <v>TN</v>
          </cell>
          <cell r="T332" t="str">
            <v>01.08.2026</v>
          </cell>
          <cell r="U332" t="str">
            <v>31.12.9999</v>
          </cell>
          <cell r="V332" t="str">
            <v>ZICF</v>
          </cell>
          <cell r="W332" t="str">
            <v>01</v>
          </cell>
          <cell r="X332">
            <v>94.69</v>
          </cell>
          <cell r="Y332" t="str">
            <v>MXN</v>
          </cell>
          <cell r="Z332" t="str">
            <v>TN</v>
          </cell>
          <cell r="AA332" t="str">
            <v>20.10.2022</v>
          </cell>
          <cell r="AB332" t="str">
            <v>31.12.9999</v>
          </cell>
          <cell r="AC332">
            <v>184.59</v>
          </cell>
        </row>
        <row r="333">
          <cell r="H333" t="str">
            <v>10000266</v>
          </cell>
          <cell r="I333" t="str">
            <v>Arena Triturada Basalto Malla</v>
          </cell>
          <cell r="J333">
            <v>138.62</v>
          </cell>
          <cell r="K333" t="str">
            <v>MXN</v>
          </cell>
          <cell r="L333" t="str">
            <v>TN</v>
          </cell>
          <cell r="M333" t="str">
            <v>01.08.2026</v>
          </cell>
          <cell r="N333" t="str">
            <v>31.12.9999</v>
          </cell>
          <cell r="O333" t="str">
            <v>28.07.2026</v>
          </cell>
          <cell r="P333" t="str">
            <v>ZMIF</v>
          </cell>
          <cell r="Q333">
            <v>66.38</v>
          </cell>
          <cell r="R333" t="str">
            <v>MXN</v>
          </cell>
          <cell r="S333" t="str">
            <v>TN</v>
          </cell>
          <cell r="T333" t="str">
            <v>01.08.2026</v>
          </cell>
          <cell r="U333" t="str">
            <v>31.12.9999</v>
          </cell>
          <cell r="V333"/>
          <cell r="W333"/>
          <cell r="X333"/>
          <cell r="Y333"/>
          <cell r="Z333"/>
          <cell r="AA333"/>
          <cell r="AB333"/>
          <cell r="AC333">
            <v>205</v>
          </cell>
        </row>
        <row r="334">
          <cell r="H334" t="str">
            <v>10000274</v>
          </cell>
          <cell r="I334" t="str">
            <v>Grava Triturada Basalto  20 mm</v>
          </cell>
          <cell r="J334">
            <v>134.84</v>
          </cell>
          <cell r="K334" t="str">
            <v>MXN</v>
          </cell>
          <cell r="L334" t="str">
            <v>TN</v>
          </cell>
          <cell r="M334" t="str">
            <v>01.08.2026</v>
          </cell>
          <cell r="N334" t="str">
            <v>31.12.9999</v>
          </cell>
          <cell r="O334" t="str">
            <v>28.07.2026</v>
          </cell>
          <cell r="P334" t="str">
            <v>ZMIF</v>
          </cell>
          <cell r="Q334">
            <v>50.16</v>
          </cell>
          <cell r="R334" t="str">
            <v>MXN</v>
          </cell>
          <cell r="S334" t="str">
            <v>TN</v>
          </cell>
          <cell r="T334" t="str">
            <v>01.08.2026</v>
          </cell>
          <cell r="U334" t="str">
            <v>31.12.9999</v>
          </cell>
          <cell r="V334"/>
          <cell r="W334"/>
          <cell r="X334"/>
          <cell r="Y334"/>
          <cell r="Z334"/>
          <cell r="AA334"/>
          <cell r="AB334"/>
          <cell r="AC334">
            <v>185</v>
          </cell>
        </row>
        <row r="335">
          <cell r="H335" t="str">
            <v>10000293</v>
          </cell>
          <cell r="I335" t="str">
            <v>Grava Triturada Basalto 10mm -</v>
          </cell>
          <cell r="J335">
            <v>134.84</v>
          </cell>
          <cell r="K335" t="str">
            <v>MXN</v>
          </cell>
          <cell r="L335" t="str">
            <v>TN</v>
          </cell>
          <cell r="M335" t="str">
            <v>01.08.2026</v>
          </cell>
          <cell r="N335" t="str">
            <v>31.12.9999</v>
          </cell>
          <cell r="O335" t="str">
            <v>28.07.2026</v>
          </cell>
          <cell r="P335" t="str">
            <v>ZMIF</v>
          </cell>
          <cell r="Q335">
            <v>115.16</v>
          </cell>
          <cell r="R335" t="str">
            <v>MXN</v>
          </cell>
          <cell r="S335" t="str">
            <v>TN</v>
          </cell>
          <cell r="T335" t="str">
            <v>01.08.2026</v>
          </cell>
          <cell r="U335" t="str">
            <v>31.12.9999</v>
          </cell>
          <cell r="V335"/>
          <cell r="W335"/>
          <cell r="X335"/>
          <cell r="Y335"/>
          <cell r="Z335"/>
          <cell r="AA335"/>
          <cell r="AB335"/>
          <cell r="AC335">
            <v>250</v>
          </cell>
        </row>
        <row r="336">
          <cell r="H336" t="str">
            <v>10000266</v>
          </cell>
          <cell r="I336" t="str">
            <v>Arena Triturada Basalto Malla</v>
          </cell>
          <cell r="J336">
            <v>205</v>
          </cell>
          <cell r="K336" t="str">
            <v>MXN</v>
          </cell>
          <cell r="L336" t="str">
            <v>TN</v>
          </cell>
          <cell r="M336" t="str">
            <v>12.09.2025</v>
          </cell>
          <cell r="N336" t="str">
            <v>31.12.9999</v>
          </cell>
          <cell r="O336" t="str">
            <v>15.09.2025</v>
          </cell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>
            <v>205</v>
          </cell>
        </row>
        <row r="337">
          <cell r="H337" t="str">
            <v>10000274</v>
          </cell>
          <cell r="I337" t="str">
            <v>Grava Triturada Basalto  20 mm</v>
          </cell>
          <cell r="J337">
            <v>185</v>
          </cell>
          <cell r="K337" t="str">
            <v>MXN</v>
          </cell>
          <cell r="L337" t="str">
            <v>TN</v>
          </cell>
          <cell r="M337" t="str">
            <v>12.09.2025</v>
          </cell>
          <cell r="N337" t="str">
            <v>31.12.9999</v>
          </cell>
          <cell r="O337" t="str">
            <v>15.09.2025</v>
          </cell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>
            <v>185</v>
          </cell>
        </row>
        <row r="338">
          <cell r="H338" t="str">
            <v>10000293</v>
          </cell>
          <cell r="I338" t="str">
            <v>Grava Triturada Basalto 10mm -</v>
          </cell>
          <cell r="J338">
            <v>250</v>
          </cell>
          <cell r="K338" t="str">
            <v>MXN</v>
          </cell>
          <cell r="L338" t="str">
            <v>TN</v>
          </cell>
          <cell r="M338" t="str">
            <v>12.09.2025</v>
          </cell>
          <cell r="N338" t="str">
            <v>31.12.9999</v>
          </cell>
          <cell r="O338" t="str">
            <v>15.09.2025</v>
          </cell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>
            <v>250</v>
          </cell>
        </row>
        <row r="339">
          <cell r="H339" t="str">
            <v>10000236</v>
          </cell>
          <cell r="I339" t="str">
            <v>Grava Triturada Caliza 10 mm -</v>
          </cell>
          <cell r="J339">
            <v>86.47</v>
          </cell>
          <cell r="K339" t="str">
            <v>MXN</v>
          </cell>
          <cell r="L339" t="str">
            <v>TN</v>
          </cell>
          <cell r="M339" t="str">
            <v>01.08.2026</v>
          </cell>
          <cell r="N339" t="str">
            <v>31.12.9999</v>
          </cell>
          <cell r="O339" t="str">
            <v>28.07.2026</v>
          </cell>
          <cell r="P339" t="str">
            <v>ZMIF</v>
          </cell>
          <cell r="Q339">
            <v>212.98</v>
          </cell>
          <cell r="R339" t="str">
            <v>MXN</v>
          </cell>
          <cell r="S339" t="str">
            <v>TN</v>
          </cell>
          <cell r="T339" t="str">
            <v>01.08.2026</v>
          </cell>
          <cell r="U339" t="str">
            <v>31.12.9999</v>
          </cell>
          <cell r="V339" t="str">
            <v>ZICF</v>
          </cell>
          <cell r="W339" t="str">
            <v>01</v>
          </cell>
          <cell r="X339">
            <v>67.55</v>
          </cell>
          <cell r="Y339" t="str">
            <v>MXN</v>
          </cell>
          <cell r="Z339" t="str">
            <v>TN</v>
          </cell>
          <cell r="AA339" t="str">
            <v>01.05.2026</v>
          </cell>
          <cell r="AB339" t="str">
            <v>31.12.2030</v>
          </cell>
          <cell r="AC339">
            <v>299.45</v>
          </cell>
        </row>
        <row r="340">
          <cell r="H340" t="str">
            <v>10000240</v>
          </cell>
          <cell r="I340" t="str">
            <v>Grava Triturada Caliza 20 mm -</v>
          </cell>
          <cell r="J340">
            <v>86.47</v>
          </cell>
          <cell r="K340" t="str">
            <v>MXN</v>
          </cell>
          <cell r="L340" t="str">
            <v>TN</v>
          </cell>
          <cell r="M340" t="str">
            <v>01.08.2026</v>
          </cell>
          <cell r="N340" t="str">
            <v>31.12.9999</v>
          </cell>
          <cell r="O340" t="str">
            <v>28.07.2026</v>
          </cell>
          <cell r="P340" t="str">
            <v>ZMIF</v>
          </cell>
          <cell r="Q340">
            <v>185.22</v>
          </cell>
          <cell r="R340" t="str">
            <v>MXN</v>
          </cell>
          <cell r="S340" t="str">
            <v>TN</v>
          </cell>
          <cell r="T340" t="str">
            <v>01.08.2026</v>
          </cell>
          <cell r="U340" t="str">
            <v>31.12.9999</v>
          </cell>
          <cell r="V340" t="str">
            <v>ZICF</v>
          </cell>
          <cell r="W340" t="str">
            <v>01</v>
          </cell>
          <cell r="X340">
            <v>65.81</v>
          </cell>
          <cell r="Y340" t="str">
            <v>MXN</v>
          </cell>
          <cell r="Z340" t="str">
            <v>TN</v>
          </cell>
          <cell r="AA340" t="str">
            <v>30.06.2026</v>
          </cell>
          <cell r="AB340" t="str">
            <v>31.12.2030</v>
          </cell>
          <cell r="AC340">
            <v>271.69</v>
          </cell>
        </row>
        <row r="341">
          <cell r="H341" t="str">
            <v>10001073</v>
          </cell>
          <cell r="I341" t="str">
            <v>Arena Triturada Caliza Malla 4</v>
          </cell>
          <cell r="J341">
            <v>86.99</v>
          </cell>
          <cell r="K341" t="str">
            <v>MXN</v>
          </cell>
          <cell r="L341" t="str">
            <v>TN</v>
          </cell>
          <cell r="M341" t="str">
            <v>01.08.2026</v>
          </cell>
          <cell r="N341" t="str">
            <v>31.12.9999</v>
          </cell>
          <cell r="O341" t="str">
            <v>28.07.2026</v>
          </cell>
          <cell r="P341" t="str">
            <v>ZMIF</v>
          </cell>
          <cell r="Q341">
            <v>121.29</v>
          </cell>
          <cell r="R341" t="str">
            <v>MXN</v>
          </cell>
          <cell r="S341" t="str">
            <v>TN</v>
          </cell>
          <cell r="T341" t="str">
            <v>01.08.2026</v>
          </cell>
          <cell r="U341" t="str">
            <v>31.12.9999</v>
          </cell>
          <cell r="V341" t="str">
            <v>ZICF</v>
          </cell>
          <cell r="W341" t="str">
            <v>01</v>
          </cell>
          <cell r="X341">
            <v>61.06</v>
          </cell>
          <cell r="Y341" t="str">
            <v>MXN</v>
          </cell>
          <cell r="Z341" t="str">
            <v>TN</v>
          </cell>
          <cell r="AA341" t="str">
            <v>01.05.2026</v>
          </cell>
          <cell r="AB341" t="str">
            <v>31.12.2030</v>
          </cell>
          <cell r="AC341">
            <v>208.28</v>
          </cell>
        </row>
        <row r="342">
          <cell r="H342" t="str">
            <v>10000240</v>
          </cell>
          <cell r="I342" t="str">
            <v>Grava Triturada Caliza 20 mm -</v>
          </cell>
          <cell r="J342">
            <v>86.47</v>
          </cell>
          <cell r="K342" t="str">
            <v>MXN</v>
          </cell>
          <cell r="L342" t="str">
            <v>TN</v>
          </cell>
          <cell r="M342" t="str">
            <v>01.08.2026</v>
          </cell>
          <cell r="N342" t="str">
            <v>31.12.9999</v>
          </cell>
          <cell r="O342" t="str">
            <v>28.07.2026</v>
          </cell>
          <cell r="P342" t="str">
            <v>ZMIF</v>
          </cell>
          <cell r="Q342">
            <v>185.22</v>
          </cell>
          <cell r="R342" t="str">
            <v>MXN</v>
          </cell>
          <cell r="S342" t="str">
            <v>TN</v>
          </cell>
          <cell r="T342" t="str">
            <v>01.08.2026</v>
          </cell>
          <cell r="U342" t="str">
            <v>31.12.9999</v>
          </cell>
          <cell r="V342" t="str">
            <v>ZICF</v>
          </cell>
          <cell r="W342" t="str">
            <v>01</v>
          </cell>
          <cell r="X342">
            <v>65.81</v>
          </cell>
          <cell r="Y342" t="str">
            <v>MXN</v>
          </cell>
          <cell r="Z342" t="str">
            <v>TN</v>
          </cell>
          <cell r="AA342" t="str">
            <v>30.06.2026</v>
          </cell>
          <cell r="AB342" t="str">
            <v>31.12.2030</v>
          </cell>
          <cell r="AC342">
            <v>271.69</v>
          </cell>
        </row>
        <row r="343">
          <cell r="H343" t="str">
            <v>10001073</v>
          </cell>
          <cell r="I343" t="str">
            <v>Arena Triturada Caliza Malla 4</v>
          </cell>
          <cell r="J343">
            <v>86.99</v>
          </cell>
          <cell r="K343" t="str">
            <v>MXN</v>
          </cell>
          <cell r="L343" t="str">
            <v>TN</v>
          </cell>
          <cell r="M343" t="str">
            <v>01.08.2026</v>
          </cell>
          <cell r="N343" t="str">
            <v>31.12.9999</v>
          </cell>
          <cell r="O343" t="str">
            <v>28.07.2026</v>
          </cell>
          <cell r="P343" t="str">
            <v>ZMIF</v>
          </cell>
          <cell r="Q343">
            <v>121.29</v>
          </cell>
          <cell r="R343" t="str">
            <v>MXN</v>
          </cell>
          <cell r="S343" t="str">
            <v>TN</v>
          </cell>
          <cell r="T343" t="str">
            <v>01.08.2026</v>
          </cell>
          <cell r="U343" t="str">
            <v>31.12.9999</v>
          </cell>
          <cell r="V343" t="str">
            <v>ZICF</v>
          </cell>
          <cell r="W343" t="str">
            <v>01</v>
          </cell>
          <cell r="X343">
            <v>61.06</v>
          </cell>
          <cell r="Y343" t="str">
            <v>MXN</v>
          </cell>
          <cell r="Z343" t="str">
            <v>TN</v>
          </cell>
          <cell r="AA343" t="str">
            <v>01.05.2026</v>
          </cell>
          <cell r="AB343" t="str">
            <v>31.12.2030</v>
          </cell>
          <cell r="AC343">
            <v>208.28</v>
          </cell>
        </row>
        <row r="344">
          <cell r="H344" t="str">
            <v>10000236</v>
          </cell>
          <cell r="I344" t="str">
            <v>Grava Triturada Caliza 10 mm -</v>
          </cell>
          <cell r="J344">
            <v>86.47</v>
          </cell>
          <cell r="K344" t="str">
            <v>MXN</v>
          </cell>
          <cell r="L344" t="str">
            <v>TN</v>
          </cell>
          <cell r="M344" t="str">
            <v>01.08.2026</v>
          </cell>
          <cell r="N344" t="str">
            <v>31.12.9999</v>
          </cell>
          <cell r="O344" t="str">
            <v>28.07.2026</v>
          </cell>
          <cell r="P344" t="str">
            <v>ZMIF</v>
          </cell>
          <cell r="Q344">
            <v>212.98</v>
          </cell>
          <cell r="R344" t="str">
            <v>MXN</v>
          </cell>
          <cell r="S344" t="str">
            <v>TN</v>
          </cell>
          <cell r="T344" t="str">
            <v>01.08.2026</v>
          </cell>
          <cell r="U344" t="str">
            <v>31.12.9999</v>
          </cell>
          <cell r="V344" t="str">
            <v>ZICF</v>
          </cell>
          <cell r="W344" t="str">
            <v>01</v>
          </cell>
          <cell r="X344">
            <v>93.28</v>
          </cell>
          <cell r="Y344" t="str">
            <v>MXN</v>
          </cell>
          <cell r="Z344" t="str">
            <v>TN</v>
          </cell>
          <cell r="AA344" t="str">
            <v>01.05.2026</v>
          </cell>
          <cell r="AB344" t="str">
            <v>31.12.2030</v>
          </cell>
          <cell r="AC344">
            <v>299.45</v>
          </cell>
        </row>
        <row r="345">
          <cell r="H345" t="str">
            <v>10000240</v>
          </cell>
          <cell r="I345" t="str">
            <v>Grava Triturada Caliza 20 mm -</v>
          </cell>
          <cell r="J345">
            <v>86.47</v>
          </cell>
          <cell r="K345" t="str">
            <v>MXN</v>
          </cell>
          <cell r="L345" t="str">
            <v>TN</v>
          </cell>
          <cell r="M345" t="str">
            <v>01.08.2026</v>
          </cell>
          <cell r="N345" t="str">
            <v>31.12.9999</v>
          </cell>
          <cell r="O345" t="str">
            <v>28.07.2026</v>
          </cell>
          <cell r="P345" t="str">
            <v>ZMIF</v>
          </cell>
          <cell r="Q345">
            <v>185.22</v>
          </cell>
          <cell r="R345" t="str">
            <v>MXN</v>
          </cell>
          <cell r="S345" t="str">
            <v>TN</v>
          </cell>
          <cell r="T345" t="str">
            <v>01.08.2026</v>
          </cell>
          <cell r="U345" t="str">
            <v>31.12.9999</v>
          </cell>
          <cell r="V345" t="str">
            <v>ZICF</v>
          </cell>
          <cell r="W345" t="str">
            <v>01</v>
          </cell>
          <cell r="X345">
            <v>90.88</v>
          </cell>
          <cell r="Y345" t="str">
            <v>MXN</v>
          </cell>
          <cell r="Z345" t="str">
            <v>TN</v>
          </cell>
          <cell r="AA345" t="str">
            <v>30.06.2026</v>
          </cell>
          <cell r="AB345" t="str">
            <v>31.12.2030</v>
          </cell>
          <cell r="AC345">
            <v>271.69</v>
          </cell>
        </row>
        <row r="346">
          <cell r="H346" t="str">
            <v>10001073</v>
          </cell>
          <cell r="I346" t="str">
            <v>Arena Triturada Caliza Malla 4</v>
          </cell>
          <cell r="J346">
            <v>86.99</v>
          </cell>
          <cell r="K346" t="str">
            <v>MXN</v>
          </cell>
          <cell r="L346" t="str">
            <v>TN</v>
          </cell>
          <cell r="M346" t="str">
            <v>01.08.2026</v>
          </cell>
          <cell r="N346" t="str">
            <v>31.12.9999</v>
          </cell>
          <cell r="O346" t="str">
            <v>28.07.2026</v>
          </cell>
          <cell r="P346" t="str">
            <v>ZMIF</v>
          </cell>
          <cell r="Q346">
            <v>121.29</v>
          </cell>
          <cell r="R346" t="str">
            <v>MXN</v>
          </cell>
          <cell r="S346" t="str">
            <v>TN</v>
          </cell>
          <cell r="T346" t="str">
            <v>01.08.2026</v>
          </cell>
          <cell r="U346" t="str">
            <v>31.12.9999</v>
          </cell>
          <cell r="V346" t="str">
            <v>ZICF</v>
          </cell>
          <cell r="W346" t="str">
            <v>01</v>
          </cell>
          <cell r="X346">
            <v>84.31</v>
          </cell>
          <cell r="Y346" t="str">
            <v>MXN</v>
          </cell>
          <cell r="Z346" t="str">
            <v>TN</v>
          </cell>
          <cell r="AA346" t="str">
            <v>01.05.2026</v>
          </cell>
          <cell r="AB346" t="str">
            <v>31.12.2030</v>
          </cell>
          <cell r="AC346">
            <v>208.28</v>
          </cell>
        </row>
        <row r="347">
          <cell r="H347" t="str">
            <v>10000240</v>
          </cell>
          <cell r="I347" t="str">
            <v>Grava Triturada Caliza 20 mm -</v>
          </cell>
          <cell r="J347">
            <v>86.47</v>
          </cell>
          <cell r="K347" t="str">
            <v>MXN</v>
          </cell>
          <cell r="L347" t="str">
            <v>TN</v>
          </cell>
          <cell r="M347" t="str">
            <v>01.08.2026</v>
          </cell>
          <cell r="N347" t="str">
            <v>31.12.9999</v>
          </cell>
          <cell r="O347" t="str">
            <v>28.07.2026</v>
          </cell>
          <cell r="P347" t="str">
            <v>ZMIF</v>
          </cell>
          <cell r="Q347">
            <v>185.22</v>
          </cell>
          <cell r="R347" t="str">
            <v>MXN</v>
          </cell>
          <cell r="S347" t="str">
            <v>TN</v>
          </cell>
          <cell r="T347" t="str">
            <v>01.08.2026</v>
          </cell>
          <cell r="U347" t="str">
            <v>31.12.9999</v>
          </cell>
          <cell r="V347" t="str">
            <v>ZICF</v>
          </cell>
          <cell r="W347" t="str">
            <v>01</v>
          </cell>
          <cell r="X347">
            <v>122.22</v>
          </cell>
          <cell r="Y347" t="str">
            <v>MXN</v>
          </cell>
          <cell r="Z347" t="str">
            <v>TN</v>
          </cell>
          <cell r="AA347" t="str">
            <v>30.06.2026</v>
          </cell>
          <cell r="AB347" t="str">
            <v>31.12.2030</v>
          </cell>
          <cell r="AC347">
            <v>271.69</v>
          </cell>
        </row>
        <row r="348">
          <cell r="H348" t="str">
            <v>10001073</v>
          </cell>
          <cell r="I348" t="str">
            <v>Arena Triturada Caliza Malla 4</v>
          </cell>
          <cell r="J348">
            <v>86.99</v>
          </cell>
          <cell r="K348" t="str">
            <v>MXN</v>
          </cell>
          <cell r="L348" t="str">
            <v>TN</v>
          </cell>
          <cell r="M348" t="str">
            <v>01.08.2026</v>
          </cell>
          <cell r="N348" t="str">
            <v>31.12.9999</v>
          </cell>
          <cell r="O348" t="str">
            <v>28.07.2026</v>
          </cell>
          <cell r="P348" t="str">
            <v>ZMIF</v>
          </cell>
          <cell r="Q348">
            <v>121.29</v>
          </cell>
          <cell r="R348" t="str">
            <v>MXN</v>
          </cell>
          <cell r="S348" t="str">
            <v>TN</v>
          </cell>
          <cell r="T348" t="str">
            <v>01.08.2026</v>
          </cell>
          <cell r="U348" t="str">
            <v>31.12.9999</v>
          </cell>
          <cell r="V348" t="str">
            <v>ZICF</v>
          </cell>
          <cell r="W348" t="str">
            <v>01</v>
          </cell>
          <cell r="X348">
            <v>113.39</v>
          </cell>
          <cell r="Y348" t="str">
            <v>MXN</v>
          </cell>
          <cell r="Z348" t="str">
            <v>TN</v>
          </cell>
          <cell r="AA348" t="str">
            <v>01.05.2026</v>
          </cell>
          <cell r="AB348" t="str">
            <v>31.12.2030</v>
          </cell>
          <cell r="AC348">
            <v>208.28</v>
          </cell>
        </row>
        <row r="349">
          <cell r="H349" t="str">
            <v>10000236</v>
          </cell>
          <cell r="I349" t="str">
            <v>Grava Triturada Caliza 10 mm -</v>
          </cell>
          <cell r="J349">
            <v>86.47</v>
          </cell>
          <cell r="K349" t="str">
            <v>MXN</v>
          </cell>
          <cell r="L349" t="str">
            <v>TN</v>
          </cell>
          <cell r="M349" t="str">
            <v>01.08.2026</v>
          </cell>
          <cell r="N349" t="str">
            <v>31.12.9999</v>
          </cell>
          <cell r="O349" t="str">
            <v>28.07.2026</v>
          </cell>
          <cell r="P349" t="str">
            <v>ZMIF</v>
          </cell>
          <cell r="Q349">
            <v>212.98</v>
          </cell>
          <cell r="R349" t="str">
            <v>MXN</v>
          </cell>
          <cell r="S349" t="str">
            <v>TN</v>
          </cell>
          <cell r="T349" t="str">
            <v>01.08.2026</v>
          </cell>
          <cell r="U349" t="str">
            <v>31.12.9999</v>
          </cell>
          <cell r="V349" t="str">
            <v>ZICF</v>
          </cell>
          <cell r="W349" t="str">
            <v>01</v>
          </cell>
          <cell r="X349">
            <v>67.55</v>
          </cell>
          <cell r="Y349" t="str">
            <v>MXN</v>
          </cell>
          <cell r="Z349" t="str">
            <v>TN</v>
          </cell>
          <cell r="AA349" t="str">
            <v>01.05.2026</v>
          </cell>
          <cell r="AB349" t="str">
            <v>31.12.2030</v>
          </cell>
          <cell r="AC349">
            <v>299.45</v>
          </cell>
        </row>
        <row r="350">
          <cell r="H350" t="str">
            <v>10000240</v>
          </cell>
          <cell r="I350" t="str">
            <v>Grava Triturada Caliza 20 mm -</v>
          </cell>
          <cell r="J350">
            <v>86.47</v>
          </cell>
          <cell r="K350" t="str">
            <v>MXN</v>
          </cell>
          <cell r="L350" t="str">
            <v>TN</v>
          </cell>
          <cell r="M350" t="str">
            <v>01.08.2026</v>
          </cell>
          <cell r="N350" t="str">
            <v>31.12.9999</v>
          </cell>
          <cell r="O350" t="str">
            <v>28.07.2026</v>
          </cell>
          <cell r="P350" t="str">
            <v>ZMIF</v>
          </cell>
          <cell r="Q350">
            <v>185.22</v>
          </cell>
          <cell r="R350" t="str">
            <v>MXN</v>
          </cell>
          <cell r="S350" t="str">
            <v>TN</v>
          </cell>
          <cell r="T350" t="str">
            <v>01.08.2026</v>
          </cell>
          <cell r="U350" t="str">
            <v>31.12.9999</v>
          </cell>
          <cell r="V350" t="str">
            <v>ZICF</v>
          </cell>
          <cell r="W350" t="str">
            <v>01</v>
          </cell>
          <cell r="X350">
            <v>65.81</v>
          </cell>
          <cell r="Y350" t="str">
            <v>MXN</v>
          </cell>
          <cell r="Z350" t="str">
            <v>TN</v>
          </cell>
          <cell r="AA350" t="str">
            <v>30.06.2026</v>
          </cell>
          <cell r="AB350" t="str">
            <v>31.12.2030</v>
          </cell>
          <cell r="AC350">
            <v>271.69</v>
          </cell>
        </row>
        <row r="351">
          <cell r="H351" t="str">
            <v>10001073</v>
          </cell>
          <cell r="I351" t="str">
            <v>Arena Triturada Caliza Malla 4</v>
          </cell>
          <cell r="J351">
            <v>86.99</v>
          </cell>
          <cell r="K351" t="str">
            <v>MXN</v>
          </cell>
          <cell r="L351" t="str">
            <v>TN</v>
          </cell>
          <cell r="M351" t="str">
            <v>01.08.2026</v>
          </cell>
          <cell r="N351" t="str">
            <v>31.12.9999</v>
          </cell>
          <cell r="O351" t="str">
            <v>28.07.2026</v>
          </cell>
          <cell r="P351" t="str">
            <v>ZMIF</v>
          </cell>
          <cell r="Q351">
            <v>121.29</v>
          </cell>
          <cell r="R351" t="str">
            <v>MXN</v>
          </cell>
          <cell r="S351" t="str">
            <v>TN</v>
          </cell>
          <cell r="T351" t="str">
            <v>01.08.2026</v>
          </cell>
          <cell r="U351" t="str">
            <v>31.12.9999</v>
          </cell>
          <cell r="V351" t="str">
            <v>ZICF</v>
          </cell>
          <cell r="W351" t="str">
            <v>01</v>
          </cell>
          <cell r="X351">
            <v>61.06</v>
          </cell>
          <cell r="Y351" t="str">
            <v>MXN</v>
          </cell>
          <cell r="Z351" t="str">
            <v>TN</v>
          </cell>
          <cell r="AA351" t="str">
            <v>01.05.2026</v>
          </cell>
          <cell r="AB351" t="str">
            <v>31.12.2030</v>
          </cell>
          <cell r="AC351">
            <v>208.28</v>
          </cell>
        </row>
        <row r="352">
          <cell r="H352" t="str">
            <v>10000236</v>
          </cell>
          <cell r="I352" t="str">
            <v>Grava Triturada Caliza 10 mm -</v>
          </cell>
          <cell r="J352">
            <v>86.47</v>
          </cell>
          <cell r="K352" t="str">
            <v>MXN</v>
          </cell>
          <cell r="L352" t="str">
            <v>TN</v>
          </cell>
          <cell r="M352" t="str">
            <v>01.08.2026</v>
          </cell>
          <cell r="N352" t="str">
            <v>31.12.9999</v>
          </cell>
          <cell r="O352" t="str">
            <v>28.07.2026</v>
          </cell>
          <cell r="P352" t="str">
            <v>ZMIF</v>
          </cell>
          <cell r="Q352">
            <v>212.98</v>
          </cell>
          <cell r="R352" t="str">
            <v>MXN</v>
          </cell>
          <cell r="S352" t="str">
            <v>TN</v>
          </cell>
          <cell r="T352" t="str">
            <v>01.08.2026</v>
          </cell>
          <cell r="U352" t="str">
            <v>31.12.9999</v>
          </cell>
          <cell r="V352" t="str">
            <v>ZICF</v>
          </cell>
          <cell r="W352" t="str">
            <v>01</v>
          </cell>
          <cell r="X352">
            <v>67.55</v>
          </cell>
          <cell r="Y352" t="str">
            <v>MXN</v>
          </cell>
          <cell r="Z352" t="str">
            <v>TN</v>
          </cell>
          <cell r="AA352" t="str">
            <v>01.05.2026</v>
          </cell>
          <cell r="AB352" t="str">
            <v>31.12.2030</v>
          </cell>
          <cell r="AC352">
            <v>299.45</v>
          </cell>
        </row>
        <row r="353">
          <cell r="H353" t="str">
            <v>10000240</v>
          </cell>
          <cell r="I353" t="str">
            <v>Grava Triturada Caliza 20 mm -</v>
          </cell>
          <cell r="J353">
            <v>86.47</v>
          </cell>
          <cell r="K353" t="str">
            <v>MXN</v>
          </cell>
          <cell r="L353" t="str">
            <v>TN</v>
          </cell>
          <cell r="M353" t="str">
            <v>01.08.2026</v>
          </cell>
          <cell r="N353" t="str">
            <v>31.12.9999</v>
          </cell>
          <cell r="O353" t="str">
            <v>28.07.2026</v>
          </cell>
          <cell r="P353" t="str">
            <v>ZMIF</v>
          </cell>
          <cell r="Q353">
            <v>185.22</v>
          </cell>
          <cell r="R353" t="str">
            <v>MXN</v>
          </cell>
          <cell r="S353" t="str">
            <v>TN</v>
          </cell>
          <cell r="T353" t="str">
            <v>01.08.2026</v>
          </cell>
          <cell r="U353" t="str">
            <v>31.12.9999</v>
          </cell>
          <cell r="V353" t="str">
            <v>ZICF</v>
          </cell>
          <cell r="W353" t="str">
            <v>01</v>
          </cell>
          <cell r="X353">
            <v>65.81</v>
          </cell>
          <cell r="Y353" t="str">
            <v>MXN</v>
          </cell>
          <cell r="Z353" t="str">
            <v>TN</v>
          </cell>
          <cell r="AA353" t="str">
            <v>30.06.2026</v>
          </cell>
          <cell r="AB353" t="str">
            <v>31.12.2030</v>
          </cell>
          <cell r="AC353">
            <v>271.69</v>
          </cell>
        </row>
        <row r="354">
          <cell r="H354" t="str">
            <v>10001073</v>
          </cell>
          <cell r="I354" t="str">
            <v>Arena Triturada Caliza Malla 4</v>
          </cell>
          <cell r="J354">
            <v>86.99</v>
          </cell>
          <cell r="K354" t="str">
            <v>MXN</v>
          </cell>
          <cell r="L354" t="str">
            <v>TN</v>
          </cell>
          <cell r="M354" t="str">
            <v>01.08.2026</v>
          </cell>
          <cell r="N354" t="str">
            <v>31.12.9999</v>
          </cell>
          <cell r="O354" t="str">
            <v>28.07.2026</v>
          </cell>
          <cell r="P354" t="str">
            <v>ZMIF</v>
          </cell>
          <cell r="Q354">
            <v>121.29</v>
          </cell>
          <cell r="R354" t="str">
            <v>MXN</v>
          </cell>
          <cell r="S354" t="str">
            <v>TN</v>
          </cell>
          <cell r="T354" t="str">
            <v>01.08.2026</v>
          </cell>
          <cell r="U354" t="str">
            <v>31.12.9999</v>
          </cell>
          <cell r="V354" t="str">
            <v>ZICF</v>
          </cell>
          <cell r="W354" t="str">
            <v>01</v>
          </cell>
          <cell r="X354">
            <v>61.06</v>
          </cell>
          <cell r="Y354" t="str">
            <v>MXN</v>
          </cell>
          <cell r="Z354" t="str">
            <v>TN</v>
          </cell>
          <cell r="AA354" t="str">
            <v>01.05.2026</v>
          </cell>
          <cell r="AB354" t="str">
            <v>31.12.2030</v>
          </cell>
          <cell r="AC354">
            <v>208.28</v>
          </cell>
        </row>
        <row r="355">
          <cell r="H355" t="str">
            <v>10000236</v>
          </cell>
          <cell r="I355" t="str">
            <v>Grava Triturada Caliza 10 mm -</v>
          </cell>
          <cell r="J355">
            <v>86.47</v>
          </cell>
          <cell r="K355" t="str">
            <v>MXN</v>
          </cell>
          <cell r="L355" t="str">
            <v>TN</v>
          </cell>
          <cell r="M355" t="str">
            <v>01.08.2026</v>
          </cell>
          <cell r="N355" t="str">
            <v>31.12.9999</v>
          </cell>
          <cell r="O355" t="str">
            <v>28.07.2026</v>
          </cell>
          <cell r="P355" t="str">
            <v>ZMIF</v>
          </cell>
          <cell r="Q355">
            <v>212.98</v>
          </cell>
          <cell r="R355" t="str">
            <v>MXN</v>
          </cell>
          <cell r="S355" t="str">
            <v>TN</v>
          </cell>
          <cell r="T355" t="str">
            <v>01.08.2026</v>
          </cell>
          <cell r="U355" t="str">
            <v>31.12.9999</v>
          </cell>
          <cell r="V355" t="str">
            <v>ZICF</v>
          </cell>
          <cell r="W355" t="str">
            <v>01</v>
          </cell>
          <cell r="X355">
            <v>67.55</v>
          </cell>
          <cell r="Y355" t="str">
            <v>MXN</v>
          </cell>
          <cell r="Z355" t="str">
            <v>TN</v>
          </cell>
          <cell r="AA355" t="str">
            <v>01.05.2026</v>
          </cell>
          <cell r="AB355" t="str">
            <v>31.12.2030</v>
          </cell>
          <cell r="AC355">
            <v>299.45</v>
          </cell>
        </row>
        <row r="356">
          <cell r="H356" t="str">
            <v>10000240</v>
          </cell>
          <cell r="I356" t="str">
            <v>Grava Triturada Caliza 20 mm -</v>
          </cell>
          <cell r="J356">
            <v>86.47</v>
          </cell>
          <cell r="K356" t="str">
            <v>MXN</v>
          </cell>
          <cell r="L356" t="str">
            <v>TN</v>
          </cell>
          <cell r="M356" t="str">
            <v>01.08.2026</v>
          </cell>
          <cell r="N356" t="str">
            <v>31.12.9999</v>
          </cell>
          <cell r="O356" t="str">
            <v>28.07.2026</v>
          </cell>
          <cell r="P356" t="str">
            <v>ZMIF</v>
          </cell>
          <cell r="Q356">
            <v>185.22</v>
          </cell>
          <cell r="R356" t="str">
            <v>MXN</v>
          </cell>
          <cell r="S356" t="str">
            <v>TN</v>
          </cell>
          <cell r="T356" t="str">
            <v>01.08.2026</v>
          </cell>
          <cell r="U356" t="str">
            <v>31.12.9999</v>
          </cell>
          <cell r="V356" t="str">
            <v>ZICF</v>
          </cell>
          <cell r="W356" t="str">
            <v>01</v>
          </cell>
          <cell r="X356">
            <v>65.81</v>
          </cell>
          <cell r="Y356" t="str">
            <v>MXN</v>
          </cell>
          <cell r="Z356" t="str">
            <v>TN</v>
          </cell>
          <cell r="AA356" t="str">
            <v>30.06.2026</v>
          </cell>
          <cell r="AB356" t="str">
            <v>31.12.2030</v>
          </cell>
          <cell r="AC356">
            <v>271.69</v>
          </cell>
        </row>
        <row r="357">
          <cell r="H357" t="str">
            <v>10001073</v>
          </cell>
          <cell r="I357" t="str">
            <v>Arena Triturada Caliza Malla 4</v>
          </cell>
          <cell r="J357">
            <v>86.99</v>
          </cell>
          <cell r="K357" t="str">
            <v>MXN</v>
          </cell>
          <cell r="L357" t="str">
            <v>TN</v>
          </cell>
          <cell r="M357" t="str">
            <v>01.08.2026</v>
          </cell>
          <cell r="N357" t="str">
            <v>31.12.9999</v>
          </cell>
          <cell r="O357" t="str">
            <v>28.07.2026</v>
          </cell>
          <cell r="P357" t="str">
            <v>ZMIF</v>
          </cell>
          <cell r="Q357">
            <v>121.29</v>
          </cell>
          <cell r="R357" t="str">
            <v>MXN</v>
          </cell>
          <cell r="S357" t="str">
            <v>TN</v>
          </cell>
          <cell r="T357" t="str">
            <v>01.08.2026</v>
          </cell>
          <cell r="U357" t="str">
            <v>31.12.9999</v>
          </cell>
          <cell r="V357" t="str">
            <v>ZICF</v>
          </cell>
          <cell r="W357" t="str">
            <v>01</v>
          </cell>
          <cell r="X357">
            <v>61.06</v>
          </cell>
          <cell r="Y357" t="str">
            <v>MXN</v>
          </cell>
          <cell r="Z357" t="str">
            <v>TN</v>
          </cell>
          <cell r="AA357" t="str">
            <v>01.05.2026</v>
          </cell>
          <cell r="AB357" t="str">
            <v>31.12.2030</v>
          </cell>
          <cell r="AC357">
            <v>208.28</v>
          </cell>
        </row>
        <row r="358">
          <cell r="H358" t="str">
            <v>10000236</v>
          </cell>
          <cell r="I358" t="str">
            <v>Grava Triturada Caliza 10 mm -</v>
          </cell>
          <cell r="J358">
            <v>86.47</v>
          </cell>
          <cell r="K358" t="str">
            <v>MXN</v>
          </cell>
          <cell r="L358" t="str">
            <v>TN</v>
          </cell>
          <cell r="M358" t="str">
            <v>01.08.2026</v>
          </cell>
          <cell r="N358" t="str">
            <v>31.12.9999</v>
          </cell>
          <cell r="O358" t="str">
            <v>28.07.2026</v>
          </cell>
          <cell r="P358" t="str">
            <v>ZMIF</v>
          </cell>
          <cell r="Q358">
            <v>212.98</v>
          </cell>
          <cell r="R358" t="str">
            <v>MXN</v>
          </cell>
          <cell r="S358" t="str">
            <v>TN</v>
          </cell>
          <cell r="T358" t="str">
            <v>01.08.2026</v>
          </cell>
          <cell r="U358" t="str">
            <v>31.12.9999</v>
          </cell>
          <cell r="V358" t="str">
            <v>ZICF</v>
          </cell>
          <cell r="W358" t="str">
            <v>01</v>
          </cell>
          <cell r="X358">
            <v>80.42</v>
          </cell>
          <cell r="Y358" t="str">
            <v>MXN</v>
          </cell>
          <cell r="Z358" t="str">
            <v>TN</v>
          </cell>
          <cell r="AA358" t="str">
            <v>01.05.2026</v>
          </cell>
          <cell r="AB358" t="str">
            <v>31.12.2030</v>
          </cell>
          <cell r="AC358">
            <v>299.45</v>
          </cell>
        </row>
        <row r="359">
          <cell r="H359" t="str">
            <v>10000240</v>
          </cell>
          <cell r="I359" t="str">
            <v>Grava Triturada Caliza 20 mm -</v>
          </cell>
          <cell r="J359">
            <v>86.47</v>
          </cell>
          <cell r="K359" t="str">
            <v>MXN</v>
          </cell>
          <cell r="L359" t="str">
            <v>TN</v>
          </cell>
          <cell r="M359" t="str">
            <v>01.08.2026</v>
          </cell>
          <cell r="N359" t="str">
            <v>31.12.9999</v>
          </cell>
          <cell r="O359" t="str">
            <v>28.07.2026</v>
          </cell>
          <cell r="P359" t="str">
            <v>ZMIF</v>
          </cell>
          <cell r="Q359">
            <v>185.22</v>
          </cell>
          <cell r="R359" t="str">
            <v>MXN</v>
          </cell>
          <cell r="S359" t="str">
            <v>TN</v>
          </cell>
          <cell r="T359" t="str">
            <v>01.08.2026</v>
          </cell>
          <cell r="U359" t="str">
            <v>31.12.9999</v>
          </cell>
          <cell r="V359" t="str">
            <v>ZICF</v>
          </cell>
          <cell r="W359" t="str">
            <v>01</v>
          </cell>
          <cell r="X359">
            <v>77.56</v>
          </cell>
          <cell r="Y359" t="str">
            <v>MXN</v>
          </cell>
          <cell r="Z359" t="str">
            <v>TN</v>
          </cell>
          <cell r="AA359" t="str">
            <v>01.05.2026</v>
          </cell>
          <cell r="AB359" t="str">
            <v>31.12.2030</v>
          </cell>
          <cell r="AC359">
            <v>271.69</v>
          </cell>
        </row>
        <row r="360">
          <cell r="H360" t="str">
            <v>10001073</v>
          </cell>
          <cell r="I360" t="str">
            <v>Arena Triturada Caliza Malla 4</v>
          </cell>
          <cell r="J360">
            <v>86.99</v>
          </cell>
          <cell r="K360" t="str">
            <v>MXN</v>
          </cell>
          <cell r="L360" t="str">
            <v>TN</v>
          </cell>
          <cell r="M360" t="str">
            <v>01.08.2026</v>
          </cell>
          <cell r="N360" t="str">
            <v>31.12.9999</v>
          </cell>
          <cell r="O360" t="str">
            <v>28.07.2026</v>
          </cell>
          <cell r="P360" t="str">
            <v>ZMIF</v>
          </cell>
          <cell r="Q360">
            <v>121.29</v>
          </cell>
          <cell r="R360" t="str">
            <v>MXN</v>
          </cell>
          <cell r="S360" t="str">
            <v>TN</v>
          </cell>
          <cell r="T360" t="str">
            <v>01.08.2026</v>
          </cell>
          <cell r="U360" t="str">
            <v>31.12.9999</v>
          </cell>
          <cell r="V360" t="str">
            <v>ZICF</v>
          </cell>
          <cell r="W360" t="str">
            <v>01</v>
          </cell>
          <cell r="X360">
            <v>72.69</v>
          </cell>
          <cell r="Y360" t="str">
            <v>MXN</v>
          </cell>
          <cell r="Z360" t="str">
            <v>TN</v>
          </cell>
          <cell r="AA360" t="str">
            <v>01.05.2026</v>
          </cell>
          <cell r="AB360" t="str">
            <v>31.12.2030</v>
          </cell>
          <cell r="AC360">
            <v>208.28</v>
          </cell>
        </row>
        <row r="361">
          <cell r="H361" t="str">
            <v>10000236</v>
          </cell>
          <cell r="I361" t="str">
            <v>Grava Triturada Caliza 10 mm -</v>
          </cell>
          <cell r="J361">
            <v>86.47</v>
          </cell>
          <cell r="K361" t="str">
            <v>MXN</v>
          </cell>
          <cell r="L361" t="str">
            <v>TN</v>
          </cell>
          <cell r="M361" t="str">
            <v>01.08.2026</v>
          </cell>
          <cell r="N361" t="str">
            <v>31.12.9999</v>
          </cell>
          <cell r="O361" t="str">
            <v>28.07.2026</v>
          </cell>
          <cell r="P361" t="str">
            <v>ZMIF</v>
          </cell>
          <cell r="Q361">
            <v>212.98</v>
          </cell>
          <cell r="R361" t="str">
            <v>MXN</v>
          </cell>
          <cell r="S361" t="str">
            <v>TN</v>
          </cell>
          <cell r="T361" t="str">
            <v>01.08.2026</v>
          </cell>
          <cell r="U361" t="str">
            <v>31.12.9999</v>
          </cell>
          <cell r="V361" t="str">
            <v>ZICF</v>
          </cell>
          <cell r="W361" t="str">
            <v>01</v>
          </cell>
          <cell r="X361">
            <v>73.98</v>
          </cell>
          <cell r="Y361" t="str">
            <v>MXN</v>
          </cell>
          <cell r="Z361" t="str">
            <v>TN</v>
          </cell>
          <cell r="AA361" t="str">
            <v>01.05.2026</v>
          </cell>
          <cell r="AB361" t="str">
            <v>31.12.2030</v>
          </cell>
          <cell r="AC361">
            <v>299.45</v>
          </cell>
        </row>
        <row r="362">
          <cell r="H362" t="str">
            <v>10000240</v>
          </cell>
          <cell r="I362" t="str">
            <v>Grava Triturada Caliza 20 mm -</v>
          </cell>
          <cell r="J362">
            <v>86.47</v>
          </cell>
          <cell r="K362" t="str">
            <v>MXN</v>
          </cell>
          <cell r="L362" t="str">
            <v>TN</v>
          </cell>
          <cell r="M362" t="str">
            <v>01.08.2026</v>
          </cell>
          <cell r="N362" t="str">
            <v>31.12.9999</v>
          </cell>
          <cell r="O362" t="str">
            <v>28.07.2026</v>
          </cell>
          <cell r="P362" t="str">
            <v>ZMIF</v>
          </cell>
          <cell r="Q362">
            <v>185.22</v>
          </cell>
          <cell r="R362" t="str">
            <v>MXN</v>
          </cell>
          <cell r="S362" t="str">
            <v>TN</v>
          </cell>
          <cell r="T362" t="str">
            <v>01.08.2026</v>
          </cell>
          <cell r="U362" t="str">
            <v>31.12.9999</v>
          </cell>
          <cell r="V362" t="str">
            <v>ZICF</v>
          </cell>
          <cell r="W362" t="str">
            <v>01</v>
          </cell>
          <cell r="X362">
            <v>72.069999999999993</v>
          </cell>
          <cell r="Y362" t="str">
            <v>MXN</v>
          </cell>
          <cell r="Z362" t="str">
            <v>TN</v>
          </cell>
          <cell r="AA362" t="str">
            <v>30.06.2026</v>
          </cell>
          <cell r="AB362" t="str">
            <v>31.12.2030</v>
          </cell>
          <cell r="AC362">
            <v>271.69</v>
          </cell>
        </row>
        <row r="363">
          <cell r="H363" t="str">
            <v>10001073</v>
          </cell>
          <cell r="I363" t="str">
            <v>Arena Triturada Caliza Malla 4</v>
          </cell>
          <cell r="J363">
            <v>86.99</v>
          </cell>
          <cell r="K363" t="str">
            <v>MXN</v>
          </cell>
          <cell r="L363" t="str">
            <v>TN</v>
          </cell>
          <cell r="M363" t="str">
            <v>01.08.2026</v>
          </cell>
          <cell r="N363" t="str">
            <v>31.12.9999</v>
          </cell>
          <cell r="O363" t="str">
            <v>28.07.2026</v>
          </cell>
          <cell r="P363" t="str">
            <v>ZMIF</v>
          </cell>
          <cell r="Q363">
            <v>121.29</v>
          </cell>
          <cell r="R363" t="str">
            <v>MXN</v>
          </cell>
          <cell r="S363" t="str">
            <v>TN</v>
          </cell>
          <cell r="T363" t="str">
            <v>01.08.2026</v>
          </cell>
          <cell r="U363" t="str">
            <v>31.12.9999</v>
          </cell>
          <cell r="V363" t="str">
            <v>ZICF</v>
          </cell>
          <cell r="W363" t="str">
            <v>01</v>
          </cell>
          <cell r="X363">
            <v>66.87</v>
          </cell>
          <cell r="Y363" t="str">
            <v>MXN</v>
          </cell>
          <cell r="Z363" t="str">
            <v>TN</v>
          </cell>
          <cell r="AA363" t="str">
            <v>01.05.2026</v>
          </cell>
          <cell r="AB363" t="str">
            <v>31.12.2030</v>
          </cell>
          <cell r="AC363">
            <v>208.28</v>
          </cell>
        </row>
        <row r="364">
          <cell r="H364" t="str">
            <v>10000236</v>
          </cell>
          <cell r="I364" t="str">
            <v>Grava Triturada Caliza 10 mm -</v>
          </cell>
          <cell r="J364">
            <v>86.47</v>
          </cell>
          <cell r="K364" t="str">
            <v>MXN</v>
          </cell>
          <cell r="L364" t="str">
            <v>TN</v>
          </cell>
          <cell r="M364" t="str">
            <v>01.08.2026</v>
          </cell>
          <cell r="N364" t="str">
            <v>31.12.9999</v>
          </cell>
          <cell r="O364" t="str">
            <v>28.07.2026</v>
          </cell>
          <cell r="P364" t="str">
            <v>ZMIF</v>
          </cell>
          <cell r="Q364">
            <v>212.98</v>
          </cell>
          <cell r="R364" t="str">
            <v>MXN</v>
          </cell>
          <cell r="S364" t="str">
            <v>TN</v>
          </cell>
          <cell r="T364" t="str">
            <v>01.08.2026</v>
          </cell>
          <cell r="U364" t="str">
            <v>31.12.9999</v>
          </cell>
          <cell r="V364" t="str">
            <v>ZICF</v>
          </cell>
          <cell r="W364" t="str">
            <v>01</v>
          </cell>
          <cell r="X364">
            <v>67.55</v>
          </cell>
          <cell r="Y364" t="str">
            <v>MXN</v>
          </cell>
          <cell r="Z364" t="str">
            <v>TN</v>
          </cell>
          <cell r="AA364" t="str">
            <v>01.05.2026</v>
          </cell>
          <cell r="AB364" t="str">
            <v>31.12.2030</v>
          </cell>
          <cell r="AC364">
            <v>299.45</v>
          </cell>
        </row>
        <row r="365">
          <cell r="H365" t="str">
            <v>10000240</v>
          </cell>
          <cell r="I365" t="str">
            <v>Grava Triturada Caliza 20 mm -</v>
          </cell>
          <cell r="J365">
            <v>86.47</v>
          </cell>
          <cell r="K365" t="str">
            <v>MXN</v>
          </cell>
          <cell r="L365" t="str">
            <v>TN</v>
          </cell>
          <cell r="M365" t="str">
            <v>01.08.2026</v>
          </cell>
          <cell r="N365" t="str">
            <v>31.12.9999</v>
          </cell>
          <cell r="O365" t="str">
            <v>28.07.2026</v>
          </cell>
          <cell r="P365" t="str">
            <v>ZMIF</v>
          </cell>
          <cell r="Q365">
            <v>185.22</v>
          </cell>
          <cell r="R365" t="str">
            <v>MXN</v>
          </cell>
          <cell r="S365" t="str">
            <v>TN</v>
          </cell>
          <cell r="T365" t="str">
            <v>01.08.2026</v>
          </cell>
          <cell r="U365" t="str">
            <v>31.12.9999</v>
          </cell>
          <cell r="V365" t="str">
            <v>ZICF</v>
          </cell>
          <cell r="W365" t="str">
            <v>01</v>
          </cell>
          <cell r="X365">
            <v>65.81</v>
          </cell>
          <cell r="Y365" t="str">
            <v>MXN</v>
          </cell>
          <cell r="Z365" t="str">
            <v>TN</v>
          </cell>
          <cell r="AA365" t="str">
            <v>30.06.2026</v>
          </cell>
          <cell r="AB365" t="str">
            <v>31.12.2030</v>
          </cell>
          <cell r="AC365">
            <v>271.69</v>
          </cell>
        </row>
        <row r="366">
          <cell r="H366" t="str">
            <v>10001073</v>
          </cell>
          <cell r="I366" t="str">
            <v>Arena Triturada Caliza Malla 4</v>
          </cell>
          <cell r="J366">
            <v>86.99</v>
          </cell>
          <cell r="K366" t="str">
            <v>MXN</v>
          </cell>
          <cell r="L366" t="str">
            <v>TN</v>
          </cell>
          <cell r="M366" t="str">
            <v>01.08.2026</v>
          </cell>
          <cell r="N366" t="str">
            <v>31.12.9999</v>
          </cell>
          <cell r="O366" t="str">
            <v>28.07.2026</v>
          </cell>
          <cell r="P366" t="str">
            <v>ZMIF</v>
          </cell>
          <cell r="Q366">
            <v>121.29</v>
          </cell>
          <cell r="R366" t="str">
            <v>MXN</v>
          </cell>
          <cell r="S366" t="str">
            <v>TN</v>
          </cell>
          <cell r="T366" t="str">
            <v>01.08.2026</v>
          </cell>
          <cell r="U366" t="str">
            <v>31.12.9999</v>
          </cell>
          <cell r="V366" t="str">
            <v>ZICF</v>
          </cell>
          <cell r="W366" t="str">
            <v>01</v>
          </cell>
          <cell r="X366">
            <v>61.06</v>
          </cell>
          <cell r="Y366" t="str">
            <v>MXN</v>
          </cell>
          <cell r="Z366" t="str">
            <v>TN</v>
          </cell>
          <cell r="AA366" t="str">
            <v>01.05.2026</v>
          </cell>
          <cell r="AB366" t="str">
            <v>31.12.2030</v>
          </cell>
          <cell r="AC366">
            <v>208.28</v>
          </cell>
        </row>
        <row r="367">
          <cell r="H367" t="str">
            <v>10000240</v>
          </cell>
          <cell r="I367" t="str">
            <v>Grava Triturada Caliza 20 mm -</v>
          </cell>
          <cell r="J367">
            <v>86.47</v>
          </cell>
          <cell r="K367" t="str">
            <v>MXN</v>
          </cell>
          <cell r="L367" t="str">
            <v>TN</v>
          </cell>
          <cell r="M367" t="str">
            <v>01.08.2026</v>
          </cell>
          <cell r="N367" t="str">
            <v>31.12.9999</v>
          </cell>
          <cell r="O367" t="str">
            <v>28.07.2026</v>
          </cell>
          <cell r="P367" t="str">
            <v>ZMIF</v>
          </cell>
          <cell r="Q367">
            <v>185.22</v>
          </cell>
          <cell r="R367" t="str">
            <v>MXN</v>
          </cell>
          <cell r="S367" t="str">
            <v>TN</v>
          </cell>
          <cell r="T367" t="str">
            <v>01.08.2026</v>
          </cell>
          <cell r="U367" t="str">
            <v>31.12.9999</v>
          </cell>
          <cell r="V367" t="str">
            <v>ZICF</v>
          </cell>
          <cell r="W367" t="str">
            <v>01</v>
          </cell>
          <cell r="X367">
            <v>89.97</v>
          </cell>
          <cell r="Y367" t="str">
            <v>MXN</v>
          </cell>
          <cell r="Z367" t="str">
            <v>TN</v>
          </cell>
          <cell r="AA367" t="str">
            <v>01.05.2026</v>
          </cell>
          <cell r="AB367" t="str">
            <v>31.12.2030</v>
          </cell>
          <cell r="AC367">
            <v>271.69</v>
          </cell>
        </row>
        <row r="368">
          <cell r="H368" t="str">
            <v>10001073</v>
          </cell>
          <cell r="I368" t="str">
            <v>Arena Triturada Caliza Malla 4</v>
          </cell>
          <cell r="J368">
            <v>86.99</v>
          </cell>
          <cell r="K368" t="str">
            <v>MXN</v>
          </cell>
          <cell r="L368" t="str">
            <v>TN</v>
          </cell>
          <cell r="M368" t="str">
            <v>01.08.2026</v>
          </cell>
          <cell r="N368" t="str">
            <v>31.12.9999</v>
          </cell>
          <cell r="O368" t="str">
            <v>28.07.2026</v>
          </cell>
          <cell r="P368" t="str">
            <v>ZMIF</v>
          </cell>
          <cell r="Q368">
            <v>121.29</v>
          </cell>
          <cell r="R368" t="str">
            <v>MXN</v>
          </cell>
          <cell r="S368" t="str">
            <v>TN</v>
          </cell>
          <cell r="T368" t="str">
            <v>01.08.2026</v>
          </cell>
          <cell r="U368" t="str">
            <v>31.12.9999</v>
          </cell>
          <cell r="V368" t="str">
            <v>ZICF</v>
          </cell>
          <cell r="W368" t="str">
            <v>01</v>
          </cell>
          <cell r="X368">
            <v>84.31</v>
          </cell>
          <cell r="Y368" t="str">
            <v>MXN</v>
          </cell>
          <cell r="Z368" t="str">
            <v>TN</v>
          </cell>
          <cell r="AA368" t="str">
            <v>01.05.2026</v>
          </cell>
          <cell r="AB368" t="str">
            <v>31.12.2030</v>
          </cell>
          <cell r="AC368">
            <v>208.28</v>
          </cell>
        </row>
        <row r="369">
          <cell r="H369" t="str">
            <v>10000236</v>
          </cell>
          <cell r="I369" t="str">
            <v>Grava Triturada Caliza 10 mm -</v>
          </cell>
          <cell r="J369">
            <v>86.47</v>
          </cell>
          <cell r="K369" t="str">
            <v>MXN</v>
          </cell>
          <cell r="L369" t="str">
            <v>TN</v>
          </cell>
          <cell r="M369" t="str">
            <v>01.08.2026</v>
          </cell>
          <cell r="N369" t="str">
            <v>31.12.9999</v>
          </cell>
          <cell r="O369" t="str">
            <v>28.07.2026</v>
          </cell>
          <cell r="P369" t="str">
            <v>ZMIF</v>
          </cell>
          <cell r="Q369">
            <v>212.98</v>
          </cell>
          <cell r="R369" t="str">
            <v>MXN</v>
          </cell>
          <cell r="S369" t="str">
            <v>TN</v>
          </cell>
          <cell r="T369" t="str">
            <v>01.08.2026</v>
          </cell>
          <cell r="U369" t="str">
            <v>31.12.9999</v>
          </cell>
          <cell r="V369" t="str">
            <v>ZICF</v>
          </cell>
          <cell r="W369" t="str">
            <v>01</v>
          </cell>
          <cell r="X369">
            <v>67.55</v>
          </cell>
          <cell r="Y369" t="str">
            <v>MXN</v>
          </cell>
          <cell r="Z369" t="str">
            <v>TN</v>
          </cell>
          <cell r="AA369" t="str">
            <v>01.05.2026</v>
          </cell>
          <cell r="AB369" t="str">
            <v>31.12.2030</v>
          </cell>
          <cell r="AC369">
            <v>299.45</v>
          </cell>
        </row>
        <row r="370">
          <cell r="H370" t="str">
            <v>10000240</v>
          </cell>
          <cell r="I370" t="str">
            <v>Grava Triturada Caliza 20 mm -</v>
          </cell>
          <cell r="J370">
            <v>86.47</v>
          </cell>
          <cell r="K370" t="str">
            <v>MXN</v>
          </cell>
          <cell r="L370" t="str">
            <v>TN</v>
          </cell>
          <cell r="M370" t="str">
            <v>01.08.2026</v>
          </cell>
          <cell r="N370" t="str">
            <v>31.12.9999</v>
          </cell>
          <cell r="O370" t="str">
            <v>28.07.2026</v>
          </cell>
          <cell r="P370" t="str">
            <v>ZMIF</v>
          </cell>
          <cell r="Q370">
            <v>185.22</v>
          </cell>
          <cell r="R370" t="str">
            <v>MXN</v>
          </cell>
          <cell r="S370" t="str">
            <v>TN</v>
          </cell>
          <cell r="T370" t="str">
            <v>01.08.2026</v>
          </cell>
          <cell r="U370" t="str">
            <v>31.12.9999</v>
          </cell>
          <cell r="V370" t="str">
            <v>ZICF</v>
          </cell>
          <cell r="W370" t="str">
            <v>01</v>
          </cell>
          <cell r="X370">
            <v>65.81</v>
          </cell>
          <cell r="Y370" t="str">
            <v>MXN</v>
          </cell>
          <cell r="Z370" t="str">
            <v>TN</v>
          </cell>
          <cell r="AA370" t="str">
            <v>30.06.2026</v>
          </cell>
          <cell r="AB370" t="str">
            <v>31.12.2030</v>
          </cell>
          <cell r="AC370">
            <v>271.69</v>
          </cell>
        </row>
        <row r="371">
          <cell r="H371" t="str">
            <v>10001073</v>
          </cell>
          <cell r="I371" t="str">
            <v>Arena Triturada Caliza Malla 4</v>
          </cell>
          <cell r="J371">
            <v>86.99</v>
          </cell>
          <cell r="K371" t="str">
            <v>MXN</v>
          </cell>
          <cell r="L371" t="str">
            <v>TN</v>
          </cell>
          <cell r="M371" t="str">
            <v>01.08.2026</v>
          </cell>
          <cell r="N371" t="str">
            <v>31.12.9999</v>
          </cell>
          <cell r="O371" t="str">
            <v>28.07.2026</v>
          </cell>
          <cell r="P371" t="str">
            <v>ZMIF</v>
          </cell>
          <cell r="Q371">
            <v>121.29</v>
          </cell>
          <cell r="R371" t="str">
            <v>MXN</v>
          </cell>
          <cell r="S371" t="str">
            <v>TN</v>
          </cell>
          <cell r="T371" t="str">
            <v>01.08.2026</v>
          </cell>
          <cell r="U371" t="str">
            <v>31.12.9999</v>
          </cell>
          <cell r="V371" t="str">
            <v>ZICF</v>
          </cell>
          <cell r="W371" t="str">
            <v>01</v>
          </cell>
          <cell r="X371">
            <v>61.06</v>
          </cell>
          <cell r="Y371" t="str">
            <v>MXN</v>
          </cell>
          <cell r="Z371" t="str">
            <v>TN</v>
          </cell>
          <cell r="AA371" t="str">
            <v>01.05.2026</v>
          </cell>
          <cell r="AB371" t="str">
            <v>31.12.2030</v>
          </cell>
          <cell r="AC371">
            <v>208.28</v>
          </cell>
        </row>
        <row r="372">
          <cell r="H372" t="str">
            <v>10000236</v>
          </cell>
          <cell r="I372" t="str">
            <v>Grava Triturada Caliza 10 mm -</v>
          </cell>
          <cell r="J372">
            <v>86.47</v>
          </cell>
          <cell r="K372" t="str">
            <v>MXN</v>
          </cell>
          <cell r="L372" t="str">
            <v>TN</v>
          </cell>
          <cell r="M372" t="str">
            <v>01.08.2026</v>
          </cell>
          <cell r="N372" t="str">
            <v>31.12.9999</v>
          </cell>
          <cell r="O372" t="str">
            <v>28.07.2026</v>
          </cell>
          <cell r="P372" t="str">
            <v>ZMIF</v>
          </cell>
          <cell r="Q372">
            <v>212.98</v>
          </cell>
          <cell r="R372" t="str">
            <v>MXN</v>
          </cell>
          <cell r="S372" t="str">
            <v>TN</v>
          </cell>
          <cell r="T372" t="str">
            <v>01.08.2026</v>
          </cell>
          <cell r="U372" t="str">
            <v>31.12.9999</v>
          </cell>
          <cell r="V372" t="str">
            <v>ZICF</v>
          </cell>
          <cell r="W372" t="str">
            <v>01</v>
          </cell>
          <cell r="X372">
            <v>83.63</v>
          </cell>
          <cell r="Y372" t="str">
            <v>MXN</v>
          </cell>
          <cell r="Z372" t="str">
            <v>TN</v>
          </cell>
          <cell r="AA372" t="str">
            <v>01.05.2026</v>
          </cell>
          <cell r="AB372" t="str">
            <v>31.12.2030</v>
          </cell>
          <cell r="AC372">
            <v>299.45</v>
          </cell>
        </row>
        <row r="373">
          <cell r="H373" t="str">
            <v>10000240</v>
          </cell>
          <cell r="I373" t="str">
            <v>Grava Triturada Caliza 20 mm -</v>
          </cell>
          <cell r="J373">
            <v>86.47</v>
          </cell>
          <cell r="K373" t="str">
            <v>MXN</v>
          </cell>
          <cell r="L373" t="str">
            <v>TN</v>
          </cell>
          <cell r="M373" t="str">
            <v>01.08.2026</v>
          </cell>
          <cell r="N373" t="str">
            <v>31.12.9999</v>
          </cell>
          <cell r="O373" t="str">
            <v>28.07.2026</v>
          </cell>
          <cell r="P373" t="str">
            <v>ZMIF</v>
          </cell>
          <cell r="Q373">
            <v>185.22</v>
          </cell>
          <cell r="R373" t="str">
            <v>MXN</v>
          </cell>
          <cell r="S373" t="str">
            <v>TN</v>
          </cell>
          <cell r="T373" t="str">
            <v>01.08.2026</v>
          </cell>
          <cell r="U373" t="str">
            <v>31.12.9999</v>
          </cell>
          <cell r="V373" t="str">
            <v>ZICF</v>
          </cell>
          <cell r="W373" t="str">
            <v>01</v>
          </cell>
          <cell r="X373">
            <v>81.48</v>
          </cell>
          <cell r="Y373" t="str">
            <v>MXN</v>
          </cell>
          <cell r="Z373" t="str">
            <v>TN</v>
          </cell>
          <cell r="AA373" t="str">
            <v>30.06.2026</v>
          </cell>
          <cell r="AB373" t="str">
            <v>31.12.2030</v>
          </cell>
          <cell r="AC373">
            <v>271.69</v>
          </cell>
        </row>
        <row r="374">
          <cell r="H374" t="str">
            <v>10001073</v>
          </cell>
          <cell r="I374" t="str">
            <v>Arena Triturada Caliza Malla 4</v>
          </cell>
          <cell r="J374">
            <v>86.99</v>
          </cell>
          <cell r="K374" t="str">
            <v>MXN</v>
          </cell>
          <cell r="L374" t="str">
            <v>TN</v>
          </cell>
          <cell r="M374" t="str">
            <v>01.08.2026</v>
          </cell>
          <cell r="N374" t="str">
            <v>31.12.9999</v>
          </cell>
          <cell r="O374" t="str">
            <v>28.07.2026</v>
          </cell>
          <cell r="P374" t="str">
            <v>ZMIF</v>
          </cell>
          <cell r="Q374">
            <v>121.29</v>
          </cell>
          <cell r="R374" t="str">
            <v>MXN</v>
          </cell>
          <cell r="S374" t="str">
            <v>TN</v>
          </cell>
          <cell r="T374" t="str">
            <v>01.08.2026</v>
          </cell>
          <cell r="U374" t="str">
            <v>31.12.9999</v>
          </cell>
          <cell r="V374" t="str">
            <v>ZICF</v>
          </cell>
          <cell r="W374" t="str">
            <v>01</v>
          </cell>
          <cell r="X374">
            <v>75.59</v>
          </cell>
          <cell r="Y374" t="str">
            <v>MXN</v>
          </cell>
          <cell r="Z374" t="str">
            <v>TN</v>
          </cell>
          <cell r="AA374" t="str">
            <v>01.05.2026</v>
          </cell>
          <cell r="AB374" t="str">
            <v>31.12.2030</v>
          </cell>
          <cell r="AC374">
            <v>208.28</v>
          </cell>
        </row>
        <row r="375">
          <cell r="H375" t="str">
            <v>10000240</v>
          </cell>
          <cell r="I375" t="str">
            <v>Grava Triturada Caliza 20 mm -</v>
          </cell>
          <cell r="J375">
            <v>86.47</v>
          </cell>
          <cell r="K375" t="str">
            <v>MXN</v>
          </cell>
          <cell r="L375" t="str">
            <v>TN</v>
          </cell>
          <cell r="M375" t="str">
            <v>01.08.2026</v>
          </cell>
          <cell r="N375" t="str">
            <v>31.12.9999</v>
          </cell>
          <cell r="O375" t="str">
            <v>28.07.2026</v>
          </cell>
          <cell r="P375" t="str">
            <v>ZMIF</v>
          </cell>
          <cell r="Q375">
            <v>185.22</v>
          </cell>
          <cell r="R375" t="str">
            <v>MXN</v>
          </cell>
          <cell r="S375" t="str">
            <v>TN</v>
          </cell>
          <cell r="T375" t="str">
            <v>01.08.2026</v>
          </cell>
          <cell r="U375" t="str">
            <v>31.12.9999</v>
          </cell>
          <cell r="V375" t="str">
            <v>ZICF</v>
          </cell>
          <cell r="W375" t="str">
            <v>01</v>
          </cell>
          <cell r="X375">
            <v>90.88</v>
          </cell>
          <cell r="Y375" t="str">
            <v>MXN</v>
          </cell>
          <cell r="Z375" t="str">
            <v>TN</v>
          </cell>
          <cell r="AA375" t="str">
            <v>30.06.2026</v>
          </cell>
          <cell r="AB375" t="str">
            <v>31.12.2030</v>
          </cell>
          <cell r="AC375">
            <v>271.69</v>
          </cell>
        </row>
        <row r="376">
          <cell r="H376" t="str">
            <v>10001073</v>
          </cell>
          <cell r="I376" t="str">
            <v>Arena Triturada Caliza Malla 4</v>
          </cell>
          <cell r="J376">
            <v>86.99</v>
          </cell>
          <cell r="K376" t="str">
            <v>MXN</v>
          </cell>
          <cell r="L376" t="str">
            <v>TN</v>
          </cell>
          <cell r="M376" t="str">
            <v>01.08.2026</v>
          </cell>
          <cell r="N376" t="str">
            <v>31.12.9999</v>
          </cell>
          <cell r="O376" t="str">
            <v>28.07.2026</v>
          </cell>
          <cell r="P376" t="str">
            <v>ZMIF</v>
          </cell>
          <cell r="Q376">
            <v>121.29</v>
          </cell>
          <cell r="R376" t="str">
            <v>MXN</v>
          </cell>
          <cell r="S376" t="str">
            <v>TN</v>
          </cell>
          <cell r="T376" t="str">
            <v>01.08.2026</v>
          </cell>
          <cell r="U376" t="str">
            <v>31.12.9999</v>
          </cell>
          <cell r="V376" t="str">
            <v>ZICF</v>
          </cell>
          <cell r="W376" t="str">
            <v>01</v>
          </cell>
          <cell r="X376">
            <v>84.31</v>
          </cell>
          <cell r="Y376" t="str">
            <v>MXN</v>
          </cell>
          <cell r="Z376" t="str">
            <v>TN</v>
          </cell>
          <cell r="AA376" t="str">
            <v>01.05.2026</v>
          </cell>
          <cell r="AB376" t="str">
            <v>31.12.2030</v>
          </cell>
          <cell r="AC376">
            <v>208.28</v>
          </cell>
        </row>
        <row r="377">
          <cell r="H377" t="str">
            <v>10000240</v>
          </cell>
          <cell r="I377" t="str">
            <v>Grava Triturada Caliza 20 mm -</v>
          </cell>
          <cell r="J377">
            <v>86.47</v>
          </cell>
          <cell r="K377" t="str">
            <v>MXN</v>
          </cell>
          <cell r="L377" t="str">
            <v>TN</v>
          </cell>
          <cell r="M377" t="str">
            <v>01.08.2026</v>
          </cell>
          <cell r="N377" t="str">
            <v>31.12.9999</v>
          </cell>
          <cell r="O377" t="str">
            <v>28.07.2026</v>
          </cell>
          <cell r="P377" t="str">
            <v>ZMIF</v>
          </cell>
          <cell r="Q377">
            <v>185.22</v>
          </cell>
          <cell r="R377" t="str">
            <v>MXN</v>
          </cell>
          <cell r="S377" t="str">
            <v>TN</v>
          </cell>
          <cell r="T377" t="str">
            <v>01.08.2026</v>
          </cell>
          <cell r="U377" t="str">
            <v>31.12.9999</v>
          </cell>
          <cell r="V377" t="str">
            <v>ZICF</v>
          </cell>
          <cell r="W377" t="str">
            <v>01</v>
          </cell>
          <cell r="X377">
            <v>86.86</v>
          </cell>
          <cell r="Y377" t="str">
            <v>MXN</v>
          </cell>
          <cell r="Z377" t="str">
            <v>TN</v>
          </cell>
          <cell r="AA377" t="str">
            <v>01.05.2026</v>
          </cell>
          <cell r="AB377" t="str">
            <v>31.12.2030</v>
          </cell>
          <cell r="AC377">
            <v>271.69</v>
          </cell>
        </row>
        <row r="378">
          <cell r="H378" t="str">
            <v>10001073</v>
          </cell>
          <cell r="I378" t="str">
            <v>Arena Triturada Caliza Malla 4</v>
          </cell>
          <cell r="J378">
            <v>86.99</v>
          </cell>
          <cell r="K378" t="str">
            <v>MXN</v>
          </cell>
          <cell r="L378" t="str">
            <v>TN</v>
          </cell>
          <cell r="M378" t="str">
            <v>01.08.2026</v>
          </cell>
          <cell r="N378" t="str">
            <v>31.12.9999</v>
          </cell>
          <cell r="O378" t="str">
            <v>28.07.2026</v>
          </cell>
          <cell r="P378" t="str">
            <v>ZMIF</v>
          </cell>
          <cell r="Q378">
            <v>121.29</v>
          </cell>
          <cell r="R378" t="str">
            <v>MXN</v>
          </cell>
          <cell r="S378" t="str">
            <v>TN</v>
          </cell>
          <cell r="T378" t="str">
            <v>01.08.2026</v>
          </cell>
          <cell r="U378" t="str">
            <v>31.12.9999</v>
          </cell>
          <cell r="V378" t="str">
            <v>ZICF</v>
          </cell>
          <cell r="W378" t="str">
            <v>01</v>
          </cell>
          <cell r="X378">
            <v>81.400000000000006</v>
          </cell>
          <cell r="Y378" t="str">
            <v>MXN</v>
          </cell>
          <cell r="Z378" t="str">
            <v>TN</v>
          </cell>
          <cell r="AA378" t="str">
            <v>01.05.2026</v>
          </cell>
          <cell r="AB378" t="str">
            <v>31.12.2030</v>
          </cell>
          <cell r="AC378">
            <v>208.28</v>
          </cell>
        </row>
        <row r="379">
          <cell r="H379" t="str">
            <v>10051293</v>
          </cell>
          <cell r="I379" t="str">
            <v>Grava Triturada Basalto 20 mm</v>
          </cell>
          <cell r="J379">
            <v>240.74</v>
          </cell>
          <cell r="K379" t="str">
            <v>MXN</v>
          </cell>
          <cell r="L379" t="str">
            <v>TN</v>
          </cell>
          <cell r="M379" t="str">
            <v>01.08.2026</v>
          </cell>
          <cell r="N379" t="str">
            <v>31.12.9999</v>
          </cell>
          <cell r="O379" t="str">
            <v>28.07.2026</v>
          </cell>
          <cell r="P379" t="str">
            <v>ZMIF</v>
          </cell>
          <cell r="Q379">
            <v>-0.87</v>
          </cell>
          <cell r="R379" t="str">
            <v>MXN</v>
          </cell>
          <cell r="S379" t="str">
            <v>TN</v>
          </cell>
          <cell r="T379" t="str">
            <v>01.08.2026</v>
          </cell>
          <cell r="U379" t="str">
            <v>31.12.9999</v>
          </cell>
          <cell r="V379" t="str">
            <v>ZICF</v>
          </cell>
          <cell r="W379" t="str">
            <v>01</v>
          </cell>
          <cell r="X379">
            <v>98.3</v>
          </cell>
          <cell r="Y379" t="str">
            <v>MXN</v>
          </cell>
          <cell r="Z379" t="str">
            <v>TN</v>
          </cell>
          <cell r="AA379" t="str">
            <v>20.10.2022</v>
          </cell>
          <cell r="AB379" t="str">
            <v>31.12.9999</v>
          </cell>
          <cell r="AC379">
            <v>239.87</v>
          </cell>
        </row>
        <row r="380">
          <cell r="H380" t="str">
            <v>10051295</v>
          </cell>
          <cell r="I380" t="str">
            <v>Grava Triturada Basalto 10 mm</v>
          </cell>
          <cell r="J380">
            <v>240.74</v>
          </cell>
          <cell r="K380" t="str">
            <v>MXN</v>
          </cell>
          <cell r="L380" t="str">
            <v>TN</v>
          </cell>
          <cell r="M380" t="str">
            <v>01.08.2026</v>
          </cell>
          <cell r="N380" t="str">
            <v>31.12.9999</v>
          </cell>
          <cell r="O380" t="str">
            <v>28.07.2026</v>
          </cell>
          <cell r="P380" t="str">
            <v>ZMIF</v>
          </cell>
          <cell r="Q380">
            <v>29.26</v>
          </cell>
          <cell r="R380" t="str">
            <v>MXN</v>
          </cell>
          <cell r="S380" t="str">
            <v>TN</v>
          </cell>
          <cell r="T380" t="str">
            <v>01.08.2026</v>
          </cell>
          <cell r="U380" t="str">
            <v>31.12.9999</v>
          </cell>
          <cell r="V380" t="str">
            <v>ZICF</v>
          </cell>
          <cell r="W380" t="str">
            <v>01</v>
          </cell>
          <cell r="X380">
            <v>117.58</v>
          </cell>
          <cell r="Y380" t="str">
            <v>MXN</v>
          </cell>
          <cell r="Z380" t="str">
            <v>TN</v>
          </cell>
          <cell r="AA380" t="str">
            <v>25.05.2026</v>
          </cell>
          <cell r="AB380" t="str">
            <v>31.12.9999</v>
          </cell>
          <cell r="AC380">
            <v>270</v>
          </cell>
        </row>
        <row r="381">
          <cell r="H381" t="str">
            <v>10058363</v>
          </cell>
          <cell r="I381" t="str">
            <v>ARENA BASALTO SÍLICE/CUARZO BL</v>
          </cell>
          <cell r="J381">
            <v>207</v>
          </cell>
          <cell r="K381" t="str">
            <v>MXN</v>
          </cell>
          <cell r="L381" t="str">
            <v>TN</v>
          </cell>
          <cell r="M381" t="str">
            <v>01.08.2026</v>
          </cell>
          <cell r="N381" t="str">
            <v>31.12.9999</v>
          </cell>
          <cell r="O381" t="str">
            <v>28.07.2026</v>
          </cell>
          <cell r="P381" t="str">
            <v>ZMIF</v>
          </cell>
          <cell r="Q381">
            <v>-69.2</v>
          </cell>
          <cell r="R381" t="str">
            <v>MXN</v>
          </cell>
          <cell r="S381" t="str">
            <v>TN</v>
          </cell>
          <cell r="T381" t="str">
            <v>01.08.2026</v>
          </cell>
          <cell r="U381" t="str">
            <v>31.12.9999</v>
          </cell>
          <cell r="V381" t="str">
            <v>ZICF</v>
          </cell>
          <cell r="W381" t="str">
            <v>01</v>
          </cell>
          <cell r="X381">
            <v>68.510000000000005</v>
          </cell>
          <cell r="Y381" t="str">
            <v>MXN</v>
          </cell>
          <cell r="Z381" t="str">
            <v>TN</v>
          </cell>
          <cell r="AA381" t="str">
            <v>01.07.2025</v>
          </cell>
          <cell r="AB381" t="str">
            <v>31.12.2030</v>
          </cell>
          <cell r="AC381">
            <v>137.80000000000001</v>
          </cell>
        </row>
        <row r="382">
          <cell r="H382" t="str">
            <v>10197865</v>
          </cell>
          <cell r="I382" t="str">
            <v>GRAVA TRITURADA BASALTO 40-4MM</v>
          </cell>
          <cell r="J382">
            <v>240.74</v>
          </cell>
          <cell r="K382" t="str">
            <v>MXN</v>
          </cell>
          <cell r="L382" t="str">
            <v>TN</v>
          </cell>
          <cell r="M382" t="str">
            <v>01.08.2026</v>
          </cell>
          <cell r="N382" t="str">
            <v>31.12.9999</v>
          </cell>
          <cell r="O382" t="str">
            <v>28.07.2026</v>
          </cell>
          <cell r="P382" t="str">
            <v>ZMIF</v>
          </cell>
          <cell r="Q382">
            <v>-3.32</v>
          </cell>
          <cell r="R382" t="str">
            <v>MXN</v>
          </cell>
          <cell r="S382" t="str">
            <v>TN</v>
          </cell>
          <cell r="T382" t="str">
            <v>01.08.2026</v>
          </cell>
          <cell r="U382" t="str">
            <v>31.12.9999</v>
          </cell>
          <cell r="V382" t="str">
            <v>ZICF</v>
          </cell>
          <cell r="W382" t="str">
            <v>01</v>
          </cell>
          <cell r="X382">
            <v>138.15</v>
          </cell>
          <cell r="Y382" t="str">
            <v>MXN</v>
          </cell>
          <cell r="Z382" t="str">
            <v>TN</v>
          </cell>
          <cell r="AA382" t="str">
            <v>23.05.2025</v>
          </cell>
          <cell r="AB382" t="str">
            <v>31.12.9999</v>
          </cell>
          <cell r="AC382">
            <v>237.42000000000002</v>
          </cell>
        </row>
        <row r="383">
          <cell r="H383" t="str">
            <v>10199160</v>
          </cell>
          <cell r="I383" t="str">
            <v>GRAVA TRITURADA BASALTO 40-20M</v>
          </cell>
          <cell r="J383">
            <v>240.74</v>
          </cell>
          <cell r="K383" t="str">
            <v>MXN</v>
          </cell>
          <cell r="L383" t="str">
            <v>TN</v>
          </cell>
          <cell r="M383" t="str">
            <v>01.08.2026</v>
          </cell>
          <cell r="N383" t="str">
            <v>31.12.9999</v>
          </cell>
          <cell r="O383" t="str">
            <v>28.07.2026</v>
          </cell>
          <cell r="P383" t="str">
            <v>ZMIF</v>
          </cell>
          <cell r="Q383">
            <v>-3.32</v>
          </cell>
          <cell r="R383" t="str">
            <v>MXN</v>
          </cell>
          <cell r="S383" t="str">
            <v>TN</v>
          </cell>
          <cell r="T383" t="str">
            <v>01.08.2026</v>
          </cell>
          <cell r="U383" t="str">
            <v>31.12.9999</v>
          </cell>
          <cell r="V383" t="str">
            <v>ZICF</v>
          </cell>
          <cell r="W383" t="str">
            <v>01</v>
          </cell>
          <cell r="X383">
            <v>141.16</v>
          </cell>
          <cell r="Y383" t="str">
            <v>MXN</v>
          </cell>
          <cell r="Z383" t="str">
            <v>TN</v>
          </cell>
          <cell r="AA383" t="str">
            <v>12.04.2024</v>
          </cell>
          <cell r="AB383" t="str">
            <v>31.12.9999</v>
          </cell>
          <cell r="AC383">
            <v>237.42000000000002</v>
          </cell>
        </row>
        <row r="384">
          <cell r="H384" t="str">
            <v>10051293</v>
          </cell>
          <cell r="I384" t="str">
            <v>Grava Triturada Basalto 20 mm</v>
          </cell>
          <cell r="J384">
            <v>240.74</v>
          </cell>
          <cell r="K384" t="str">
            <v>MXN</v>
          </cell>
          <cell r="L384" t="str">
            <v>TN</v>
          </cell>
          <cell r="M384" t="str">
            <v>01.08.2026</v>
          </cell>
          <cell r="N384" t="str">
            <v>31.12.9999</v>
          </cell>
          <cell r="O384" t="str">
            <v>28.07.2026</v>
          </cell>
          <cell r="P384" t="str">
            <v>ZMIF</v>
          </cell>
          <cell r="Q384">
            <v>-0.87</v>
          </cell>
          <cell r="R384" t="str">
            <v>MXN</v>
          </cell>
          <cell r="S384" t="str">
            <v>TN</v>
          </cell>
          <cell r="T384" t="str">
            <v>01.08.2026</v>
          </cell>
          <cell r="U384" t="str">
            <v>31.12.9999</v>
          </cell>
          <cell r="V384" t="str">
            <v>ZICF</v>
          </cell>
          <cell r="W384" t="str">
            <v>01</v>
          </cell>
          <cell r="X384">
            <v>109.43</v>
          </cell>
          <cell r="Y384" t="str">
            <v>MXN</v>
          </cell>
          <cell r="Z384" t="str">
            <v>TN</v>
          </cell>
          <cell r="AA384" t="str">
            <v>12.04.2024</v>
          </cell>
          <cell r="AB384" t="str">
            <v>31.12.9999</v>
          </cell>
          <cell r="AC384">
            <v>239.87</v>
          </cell>
        </row>
        <row r="385">
          <cell r="H385" t="str">
            <v>10051295</v>
          </cell>
          <cell r="I385" t="str">
            <v>Grava Triturada Basalto 10 mm</v>
          </cell>
          <cell r="J385">
            <v>240.74</v>
          </cell>
          <cell r="K385" t="str">
            <v>MXN</v>
          </cell>
          <cell r="L385" t="str">
            <v>TN</v>
          </cell>
          <cell r="M385" t="str">
            <v>01.08.2026</v>
          </cell>
          <cell r="N385" t="str">
            <v>31.12.9999</v>
          </cell>
          <cell r="O385" t="str">
            <v>28.07.2026</v>
          </cell>
          <cell r="P385" t="str">
            <v>ZMIF</v>
          </cell>
          <cell r="Q385">
            <v>29.26</v>
          </cell>
          <cell r="R385" t="str">
            <v>MXN</v>
          </cell>
          <cell r="S385" t="str">
            <v>TN</v>
          </cell>
          <cell r="T385" t="str">
            <v>01.08.2026</v>
          </cell>
          <cell r="U385" t="str">
            <v>31.12.9999</v>
          </cell>
          <cell r="V385" t="str">
            <v>ZICF</v>
          </cell>
          <cell r="W385" t="str">
            <v>01</v>
          </cell>
          <cell r="X385">
            <v>96.44</v>
          </cell>
          <cell r="Y385" t="str">
            <v>MXN</v>
          </cell>
          <cell r="Z385" t="str">
            <v>TN</v>
          </cell>
          <cell r="AA385" t="str">
            <v>25.05.2026</v>
          </cell>
          <cell r="AB385" t="str">
            <v>31.12.9999</v>
          </cell>
          <cell r="AC385">
            <v>270</v>
          </cell>
        </row>
        <row r="386">
          <cell r="H386" t="str">
            <v>10058363</v>
          </cell>
          <cell r="I386" t="str">
            <v>ARENA BASALTO SÍLICE/CUARZO BL</v>
          </cell>
          <cell r="J386">
            <v>207</v>
          </cell>
          <cell r="K386" t="str">
            <v>MXN</v>
          </cell>
          <cell r="L386" t="str">
            <v>TN</v>
          </cell>
          <cell r="M386" t="str">
            <v>01.08.2026</v>
          </cell>
          <cell r="N386" t="str">
            <v>31.12.9999</v>
          </cell>
          <cell r="O386" t="str">
            <v>28.07.2026</v>
          </cell>
          <cell r="P386" t="str">
            <v>ZMIF</v>
          </cell>
          <cell r="Q386">
            <v>-69.2</v>
          </cell>
          <cell r="R386" t="str">
            <v>MXN</v>
          </cell>
          <cell r="S386" t="str">
            <v>TN</v>
          </cell>
          <cell r="T386" t="str">
            <v>01.08.2026</v>
          </cell>
          <cell r="U386" t="str">
            <v>31.12.9999</v>
          </cell>
          <cell r="V386" t="str">
            <v>ZICF</v>
          </cell>
          <cell r="W386" t="str">
            <v>01</v>
          </cell>
          <cell r="X386">
            <v>62.89</v>
          </cell>
          <cell r="Y386" t="str">
            <v>MXN</v>
          </cell>
          <cell r="Z386" t="str">
            <v>TN</v>
          </cell>
          <cell r="AA386" t="str">
            <v>13.06.2025</v>
          </cell>
          <cell r="AB386" t="str">
            <v>31.12.9999</v>
          </cell>
          <cell r="AC386">
            <v>137.80000000000001</v>
          </cell>
        </row>
        <row r="387">
          <cell r="H387" t="str">
            <v>10197865</v>
          </cell>
          <cell r="I387" t="str">
            <v>GRAVA TRITURADA BASALTO 40-4MM</v>
          </cell>
          <cell r="J387">
            <v>240.74</v>
          </cell>
          <cell r="K387" t="str">
            <v>MXN</v>
          </cell>
          <cell r="L387" t="str">
            <v>TN</v>
          </cell>
          <cell r="M387" t="str">
            <v>01.08.2026</v>
          </cell>
          <cell r="N387" t="str">
            <v>31.12.9999</v>
          </cell>
          <cell r="O387" t="str">
            <v>28.07.2026</v>
          </cell>
          <cell r="P387" t="str">
            <v>ZMIF</v>
          </cell>
          <cell r="Q387">
            <v>-3.32</v>
          </cell>
          <cell r="R387" t="str">
            <v>MXN</v>
          </cell>
          <cell r="S387" t="str">
            <v>TN</v>
          </cell>
          <cell r="T387" t="str">
            <v>01.08.2026</v>
          </cell>
          <cell r="U387" t="str">
            <v>31.12.9999</v>
          </cell>
          <cell r="V387" t="str">
            <v>ZICF</v>
          </cell>
          <cell r="W387" t="str">
            <v>01</v>
          </cell>
          <cell r="X387">
            <v>109.99</v>
          </cell>
          <cell r="Y387" t="str">
            <v>MXN</v>
          </cell>
          <cell r="Z387" t="str">
            <v>TN</v>
          </cell>
          <cell r="AA387" t="str">
            <v>23.05.2025</v>
          </cell>
          <cell r="AB387" t="str">
            <v>31.12.9999</v>
          </cell>
          <cell r="AC387">
            <v>237.42000000000002</v>
          </cell>
        </row>
        <row r="388">
          <cell r="H388" t="str">
            <v>10199160</v>
          </cell>
          <cell r="I388" t="str">
            <v>GRAVA TRITURADA BASALTO 40-20M</v>
          </cell>
          <cell r="J388">
            <v>240.74</v>
          </cell>
          <cell r="K388" t="str">
            <v>MXN</v>
          </cell>
          <cell r="L388" t="str">
            <v>TN</v>
          </cell>
          <cell r="M388" t="str">
            <v>01.08.2026</v>
          </cell>
          <cell r="N388" t="str">
            <v>31.12.9999</v>
          </cell>
          <cell r="O388" t="str">
            <v>28.07.2026</v>
          </cell>
          <cell r="P388" t="str">
            <v>ZMIF</v>
          </cell>
          <cell r="Q388">
            <v>-3.32</v>
          </cell>
          <cell r="R388" t="str">
            <v>MXN</v>
          </cell>
          <cell r="S388" t="str">
            <v>TN</v>
          </cell>
          <cell r="T388" t="str">
            <v>01.08.2026</v>
          </cell>
          <cell r="U388" t="str">
            <v>31.12.9999</v>
          </cell>
          <cell r="V388" t="str">
            <v>ZICF</v>
          </cell>
          <cell r="W388" t="str">
            <v>01</v>
          </cell>
          <cell r="X388">
            <v>109.63</v>
          </cell>
          <cell r="Y388" t="str">
            <v>MXN</v>
          </cell>
          <cell r="Z388" t="str">
            <v>TN</v>
          </cell>
          <cell r="AA388" t="str">
            <v>12.04.2024</v>
          </cell>
          <cell r="AB388" t="str">
            <v>31.12.9999</v>
          </cell>
          <cell r="AC388">
            <v>237.42000000000002</v>
          </cell>
        </row>
        <row r="389">
          <cell r="H389" t="str">
            <v>10051293</v>
          </cell>
          <cell r="I389" t="str">
            <v>Grava Triturada Basalto 20 mm</v>
          </cell>
          <cell r="J389">
            <v>240.74</v>
          </cell>
          <cell r="K389" t="str">
            <v>MXN</v>
          </cell>
          <cell r="L389" t="str">
            <v>TN</v>
          </cell>
          <cell r="M389" t="str">
            <v>01.08.2026</v>
          </cell>
          <cell r="N389" t="str">
            <v>31.12.2030</v>
          </cell>
          <cell r="O389" t="str">
            <v>28.07.2026</v>
          </cell>
          <cell r="P389" t="str">
            <v>ZMIF</v>
          </cell>
          <cell r="Q389">
            <v>-0.87</v>
          </cell>
          <cell r="R389" t="str">
            <v>MXN</v>
          </cell>
          <cell r="S389" t="str">
            <v>TN</v>
          </cell>
          <cell r="T389" t="str">
            <v>01.08.2026</v>
          </cell>
          <cell r="U389" t="str">
            <v>31.12.2030</v>
          </cell>
          <cell r="V389" t="str">
            <v>ZICF</v>
          </cell>
          <cell r="W389" t="str">
            <v>01</v>
          </cell>
          <cell r="X389">
            <v>245.83</v>
          </cell>
          <cell r="Y389" t="str">
            <v>MXN</v>
          </cell>
          <cell r="Z389" t="str">
            <v>TN</v>
          </cell>
          <cell r="AA389" t="str">
            <v>17.01.2025</v>
          </cell>
          <cell r="AB389" t="str">
            <v>31.12.9999</v>
          </cell>
          <cell r="AC389">
            <v>239.87</v>
          </cell>
        </row>
        <row r="390">
          <cell r="H390" t="str">
            <v>10199160</v>
          </cell>
          <cell r="I390" t="str">
            <v>GRAVA TRITURADA BASALTO 40-20M</v>
          </cell>
          <cell r="J390">
            <v>240.74</v>
          </cell>
          <cell r="K390" t="str">
            <v>MXN</v>
          </cell>
          <cell r="L390" t="str">
            <v>TN</v>
          </cell>
          <cell r="M390" t="str">
            <v>01.08.2026</v>
          </cell>
          <cell r="N390" t="str">
            <v>31.12.9999</v>
          </cell>
          <cell r="O390" t="str">
            <v>28.07.2026</v>
          </cell>
          <cell r="P390" t="str">
            <v>ZMIF</v>
          </cell>
          <cell r="Q390">
            <v>-3.32</v>
          </cell>
          <cell r="R390" t="str">
            <v>MXN</v>
          </cell>
          <cell r="S390" t="str">
            <v>TN</v>
          </cell>
          <cell r="T390" t="str">
            <v>01.08.2026</v>
          </cell>
          <cell r="U390" t="str">
            <v>31.12.9999</v>
          </cell>
          <cell r="V390" t="str">
            <v>ZICF</v>
          </cell>
          <cell r="W390" t="str">
            <v>01</v>
          </cell>
          <cell r="X390">
            <v>245.83</v>
          </cell>
          <cell r="Y390" t="str">
            <v>MXN</v>
          </cell>
          <cell r="Z390" t="str">
            <v>TN</v>
          </cell>
          <cell r="AA390" t="str">
            <v>17.01.2025</v>
          </cell>
          <cell r="AB390" t="str">
            <v>31.12.9999</v>
          </cell>
          <cell r="AC390">
            <v>237.42000000000002</v>
          </cell>
        </row>
        <row r="391">
          <cell r="H391" t="str">
            <v>10051293</v>
          </cell>
          <cell r="I391" t="str">
            <v>Grava Triturada Basalto 20 mm</v>
          </cell>
          <cell r="J391">
            <v>240.74</v>
          </cell>
          <cell r="K391" t="str">
            <v>MXN</v>
          </cell>
          <cell r="L391" t="str">
            <v>TN</v>
          </cell>
          <cell r="M391" t="str">
            <v>01.08.2026</v>
          </cell>
          <cell r="N391" t="str">
            <v>31.12.9999</v>
          </cell>
          <cell r="O391" t="str">
            <v>28.07.2026</v>
          </cell>
          <cell r="P391" t="str">
            <v>ZMIF</v>
          </cell>
          <cell r="Q391">
            <v>-0.87</v>
          </cell>
          <cell r="R391" t="str">
            <v>MXN</v>
          </cell>
          <cell r="S391" t="str">
            <v>TN</v>
          </cell>
          <cell r="T391" t="str">
            <v>01.08.2026</v>
          </cell>
          <cell r="U391" t="str">
            <v>31.12.9999</v>
          </cell>
          <cell r="V391" t="str">
            <v>ZICF</v>
          </cell>
          <cell r="W391" t="str">
            <v>01</v>
          </cell>
          <cell r="X391">
            <v>34.619999999999997</v>
          </cell>
          <cell r="Y391" t="str">
            <v>MXN</v>
          </cell>
          <cell r="Z391" t="str">
            <v>TN</v>
          </cell>
          <cell r="AA391" t="str">
            <v>12.04.2024</v>
          </cell>
          <cell r="AB391" t="str">
            <v>31.12.9999</v>
          </cell>
          <cell r="AC391">
            <v>239.87</v>
          </cell>
        </row>
        <row r="392">
          <cell r="H392" t="str">
            <v>10051295</v>
          </cell>
          <cell r="I392" t="str">
            <v>Grava Triturada Basalto 10 mm</v>
          </cell>
          <cell r="J392">
            <v>240.74</v>
          </cell>
          <cell r="K392" t="str">
            <v>MXN</v>
          </cell>
          <cell r="L392" t="str">
            <v>TN</v>
          </cell>
          <cell r="M392" t="str">
            <v>01.08.2026</v>
          </cell>
          <cell r="N392" t="str">
            <v>31.12.9999</v>
          </cell>
          <cell r="O392" t="str">
            <v>28.07.2026</v>
          </cell>
          <cell r="P392" t="str">
            <v>ZMIF</v>
          </cell>
          <cell r="Q392">
            <v>29.26</v>
          </cell>
          <cell r="R392" t="str">
            <v>MXN</v>
          </cell>
          <cell r="S392" t="str">
            <v>TN</v>
          </cell>
          <cell r="T392" t="str">
            <v>01.08.2026</v>
          </cell>
          <cell r="U392" t="str">
            <v>31.12.9999</v>
          </cell>
          <cell r="V392" t="str">
            <v>ZICF</v>
          </cell>
          <cell r="W392" t="str">
            <v>01</v>
          </cell>
          <cell r="X392">
            <v>11.23</v>
          </cell>
          <cell r="Y392" t="str">
            <v>MXN</v>
          </cell>
          <cell r="Z392" t="str">
            <v>TN</v>
          </cell>
          <cell r="AA392" t="str">
            <v>01.07.2021</v>
          </cell>
          <cell r="AB392" t="str">
            <v>31.12.9999</v>
          </cell>
          <cell r="AC392">
            <v>270</v>
          </cell>
        </row>
        <row r="393">
          <cell r="H393" t="str">
            <v>10058363</v>
          </cell>
          <cell r="I393" t="str">
            <v>ARENA BASALTO SÍLICE/CUARZO BL</v>
          </cell>
          <cell r="J393">
            <v>207</v>
          </cell>
          <cell r="K393" t="str">
            <v>MXN</v>
          </cell>
          <cell r="L393" t="str">
            <v>TN</v>
          </cell>
          <cell r="M393" t="str">
            <v>01.08.2026</v>
          </cell>
          <cell r="N393" t="str">
            <v>31.12.9999</v>
          </cell>
          <cell r="O393" t="str">
            <v>28.07.2026</v>
          </cell>
          <cell r="P393" t="str">
            <v>ZMIF</v>
          </cell>
          <cell r="Q393">
            <v>-69.2</v>
          </cell>
          <cell r="R393" t="str">
            <v>MXN</v>
          </cell>
          <cell r="S393" t="str">
            <v>TN</v>
          </cell>
          <cell r="T393" t="str">
            <v>01.08.2026</v>
          </cell>
          <cell r="U393" t="str">
            <v>31.12.9999</v>
          </cell>
          <cell r="V393" t="str">
            <v>ZICF</v>
          </cell>
          <cell r="W393" t="str">
            <v>01</v>
          </cell>
          <cell r="X393">
            <v>32.340000000000003</v>
          </cell>
          <cell r="Y393" t="str">
            <v>MXN</v>
          </cell>
          <cell r="Z393" t="str">
            <v>TN</v>
          </cell>
          <cell r="AA393" t="str">
            <v>27.03.2025</v>
          </cell>
          <cell r="AB393" t="str">
            <v>31.12.9999</v>
          </cell>
          <cell r="AC393">
            <v>137.80000000000001</v>
          </cell>
        </row>
        <row r="394">
          <cell r="H394" t="str">
            <v>10197865</v>
          </cell>
          <cell r="I394" t="str">
            <v>GRAVA TRITURADA BASALTO 40-4MM</v>
          </cell>
          <cell r="J394">
            <v>240.74</v>
          </cell>
          <cell r="K394" t="str">
            <v>MXN</v>
          </cell>
          <cell r="L394" t="str">
            <v>TN</v>
          </cell>
          <cell r="M394" t="str">
            <v>01.08.2026</v>
          </cell>
          <cell r="N394" t="str">
            <v>31.12.9999</v>
          </cell>
          <cell r="O394" t="str">
            <v>28.07.2026</v>
          </cell>
          <cell r="P394" t="str">
            <v>ZMIF</v>
          </cell>
          <cell r="Q394">
            <v>-3.32</v>
          </cell>
          <cell r="R394" t="str">
            <v>MXN</v>
          </cell>
          <cell r="S394" t="str">
            <v>TN</v>
          </cell>
          <cell r="T394" t="str">
            <v>01.08.2026</v>
          </cell>
          <cell r="U394" t="str">
            <v>31.12.9999</v>
          </cell>
          <cell r="V394" t="str">
            <v>ZICF</v>
          </cell>
          <cell r="W394" t="str">
            <v>01</v>
          </cell>
          <cell r="X394">
            <v>34.840000000000003</v>
          </cell>
          <cell r="Y394" t="str">
            <v>MXN</v>
          </cell>
          <cell r="Z394" t="str">
            <v>TN</v>
          </cell>
          <cell r="AA394" t="str">
            <v>23.05.2025</v>
          </cell>
          <cell r="AB394" t="str">
            <v>31.12.9999</v>
          </cell>
          <cell r="AC394">
            <v>237.42000000000002</v>
          </cell>
        </row>
        <row r="395">
          <cell r="H395" t="str">
            <v>10199160</v>
          </cell>
          <cell r="I395" t="str">
            <v>GRAVA TRITURADA BASALTO 40-20M</v>
          </cell>
          <cell r="J395">
            <v>240.74</v>
          </cell>
          <cell r="K395" t="str">
            <v>MXN</v>
          </cell>
          <cell r="L395" t="str">
            <v>TN</v>
          </cell>
          <cell r="M395" t="str">
            <v>01.08.2026</v>
          </cell>
          <cell r="N395" t="str">
            <v>31.12.9999</v>
          </cell>
          <cell r="O395" t="str">
            <v>28.07.2026</v>
          </cell>
          <cell r="P395" t="str">
            <v>ZMIF</v>
          </cell>
          <cell r="Q395">
            <v>-3.32</v>
          </cell>
          <cell r="R395" t="str">
            <v>MXN</v>
          </cell>
          <cell r="S395" t="str">
            <v>TN</v>
          </cell>
          <cell r="T395" t="str">
            <v>01.08.2026</v>
          </cell>
          <cell r="U395" t="str">
            <v>31.12.9999</v>
          </cell>
          <cell r="V395" t="str">
            <v>ZICF</v>
          </cell>
          <cell r="W395" t="str">
            <v>01</v>
          </cell>
          <cell r="X395">
            <v>33.68</v>
          </cell>
          <cell r="Y395" t="str">
            <v>MXN</v>
          </cell>
          <cell r="Z395" t="str">
            <v>TN</v>
          </cell>
          <cell r="AA395" t="str">
            <v>12.04.2024</v>
          </cell>
          <cell r="AB395" t="str">
            <v>31.12.9999</v>
          </cell>
          <cell r="AC395">
            <v>237.42000000000002</v>
          </cell>
        </row>
        <row r="396">
          <cell r="H396" t="str">
            <v>10199160</v>
          </cell>
          <cell r="I396" t="str">
            <v>GRAVA TRITURADA BASALTO 40-20M</v>
          </cell>
          <cell r="J396">
            <v>240.74</v>
          </cell>
          <cell r="K396" t="str">
            <v>MXN</v>
          </cell>
          <cell r="L396" t="str">
            <v>TN</v>
          </cell>
          <cell r="M396" t="str">
            <v>01.08.2026</v>
          </cell>
          <cell r="N396" t="str">
            <v>31.12.9999</v>
          </cell>
          <cell r="O396" t="str">
            <v>28.07.2026</v>
          </cell>
          <cell r="P396" t="str">
            <v>ZMIF</v>
          </cell>
          <cell r="Q396">
            <v>-3.32</v>
          </cell>
          <cell r="R396" t="str">
            <v>MXN</v>
          </cell>
          <cell r="S396" t="str">
            <v>TN</v>
          </cell>
          <cell r="T396" t="str">
            <v>01.08.2026</v>
          </cell>
          <cell r="U396" t="str">
            <v>31.12.9999</v>
          </cell>
          <cell r="V396" t="str">
            <v>ZICF</v>
          </cell>
          <cell r="W396" t="str">
            <v>01</v>
          </cell>
          <cell r="X396">
            <v>203.79</v>
          </cell>
          <cell r="Y396" t="str">
            <v>MXN</v>
          </cell>
          <cell r="Z396" t="str">
            <v>TN</v>
          </cell>
          <cell r="AA396" t="str">
            <v>17.01.2025</v>
          </cell>
          <cell r="AB396" t="str">
            <v>31.12.9999</v>
          </cell>
          <cell r="AC396">
            <v>237.42000000000002</v>
          </cell>
        </row>
        <row r="397">
          <cell r="H397" t="str">
            <v>10051293</v>
          </cell>
          <cell r="I397" t="str">
            <v>Grava Triturada Basalto 20 mm</v>
          </cell>
          <cell r="J397">
            <v>240.74</v>
          </cell>
          <cell r="K397" t="str">
            <v>MXN</v>
          </cell>
          <cell r="L397" t="str">
            <v>TN</v>
          </cell>
          <cell r="M397" t="str">
            <v>01.08.2026</v>
          </cell>
          <cell r="N397" t="str">
            <v>31.12.9999</v>
          </cell>
          <cell r="O397" t="str">
            <v>28.07.2026</v>
          </cell>
          <cell r="P397" t="str">
            <v>ZMIF</v>
          </cell>
          <cell r="Q397">
            <v>-0.87</v>
          </cell>
          <cell r="R397" t="str">
            <v>MXN</v>
          </cell>
          <cell r="S397" t="str">
            <v>TN</v>
          </cell>
          <cell r="T397" t="str">
            <v>01.08.2026</v>
          </cell>
          <cell r="U397" t="str">
            <v>31.12.9999</v>
          </cell>
          <cell r="V397" t="str">
            <v>ZICF</v>
          </cell>
          <cell r="W397" t="str">
            <v>01</v>
          </cell>
          <cell r="X397">
            <v>58.7</v>
          </cell>
          <cell r="Y397" t="str">
            <v>MXN</v>
          </cell>
          <cell r="Z397" t="str">
            <v>TN</v>
          </cell>
          <cell r="AA397" t="str">
            <v>20.10.2022</v>
          </cell>
          <cell r="AB397" t="str">
            <v>31.12.9999</v>
          </cell>
          <cell r="AC397">
            <v>239.87</v>
          </cell>
        </row>
        <row r="398">
          <cell r="H398" t="str">
            <v>10051295</v>
          </cell>
          <cell r="I398" t="str">
            <v>Grava Triturada Basalto 10 mm</v>
          </cell>
          <cell r="J398">
            <v>240.74</v>
          </cell>
          <cell r="K398" t="str">
            <v>MXN</v>
          </cell>
          <cell r="L398" t="str">
            <v>TN</v>
          </cell>
          <cell r="M398" t="str">
            <v>01.08.2026</v>
          </cell>
          <cell r="N398" t="str">
            <v>31.12.9999</v>
          </cell>
          <cell r="O398" t="str">
            <v>28.07.2026</v>
          </cell>
          <cell r="P398" t="str">
            <v>ZMIF</v>
          </cell>
          <cell r="Q398">
            <v>29.26</v>
          </cell>
          <cell r="R398" t="str">
            <v>MXN</v>
          </cell>
          <cell r="S398" t="str">
            <v>TN</v>
          </cell>
          <cell r="T398" t="str">
            <v>01.08.2026</v>
          </cell>
          <cell r="U398" t="str">
            <v>31.12.9999</v>
          </cell>
          <cell r="V398" t="str">
            <v>ZICF</v>
          </cell>
          <cell r="W398" t="str">
            <v>01</v>
          </cell>
          <cell r="X398">
            <v>126.69</v>
          </cell>
          <cell r="Y398" t="str">
            <v>MXN</v>
          </cell>
          <cell r="Z398" t="str">
            <v>TN</v>
          </cell>
          <cell r="AA398" t="str">
            <v>12.04.2024</v>
          </cell>
          <cell r="AB398" t="str">
            <v>31.12.9999</v>
          </cell>
          <cell r="AC398">
            <v>270</v>
          </cell>
        </row>
        <row r="399">
          <cell r="H399" t="str">
            <v>10197865</v>
          </cell>
          <cell r="I399" t="str">
            <v>GRAVA TRITURADA BASALTO 40-4MM</v>
          </cell>
          <cell r="J399">
            <v>240.74</v>
          </cell>
          <cell r="K399" t="str">
            <v>MXN</v>
          </cell>
          <cell r="L399" t="str">
            <v>TN</v>
          </cell>
          <cell r="M399" t="str">
            <v>01.08.2026</v>
          </cell>
          <cell r="N399" t="str">
            <v>31.12.9999</v>
          </cell>
          <cell r="O399" t="str">
            <v>28.07.2026</v>
          </cell>
          <cell r="P399" t="str">
            <v>ZMIF</v>
          </cell>
          <cell r="Q399">
            <v>-3.32</v>
          </cell>
          <cell r="R399" t="str">
            <v>MXN</v>
          </cell>
          <cell r="S399" t="str">
            <v>TN</v>
          </cell>
          <cell r="T399" t="str">
            <v>01.08.2026</v>
          </cell>
          <cell r="U399" t="str">
            <v>31.12.9999</v>
          </cell>
          <cell r="V399" t="str">
            <v>ZICF</v>
          </cell>
          <cell r="W399" t="str">
            <v>01</v>
          </cell>
          <cell r="X399">
            <v>130.84</v>
          </cell>
          <cell r="Y399" t="str">
            <v>MXN</v>
          </cell>
          <cell r="Z399" t="str">
            <v>TN</v>
          </cell>
          <cell r="AA399" t="str">
            <v>23.05.2025</v>
          </cell>
          <cell r="AB399" t="str">
            <v>31.12.9999</v>
          </cell>
          <cell r="AC399">
            <v>237.42000000000002</v>
          </cell>
        </row>
        <row r="400">
          <cell r="H400" t="str">
            <v>10199160</v>
          </cell>
          <cell r="I400" t="str">
            <v>GRAVA TRITURADA BASALTO 40-20M</v>
          </cell>
          <cell r="J400">
            <v>240.74</v>
          </cell>
          <cell r="K400" t="str">
            <v>MXN</v>
          </cell>
          <cell r="L400" t="str">
            <v>TN</v>
          </cell>
          <cell r="M400" t="str">
            <v>01.08.2026</v>
          </cell>
          <cell r="N400" t="str">
            <v>31.12.9999</v>
          </cell>
          <cell r="O400" t="str">
            <v>28.07.2026</v>
          </cell>
          <cell r="P400" t="str">
            <v>ZMIF</v>
          </cell>
          <cell r="Q400">
            <v>-3.32</v>
          </cell>
          <cell r="R400" t="str">
            <v>MXN</v>
          </cell>
          <cell r="S400" t="str">
            <v>TN</v>
          </cell>
          <cell r="T400" t="str">
            <v>01.08.2026</v>
          </cell>
          <cell r="U400" t="str">
            <v>31.12.9999</v>
          </cell>
          <cell r="V400" t="str">
            <v>ZICF</v>
          </cell>
          <cell r="W400" t="str">
            <v>01</v>
          </cell>
          <cell r="X400">
            <v>131.72999999999999</v>
          </cell>
          <cell r="Y400" t="str">
            <v>MXN</v>
          </cell>
          <cell r="Z400" t="str">
            <v>TN</v>
          </cell>
          <cell r="AA400" t="str">
            <v>12.04.2024</v>
          </cell>
          <cell r="AB400" t="str">
            <v>31.12.9999</v>
          </cell>
          <cell r="AC400">
            <v>237.42000000000002</v>
          </cell>
        </row>
        <row r="401">
          <cell r="H401" t="str">
            <v>10051293</v>
          </cell>
          <cell r="I401" t="str">
            <v>Grava Triturada Basalto 20 mm</v>
          </cell>
          <cell r="J401">
            <v>240.74</v>
          </cell>
          <cell r="K401" t="str">
            <v>MXN</v>
          </cell>
          <cell r="L401" t="str">
            <v>TN</v>
          </cell>
          <cell r="M401" t="str">
            <v>01.08.2026</v>
          </cell>
          <cell r="N401" t="str">
            <v>31.12.9999</v>
          </cell>
          <cell r="O401" t="str">
            <v>28.07.2026</v>
          </cell>
          <cell r="P401" t="str">
            <v>ZMIF</v>
          </cell>
          <cell r="Q401">
            <v>-0.87</v>
          </cell>
          <cell r="R401" t="str">
            <v>MXN</v>
          </cell>
          <cell r="S401" t="str">
            <v>TN</v>
          </cell>
          <cell r="T401" t="str">
            <v>01.08.2026</v>
          </cell>
          <cell r="U401" t="str">
            <v>31.12.9999</v>
          </cell>
          <cell r="V401" t="str">
            <v>ZICF</v>
          </cell>
          <cell r="W401" t="str">
            <v>01</v>
          </cell>
          <cell r="X401">
            <v>166.08</v>
          </cell>
          <cell r="Y401" t="str">
            <v>MXN</v>
          </cell>
          <cell r="Z401" t="str">
            <v>TN</v>
          </cell>
          <cell r="AA401" t="str">
            <v>12.04.2024</v>
          </cell>
          <cell r="AB401" t="str">
            <v>31.12.9999</v>
          </cell>
          <cell r="AC401">
            <v>239.87</v>
          </cell>
        </row>
        <row r="402">
          <cell r="H402" t="str">
            <v>10051295</v>
          </cell>
          <cell r="I402" t="str">
            <v>Grava Triturada Basalto 10 mm</v>
          </cell>
          <cell r="J402">
            <v>240.74</v>
          </cell>
          <cell r="K402" t="str">
            <v>MXN</v>
          </cell>
          <cell r="L402" t="str">
            <v>TN</v>
          </cell>
          <cell r="M402" t="str">
            <v>01.08.2026</v>
          </cell>
          <cell r="N402" t="str">
            <v>31.12.9999</v>
          </cell>
          <cell r="O402" t="str">
            <v>28.07.2026</v>
          </cell>
          <cell r="P402" t="str">
            <v>ZMIF</v>
          </cell>
          <cell r="Q402">
            <v>29.26</v>
          </cell>
          <cell r="R402" t="str">
            <v>MXN</v>
          </cell>
          <cell r="S402" t="str">
            <v>TN</v>
          </cell>
          <cell r="T402" t="str">
            <v>01.08.2026</v>
          </cell>
          <cell r="U402" t="str">
            <v>31.12.9999</v>
          </cell>
          <cell r="V402" t="str">
            <v>ZICF</v>
          </cell>
          <cell r="W402" t="str">
            <v>01</v>
          </cell>
          <cell r="X402">
            <v>127.06</v>
          </cell>
          <cell r="Y402" t="str">
            <v>MXN</v>
          </cell>
          <cell r="Z402" t="str">
            <v>TN</v>
          </cell>
          <cell r="AA402" t="str">
            <v>25.05.2026</v>
          </cell>
          <cell r="AB402" t="str">
            <v>31.12.9999</v>
          </cell>
          <cell r="AC402">
            <v>270</v>
          </cell>
        </row>
        <row r="403">
          <cell r="H403" t="str">
            <v>10197865</v>
          </cell>
          <cell r="I403" t="str">
            <v>GRAVA TRITURADA BASALTO 40-4MM</v>
          </cell>
          <cell r="J403">
            <v>240.74</v>
          </cell>
          <cell r="K403" t="str">
            <v>MXN</v>
          </cell>
          <cell r="L403" t="str">
            <v>TN</v>
          </cell>
          <cell r="M403" t="str">
            <v>01.08.2026</v>
          </cell>
          <cell r="N403" t="str">
            <v>31.12.9999</v>
          </cell>
          <cell r="O403" t="str">
            <v>28.07.2026</v>
          </cell>
          <cell r="P403" t="str">
            <v>ZMIF</v>
          </cell>
          <cell r="Q403">
            <v>-3.32</v>
          </cell>
          <cell r="R403" t="str">
            <v>MXN</v>
          </cell>
          <cell r="S403" t="str">
            <v>TN</v>
          </cell>
          <cell r="T403" t="str">
            <v>01.08.2026</v>
          </cell>
          <cell r="U403" t="str">
            <v>31.12.9999</v>
          </cell>
          <cell r="V403" t="str">
            <v>ZICF</v>
          </cell>
          <cell r="W403" t="str">
            <v>01</v>
          </cell>
          <cell r="X403">
            <v>153.4</v>
          </cell>
          <cell r="Y403" t="str">
            <v>MXN</v>
          </cell>
          <cell r="Z403" t="str">
            <v>TN</v>
          </cell>
          <cell r="AA403" t="str">
            <v>23.05.2025</v>
          </cell>
          <cell r="AB403" t="str">
            <v>31.12.9999</v>
          </cell>
          <cell r="AC403">
            <v>237.42000000000002</v>
          </cell>
        </row>
        <row r="404">
          <cell r="H404" t="str">
            <v>10199160</v>
          </cell>
          <cell r="I404" t="str">
            <v>GRAVA TRITURADA BASALTO 40-20M</v>
          </cell>
          <cell r="J404">
            <v>240.74</v>
          </cell>
          <cell r="K404" t="str">
            <v>MXN</v>
          </cell>
          <cell r="L404" t="str">
            <v>TN</v>
          </cell>
          <cell r="M404" t="str">
            <v>01.08.2026</v>
          </cell>
          <cell r="N404" t="str">
            <v>31.12.9999</v>
          </cell>
          <cell r="O404" t="str">
            <v>28.07.2026</v>
          </cell>
          <cell r="P404" t="str">
            <v>ZMIF</v>
          </cell>
          <cell r="Q404">
            <v>-3.32</v>
          </cell>
          <cell r="R404" t="str">
            <v>MXN</v>
          </cell>
          <cell r="S404" t="str">
            <v>TN</v>
          </cell>
          <cell r="T404" t="str">
            <v>01.08.2026</v>
          </cell>
          <cell r="U404" t="str">
            <v>31.12.9999</v>
          </cell>
          <cell r="V404" t="str">
            <v>ZICF</v>
          </cell>
          <cell r="W404" t="str">
            <v>01</v>
          </cell>
          <cell r="X404">
            <v>158.22</v>
          </cell>
          <cell r="Y404" t="str">
            <v>MXN</v>
          </cell>
          <cell r="Z404" t="str">
            <v>TN</v>
          </cell>
          <cell r="AA404" t="str">
            <v>12.04.2024</v>
          </cell>
          <cell r="AB404" t="str">
            <v>31.12.9999</v>
          </cell>
          <cell r="AC404">
            <v>237.42000000000002</v>
          </cell>
        </row>
        <row r="405">
          <cell r="H405" t="str">
            <v>10248659</v>
          </cell>
          <cell r="I405" t="str">
            <v>ARENA NO. 4</v>
          </cell>
          <cell r="J405">
            <v>129.16</v>
          </cell>
          <cell r="K405" t="str">
            <v>MXN</v>
          </cell>
          <cell r="L405" t="str">
            <v>TN</v>
          </cell>
          <cell r="M405" t="str">
            <v>01.08.2026</v>
          </cell>
          <cell r="N405" t="str">
            <v>31.12.9999</v>
          </cell>
          <cell r="O405" t="str">
            <v>28.07.2026</v>
          </cell>
          <cell r="P405" t="str">
            <v>ZMIF</v>
          </cell>
          <cell r="Q405">
            <v>30.96</v>
          </cell>
          <cell r="R405" t="str">
            <v>MXN</v>
          </cell>
          <cell r="S405" t="str">
            <v>TN</v>
          </cell>
          <cell r="T405" t="str">
            <v>01.08.2026</v>
          </cell>
          <cell r="U405" t="str">
            <v>31.12.9999</v>
          </cell>
          <cell r="V405" t="str">
            <v>ZICF</v>
          </cell>
          <cell r="W405" t="str">
            <v>01</v>
          </cell>
          <cell r="X405">
            <v>484.53</v>
          </cell>
          <cell r="Y405" t="str">
            <v>MXN</v>
          </cell>
          <cell r="Z405" t="str">
            <v>TN</v>
          </cell>
          <cell r="AA405" t="str">
            <v>13.06.2024</v>
          </cell>
          <cell r="AB405" t="str">
            <v>31.12.9999</v>
          </cell>
          <cell r="AC405">
            <v>160.12</v>
          </cell>
        </row>
        <row r="406">
          <cell r="H406" t="str">
            <v>10248659</v>
          </cell>
          <cell r="I406" t="str">
            <v>ARENA NO. 4</v>
          </cell>
          <cell r="J406">
            <v>129.16</v>
          </cell>
          <cell r="K406" t="str">
            <v>MXN</v>
          </cell>
          <cell r="L406" t="str">
            <v>TN</v>
          </cell>
          <cell r="M406" t="str">
            <v>01.08.2026</v>
          </cell>
          <cell r="N406" t="str">
            <v>31.12.9999</v>
          </cell>
          <cell r="O406" t="str">
            <v>28.07.2026</v>
          </cell>
          <cell r="P406" t="str">
            <v>ZMIF</v>
          </cell>
          <cell r="Q406">
            <v>30.96</v>
          </cell>
          <cell r="R406" t="str">
            <v>MXN</v>
          </cell>
          <cell r="S406" t="str">
            <v>TN</v>
          </cell>
          <cell r="T406" t="str">
            <v>01.08.2026</v>
          </cell>
          <cell r="U406" t="str">
            <v>31.12.9999</v>
          </cell>
          <cell r="V406" t="str">
            <v>ZICF</v>
          </cell>
          <cell r="W406" t="str">
            <v>01</v>
          </cell>
          <cell r="X406">
            <v>466.17</v>
          </cell>
          <cell r="Y406" t="str">
            <v>MXN</v>
          </cell>
          <cell r="Z406" t="str">
            <v>TN</v>
          </cell>
          <cell r="AA406" t="str">
            <v>09.10.2023</v>
          </cell>
          <cell r="AB406" t="str">
            <v>31.12.9999</v>
          </cell>
          <cell r="AC406">
            <v>160.12</v>
          </cell>
        </row>
        <row r="407">
          <cell r="H407" t="str">
            <v>10248659</v>
          </cell>
          <cell r="I407" t="str">
            <v>ARENA NO. 4</v>
          </cell>
          <cell r="J407">
            <v>129.16</v>
          </cell>
          <cell r="K407" t="str">
            <v>MXN</v>
          </cell>
          <cell r="L407" t="str">
            <v>TN</v>
          </cell>
          <cell r="M407" t="str">
            <v>01.08.2026</v>
          </cell>
          <cell r="N407" t="str">
            <v>31.12.9999</v>
          </cell>
          <cell r="O407" t="str">
            <v>28.07.2026</v>
          </cell>
          <cell r="P407" t="str">
            <v>ZMIF</v>
          </cell>
          <cell r="Q407">
            <v>30.96</v>
          </cell>
          <cell r="R407" t="str">
            <v>MXN</v>
          </cell>
          <cell r="S407" t="str">
            <v>TN</v>
          </cell>
          <cell r="T407" t="str">
            <v>01.08.2026</v>
          </cell>
          <cell r="U407" t="str">
            <v>31.12.9999</v>
          </cell>
          <cell r="V407" t="str">
            <v>ZICF</v>
          </cell>
          <cell r="W407" t="str">
            <v>01</v>
          </cell>
          <cell r="X407">
            <v>501.43</v>
          </cell>
          <cell r="Y407" t="str">
            <v>MXN</v>
          </cell>
          <cell r="Z407" t="str">
            <v>TN</v>
          </cell>
          <cell r="AA407" t="str">
            <v>09.10.2023</v>
          </cell>
          <cell r="AB407" t="str">
            <v>31.12.9999</v>
          </cell>
          <cell r="AC407">
            <v>160.12</v>
          </cell>
        </row>
        <row r="408">
          <cell r="H408" t="str">
            <v>10248659</v>
          </cell>
          <cell r="I408" t="str">
            <v>ARENA NO. 4</v>
          </cell>
          <cell r="J408">
            <v>129.16</v>
          </cell>
          <cell r="K408" t="str">
            <v>MXN</v>
          </cell>
          <cell r="L408" t="str">
            <v>TN</v>
          </cell>
          <cell r="M408" t="str">
            <v>01.08.2026</v>
          </cell>
          <cell r="N408" t="str">
            <v>31.12.9999</v>
          </cell>
          <cell r="O408" t="str">
            <v>28.07.2026</v>
          </cell>
          <cell r="P408" t="str">
            <v>ZMIF</v>
          </cell>
          <cell r="Q408">
            <v>30.96</v>
          </cell>
          <cell r="R408" t="str">
            <v>MXN</v>
          </cell>
          <cell r="S408" t="str">
            <v>TN</v>
          </cell>
          <cell r="T408" t="str">
            <v>01.08.2026</v>
          </cell>
          <cell r="U408" t="str">
            <v>31.12.9999</v>
          </cell>
          <cell r="V408" t="str">
            <v>ZICF</v>
          </cell>
          <cell r="W408" t="str">
            <v>01</v>
          </cell>
          <cell r="X408">
            <v>49.5</v>
          </cell>
          <cell r="Y408" t="str">
            <v>MXN</v>
          </cell>
          <cell r="Z408" t="str">
            <v>TN</v>
          </cell>
          <cell r="AA408" t="str">
            <v>09.10.2023</v>
          </cell>
          <cell r="AB408" t="str">
            <v>31.12.9999</v>
          </cell>
          <cell r="AC408">
            <v>160.12</v>
          </cell>
        </row>
        <row r="409">
          <cell r="H409" t="str">
            <v>10248659</v>
          </cell>
          <cell r="I409" t="str">
            <v>ARENA NO. 4</v>
          </cell>
          <cell r="J409">
            <v>129.16</v>
          </cell>
          <cell r="K409" t="str">
            <v>MXN</v>
          </cell>
          <cell r="L409" t="str">
            <v>TN</v>
          </cell>
          <cell r="M409" t="str">
            <v>01.08.2026</v>
          </cell>
          <cell r="N409" t="str">
            <v>31.12.9999</v>
          </cell>
          <cell r="O409" t="str">
            <v>28.07.2026</v>
          </cell>
          <cell r="P409" t="str">
            <v>ZMIF</v>
          </cell>
          <cell r="Q409">
            <v>30.96</v>
          </cell>
          <cell r="R409" t="str">
            <v>MXN</v>
          </cell>
          <cell r="S409" t="str">
            <v>TN</v>
          </cell>
          <cell r="T409" t="str">
            <v>01.08.2026</v>
          </cell>
          <cell r="U409" t="str">
            <v>31.12.9999</v>
          </cell>
          <cell r="V409" t="str">
            <v>ZICF</v>
          </cell>
          <cell r="W409" t="str">
            <v>01</v>
          </cell>
          <cell r="X409">
            <v>546.65</v>
          </cell>
          <cell r="Y409" t="str">
            <v>MXN</v>
          </cell>
          <cell r="Z409" t="str">
            <v>TN</v>
          </cell>
          <cell r="AA409" t="str">
            <v>12.04.2024</v>
          </cell>
          <cell r="AB409" t="str">
            <v>31.12.9999</v>
          </cell>
          <cell r="AC409">
            <v>160.12</v>
          </cell>
        </row>
        <row r="410">
          <cell r="H410" t="str">
            <v>10248659</v>
          </cell>
          <cell r="I410" t="str">
            <v>ARENA NO. 4</v>
          </cell>
          <cell r="J410">
            <v>129.16</v>
          </cell>
          <cell r="K410" t="str">
            <v>MXN</v>
          </cell>
          <cell r="L410" t="str">
            <v>TN</v>
          </cell>
          <cell r="M410" t="str">
            <v>01.08.2026</v>
          </cell>
          <cell r="N410" t="str">
            <v>31.12.9999</v>
          </cell>
          <cell r="O410" t="str">
            <v>28.07.2026</v>
          </cell>
          <cell r="P410" t="str">
            <v>ZMIF</v>
          </cell>
          <cell r="Q410">
            <v>30.96</v>
          </cell>
          <cell r="R410" t="str">
            <v>MXN</v>
          </cell>
          <cell r="S410" t="str">
            <v>TN</v>
          </cell>
          <cell r="T410" t="str">
            <v>01.08.2026</v>
          </cell>
          <cell r="U410" t="str">
            <v>31.12.9999</v>
          </cell>
          <cell r="V410" t="str">
            <v>ZICF</v>
          </cell>
          <cell r="W410" t="str">
            <v>01</v>
          </cell>
          <cell r="X410">
            <v>510.03</v>
          </cell>
          <cell r="Y410" t="str">
            <v>MXN</v>
          </cell>
          <cell r="Z410" t="str">
            <v>TN</v>
          </cell>
          <cell r="AA410" t="str">
            <v>12.04.2024</v>
          </cell>
          <cell r="AB410" t="str">
            <v>31.12.9999</v>
          </cell>
          <cell r="AC410">
            <v>160.12</v>
          </cell>
        </row>
        <row r="411">
          <cell r="H411" t="str">
            <v>10248659</v>
          </cell>
          <cell r="I411" t="str">
            <v>ARENA NO. 4</v>
          </cell>
          <cell r="J411">
            <v>129.16</v>
          </cell>
          <cell r="K411" t="str">
            <v>MXN</v>
          </cell>
          <cell r="L411" t="str">
            <v>TN</v>
          </cell>
          <cell r="M411" t="str">
            <v>01.08.2026</v>
          </cell>
          <cell r="N411" t="str">
            <v>31.12.9999</v>
          </cell>
          <cell r="O411" t="str">
            <v>28.07.2026</v>
          </cell>
          <cell r="P411" t="str">
            <v>ZMIF</v>
          </cell>
          <cell r="Q411">
            <v>30.96</v>
          </cell>
          <cell r="R411" t="str">
            <v>MXN</v>
          </cell>
          <cell r="S411" t="str">
            <v>TN</v>
          </cell>
          <cell r="T411" t="str">
            <v>01.08.2026</v>
          </cell>
          <cell r="U411" t="str">
            <v>31.12.9999</v>
          </cell>
          <cell r="V411" t="str">
            <v>ZICF</v>
          </cell>
          <cell r="W411" t="str">
            <v>01</v>
          </cell>
          <cell r="X411">
            <v>243.96</v>
          </cell>
          <cell r="Y411" t="str">
            <v>MXN</v>
          </cell>
          <cell r="Z411" t="str">
            <v>TN</v>
          </cell>
          <cell r="AA411" t="str">
            <v>15.11.2023</v>
          </cell>
          <cell r="AB411" t="str">
            <v>31.12.9999</v>
          </cell>
          <cell r="AC411">
            <v>160.12</v>
          </cell>
        </row>
        <row r="412">
          <cell r="H412" t="str">
            <v>10248659</v>
          </cell>
          <cell r="I412" t="str">
            <v>ARENA NO. 4</v>
          </cell>
          <cell r="J412">
            <v>129.16</v>
          </cell>
          <cell r="K412" t="str">
            <v>MXN</v>
          </cell>
          <cell r="L412" t="str">
            <v>TN</v>
          </cell>
          <cell r="M412" t="str">
            <v>01.08.2026</v>
          </cell>
          <cell r="N412" t="str">
            <v>31.12.9999</v>
          </cell>
          <cell r="O412" t="str">
            <v>28.07.2026</v>
          </cell>
          <cell r="P412" t="str">
            <v>ZMIF</v>
          </cell>
          <cell r="Q412">
            <v>30.96</v>
          </cell>
          <cell r="R412" t="str">
            <v>MXN</v>
          </cell>
          <cell r="S412" t="str">
            <v>TN</v>
          </cell>
          <cell r="T412" t="str">
            <v>01.08.2026</v>
          </cell>
          <cell r="U412" t="str">
            <v>31.12.9999</v>
          </cell>
          <cell r="V412" t="str">
            <v>ZICF</v>
          </cell>
          <cell r="W412" t="str">
            <v>01</v>
          </cell>
          <cell r="X412">
            <v>462.19</v>
          </cell>
          <cell r="Y412" t="str">
            <v>MXN</v>
          </cell>
          <cell r="Z412" t="str">
            <v>TN</v>
          </cell>
          <cell r="AA412" t="str">
            <v>09.10.2023</v>
          </cell>
          <cell r="AB412" t="str">
            <v>31.12.9999</v>
          </cell>
          <cell r="AC412">
            <v>160.12</v>
          </cell>
        </row>
        <row r="413">
          <cell r="H413" t="str">
            <v>10248659</v>
          </cell>
          <cell r="I413" t="str">
            <v>ARENA NO. 4</v>
          </cell>
          <cell r="J413">
            <v>129.16</v>
          </cell>
          <cell r="K413" t="str">
            <v>MXN</v>
          </cell>
          <cell r="L413" t="str">
            <v>TN</v>
          </cell>
          <cell r="M413" t="str">
            <v>01.08.2026</v>
          </cell>
          <cell r="N413" t="str">
            <v>31.12.9999</v>
          </cell>
          <cell r="O413" t="str">
            <v>28.07.2026</v>
          </cell>
          <cell r="P413" t="str">
            <v>ZMIF</v>
          </cell>
          <cell r="Q413">
            <v>30.96</v>
          </cell>
          <cell r="R413" t="str">
            <v>MXN</v>
          </cell>
          <cell r="S413" t="str">
            <v>TN</v>
          </cell>
          <cell r="T413" t="str">
            <v>01.08.2026</v>
          </cell>
          <cell r="U413" t="str">
            <v>31.12.9999</v>
          </cell>
          <cell r="V413" t="str">
            <v>ZICF</v>
          </cell>
          <cell r="W413" t="str">
            <v>01</v>
          </cell>
          <cell r="X413">
            <v>376.91</v>
          </cell>
          <cell r="Y413" t="str">
            <v>MXN</v>
          </cell>
          <cell r="Z413" t="str">
            <v>TN</v>
          </cell>
          <cell r="AA413" t="str">
            <v>09.10.2023</v>
          </cell>
          <cell r="AB413" t="str">
            <v>31.12.9999</v>
          </cell>
          <cell r="AC413">
            <v>160.12</v>
          </cell>
        </row>
        <row r="414">
          <cell r="H414" t="str">
            <v>10248659</v>
          </cell>
          <cell r="I414" t="str">
            <v>ARENA NO. 4</v>
          </cell>
          <cell r="J414">
            <v>129.16</v>
          </cell>
          <cell r="K414" t="str">
            <v>MXN</v>
          </cell>
          <cell r="L414" t="str">
            <v>TN</v>
          </cell>
          <cell r="M414" t="str">
            <v>01.08.2026</v>
          </cell>
          <cell r="N414" t="str">
            <v>31.12.9999</v>
          </cell>
          <cell r="O414" t="str">
            <v>28.07.2026</v>
          </cell>
          <cell r="P414" t="str">
            <v>ZMIF</v>
          </cell>
          <cell r="Q414">
            <v>30.96</v>
          </cell>
          <cell r="R414" t="str">
            <v>MXN</v>
          </cell>
          <cell r="S414" t="str">
            <v>TN</v>
          </cell>
          <cell r="T414" t="str">
            <v>01.08.2026</v>
          </cell>
          <cell r="U414" t="str">
            <v>31.12.9999</v>
          </cell>
          <cell r="V414" t="str">
            <v>ZICF</v>
          </cell>
          <cell r="W414" t="str">
            <v>01</v>
          </cell>
          <cell r="X414">
            <v>213.43</v>
          </cell>
          <cell r="Y414" t="str">
            <v>MXN</v>
          </cell>
          <cell r="Z414" t="str">
            <v>TN</v>
          </cell>
          <cell r="AA414" t="str">
            <v>09.10.2023</v>
          </cell>
          <cell r="AB414" t="str">
            <v>31.12.9999</v>
          </cell>
          <cell r="AC414">
            <v>160.12</v>
          </cell>
        </row>
        <row r="415">
          <cell r="H415" t="str">
            <v>10000101</v>
          </cell>
          <cell r="I415" t="str">
            <v>Arena Triturada Caliza Malla 4</v>
          </cell>
          <cell r="J415">
            <v>250</v>
          </cell>
          <cell r="K415" t="str">
            <v>MXN</v>
          </cell>
          <cell r="L415" t="str">
            <v>TN</v>
          </cell>
          <cell r="M415" t="str">
            <v>01.08.2026</v>
          </cell>
          <cell r="N415" t="str">
            <v>31.12.9999</v>
          </cell>
          <cell r="O415" t="str">
            <v>28.07.2026</v>
          </cell>
          <cell r="P415" t="str">
            <v>ZMIF</v>
          </cell>
          <cell r="Q415">
            <v>56.9</v>
          </cell>
          <cell r="R415" t="str">
            <v>MXN</v>
          </cell>
          <cell r="S415" t="str">
            <v>TN</v>
          </cell>
          <cell r="T415" t="str">
            <v>01.08.2026</v>
          </cell>
          <cell r="U415" t="str">
            <v>31.12.9999</v>
          </cell>
          <cell r="V415" t="str">
            <v>ZICF</v>
          </cell>
          <cell r="W415" t="str">
            <v>01</v>
          </cell>
          <cell r="X415">
            <v>138.32</v>
          </cell>
          <cell r="Y415" t="str">
            <v>MXN</v>
          </cell>
          <cell r="Z415" t="str">
            <v>TN</v>
          </cell>
          <cell r="AA415" t="str">
            <v>28.04.2023</v>
          </cell>
          <cell r="AB415" t="str">
            <v>31.12.9999</v>
          </cell>
          <cell r="AC415">
            <v>306.89999999999998</v>
          </cell>
        </row>
        <row r="416">
          <cell r="H416" t="str">
            <v>10000110</v>
          </cell>
          <cell r="I416" t="str">
            <v>GRAVA TRITURADA CALIZA 20 MM “</v>
          </cell>
          <cell r="J416">
            <v>260</v>
          </cell>
          <cell r="K416" t="str">
            <v>MXN</v>
          </cell>
          <cell r="L416" t="str">
            <v>TN</v>
          </cell>
          <cell r="M416" t="str">
            <v>01.08.2026</v>
          </cell>
          <cell r="N416" t="str">
            <v>31.12.9999</v>
          </cell>
          <cell r="O416" t="str">
            <v>28.07.2026</v>
          </cell>
          <cell r="P416" t="str">
            <v>ZMIF</v>
          </cell>
          <cell r="Q416">
            <v>34.1</v>
          </cell>
          <cell r="R416" t="str">
            <v>MXN</v>
          </cell>
          <cell r="S416" t="str">
            <v>TN</v>
          </cell>
          <cell r="T416" t="str">
            <v>01.08.2026</v>
          </cell>
          <cell r="U416" t="str">
            <v>31.12.9999</v>
          </cell>
          <cell r="V416" t="str">
            <v>ZICF</v>
          </cell>
          <cell r="W416" t="str">
            <v>01</v>
          </cell>
          <cell r="X416">
            <v>163.19999999999999</v>
          </cell>
          <cell r="Y416" t="str">
            <v>MXN</v>
          </cell>
          <cell r="Z416" t="str">
            <v>TN</v>
          </cell>
          <cell r="AA416" t="str">
            <v>28.04.2023</v>
          </cell>
          <cell r="AB416" t="str">
            <v>31.12.9999</v>
          </cell>
          <cell r="AC416">
            <v>294.10000000000002</v>
          </cell>
        </row>
        <row r="417">
          <cell r="H417" t="str">
            <v>10000112</v>
          </cell>
          <cell r="I417" t="str">
            <v>Grava Triturada Caliza 13 mm -</v>
          </cell>
          <cell r="J417">
            <v>260</v>
          </cell>
          <cell r="K417" t="str">
            <v>MXN</v>
          </cell>
          <cell r="L417" t="str">
            <v>TN</v>
          </cell>
          <cell r="M417" t="str">
            <v>01.08.2026</v>
          </cell>
          <cell r="N417" t="str">
            <v>31.12.9999</v>
          </cell>
          <cell r="O417" t="str">
            <v>28.07.2026</v>
          </cell>
          <cell r="P417" t="str">
            <v>ZMIF</v>
          </cell>
          <cell r="Q417">
            <v>-17.68</v>
          </cell>
          <cell r="R417" t="str">
            <v>MXN</v>
          </cell>
          <cell r="S417" t="str">
            <v>TN</v>
          </cell>
          <cell r="T417" t="str">
            <v>01.08.2026</v>
          </cell>
          <cell r="U417" t="str">
            <v>31.12.9999</v>
          </cell>
          <cell r="V417" t="str">
            <v>ZICF</v>
          </cell>
          <cell r="W417" t="str">
            <v>01</v>
          </cell>
          <cell r="X417">
            <v>147.15</v>
          </cell>
          <cell r="Y417" t="str">
            <v>MXN</v>
          </cell>
          <cell r="Z417" t="str">
            <v>TN</v>
          </cell>
          <cell r="AA417" t="str">
            <v>28.04.2023</v>
          </cell>
          <cell r="AB417" t="str">
            <v>31.12.9999</v>
          </cell>
          <cell r="AC417">
            <v>242.32</v>
          </cell>
        </row>
        <row r="418">
          <cell r="H418" t="str">
            <v>10264038</v>
          </cell>
          <cell r="I418" t="str">
            <v>MOV ARENA TRITURADA CALIZA MAL</v>
          </cell>
          <cell r="J418">
            <v>250</v>
          </cell>
          <cell r="K418" t="str">
            <v>MXN</v>
          </cell>
          <cell r="L418" t="str">
            <v>TN</v>
          </cell>
          <cell r="M418" t="str">
            <v>01.08.2026</v>
          </cell>
          <cell r="N418" t="str">
            <v>31.12.9999</v>
          </cell>
          <cell r="O418" t="str">
            <v>28.07.2026</v>
          </cell>
          <cell r="P418" t="str">
            <v>ZMIF</v>
          </cell>
          <cell r="Q418">
            <v>56.9</v>
          </cell>
          <cell r="R418" t="str">
            <v>MXN</v>
          </cell>
          <cell r="S418" t="str">
            <v>TN</v>
          </cell>
          <cell r="T418" t="str">
            <v>01.08.2026</v>
          </cell>
          <cell r="U418" t="str">
            <v>31.12.9999</v>
          </cell>
          <cell r="V418" t="str">
            <v>ZICF</v>
          </cell>
          <cell r="W418" t="str">
            <v>01</v>
          </cell>
          <cell r="X418">
            <v>138.32</v>
          </cell>
          <cell r="Y418" t="str">
            <v>MXN</v>
          </cell>
          <cell r="Z418" t="str">
            <v>TN</v>
          </cell>
          <cell r="AA418" t="str">
            <v>01.07.2025</v>
          </cell>
          <cell r="AB418" t="str">
            <v>31.12.9999</v>
          </cell>
          <cell r="AC418">
            <v>306.89999999999998</v>
          </cell>
        </row>
        <row r="419">
          <cell r="H419" t="str">
            <v>10264039</v>
          </cell>
          <cell r="I419" t="str">
            <v>MOV GRAVA TRITURADA CALIZA 20M</v>
          </cell>
          <cell r="J419">
            <v>260</v>
          </cell>
          <cell r="K419" t="str">
            <v>MXN</v>
          </cell>
          <cell r="L419" t="str">
            <v>TN</v>
          </cell>
          <cell r="M419" t="str">
            <v>01.08.2026</v>
          </cell>
          <cell r="N419" t="str">
            <v>31.12.9999</v>
          </cell>
          <cell r="O419" t="str">
            <v>28.07.2026</v>
          </cell>
          <cell r="P419" t="str">
            <v>ZMIF</v>
          </cell>
          <cell r="Q419">
            <v>34.1</v>
          </cell>
          <cell r="R419" t="str">
            <v>MXN</v>
          </cell>
          <cell r="S419" t="str">
            <v>TN</v>
          </cell>
          <cell r="T419" t="str">
            <v>01.08.2026</v>
          </cell>
          <cell r="U419" t="str">
            <v>31.12.9999</v>
          </cell>
          <cell r="V419" t="str">
            <v>ZICF</v>
          </cell>
          <cell r="W419" t="str">
            <v>01</v>
          </cell>
          <cell r="X419">
            <v>163.19999999999999</v>
          </cell>
          <cell r="Y419" t="str">
            <v>MXN</v>
          </cell>
          <cell r="Z419" t="str">
            <v>TN</v>
          </cell>
          <cell r="AA419" t="str">
            <v>01.07.2025</v>
          </cell>
          <cell r="AB419" t="str">
            <v>31.12.9999</v>
          </cell>
          <cell r="AC419">
            <v>294.10000000000002</v>
          </cell>
        </row>
        <row r="420">
          <cell r="H420" t="str">
            <v>10000101</v>
          </cell>
          <cell r="I420" t="str">
            <v>Arena Triturada Caliza Malla 4</v>
          </cell>
          <cell r="J420">
            <v>250</v>
          </cell>
          <cell r="K420" t="str">
            <v>MXN</v>
          </cell>
          <cell r="L420" t="str">
            <v>TN</v>
          </cell>
          <cell r="M420" t="str">
            <v>01.08.2026</v>
          </cell>
          <cell r="N420" t="str">
            <v>31.12.9999</v>
          </cell>
          <cell r="O420" t="str">
            <v>28.07.2026</v>
          </cell>
          <cell r="P420" t="str">
            <v>ZMIF</v>
          </cell>
          <cell r="Q420">
            <v>56.9</v>
          </cell>
          <cell r="R420" t="str">
            <v>MXN</v>
          </cell>
          <cell r="S420" t="str">
            <v>TN</v>
          </cell>
          <cell r="T420" t="str">
            <v>01.08.2026</v>
          </cell>
          <cell r="U420" t="str">
            <v>31.12.9999</v>
          </cell>
          <cell r="V420" t="str">
            <v>ZICF</v>
          </cell>
          <cell r="W420" t="str">
            <v>01</v>
          </cell>
          <cell r="X420">
            <v>138.32</v>
          </cell>
          <cell r="Y420" t="str">
            <v>MXN</v>
          </cell>
          <cell r="Z420" t="str">
            <v>TN</v>
          </cell>
          <cell r="AA420" t="str">
            <v>28.04.2023</v>
          </cell>
          <cell r="AB420" t="str">
            <v>31.12.9999</v>
          </cell>
          <cell r="AC420">
            <v>306.89999999999998</v>
          </cell>
        </row>
        <row r="421">
          <cell r="H421" t="str">
            <v>10000110</v>
          </cell>
          <cell r="I421" t="str">
            <v>GRAVA TRITURADA CALIZA 20 MM “</v>
          </cell>
          <cell r="J421">
            <v>260</v>
          </cell>
          <cell r="K421" t="str">
            <v>MXN</v>
          </cell>
          <cell r="L421" t="str">
            <v>TN</v>
          </cell>
          <cell r="M421" t="str">
            <v>01.08.2026</v>
          </cell>
          <cell r="N421" t="str">
            <v>31.12.9999</v>
          </cell>
          <cell r="O421" t="str">
            <v>28.07.2026</v>
          </cell>
          <cell r="P421" t="str">
            <v>ZMIF</v>
          </cell>
          <cell r="Q421">
            <v>34.1</v>
          </cell>
          <cell r="R421" t="str">
            <v>MXN</v>
          </cell>
          <cell r="S421" t="str">
            <v>TN</v>
          </cell>
          <cell r="T421" t="str">
            <v>01.08.2026</v>
          </cell>
          <cell r="U421" t="str">
            <v>31.12.9999</v>
          </cell>
          <cell r="V421" t="str">
            <v>ZICF</v>
          </cell>
          <cell r="W421" t="str">
            <v>01</v>
          </cell>
          <cell r="X421">
            <v>163.19999999999999</v>
          </cell>
          <cell r="Y421" t="str">
            <v>MXN</v>
          </cell>
          <cell r="Z421" t="str">
            <v>TN</v>
          </cell>
          <cell r="AA421" t="str">
            <v>28.04.2023</v>
          </cell>
          <cell r="AB421" t="str">
            <v>31.12.9999</v>
          </cell>
          <cell r="AC421">
            <v>294.10000000000002</v>
          </cell>
        </row>
        <row r="422">
          <cell r="H422" t="str">
            <v>10000112</v>
          </cell>
          <cell r="I422" t="str">
            <v>Grava Triturada Caliza 13 mm -</v>
          </cell>
          <cell r="J422">
            <v>260</v>
          </cell>
          <cell r="K422" t="str">
            <v>MXN</v>
          </cell>
          <cell r="L422" t="str">
            <v>TN</v>
          </cell>
          <cell r="M422" t="str">
            <v>01.08.2026</v>
          </cell>
          <cell r="N422" t="str">
            <v>31.12.9999</v>
          </cell>
          <cell r="O422" t="str">
            <v>28.07.2026</v>
          </cell>
          <cell r="P422" t="str">
            <v>ZMIF</v>
          </cell>
          <cell r="Q422">
            <v>-17.68</v>
          </cell>
          <cell r="R422" t="str">
            <v>MXN</v>
          </cell>
          <cell r="S422" t="str">
            <v>TN</v>
          </cell>
          <cell r="T422" t="str">
            <v>01.08.2026</v>
          </cell>
          <cell r="U422" t="str">
            <v>31.12.9999</v>
          </cell>
          <cell r="V422" t="str">
            <v>ZICF</v>
          </cell>
          <cell r="W422" t="str">
            <v>01</v>
          </cell>
          <cell r="X422">
            <v>147.15</v>
          </cell>
          <cell r="Y422" t="str">
            <v>MXN</v>
          </cell>
          <cell r="Z422" t="str">
            <v>TN</v>
          </cell>
          <cell r="AA422" t="str">
            <v>28.04.2023</v>
          </cell>
          <cell r="AB422" t="str">
            <v>31.12.9999</v>
          </cell>
          <cell r="AC422">
            <v>242.32</v>
          </cell>
        </row>
        <row r="423">
          <cell r="H423" t="str">
            <v>10264038</v>
          </cell>
          <cell r="I423" t="str">
            <v>MOV ARENA TRITURADA CALIZA MAL</v>
          </cell>
          <cell r="J423">
            <v>250</v>
          </cell>
          <cell r="K423" t="str">
            <v>MXN</v>
          </cell>
          <cell r="L423" t="str">
            <v>TN</v>
          </cell>
          <cell r="M423" t="str">
            <v>01.08.2026</v>
          </cell>
          <cell r="N423" t="str">
            <v>31.12.9999</v>
          </cell>
          <cell r="O423" t="str">
            <v>28.07.2026</v>
          </cell>
          <cell r="P423" t="str">
            <v>ZMIF</v>
          </cell>
          <cell r="Q423">
            <v>56.9</v>
          </cell>
          <cell r="R423" t="str">
            <v>MXN</v>
          </cell>
          <cell r="S423" t="str">
            <v>TN</v>
          </cell>
          <cell r="T423" t="str">
            <v>01.08.2026</v>
          </cell>
          <cell r="U423" t="str">
            <v>31.12.9999</v>
          </cell>
          <cell r="V423" t="str">
            <v>ZICF</v>
          </cell>
          <cell r="W423" t="str">
            <v>01</v>
          </cell>
          <cell r="X423">
            <v>138.32</v>
          </cell>
          <cell r="Y423" t="str">
            <v>MXN</v>
          </cell>
          <cell r="Z423" t="str">
            <v>TN</v>
          </cell>
          <cell r="AA423" t="str">
            <v>01.07.2025</v>
          </cell>
          <cell r="AB423" t="str">
            <v>31.12.9999</v>
          </cell>
          <cell r="AC423">
            <v>306.89999999999998</v>
          </cell>
        </row>
        <row r="424">
          <cell r="H424" t="str">
            <v>10264039</v>
          </cell>
          <cell r="I424" t="str">
            <v>MOV GRAVA TRITURADA CALIZA 20M</v>
          </cell>
          <cell r="J424">
            <v>260</v>
          </cell>
          <cell r="K424" t="str">
            <v>MXN</v>
          </cell>
          <cell r="L424" t="str">
            <v>TN</v>
          </cell>
          <cell r="M424" t="str">
            <v>01.08.2026</v>
          </cell>
          <cell r="N424" t="str">
            <v>31.12.9999</v>
          </cell>
          <cell r="O424" t="str">
            <v>28.07.2026</v>
          </cell>
          <cell r="P424" t="str">
            <v>ZMIF</v>
          </cell>
          <cell r="Q424">
            <v>34.1</v>
          </cell>
          <cell r="R424" t="str">
            <v>MXN</v>
          </cell>
          <cell r="S424" t="str">
            <v>TN</v>
          </cell>
          <cell r="T424" t="str">
            <v>01.08.2026</v>
          </cell>
          <cell r="U424" t="str">
            <v>31.12.9999</v>
          </cell>
          <cell r="V424" t="str">
            <v>ZICF</v>
          </cell>
          <cell r="W424" t="str">
            <v>01</v>
          </cell>
          <cell r="X424">
            <v>163.19999999999999</v>
          </cell>
          <cell r="Y424" t="str">
            <v>MXN</v>
          </cell>
          <cell r="Z424" t="str">
            <v>TN</v>
          </cell>
          <cell r="AA424" t="str">
            <v>01.07.2025</v>
          </cell>
          <cell r="AB424" t="str">
            <v>31.12.9999</v>
          </cell>
          <cell r="AC424">
            <v>294.10000000000002</v>
          </cell>
        </row>
        <row r="425">
          <cell r="H425" t="str">
            <v>10000101</v>
          </cell>
          <cell r="I425" t="str">
            <v>Arena Triturada Caliza Malla 4</v>
          </cell>
          <cell r="J425">
            <v>250</v>
          </cell>
          <cell r="K425" t="str">
            <v>MXN</v>
          </cell>
          <cell r="L425" t="str">
            <v>TN</v>
          </cell>
          <cell r="M425" t="str">
            <v>01.08.2026</v>
          </cell>
          <cell r="N425" t="str">
            <v>31.12.9999</v>
          </cell>
          <cell r="O425" t="str">
            <v>28.07.2026</v>
          </cell>
          <cell r="P425" t="str">
            <v>ZMIF</v>
          </cell>
          <cell r="Q425">
            <v>56.9</v>
          </cell>
          <cell r="R425" t="str">
            <v>MXN</v>
          </cell>
          <cell r="S425" t="str">
            <v>TN</v>
          </cell>
          <cell r="T425" t="str">
            <v>01.08.2026</v>
          </cell>
          <cell r="U425" t="str">
            <v>31.12.9999</v>
          </cell>
          <cell r="V425" t="str">
            <v>ZICF</v>
          </cell>
          <cell r="W425" t="str">
            <v>01</v>
          </cell>
          <cell r="X425">
            <v>85.19</v>
          </cell>
          <cell r="Y425" t="str">
            <v>MXN</v>
          </cell>
          <cell r="Z425" t="str">
            <v>TN</v>
          </cell>
          <cell r="AA425" t="str">
            <v>21.05.2026</v>
          </cell>
          <cell r="AB425" t="str">
            <v>31.12.2030</v>
          </cell>
          <cell r="AC425">
            <v>306.89999999999998</v>
          </cell>
        </row>
        <row r="426">
          <cell r="H426" t="str">
            <v>10000110</v>
          </cell>
          <cell r="I426" t="str">
            <v>GRAVA TRITURADA CALIZA 20 MM “</v>
          </cell>
          <cell r="J426">
            <v>260</v>
          </cell>
          <cell r="K426" t="str">
            <v>MXN</v>
          </cell>
          <cell r="L426" t="str">
            <v>TN</v>
          </cell>
          <cell r="M426" t="str">
            <v>01.08.2026</v>
          </cell>
          <cell r="N426" t="str">
            <v>31.12.9999</v>
          </cell>
          <cell r="O426" t="str">
            <v>28.07.2026</v>
          </cell>
          <cell r="P426" t="str">
            <v>ZMIF</v>
          </cell>
          <cell r="Q426">
            <v>34.1</v>
          </cell>
          <cell r="R426" t="str">
            <v>MXN</v>
          </cell>
          <cell r="S426" t="str">
            <v>TN</v>
          </cell>
          <cell r="T426" t="str">
            <v>01.08.2026</v>
          </cell>
          <cell r="U426" t="str">
            <v>31.12.9999</v>
          </cell>
          <cell r="V426" t="str">
            <v>ZICF</v>
          </cell>
          <cell r="W426" t="str">
            <v>01</v>
          </cell>
          <cell r="X426">
            <v>100.51</v>
          </cell>
          <cell r="Y426" t="str">
            <v>MXN</v>
          </cell>
          <cell r="Z426" t="str">
            <v>TN</v>
          </cell>
          <cell r="AA426" t="str">
            <v>21.05.2026</v>
          </cell>
          <cell r="AB426" t="str">
            <v>31.12.2030</v>
          </cell>
          <cell r="AC426">
            <v>294.10000000000002</v>
          </cell>
        </row>
        <row r="427">
          <cell r="H427" t="str">
            <v>10000112</v>
          </cell>
          <cell r="I427" t="str">
            <v>Grava Triturada Caliza 13 mm -</v>
          </cell>
          <cell r="J427">
            <v>260</v>
          </cell>
          <cell r="K427" t="str">
            <v>MXN</v>
          </cell>
          <cell r="L427" t="str">
            <v>TN</v>
          </cell>
          <cell r="M427" t="str">
            <v>01.08.2026</v>
          </cell>
          <cell r="N427" t="str">
            <v>31.12.9999</v>
          </cell>
          <cell r="O427" t="str">
            <v>28.07.2026</v>
          </cell>
          <cell r="P427" t="str">
            <v>ZMIF</v>
          </cell>
          <cell r="Q427">
            <v>-17.68</v>
          </cell>
          <cell r="R427" t="str">
            <v>MXN</v>
          </cell>
          <cell r="S427" t="str">
            <v>TN</v>
          </cell>
          <cell r="T427" t="str">
            <v>01.08.2026</v>
          </cell>
          <cell r="U427" t="str">
            <v>31.12.9999</v>
          </cell>
          <cell r="V427" t="str">
            <v>ZICF</v>
          </cell>
          <cell r="W427" t="str">
            <v>01</v>
          </cell>
          <cell r="X427">
            <v>101.1</v>
          </cell>
          <cell r="Y427" t="str">
            <v>MXN</v>
          </cell>
          <cell r="Z427" t="str">
            <v>TN</v>
          </cell>
          <cell r="AA427" t="str">
            <v>21.05.2026</v>
          </cell>
          <cell r="AB427" t="str">
            <v>31.12.2030</v>
          </cell>
          <cell r="AC427">
            <v>242.32</v>
          </cell>
        </row>
        <row r="428">
          <cell r="H428" t="str">
            <v>10264038</v>
          </cell>
          <cell r="I428" t="str">
            <v>MOV ARENA TRITURADA CALIZA MAL</v>
          </cell>
          <cell r="J428">
            <v>250</v>
          </cell>
          <cell r="K428" t="str">
            <v>MXN</v>
          </cell>
          <cell r="L428" t="str">
            <v>TN</v>
          </cell>
          <cell r="M428" t="str">
            <v>01.08.2026</v>
          </cell>
          <cell r="N428" t="str">
            <v>31.12.9999</v>
          </cell>
          <cell r="O428" t="str">
            <v>28.07.2026</v>
          </cell>
          <cell r="P428" t="str">
            <v>ZMIF</v>
          </cell>
          <cell r="Q428">
            <v>56.9</v>
          </cell>
          <cell r="R428" t="str">
            <v>MXN</v>
          </cell>
          <cell r="S428" t="str">
            <v>TN</v>
          </cell>
          <cell r="T428" t="str">
            <v>01.08.2026</v>
          </cell>
          <cell r="U428" t="str">
            <v>31.12.9999</v>
          </cell>
          <cell r="V428" t="str">
            <v>ZICF</v>
          </cell>
          <cell r="W428" t="str">
            <v>01</v>
          </cell>
          <cell r="X428">
            <v>85.19</v>
          </cell>
          <cell r="Y428" t="str">
            <v>MXN</v>
          </cell>
          <cell r="Z428" t="str">
            <v>TN</v>
          </cell>
          <cell r="AA428" t="str">
            <v>21.05.2026</v>
          </cell>
          <cell r="AB428" t="str">
            <v>31.12.2030</v>
          </cell>
          <cell r="AC428">
            <v>306.89999999999998</v>
          </cell>
        </row>
        <row r="429">
          <cell r="H429" t="str">
            <v>10264039</v>
          </cell>
          <cell r="I429" t="str">
            <v>MOV GRAVA TRITURADA CALIZA 20M</v>
          </cell>
          <cell r="J429">
            <v>260</v>
          </cell>
          <cell r="K429" t="str">
            <v>MXN</v>
          </cell>
          <cell r="L429" t="str">
            <v>TN</v>
          </cell>
          <cell r="M429" t="str">
            <v>01.08.2026</v>
          </cell>
          <cell r="N429" t="str">
            <v>31.12.9999</v>
          </cell>
          <cell r="O429" t="str">
            <v>28.07.2026</v>
          </cell>
          <cell r="P429" t="str">
            <v>ZMIF</v>
          </cell>
          <cell r="Q429">
            <v>34.1</v>
          </cell>
          <cell r="R429" t="str">
            <v>MXN</v>
          </cell>
          <cell r="S429" t="str">
            <v>TN</v>
          </cell>
          <cell r="T429" t="str">
            <v>01.08.2026</v>
          </cell>
          <cell r="U429" t="str">
            <v>31.12.9999</v>
          </cell>
          <cell r="V429" t="str">
            <v>ZICF</v>
          </cell>
          <cell r="W429" t="str">
            <v>01</v>
          </cell>
          <cell r="X429">
            <v>100.51</v>
          </cell>
          <cell r="Y429" t="str">
            <v>MXN</v>
          </cell>
          <cell r="Z429" t="str">
            <v>TN</v>
          </cell>
          <cell r="AA429" t="str">
            <v>21.05.2026</v>
          </cell>
          <cell r="AB429" t="str">
            <v>31.12.2030</v>
          </cell>
          <cell r="AC429">
            <v>294.10000000000002</v>
          </cell>
        </row>
        <row r="430">
          <cell r="H430" t="str">
            <v>10000101</v>
          </cell>
          <cell r="I430" t="str">
            <v>Arena Triturada Caliza Malla 4</v>
          </cell>
          <cell r="J430">
            <v>250</v>
          </cell>
          <cell r="K430" t="str">
            <v>MXN</v>
          </cell>
          <cell r="L430" t="str">
            <v>TN</v>
          </cell>
          <cell r="M430" t="str">
            <v>01.08.2026</v>
          </cell>
          <cell r="N430" t="str">
            <v>31.12.9999</v>
          </cell>
          <cell r="O430" t="str">
            <v>28.07.2026</v>
          </cell>
          <cell r="P430" t="str">
            <v>ZMIF</v>
          </cell>
          <cell r="Q430">
            <v>56.9</v>
          </cell>
          <cell r="R430" t="str">
            <v>MXN</v>
          </cell>
          <cell r="S430" t="str">
            <v>TN</v>
          </cell>
          <cell r="T430" t="str">
            <v>01.08.2026</v>
          </cell>
          <cell r="U430" t="str">
            <v>31.12.9999</v>
          </cell>
          <cell r="V430" t="str">
            <v>ZICF</v>
          </cell>
          <cell r="W430" t="str">
            <v>01</v>
          </cell>
          <cell r="X430">
            <v>241.35</v>
          </cell>
          <cell r="Y430" t="str">
            <v>MXN</v>
          </cell>
          <cell r="Z430" t="str">
            <v>TN</v>
          </cell>
          <cell r="AA430" t="str">
            <v>17.07.2023</v>
          </cell>
          <cell r="AB430" t="str">
            <v>31.12.9999</v>
          </cell>
          <cell r="AC430">
            <v>306.89999999999998</v>
          </cell>
        </row>
        <row r="431">
          <cell r="H431" t="str">
            <v>10000110</v>
          </cell>
          <cell r="I431" t="str">
            <v>GRAVA TRITURADA CALIZA 20 MM “</v>
          </cell>
          <cell r="J431">
            <v>260</v>
          </cell>
          <cell r="K431" t="str">
            <v>MXN</v>
          </cell>
          <cell r="L431" t="str">
            <v>TN</v>
          </cell>
          <cell r="M431" t="str">
            <v>01.08.2026</v>
          </cell>
          <cell r="N431" t="str">
            <v>31.12.9999</v>
          </cell>
          <cell r="O431" t="str">
            <v>28.07.2026</v>
          </cell>
          <cell r="P431" t="str">
            <v>ZMIF</v>
          </cell>
          <cell r="Q431">
            <v>34.1</v>
          </cell>
          <cell r="R431" t="str">
            <v>MXN</v>
          </cell>
          <cell r="S431" t="str">
            <v>TN</v>
          </cell>
          <cell r="T431" t="str">
            <v>01.08.2026</v>
          </cell>
          <cell r="U431" t="str">
            <v>31.12.9999</v>
          </cell>
          <cell r="V431" t="str">
            <v>ZICF</v>
          </cell>
          <cell r="W431" t="str">
            <v>01</v>
          </cell>
          <cell r="X431">
            <v>284.76</v>
          </cell>
          <cell r="Y431" t="str">
            <v>MXN</v>
          </cell>
          <cell r="Z431" t="str">
            <v>TN</v>
          </cell>
          <cell r="AA431" t="str">
            <v>17.07.2023</v>
          </cell>
          <cell r="AB431" t="str">
            <v>31.12.9999</v>
          </cell>
          <cell r="AC431">
            <v>294.10000000000002</v>
          </cell>
        </row>
        <row r="432">
          <cell r="H432" t="str">
            <v>10000112</v>
          </cell>
          <cell r="I432" t="str">
            <v>Grava Triturada Caliza 13 mm -</v>
          </cell>
          <cell r="J432">
            <v>260</v>
          </cell>
          <cell r="K432" t="str">
            <v>MXN</v>
          </cell>
          <cell r="L432" t="str">
            <v>TN</v>
          </cell>
          <cell r="M432" t="str">
            <v>01.08.2026</v>
          </cell>
          <cell r="N432" t="str">
            <v>31.12.9999</v>
          </cell>
          <cell r="O432" t="str">
            <v>28.07.2026</v>
          </cell>
          <cell r="P432" t="str">
            <v>ZMIF</v>
          </cell>
          <cell r="Q432">
            <v>-17.68</v>
          </cell>
          <cell r="R432" t="str">
            <v>MXN</v>
          </cell>
          <cell r="S432" t="str">
            <v>TN</v>
          </cell>
          <cell r="T432" t="str">
            <v>01.08.2026</v>
          </cell>
          <cell r="U432" t="str">
            <v>31.12.9999</v>
          </cell>
          <cell r="V432" t="str">
            <v>ZICF</v>
          </cell>
          <cell r="W432" t="str">
            <v>01</v>
          </cell>
          <cell r="X432">
            <v>286.43</v>
          </cell>
          <cell r="Y432" t="str">
            <v>MXN</v>
          </cell>
          <cell r="Z432" t="str">
            <v>TN</v>
          </cell>
          <cell r="AA432" t="str">
            <v>17.07.2023</v>
          </cell>
          <cell r="AB432" t="str">
            <v>31.12.9999</v>
          </cell>
          <cell r="AC432">
            <v>242.32</v>
          </cell>
        </row>
        <row r="433">
          <cell r="H433" t="str">
            <v>10264038</v>
          </cell>
          <cell r="I433" t="str">
            <v>MOV ARENA TRITURADA CALIZA MAL</v>
          </cell>
          <cell r="J433">
            <v>250</v>
          </cell>
          <cell r="K433" t="str">
            <v>MXN</v>
          </cell>
          <cell r="L433" t="str">
            <v>TN</v>
          </cell>
          <cell r="M433" t="str">
            <v>01.08.2026</v>
          </cell>
          <cell r="N433" t="str">
            <v>31.12.9999</v>
          </cell>
          <cell r="O433" t="str">
            <v>28.07.2026</v>
          </cell>
          <cell r="P433" t="str">
            <v>ZMIF</v>
          </cell>
          <cell r="Q433">
            <v>56.9</v>
          </cell>
          <cell r="R433" t="str">
            <v>MXN</v>
          </cell>
          <cell r="S433" t="str">
            <v>TN</v>
          </cell>
          <cell r="T433" t="str">
            <v>01.08.2026</v>
          </cell>
          <cell r="U433" t="str">
            <v>31.12.9999</v>
          </cell>
          <cell r="V433" t="str">
            <v>ZICF</v>
          </cell>
          <cell r="W433" t="str">
            <v>01</v>
          </cell>
          <cell r="X433">
            <v>241.35</v>
          </cell>
          <cell r="Y433" t="str">
            <v>MXN</v>
          </cell>
          <cell r="Z433" t="str">
            <v>TN</v>
          </cell>
          <cell r="AA433" t="str">
            <v>01.07.2025</v>
          </cell>
          <cell r="AB433" t="str">
            <v>31.12.9999</v>
          </cell>
          <cell r="AC433">
            <v>306.89999999999998</v>
          </cell>
        </row>
        <row r="434">
          <cell r="H434" t="str">
            <v>10264039</v>
          </cell>
          <cell r="I434" t="str">
            <v>MOV GRAVA TRITURADA CALIZA 20M</v>
          </cell>
          <cell r="J434">
            <v>260</v>
          </cell>
          <cell r="K434" t="str">
            <v>MXN</v>
          </cell>
          <cell r="L434" t="str">
            <v>TN</v>
          </cell>
          <cell r="M434" t="str">
            <v>01.08.2026</v>
          </cell>
          <cell r="N434" t="str">
            <v>31.12.9999</v>
          </cell>
          <cell r="O434" t="str">
            <v>28.07.2026</v>
          </cell>
          <cell r="P434" t="str">
            <v>ZMIF</v>
          </cell>
          <cell r="Q434">
            <v>34.1</v>
          </cell>
          <cell r="R434" t="str">
            <v>MXN</v>
          </cell>
          <cell r="S434" t="str">
            <v>TN</v>
          </cell>
          <cell r="T434" t="str">
            <v>01.08.2026</v>
          </cell>
          <cell r="U434" t="str">
            <v>31.12.9999</v>
          </cell>
          <cell r="V434" t="str">
            <v>ZICF</v>
          </cell>
          <cell r="W434" t="str">
            <v>01</v>
          </cell>
          <cell r="X434">
            <v>284.76</v>
          </cell>
          <cell r="Y434" t="str">
            <v>MXN</v>
          </cell>
          <cell r="Z434" t="str">
            <v>TN</v>
          </cell>
          <cell r="AA434" t="str">
            <v>01.07.2025</v>
          </cell>
          <cell r="AB434" t="str">
            <v>31.12.9999</v>
          </cell>
          <cell r="AC434">
            <v>294.10000000000002</v>
          </cell>
        </row>
        <row r="435">
          <cell r="H435" t="str">
            <v>10000101</v>
          </cell>
          <cell r="I435" t="str">
            <v>Arena Triturada Caliza Malla 4</v>
          </cell>
          <cell r="J435">
            <v>250</v>
          </cell>
          <cell r="K435" t="str">
            <v>MXN</v>
          </cell>
          <cell r="L435" t="str">
            <v>TN</v>
          </cell>
          <cell r="M435" t="str">
            <v>01.08.2026</v>
          </cell>
          <cell r="N435" t="str">
            <v>31.12.9999</v>
          </cell>
          <cell r="O435" t="str">
            <v>28.07.2026</v>
          </cell>
          <cell r="P435" t="str">
            <v>ZMIF</v>
          </cell>
          <cell r="Q435">
            <v>56.9</v>
          </cell>
          <cell r="R435" t="str">
            <v>MXN</v>
          </cell>
          <cell r="S435" t="str">
            <v>TN</v>
          </cell>
          <cell r="T435" t="str">
            <v>01.08.2026</v>
          </cell>
          <cell r="U435" t="str">
            <v>31.12.9999</v>
          </cell>
          <cell r="V435" t="str">
            <v>ZICF</v>
          </cell>
          <cell r="W435" t="str">
            <v>01</v>
          </cell>
          <cell r="X435">
            <v>308.05</v>
          </cell>
          <cell r="Y435" t="str">
            <v>MXN</v>
          </cell>
          <cell r="Z435" t="str">
            <v>TN</v>
          </cell>
          <cell r="AA435" t="str">
            <v>17.07.2023</v>
          </cell>
          <cell r="AB435" t="str">
            <v>31.12.9999</v>
          </cell>
          <cell r="AC435">
            <v>306.89999999999998</v>
          </cell>
        </row>
        <row r="436">
          <cell r="H436" t="str">
            <v>10000110</v>
          </cell>
          <cell r="I436" t="str">
            <v>GRAVA TRITURADA CALIZA 20 MM “</v>
          </cell>
          <cell r="J436">
            <v>260</v>
          </cell>
          <cell r="K436" t="str">
            <v>MXN</v>
          </cell>
          <cell r="L436" t="str">
            <v>TN</v>
          </cell>
          <cell r="M436" t="str">
            <v>01.08.2026</v>
          </cell>
          <cell r="N436" t="str">
            <v>31.12.9999</v>
          </cell>
          <cell r="O436" t="str">
            <v>28.07.2026</v>
          </cell>
          <cell r="P436" t="str">
            <v>ZMIF</v>
          </cell>
          <cell r="Q436">
            <v>34.1</v>
          </cell>
          <cell r="R436" t="str">
            <v>MXN</v>
          </cell>
          <cell r="S436" t="str">
            <v>TN</v>
          </cell>
          <cell r="T436" t="str">
            <v>01.08.2026</v>
          </cell>
          <cell r="U436" t="str">
            <v>31.12.9999</v>
          </cell>
          <cell r="V436" t="str">
            <v>ZICF</v>
          </cell>
          <cell r="W436" t="str">
            <v>01</v>
          </cell>
          <cell r="X436">
            <v>363.45</v>
          </cell>
          <cell r="Y436" t="str">
            <v>MXN</v>
          </cell>
          <cell r="Z436" t="str">
            <v>TN</v>
          </cell>
          <cell r="AA436" t="str">
            <v>17.07.2023</v>
          </cell>
          <cell r="AB436" t="str">
            <v>31.12.9999</v>
          </cell>
          <cell r="AC436">
            <v>294.10000000000002</v>
          </cell>
        </row>
        <row r="437">
          <cell r="H437" t="str">
            <v>10000112</v>
          </cell>
          <cell r="I437" t="str">
            <v>Grava Triturada Caliza 13 mm -</v>
          </cell>
          <cell r="J437">
            <v>260</v>
          </cell>
          <cell r="K437" t="str">
            <v>MXN</v>
          </cell>
          <cell r="L437" t="str">
            <v>TN</v>
          </cell>
          <cell r="M437" t="str">
            <v>01.08.2026</v>
          </cell>
          <cell r="N437" t="str">
            <v>31.12.9999</v>
          </cell>
          <cell r="O437" t="str">
            <v>28.07.2026</v>
          </cell>
          <cell r="P437" t="str">
            <v>ZMIF</v>
          </cell>
          <cell r="Q437">
            <v>-17.68</v>
          </cell>
          <cell r="R437" t="str">
            <v>MXN</v>
          </cell>
          <cell r="S437" t="str">
            <v>TN</v>
          </cell>
          <cell r="T437" t="str">
            <v>01.08.2026</v>
          </cell>
          <cell r="U437" t="str">
            <v>31.12.9999</v>
          </cell>
          <cell r="V437" t="str">
            <v>ZICF</v>
          </cell>
          <cell r="W437" t="str">
            <v>01</v>
          </cell>
          <cell r="X437">
            <v>365.58</v>
          </cell>
          <cell r="Y437" t="str">
            <v>MXN</v>
          </cell>
          <cell r="Z437" t="str">
            <v>TN</v>
          </cell>
          <cell r="AA437" t="str">
            <v>06.11.2024</v>
          </cell>
          <cell r="AB437" t="str">
            <v>31.12.9999</v>
          </cell>
          <cell r="AC437">
            <v>242.32</v>
          </cell>
        </row>
        <row r="438">
          <cell r="H438" t="str">
            <v>10264038</v>
          </cell>
          <cell r="I438" t="str">
            <v>MOV ARENA TRITURADA CALIZA MAL</v>
          </cell>
          <cell r="J438">
            <v>250</v>
          </cell>
          <cell r="K438" t="str">
            <v>MXN</v>
          </cell>
          <cell r="L438" t="str">
            <v>TN</v>
          </cell>
          <cell r="M438" t="str">
            <v>01.08.2026</v>
          </cell>
          <cell r="N438" t="str">
            <v>31.12.9999</v>
          </cell>
          <cell r="O438" t="str">
            <v>28.07.2026</v>
          </cell>
          <cell r="P438" t="str">
            <v>ZMIF</v>
          </cell>
          <cell r="Q438">
            <v>56.9</v>
          </cell>
          <cell r="R438" t="str">
            <v>MXN</v>
          </cell>
          <cell r="S438" t="str">
            <v>TN</v>
          </cell>
          <cell r="T438" t="str">
            <v>01.08.2026</v>
          </cell>
          <cell r="U438" t="str">
            <v>31.12.9999</v>
          </cell>
          <cell r="V438" t="str">
            <v>ZICF</v>
          </cell>
          <cell r="W438" t="str">
            <v>01</v>
          </cell>
          <cell r="X438">
            <v>308.05</v>
          </cell>
          <cell r="Y438" t="str">
            <v>MXN</v>
          </cell>
          <cell r="Z438" t="str">
            <v>TN</v>
          </cell>
          <cell r="AA438" t="str">
            <v>01.07.2025</v>
          </cell>
          <cell r="AB438" t="str">
            <v>31.12.9999</v>
          </cell>
          <cell r="AC438">
            <v>306.89999999999998</v>
          </cell>
        </row>
        <row r="439">
          <cell r="H439" t="str">
            <v>10264039</v>
          </cell>
          <cell r="I439" t="str">
            <v>MOV GRAVA TRITURADA CALIZA 20M</v>
          </cell>
          <cell r="J439">
            <v>260</v>
          </cell>
          <cell r="K439" t="str">
            <v>MXN</v>
          </cell>
          <cell r="L439" t="str">
            <v>TN</v>
          </cell>
          <cell r="M439" t="str">
            <v>01.08.2026</v>
          </cell>
          <cell r="N439" t="str">
            <v>31.12.9999</v>
          </cell>
          <cell r="O439" t="str">
            <v>28.07.2026</v>
          </cell>
          <cell r="P439" t="str">
            <v>ZMIF</v>
          </cell>
          <cell r="Q439">
            <v>34.1</v>
          </cell>
          <cell r="R439" t="str">
            <v>MXN</v>
          </cell>
          <cell r="S439" t="str">
            <v>TN</v>
          </cell>
          <cell r="T439" t="str">
            <v>01.08.2026</v>
          </cell>
          <cell r="U439" t="str">
            <v>31.12.9999</v>
          </cell>
          <cell r="V439" t="str">
            <v>ZICF</v>
          </cell>
          <cell r="W439" t="str">
            <v>01</v>
          </cell>
          <cell r="X439">
            <v>363.45</v>
          </cell>
          <cell r="Y439" t="str">
            <v>MXN</v>
          </cell>
          <cell r="Z439" t="str">
            <v>TN</v>
          </cell>
          <cell r="AA439" t="str">
            <v>01.07.2025</v>
          </cell>
          <cell r="AB439" t="str">
            <v>31.12.9999</v>
          </cell>
          <cell r="AC439">
            <v>294.10000000000002</v>
          </cell>
        </row>
        <row r="440">
          <cell r="H440" t="str">
            <v>10000101</v>
          </cell>
          <cell r="I440" t="str">
            <v>Arena Triturada Caliza Malla 4</v>
          </cell>
          <cell r="J440">
            <v>250</v>
          </cell>
          <cell r="K440" t="str">
            <v>MXN</v>
          </cell>
          <cell r="L440" t="str">
            <v>TN</v>
          </cell>
          <cell r="M440" t="str">
            <v>01.08.2026</v>
          </cell>
          <cell r="N440" t="str">
            <v>31.12.9999</v>
          </cell>
          <cell r="O440" t="str">
            <v>28.07.2026</v>
          </cell>
          <cell r="P440" t="str">
            <v>ZMIF</v>
          </cell>
          <cell r="Q440">
            <v>56.9</v>
          </cell>
          <cell r="R440" t="str">
            <v>MXN</v>
          </cell>
          <cell r="S440" t="str">
            <v>TN</v>
          </cell>
          <cell r="T440" t="str">
            <v>01.08.2026</v>
          </cell>
          <cell r="U440" t="str">
            <v>31.12.9999</v>
          </cell>
          <cell r="V440" t="str">
            <v>ZICF</v>
          </cell>
          <cell r="W440" t="str">
            <v>01</v>
          </cell>
          <cell r="X440">
            <v>225.48</v>
          </cell>
          <cell r="Y440" t="str">
            <v>MXN</v>
          </cell>
          <cell r="Z440" t="str">
            <v>TN</v>
          </cell>
          <cell r="AA440" t="str">
            <v>17.07.2023</v>
          </cell>
          <cell r="AB440" t="str">
            <v>31.12.9999</v>
          </cell>
          <cell r="AC440">
            <v>306.89999999999998</v>
          </cell>
        </row>
        <row r="441">
          <cell r="H441" t="str">
            <v>10000110</v>
          </cell>
          <cell r="I441" t="str">
            <v>GRAVA TRITURADA CALIZA 20 MM “</v>
          </cell>
          <cell r="J441">
            <v>260</v>
          </cell>
          <cell r="K441" t="str">
            <v>MXN</v>
          </cell>
          <cell r="L441" t="str">
            <v>TN</v>
          </cell>
          <cell r="M441" t="str">
            <v>01.08.2026</v>
          </cell>
          <cell r="N441" t="str">
            <v>31.12.9999</v>
          </cell>
          <cell r="O441" t="str">
            <v>28.07.2026</v>
          </cell>
          <cell r="P441" t="str">
            <v>ZMIF</v>
          </cell>
          <cell r="Q441">
            <v>34.1</v>
          </cell>
          <cell r="R441" t="str">
            <v>MXN</v>
          </cell>
          <cell r="S441" t="str">
            <v>TN</v>
          </cell>
          <cell r="T441" t="str">
            <v>01.08.2026</v>
          </cell>
          <cell r="U441" t="str">
            <v>31.12.9999</v>
          </cell>
          <cell r="V441" t="str">
            <v>ZICF</v>
          </cell>
          <cell r="W441" t="str">
            <v>01</v>
          </cell>
          <cell r="X441">
            <v>266.02999999999997</v>
          </cell>
          <cell r="Y441" t="str">
            <v>MXN</v>
          </cell>
          <cell r="Z441" t="str">
            <v>TN</v>
          </cell>
          <cell r="AA441" t="str">
            <v>17.07.2023</v>
          </cell>
          <cell r="AB441" t="str">
            <v>31.12.9999</v>
          </cell>
          <cell r="AC441">
            <v>294.10000000000002</v>
          </cell>
        </row>
        <row r="442">
          <cell r="H442" t="str">
            <v>10000112</v>
          </cell>
          <cell r="I442" t="str">
            <v>Grava Triturada Caliza 13 mm -</v>
          </cell>
          <cell r="J442">
            <v>260</v>
          </cell>
          <cell r="K442" t="str">
            <v>MXN</v>
          </cell>
          <cell r="L442" t="str">
            <v>TN</v>
          </cell>
          <cell r="M442" t="str">
            <v>01.08.2026</v>
          </cell>
          <cell r="N442" t="str">
            <v>31.12.9999</v>
          </cell>
          <cell r="O442" t="str">
            <v>28.07.2026</v>
          </cell>
          <cell r="P442" t="str">
            <v>ZMIF</v>
          </cell>
          <cell r="Q442">
            <v>-17.68</v>
          </cell>
          <cell r="R442" t="str">
            <v>MXN</v>
          </cell>
          <cell r="S442" t="str">
            <v>TN</v>
          </cell>
          <cell r="T442" t="str">
            <v>01.08.2026</v>
          </cell>
          <cell r="U442" t="str">
            <v>31.12.9999</v>
          </cell>
          <cell r="V442" t="str">
            <v>ZICF</v>
          </cell>
          <cell r="W442" t="str">
            <v>01</v>
          </cell>
          <cell r="X442">
            <v>267.58999999999997</v>
          </cell>
          <cell r="Y442" t="str">
            <v>MXN</v>
          </cell>
          <cell r="Z442" t="str">
            <v>TN</v>
          </cell>
          <cell r="AA442" t="str">
            <v>17.07.2023</v>
          </cell>
          <cell r="AB442" t="str">
            <v>31.12.9999</v>
          </cell>
          <cell r="AC442">
            <v>242.32</v>
          </cell>
        </row>
        <row r="443">
          <cell r="H443" t="str">
            <v>10264038</v>
          </cell>
          <cell r="I443" t="str">
            <v>MOV ARENA TRITURADA CALIZA MAL</v>
          </cell>
          <cell r="J443">
            <v>250</v>
          </cell>
          <cell r="K443" t="str">
            <v>MXN</v>
          </cell>
          <cell r="L443" t="str">
            <v>TN</v>
          </cell>
          <cell r="M443" t="str">
            <v>01.08.2026</v>
          </cell>
          <cell r="N443" t="str">
            <v>31.12.9999</v>
          </cell>
          <cell r="O443" t="str">
            <v>28.07.2026</v>
          </cell>
          <cell r="P443" t="str">
            <v>ZMIF</v>
          </cell>
          <cell r="Q443">
            <v>56.9</v>
          </cell>
          <cell r="R443" t="str">
            <v>MXN</v>
          </cell>
          <cell r="S443" t="str">
            <v>TN</v>
          </cell>
          <cell r="T443" t="str">
            <v>01.08.2026</v>
          </cell>
          <cell r="U443" t="str">
            <v>31.12.9999</v>
          </cell>
          <cell r="V443" t="str">
            <v>ZICF</v>
          </cell>
          <cell r="W443" t="str">
            <v>01</v>
          </cell>
          <cell r="X443">
            <v>225.48</v>
          </cell>
          <cell r="Y443" t="str">
            <v>MXN</v>
          </cell>
          <cell r="Z443" t="str">
            <v>TN</v>
          </cell>
          <cell r="AA443" t="str">
            <v>01.07.2025</v>
          </cell>
          <cell r="AB443" t="str">
            <v>31.12.9999</v>
          </cell>
          <cell r="AC443">
            <v>306.89999999999998</v>
          </cell>
        </row>
        <row r="444">
          <cell r="H444" t="str">
            <v>10264039</v>
          </cell>
          <cell r="I444" t="str">
            <v>MOV GRAVA TRITURADA CALIZA 20M</v>
          </cell>
          <cell r="J444">
            <v>260</v>
          </cell>
          <cell r="K444" t="str">
            <v>MXN</v>
          </cell>
          <cell r="L444" t="str">
            <v>TN</v>
          </cell>
          <cell r="M444" t="str">
            <v>01.08.2026</v>
          </cell>
          <cell r="N444" t="str">
            <v>31.12.9999</v>
          </cell>
          <cell r="O444" t="str">
            <v>28.07.2026</v>
          </cell>
          <cell r="P444" t="str">
            <v>ZMIF</v>
          </cell>
          <cell r="Q444">
            <v>34.1</v>
          </cell>
          <cell r="R444" t="str">
            <v>MXN</v>
          </cell>
          <cell r="S444" t="str">
            <v>TN</v>
          </cell>
          <cell r="T444" t="str">
            <v>01.08.2026</v>
          </cell>
          <cell r="U444" t="str">
            <v>31.12.9999</v>
          </cell>
          <cell r="V444" t="str">
            <v>ZICF</v>
          </cell>
          <cell r="W444" t="str">
            <v>01</v>
          </cell>
          <cell r="X444">
            <v>266.02999999999997</v>
          </cell>
          <cell r="Y444" t="str">
            <v>MXN</v>
          </cell>
          <cell r="Z444" t="str">
            <v>TN</v>
          </cell>
          <cell r="AA444" t="str">
            <v>01.07.2025</v>
          </cell>
          <cell r="AB444" t="str">
            <v>31.12.9999</v>
          </cell>
          <cell r="AC444">
            <v>294.10000000000002</v>
          </cell>
        </row>
        <row r="445">
          <cell r="H445" t="str">
            <v>10000101</v>
          </cell>
          <cell r="I445" t="str">
            <v>Arena Triturada Caliza Malla 4</v>
          </cell>
          <cell r="J445">
            <v>250</v>
          </cell>
          <cell r="K445" t="str">
            <v>MXN</v>
          </cell>
          <cell r="L445" t="str">
            <v>TN</v>
          </cell>
          <cell r="M445" t="str">
            <v>01.08.2026</v>
          </cell>
          <cell r="N445" t="str">
            <v>31.12.9999</v>
          </cell>
          <cell r="O445" t="str">
            <v>28.07.2026</v>
          </cell>
          <cell r="P445" t="str">
            <v>ZMIF</v>
          </cell>
          <cell r="Q445">
            <v>56.9</v>
          </cell>
          <cell r="R445" t="str">
            <v>MXN</v>
          </cell>
          <cell r="S445" t="str">
            <v>TN</v>
          </cell>
          <cell r="T445" t="str">
            <v>01.08.2026</v>
          </cell>
          <cell r="U445" t="str">
            <v>31.12.9999</v>
          </cell>
          <cell r="V445" t="str">
            <v>ZICF</v>
          </cell>
          <cell r="W445" t="str">
            <v>01</v>
          </cell>
          <cell r="X445">
            <v>84.72</v>
          </cell>
          <cell r="Y445" t="str">
            <v>MXN</v>
          </cell>
          <cell r="Z445" t="str">
            <v>TN</v>
          </cell>
          <cell r="AA445" t="str">
            <v>04.05.2023</v>
          </cell>
          <cell r="AB445" t="str">
            <v>31.12.9999</v>
          </cell>
          <cell r="AC445">
            <v>306.89999999999998</v>
          </cell>
        </row>
        <row r="446">
          <cell r="H446" t="str">
            <v>10000110</v>
          </cell>
          <cell r="I446" t="str">
            <v>GRAVA TRITURADA CALIZA 20 MM “</v>
          </cell>
          <cell r="J446">
            <v>260</v>
          </cell>
          <cell r="K446" t="str">
            <v>MXN</v>
          </cell>
          <cell r="L446" t="str">
            <v>TN</v>
          </cell>
          <cell r="M446" t="str">
            <v>01.08.2026</v>
          </cell>
          <cell r="N446" t="str">
            <v>31.12.9999</v>
          </cell>
          <cell r="O446" t="str">
            <v>28.07.2026</v>
          </cell>
          <cell r="P446" t="str">
            <v>ZMIF</v>
          </cell>
          <cell r="Q446">
            <v>34.1</v>
          </cell>
          <cell r="R446" t="str">
            <v>MXN</v>
          </cell>
          <cell r="S446" t="str">
            <v>TN</v>
          </cell>
          <cell r="T446" t="str">
            <v>01.08.2026</v>
          </cell>
          <cell r="U446" t="str">
            <v>31.12.9999</v>
          </cell>
          <cell r="V446" t="str">
            <v>ZICF</v>
          </cell>
          <cell r="W446" t="str">
            <v>01</v>
          </cell>
          <cell r="X446">
            <v>99.96</v>
          </cell>
          <cell r="Y446" t="str">
            <v>MXN</v>
          </cell>
          <cell r="Z446" t="str">
            <v>TN</v>
          </cell>
          <cell r="AA446" t="str">
            <v>04.05.2023</v>
          </cell>
          <cell r="AB446" t="str">
            <v>31.12.9999</v>
          </cell>
          <cell r="AC446">
            <v>294.10000000000002</v>
          </cell>
        </row>
        <row r="447">
          <cell r="H447" t="str">
            <v>10000112</v>
          </cell>
          <cell r="I447" t="str">
            <v>Grava Triturada Caliza 13 mm -</v>
          </cell>
          <cell r="J447">
            <v>260</v>
          </cell>
          <cell r="K447" t="str">
            <v>MXN</v>
          </cell>
          <cell r="L447" t="str">
            <v>TN</v>
          </cell>
          <cell r="M447" t="str">
            <v>01.08.2026</v>
          </cell>
          <cell r="N447" t="str">
            <v>31.12.9999</v>
          </cell>
          <cell r="O447" t="str">
            <v>28.07.2026</v>
          </cell>
          <cell r="P447" t="str">
            <v>ZMIF</v>
          </cell>
          <cell r="Q447">
            <v>-17.68</v>
          </cell>
          <cell r="R447" t="str">
            <v>MXN</v>
          </cell>
          <cell r="S447" t="str">
            <v>TN</v>
          </cell>
          <cell r="T447" t="str">
            <v>01.08.2026</v>
          </cell>
          <cell r="U447" t="str">
            <v>31.12.9999</v>
          </cell>
          <cell r="V447" t="str">
            <v>ZICF</v>
          </cell>
          <cell r="W447" t="str">
            <v>01</v>
          </cell>
          <cell r="X447">
            <v>90.13</v>
          </cell>
          <cell r="Y447" t="str">
            <v>MXN</v>
          </cell>
          <cell r="Z447" t="str">
            <v>TN</v>
          </cell>
          <cell r="AA447" t="str">
            <v>04.05.2023</v>
          </cell>
          <cell r="AB447" t="str">
            <v>31.12.9999</v>
          </cell>
          <cell r="AC447">
            <v>242.32</v>
          </cell>
        </row>
        <row r="448">
          <cell r="H448" t="str">
            <v>10264038</v>
          </cell>
          <cell r="I448" t="str">
            <v>MOV ARENA TRITURADA CALIZA MAL</v>
          </cell>
          <cell r="J448">
            <v>250</v>
          </cell>
          <cell r="K448" t="str">
            <v>MXN</v>
          </cell>
          <cell r="L448" t="str">
            <v>TN</v>
          </cell>
          <cell r="M448" t="str">
            <v>01.08.2026</v>
          </cell>
          <cell r="N448" t="str">
            <v>31.12.9999</v>
          </cell>
          <cell r="O448" t="str">
            <v>28.07.2026</v>
          </cell>
          <cell r="P448" t="str">
            <v>ZMIF</v>
          </cell>
          <cell r="Q448">
            <v>56.9</v>
          </cell>
          <cell r="R448" t="str">
            <v>MXN</v>
          </cell>
          <cell r="S448" t="str">
            <v>TN</v>
          </cell>
          <cell r="T448" t="str">
            <v>01.08.2026</v>
          </cell>
          <cell r="U448" t="str">
            <v>31.12.9999</v>
          </cell>
          <cell r="V448" t="str">
            <v>ZICF</v>
          </cell>
          <cell r="W448" t="str">
            <v>01</v>
          </cell>
          <cell r="X448">
            <v>84.72</v>
          </cell>
          <cell r="Y448" t="str">
            <v>MXN</v>
          </cell>
          <cell r="Z448" t="str">
            <v>TN</v>
          </cell>
          <cell r="AA448" t="str">
            <v>01.07.2025</v>
          </cell>
          <cell r="AB448" t="str">
            <v>31.12.9999</v>
          </cell>
          <cell r="AC448">
            <v>306.89999999999998</v>
          </cell>
        </row>
        <row r="449">
          <cell r="H449" t="str">
            <v>10264039</v>
          </cell>
          <cell r="I449" t="str">
            <v>MOV GRAVA TRITURADA CALIZA 20M</v>
          </cell>
          <cell r="J449">
            <v>260</v>
          </cell>
          <cell r="K449" t="str">
            <v>MXN</v>
          </cell>
          <cell r="L449" t="str">
            <v>TN</v>
          </cell>
          <cell r="M449" t="str">
            <v>01.08.2026</v>
          </cell>
          <cell r="N449" t="str">
            <v>31.12.9999</v>
          </cell>
          <cell r="O449" t="str">
            <v>28.07.2026</v>
          </cell>
          <cell r="P449" t="str">
            <v>ZMIF</v>
          </cell>
          <cell r="Q449">
            <v>34.1</v>
          </cell>
          <cell r="R449" t="str">
            <v>MXN</v>
          </cell>
          <cell r="S449" t="str">
            <v>TN</v>
          </cell>
          <cell r="T449" t="str">
            <v>01.08.2026</v>
          </cell>
          <cell r="U449" t="str">
            <v>31.12.9999</v>
          </cell>
          <cell r="V449" t="str">
            <v>ZICF</v>
          </cell>
          <cell r="W449" t="str">
            <v>01</v>
          </cell>
          <cell r="X449">
            <v>99.96</v>
          </cell>
          <cell r="Y449" t="str">
            <v>MXN</v>
          </cell>
          <cell r="Z449" t="str">
            <v>TN</v>
          </cell>
          <cell r="AA449" t="str">
            <v>01.07.2025</v>
          </cell>
          <cell r="AB449" t="str">
            <v>31.12.9999</v>
          </cell>
          <cell r="AC449">
            <v>294.10000000000002</v>
          </cell>
        </row>
        <row r="450">
          <cell r="H450" t="str">
            <v>10000101</v>
          </cell>
          <cell r="I450" t="str">
            <v>Arena Triturada Caliza Malla 4</v>
          </cell>
          <cell r="J450">
            <v>250</v>
          </cell>
          <cell r="K450" t="str">
            <v>MXN</v>
          </cell>
          <cell r="L450" t="str">
            <v>TN</v>
          </cell>
          <cell r="M450" t="str">
            <v>01.08.2026</v>
          </cell>
          <cell r="N450" t="str">
            <v>31.12.9999</v>
          </cell>
          <cell r="O450" t="str">
            <v>28.07.2026</v>
          </cell>
          <cell r="P450" t="str">
            <v>ZMIF</v>
          </cell>
          <cell r="Q450">
            <v>56.9</v>
          </cell>
          <cell r="R450" t="str">
            <v>MXN</v>
          </cell>
          <cell r="S450" t="str">
            <v>TN</v>
          </cell>
          <cell r="T450" t="str">
            <v>01.08.2026</v>
          </cell>
          <cell r="U450" t="str">
            <v>31.12.9999</v>
          </cell>
          <cell r="V450" t="str">
            <v>ZICF</v>
          </cell>
          <cell r="W450" t="str">
            <v>01</v>
          </cell>
          <cell r="X450">
            <v>31.77</v>
          </cell>
          <cell r="Y450" t="str">
            <v>MXN</v>
          </cell>
          <cell r="Z450" t="str">
            <v>TN</v>
          </cell>
          <cell r="AA450" t="str">
            <v>01.07.2021</v>
          </cell>
          <cell r="AB450" t="str">
            <v>31.12.9999</v>
          </cell>
          <cell r="AC450">
            <v>306.89999999999998</v>
          </cell>
        </row>
        <row r="451">
          <cell r="H451" t="str">
            <v>10000110</v>
          </cell>
          <cell r="I451" t="str">
            <v>GRAVA TRITURADA CALIZA 20 MM “</v>
          </cell>
          <cell r="J451">
            <v>260</v>
          </cell>
          <cell r="K451" t="str">
            <v>MXN</v>
          </cell>
          <cell r="L451" t="str">
            <v>TN</v>
          </cell>
          <cell r="M451" t="str">
            <v>01.08.2026</v>
          </cell>
          <cell r="N451" t="str">
            <v>31.12.9999</v>
          </cell>
          <cell r="O451" t="str">
            <v>28.07.2026</v>
          </cell>
          <cell r="P451" t="str">
            <v>ZMIF</v>
          </cell>
          <cell r="Q451">
            <v>34.1</v>
          </cell>
          <cell r="R451" t="str">
            <v>MXN</v>
          </cell>
          <cell r="S451" t="str">
            <v>TN</v>
          </cell>
          <cell r="T451" t="str">
            <v>01.08.2026</v>
          </cell>
          <cell r="U451" t="str">
            <v>31.12.9999</v>
          </cell>
          <cell r="V451" t="str">
            <v>ZICF</v>
          </cell>
          <cell r="W451" t="str">
            <v>01</v>
          </cell>
          <cell r="X451">
            <v>37.86</v>
          </cell>
          <cell r="Y451" t="str">
            <v>MXN</v>
          </cell>
          <cell r="Z451" t="str">
            <v>TN</v>
          </cell>
          <cell r="AA451" t="str">
            <v>01.07.2021</v>
          </cell>
          <cell r="AB451" t="str">
            <v>31.12.9999</v>
          </cell>
          <cell r="AC451">
            <v>294.10000000000002</v>
          </cell>
        </row>
        <row r="452">
          <cell r="H452" t="str">
            <v>10000112</v>
          </cell>
          <cell r="I452" t="str">
            <v>Grava Triturada Caliza 13 mm -</v>
          </cell>
          <cell r="J452">
            <v>260</v>
          </cell>
          <cell r="K452" t="str">
            <v>MXN</v>
          </cell>
          <cell r="L452" t="str">
            <v>TN</v>
          </cell>
          <cell r="M452" t="str">
            <v>01.08.2026</v>
          </cell>
          <cell r="N452" t="str">
            <v>31.12.9999</v>
          </cell>
          <cell r="O452" t="str">
            <v>28.07.2026</v>
          </cell>
          <cell r="P452" t="str">
            <v>ZMIF</v>
          </cell>
          <cell r="Q452">
            <v>-17.68</v>
          </cell>
          <cell r="R452" t="str">
            <v>MXN</v>
          </cell>
          <cell r="S452" t="str">
            <v>TN</v>
          </cell>
          <cell r="T452" t="str">
            <v>01.08.2026</v>
          </cell>
          <cell r="U452" t="str">
            <v>31.12.9999</v>
          </cell>
          <cell r="V452" t="str">
            <v>ZICF</v>
          </cell>
          <cell r="W452" t="str">
            <v>01</v>
          </cell>
          <cell r="X452">
            <v>30.03</v>
          </cell>
          <cell r="Y452" t="str">
            <v>MXN</v>
          </cell>
          <cell r="Z452" t="str">
            <v>TN</v>
          </cell>
          <cell r="AA452" t="str">
            <v>01.07.2021</v>
          </cell>
          <cell r="AB452" t="str">
            <v>31.12.9999</v>
          </cell>
          <cell r="AC452">
            <v>242.32</v>
          </cell>
        </row>
        <row r="453">
          <cell r="H453" t="str">
            <v>10264038</v>
          </cell>
          <cell r="I453" t="str">
            <v>MOV ARENA TRITURADA CALIZA MAL</v>
          </cell>
          <cell r="J453">
            <v>250</v>
          </cell>
          <cell r="K453" t="str">
            <v>MXN</v>
          </cell>
          <cell r="L453" t="str">
            <v>TN</v>
          </cell>
          <cell r="M453" t="str">
            <v>01.08.2026</v>
          </cell>
          <cell r="N453" t="str">
            <v>31.12.9999</v>
          </cell>
          <cell r="O453" t="str">
            <v>28.07.2026</v>
          </cell>
          <cell r="P453" t="str">
            <v>ZMIF</v>
          </cell>
          <cell r="Q453">
            <v>56.9</v>
          </cell>
          <cell r="R453" t="str">
            <v>MXN</v>
          </cell>
          <cell r="S453" t="str">
            <v>TN</v>
          </cell>
          <cell r="T453" t="str">
            <v>01.08.2026</v>
          </cell>
          <cell r="U453" t="str">
            <v>31.12.9999</v>
          </cell>
          <cell r="V453" t="str">
            <v>ZICF</v>
          </cell>
          <cell r="W453" t="str">
            <v>01</v>
          </cell>
          <cell r="X453">
            <v>31.77</v>
          </cell>
          <cell r="Y453" t="str">
            <v>MXN</v>
          </cell>
          <cell r="Z453" t="str">
            <v>TN</v>
          </cell>
          <cell r="AA453" t="str">
            <v>01.07.2025</v>
          </cell>
          <cell r="AB453" t="str">
            <v>31.12.9999</v>
          </cell>
          <cell r="AC453">
            <v>306.89999999999998</v>
          </cell>
        </row>
        <row r="454">
          <cell r="H454" t="str">
            <v>10264039</v>
          </cell>
          <cell r="I454" t="str">
            <v>MOV GRAVA TRITURADA CALIZA 20M</v>
          </cell>
          <cell r="J454">
            <v>260</v>
          </cell>
          <cell r="K454" t="str">
            <v>MXN</v>
          </cell>
          <cell r="L454" t="str">
            <v>TN</v>
          </cell>
          <cell r="M454" t="str">
            <v>01.08.2026</v>
          </cell>
          <cell r="N454" t="str">
            <v>31.12.9999</v>
          </cell>
          <cell r="O454" t="str">
            <v>28.07.2026</v>
          </cell>
          <cell r="P454" t="str">
            <v>ZMIF</v>
          </cell>
          <cell r="Q454">
            <v>34.1</v>
          </cell>
          <cell r="R454" t="str">
            <v>MXN</v>
          </cell>
          <cell r="S454" t="str">
            <v>TN</v>
          </cell>
          <cell r="T454" t="str">
            <v>01.08.2026</v>
          </cell>
          <cell r="U454" t="str">
            <v>31.12.9999</v>
          </cell>
          <cell r="V454" t="str">
            <v>ZICF</v>
          </cell>
          <cell r="W454" t="str">
            <v>01</v>
          </cell>
          <cell r="X454">
            <v>37.86</v>
          </cell>
          <cell r="Y454" t="str">
            <v>MXN</v>
          </cell>
          <cell r="Z454" t="str">
            <v>TN</v>
          </cell>
          <cell r="AA454" t="str">
            <v>01.07.2025</v>
          </cell>
          <cell r="AB454" t="str">
            <v>31.12.9999</v>
          </cell>
          <cell r="AC454">
            <v>294.10000000000002</v>
          </cell>
        </row>
        <row r="455">
          <cell r="H455" t="str">
            <v>10000101</v>
          </cell>
          <cell r="I455" t="str">
            <v>Arena Triturada Caliza Malla 4</v>
          </cell>
          <cell r="J455">
            <v>250</v>
          </cell>
          <cell r="K455" t="str">
            <v>MXN</v>
          </cell>
          <cell r="L455" t="str">
            <v>TN</v>
          </cell>
          <cell r="M455" t="str">
            <v>01.08.2026</v>
          </cell>
          <cell r="N455" t="str">
            <v>31.12.9999</v>
          </cell>
          <cell r="O455" t="str">
            <v>28.07.2026</v>
          </cell>
          <cell r="P455" t="str">
            <v>ZMIF</v>
          </cell>
          <cell r="Q455">
            <v>56.9</v>
          </cell>
          <cell r="R455" t="str">
            <v>MXN</v>
          </cell>
          <cell r="S455" t="str">
            <v>TN</v>
          </cell>
          <cell r="T455" t="str">
            <v>01.08.2026</v>
          </cell>
          <cell r="U455" t="str">
            <v>31.12.9999</v>
          </cell>
          <cell r="V455" t="str">
            <v>ZICF</v>
          </cell>
          <cell r="W455" t="str">
            <v>01</v>
          </cell>
          <cell r="X455">
            <v>97.1</v>
          </cell>
          <cell r="Y455" t="str">
            <v>MXN</v>
          </cell>
          <cell r="Z455" t="str">
            <v>TN</v>
          </cell>
          <cell r="AA455" t="str">
            <v>04.05.2023</v>
          </cell>
          <cell r="AB455" t="str">
            <v>31.12.9999</v>
          </cell>
          <cell r="AC455">
            <v>306.89999999999998</v>
          </cell>
        </row>
        <row r="456">
          <cell r="H456" t="str">
            <v>10000110</v>
          </cell>
          <cell r="I456" t="str">
            <v>GRAVA TRITURADA CALIZA 20 MM “</v>
          </cell>
          <cell r="J456">
            <v>260</v>
          </cell>
          <cell r="K456" t="str">
            <v>MXN</v>
          </cell>
          <cell r="L456" t="str">
            <v>TN</v>
          </cell>
          <cell r="M456" t="str">
            <v>01.08.2026</v>
          </cell>
          <cell r="N456" t="str">
            <v>31.12.9999</v>
          </cell>
          <cell r="O456" t="str">
            <v>28.07.2026</v>
          </cell>
          <cell r="P456" t="str">
            <v>ZMIF</v>
          </cell>
          <cell r="Q456">
            <v>34.1</v>
          </cell>
          <cell r="R456" t="str">
            <v>MXN</v>
          </cell>
          <cell r="S456" t="str">
            <v>TN</v>
          </cell>
          <cell r="T456" t="str">
            <v>01.08.2026</v>
          </cell>
          <cell r="U456" t="str">
            <v>31.12.9999</v>
          </cell>
          <cell r="V456" t="str">
            <v>ZICF</v>
          </cell>
          <cell r="W456" t="str">
            <v>01</v>
          </cell>
          <cell r="X456">
            <v>114.56</v>
          </cell>
          <cell r="Y456" t="str">
            <v>MXN</v>
          </cell>
          <cell r="Z456" t="str">
            <v>TN</v>
          </cell>
          <cell r="AA456" t="str">
            <v>04.05.2023</v>
          </cell>
          <cell r="AB456" t="str">
            <v>31.12.9999</v>
          </cell>
          <cell r="AC456">
            <v>294.10000000000002</v>
          </cell>
        </row>
        <row r="457">
          <cell r="H457" t="str">
            <v>10000112</v>
          </cell>
          <cell r="I457" t="str">
            <v>Grava Triturada Caliza 13 mm -</v>
          </cell>
          <cell r="J457">
            <v>260</v>
          </cell>
          <cell r="K457" t="str">
            <v>MXN</v>
          </cell>
          <cell r="L457" t="str">
            <v>TN</v>
          </cell>
          <cell r="M457" t="str">
            <v>01.08.2026</v>
          </cell>
          <cell r="N457" t="str">
            <v>31.12.9999</v>
          </cell>
          <cell r="O457" t="str">
            <v>28.07.2026</v>
          </cell>
          <cell r="P457" t="str">
            <v>ZMIF</v>
          </cell>
          <cell r="Q457">
            <v>-17.68</v>
          </cell>
          <cell r="R457" t="str">
            <v>MXN</v>
          </cell>
          <cell r="S457" t="str">
            <v>TN</v>
          </cell>
          <cell r="T457" t="str">
            <v>01.08.2026</v>
          </cell>
          <cell r="U457" t="str">
            <v>31.12.9999</v>
          </cell>
          <cell r="V457" t="str">
            <v>ZICF</v>
          </cell>
          <cell r="W457" t="str">
            <v>01</v>
          </cell>
          <cell r="X457">
            <v>103.3</v>
          </cell>
          <cell r="Y457" t="str">
            <v>MXN</v>
          </cell>
          <cell r="Z457" t="str">
            <v>TN</v>
          </cell>
          <cell r="AA457" t="str">
            <v>04.05.2023</v>
          </cell>
          <cell r="AB457" t="str">
            <v>31.12.9999</v>
          </cell>
          <cell r="AC457">
            <v>242.32</v>
          </cell>
        </row>
        <row r="458">
          <cell r="H458" t="str">
            <v>10264038</v>
          </cell>
          <cell r="I458" t="str">
            <v>MOV ARENA TRITURADA CALIZA MAL</v>
          </cell>
          <cell r="J458">
            <v>250</v>
          </cell>
          <cell r="K458" t="str">
            <v>MXN</v>
          </cell>
          <cell r="L458" t="str">
            <v>TN</v>
          </cell>
          <cell r="M458" t="str">
            <v>01.08.2026</v>
          </cell>
          <cell r="N458" t="str">
            <v>31.12.9999</v>
          </cell>
          <cell r="O458" t="str">
            <v>28.07.2026</v>
          </cell>
          <cell r="P458" t="str">
            <v>ZMIF</v>
          </cell>
          <cell r="Q458">
            <v>56.9</v>
          </cell>
          <cell r="R458" t="str">
            <v>MXN</v>
          </cell>
          <cell r="S458" t="str">
            <v>TN</v>
          </cell>
          <cell r="T458" t="str">
            <v>01.08.2026</v>
          </cell>
          <cell r="U458" t="str">
            <v>31.12.9999</v>
          </cell>
          <cell r="V458" t="str">
            <v>ZICF</v>
          </cell>
          <cell r="W458" t="str">
            <v>01</v>
          </cell>
          <cell r="X458">
            <v>97.1</v>
          </cell>
          <cell r="Y458" t="str">
            <v>MXN</v>
          </cell>
          <cell r="Z458" t="str">
            <v>TN</v>
          </cell>
          <cell r="AA458" t="str">
            <v>01.07.2025</v>
          </cell>
          <cell r="AB458" t="str">
            <v>31.12.9999</v>
          </cell>
          <cell r="AC458">
            <v>306.89999999999998</v>
          </cell>
        </row>
        <row r="459">
          <cell r="H459" t="str">
            <v>10264039</v>
          </cell>
          <cell r="I459" t="str">
            <v>MOV GRAVA TRITURADA CALIZA 20M</v>
          </cell>
          <cell r="J459">
            <v>260</v>
          </cell>
          <cell r="K459" t="str">
            <v>MXN</v>
          </cell>
          <cell r="L459" t="str">
            <v>TN</v>
          </cell>
          <cell r="M459" t="str">
            <v>01.08.2026</v>
          </cell>
          <cell r="N459" t="str">
            <v>31.12.9999</v>
          </cell>
          <cell r="O459" t="str">
            <v>28.07.2026</v>
          </cell>
          <cell r="P459" t="str">
            <v>ZMIF</v>
          </cell>
          <cell r="Q459">
            <v>34.1</v>
          </cell>
          <cell r="R459" t="str">
            <v>MXN</v>
          </cell>
          <cell r="S459" t="str">
            <v>TN</v>
          </cell>
          <cell r="T459" t="str">
            <v>01.08.2026</v>
          </cell>
          <cell r="U459" t="str">
            <v>31.12.9999</v>
          </cell>
          <cell r="V459" t="str">
            <v>ZICF</v>
          </cell>
          <cell r="W459" t="str">
            <v>01</v>
          </cell>
          <cell r="X459">
            <v>114.56</v>
          </cell>
          <cell r="Y459" t="str">
            <v>MXN</v>
          </cell>
          <cell r="Z459" t="str">
            <v>TN</v>
          </cell>
          <cell r="AA459" t="str">
            <v>01.07.2025</v>
          </cell>
          <cell r="AB459" t="str">
            <v>31.12.9999</v>
          </cell>
          <cell r="AC459">
            <v>294.10000000000002</v>
          </cell>
        </row>
        <row r="460">
          <cell r="H460" t="str">
            <v>10000101</v>
          </cell>
          <cell r="I460" t="str">
            <v>Arena Triturada Caliza Malla 4</v>
          </cell>
          <cell r="J460">
            <v>250</v>
          </cell>
          <cell r="K460" t="str">
            <v>MXN</v>
          </cell>
          <cell r="L460" t="str">
            <v>TN</v>
          </cell>
          <cell r="M460" t="str">
            <v>01.08.2026</v>
          </cell>
          <cell r="N460" t="str">
            <v>31.12.9999</v>
          </cell>
          <cell r="O460" t="str">
            <v>28.07.2026</v>
          </cell>
          <cell r="P460" t="str">
            <v>ZMIF</v>
          </cell>
          <cell r="Q460">
            <v>56.9</v>
          </cell>
          <cell r="R460" t="str">
            <v>MXN</v>
          </cell>
          <cell r="S460" t="str">
            <v>TN</v>
          </cell>
          <cell r="T460" t="str">
            <v>01.08.2026</v>
          </cell>
          <cell r="U460" t="str">
            <v>31.12.9999</v>
          </cell>
          <cell r="V460" t="str">
            <v>ZICF</v>
          </cell>
          <cell r="W460" t="str">
            <v>01</v>
          </cell>
          <cell r="X460">
            <v>31.77</v>
          </cell>
          <cell r="Y460" t="str">
            <v>MXN</v>
          </cell>
          <cell r="Z460" t="str">
            <v>TN</v>
          </cell>
          <cell r="AA460" t="str">
            <v>01.07.2021</v>
          </cell>
          <cell r="AB460" t="str">
            <v>31.12.9999</v>
          </cell>
          <cell r="AC460">
            <v>306.89999999999998</v>
          </cell>
        </row>
        <row r="461">
          <cell r="H461" t="str">
            <v>10000110</v>
          </cell>
          <cell r="I461" t="str">
            <v>GRAVA TRITURADA CALIZA 20 MM “</v>
          </cell>
          <cell r="J461">
            <v>260</v>
          </cell>
          <cell r="K461" t="str">
            <v>MXN</v>
          </cell>
          <cell r="L461" t="str">
            <v>TN</v>
          </cell>
          <cell r="M461" t="str">
            <v>01.08.2026</v>
          </cell>
          <cell r="N461" t="str">
            <v>31.12.9999</v>
          </cell>
          <cell r="O461" t="str">
            <v>28.07.2026</v>
          </cell>
          <cell r="P461" t="str">
            <v>ZMIF</v>
          </cell>
          <cell r="Q461">
            <v>34.1</v>
          </cell>
          <cell r="R461" t="str">
            <v>MXN</v>
          </cell>
          <cell r="S461" t="str">
            <v>TN</v>
          </cell>
          <cell r="T461" t="str">
            <v>01.08.2026</v>
          </cell>
          <cell r="U461" t="str">
            <v>31.12.9999</v>
          </cell>
          <cell r="V461" t="str">
            <v>ZICF</v>
          </cell>
          <cell r="W461" t="str">
            <v>01</v>
          </cell>
          <cell r="X461">
            <v>37.86</v>
          </cell>
          <cell r="Y461" t="str">
            <v>MXN</v>
          </cell>
          <cell r="Z461" t="str">
            <v>TN</v>
          </cell>
          <cell r="AA461" t="str">
            <v>01.07.2021</v>
          </cell>
          <cell r="AB461" t="str">
            <v>31.12.9999</v>
          </cell>
          <cell r="AC461">
            <v>294.10000000000002</v>
          </cell>
        </row>
        <row r="462">
          <cell r="H462" t="str">
            <v>10000112</v>
          </cell>
          <cell r="I462" t="str">
            <v>Grava Triturada Caliza 13 mm -</v>
          </cell>
          <cell r="J462">
            <v>260</v>
          </cell>
          <cell r="K462" t="str">
            <v>MXN</v>
          </cell>
          <cell r="L462" t="str">
            <v>TN</v>
          </cell>
          <cell r="M462" t="str">
            <v>01.08.2026</v>
          </cell>
          <cell r="N462" t="str">
            <v>31.12.9999</v>
          </cell>
          <cell r="O462" t="str">
            <v>28.07.2026</v>
          </cell>
          <cell r="P462" t="str">
            <v>ZMIF</v>
          </cell>
          <cell r="Q462">
            <v>-17.68</v>
          </cell>
          <cell r="R462" t="str">
            <v>MXN</v>
          </cell>
          <cell r="S462" t="str">
            <v>TN</v>
          </cell>
          <cell r="T462" t="str">
            <v>01.08.2026</v>
          </cell>
          <cell r="U462" t="str">
            <v>31.12.9999</v>
          </cell>
          <cell r="V462" t="str">
            <v>ZICF</v>
          </cell>
          <cell r="W462" t="str">
            <v>01</v>
          </cell>
          <cell r="X462">
            <v>30.03</v>
          </cell>
          <cell r="Y462" t="str">
            <v>MXN</v>
          </cell>
          <cell r="Z462" t="str">
            <v>TN</v>
          </cell>
          <cell r="AA462" t="str">
            <v>01.07.2021</v>
          </cell>
          <cell r="AB462" t="str">
            <v>31.12.9999</v>
          </cell>
          <cell r="AC462">
            <v>242.32</v>
          </cell>
        </row>
        <row r="463">
          <cell r="H463" t="str">
            <v>10264038</v>
          </cell>
          <cell r="I463" t="str">
            <v>MOV ARENA TRITURADA CALIZA MAL</v>
          </cell>
          <cell r="J463">
            <v>250</v>
          </cell>
          <cell r="K463" t="str">
            <v>MXN</v>
          </cell>
          <cell r="L463" t="str">
            <v>TN</v>
          </cell>
          <cell r="M463" t="str">
            <v>01.08.2026</v>
          </cell>
          <cell r="N463" t="str">
            <v>31.12.9999</v>
          </cell>
          <cell r="O463" t="str">
            <v>28.07.2026</v>
          </cell>
          <cell r="P463" t="str">
            <v>ZMIF</v>
          </cell>
          <cell r="Q463">
            <v>56.9</v>
          </cell>
          <cell r="R463" t="str">
            <v>MXN</v>
          </cell>
          <cell r="S463" t="str">
            <v>TN</v>
          </cell>
          <cell r="T463" t="str">
            <v>01.08.2026</v>
          </cell>
          <cell r="U463" t="str">
            <v>31.12.9999</v>
          </cell>
          <cell r="V463" t="str">
            <v>ZICF</v>
          </cell>
          <cell r="W463" t="str">
            <v>01</v>
          </cell>
          <cell r="X463">
            <v>31.77</v>
          </cell>
          <cell r="Y463" t="str">
            <v>MXN</v>
          </cell>
          <cell r="Z463" t="str">
            <v>TN</v>
          </cell>
          <cell r="AA463" t="str">
            <v>01.07.2025</v>
          </cell>
          <cell r="AB463" t="str">
            <v>31.12.9999</v>
          </cell>
          <cell r="AC463">
            <v>306.89999999999998</v>
          </cell>
        </row>
        <row r="464">
          <cell r="H464" t="str">
            <v>10264039</v>
          </cell>
          <cell r="I464" t="str">
            <v>MOV GRAVA TRITURADA CALIZA 20M</v>
          </cell>
          <cell r="J464">
            <v>260</v>
          </cell>
          <cell r="K464" t="str">
            <v>MXN</v>
          </cell>
          <cell r="L464" t="str">
            <v>TN</v>
          </cell>
          <cell r="M464" t="str">
            <v>01.08.2026</v>
          </cell>
          <cell r="N464" t="str">
            <v>31.12.9999</v>
          </cell>
          <cell r="O464" t="str">
            <v>28.07.2026</v>
          </cell>
          <cell r="P464" t="str">
            <v>ZMIF</v>
          </cell>
          <cell r="Q464">
            <v>34.1</v>
          </cell>
          <cell r="R464" t="str">
            <v>MXN</v>
          </cell>
          <cell r="S464" t="str">
            <v>TN</v>
          </cell>
          <cell r="T464" t="str">
            <v>01.08.2026</v>
          </cell>
          <cell r="U464" t="str">
            <v>31.12.9999</v>
          </cell>
          <cell r="V464" t="str">
            <v>ZICF</v>
          </cell>
          <cell r="W464" t="str">
            <v>01</v>
          </cell>
          <cell r="X464">
            <v>37.86</v>
          </cell>
          <cell r="Y464" t="str">
            <v>MXN</v>
          </cell>
          <cell r="Z464" t="str">
            <v>TN</v>
          </cell>
          <cell r="AA464" t="str">
            <v>01.07.2025</v>
          </cell>
          <cell r="AB464" t="str">
            <v>31.12.9999</v>
          </cell>
          <cell r="AC464">
            <v>294.10000000000002</v>
          </cell>
        </row>
        <row r="465">
          <cell r="H465" t="str">
            <v>10000101</v>
          </cell>
          <cell r="I465" t="str">
            <v>Arena Triturada Caliza Malla 4</v>
          </cell>
          <cell r="J465">
            <v>250</v>
          </cell>
          <cell r="K465" t="str">
            <v>MXN</v>
          </cell>
          <cell r="L465" t="str">
            <v>TN</v>
          </cell>
          <cell r="M465" t="str">
            <v>01.08.2026</v>
          </cell>
          <cell r="N465" t="str">
            <v>31.12.9999</v>
          </cell>
          <cell r="O465" t="str">
            <v>28.07.2026</v>
          </cell>
          <cell r="P465" t="str">
            <v>ZMIF</v>
          </cell>
          <cell r="Q465">
            <v>56.9</v>
          </cell>
          <cell r="R465" t="str">
            <v>MXN</v>
          </cell>
          <cell r="S465" t="str">
            <v>TN</v>
          </cell>
          <cell r="T465" t="str">
            <v>01.08.2026</v>
          </cell>
          <cell r="U465" t="str">
            <v>31.12.9999</v>
          </cell>
          <cell r="V465" t="str">
            <v>ZICF</v>
          </cell>
          <cell r="W465" t="str">
            <v>01</v>
          </cell>
          <cell r="X465">
            <v>71.45</v>
          </cell>
          <cell r="Y465" t="str">
            <v>MXN</v>
          </cell>
          <cell r="Z465" t="str">
            <v>TN</v>
          </cell>
          <cell r="AA465" t="str">
            <v>21.05.2026</v>
          </cell>
          <cell r="AB465" t="str">
            <v>31.12.2030</v>
          </cell>
          <cell r="AC465">
            <v>306.89999999999998</v>
          </cell>
        </row>
        <row r="466">
          <cell r="H466" t="str">
            <v>10000110</v>
          </cell>
          <cell r="I466" t="str">
            <v>GRAVA TRITURADA CALIZA 20 MM “</v>
          </cell>
          <cell r="J466">
            <v>260</v>
          </cell>
          <cell r="K466" t="str">
            <v>MXN</v>
          </cell>
          <cell r="L466" t="str">
            <v>TN</v>
          </cell>
          <cell r="M466" t="str">
            <v>01.08.2026</v>
          </cell>
          <cell r="N466" t="str">
            <v>31.12.9999</v>
          </cell>
          <cell r="O466" t="str">
            <v>28.07.2026</v>
          </cell>
          <cell r="P466" t="str">
            <v>ZMIF</v>
          </cell>
          <cell r="Q466">
            <v>34.1</v>
          </cell>
          <cell r="R466" t="str">
            <v>MXN</v>
          </cell>
          <cell r="S466" t="str">
            <v>TN</v>
          </cell>
          <cell r="T466" t="str">
            <v>01.08.2026</v>
          </cell>
          <cell r="U466" t="str">
            <v>31.12.9999</v>
          </cell>
          <cell r="V466" t="str">
            <v>ZICF</v>
          </cell>
          <cell r="W466" t="str">
            <v>01</v>
          </cell>
          <cell r="X466">
            <v>84.3</v>
          </cell>
          <cell r="Y466" t="str">
            <v>MXN</v>
          </cell>
          <cell r="Z466" t="str">
            <v>TN</v>
          </cell>
          <cell r="AA466" t="str">
            <v>21.05.2026</v>
          </cell>
          <cell r="AB466" t="str">
            <v>31.12.2030</v>
          </cell>
          <cell r="AC466">
            <v>294.10000000000002</v>
          </cell>
        </row>
        <row r="467">
          <cell r="H467" t="str">
            <v>10000112</v>
          </cell>
          <cell r="I467" t="str">
            <v>Grava Triturada Caliza 13 mm -</v>
          </cell>
          <cell r="J467">
            <v>260</v>
          </cell>
          <cell r="K467" t="str">
            <v>MXN</v>
          </cell>
          <cell r="L467" t="str">
            <v>TN</v>
          </cell>
          <cell r="M467" t="str">
            <v>01.08.2026</v>
          </cell>
          <cell r="N467" t="str">
            <v>31.12.9999</v>
          </cell>
          <cell r="O467" t="str">
            <v>28.07.2026</v>
          </cell>
          <cell r="P467" t="str">
            <v>ZMIF</v>
          </cell>
          <cell r="Q467">
            <v>-17.68</v>
          </cell>
          <cell r="R467" t="str">
            <v>MXN</v>
          </cell>
          <cell r="S467" t="str">
            <v>TN</v>
          </cell>
          <cell r="T467" t="str">
            <v>01.08.2026</v>
          </cell>
          <cell r="U467" t="str">
            <v>31.12.9999</v>
          </cell>
          <cell r="V467" t="str">
            <v>ZICF</v>
          </cell>
          <cell r="W467" t="str">
            <v>01</v>
          </cell>
          <cell r="X467">
            <v>84.8</v>
          </cell>
          <cell r="Y467" t="str">
            <v>MXN</v>
          </cell>
          <cell r="Z467" t="str">
            <v>TN</v>
          </cell>
          <cell r="AA467" t="str">
            <v>21.05.2026</v>
          </cell>
          <cell r="AB467" t="str">
            <v>31.12.2030</v>
          </cell>
          <cell r="AC467">
            <v>242.32</v>
          </cell>
        </row>
        <row r="468">
          <cell r="H468" t="str">
            <v>10000579</v>
          </cell>
          <cell r="I468" t="str">
            <v>Grava Triturada Caliza 40 mm -</v>
          </cell>
          <cell r="J468">
            <v>260</v>
          </cell>
          <cell r="K468" t="str">
            <v>MXN</v>
          </cell>
          <cell r="L468" t="str">
            <v>TN</v>
          </cell>
          <cell r="M468" t="str">
            <v>01.08.2026</v>
          </cell>
          <cell r="N468" t="str">
            <v>31.12.9999</v>
          </cell>
          <cell r="O468" t="str">
            <v>28.07.2026</v>
          </cell>
          <cell r="P468" t="str">
            <v>ZMIF</v>
          </cell>
          <cell r="Q468">
            <v>-32.89</v>
          </cell>
          <cell r="R468" t="str">
            <v>MXN</v>
          </cell>
          <cell r="S468" t="str">
            <v>TN</v>
          </cell>
          <cell r="T468" t="str">
            <v>01.08.2026</v>
          </cell>
          <cell r="U468" t="str">
            <v>31.12.9999</v>
          </cell>
          <cell r="V468" t="str">
            <v>ZICF</v>
          </cell>
          <cell r="W468" t="str">
            <v>01</v>
          </cell>
          <cell r="X468">
            <v>73</v>
          </cell>
          <cell r="Y468" t="str">
            <v>MXN</v>
          </cell>
          <cell r="Z468" t="str">
            <v>TN</v>
          </cell>
          <cell r="AA468" t="str">
            <v>21.05.2026</v>
          </cell>
          <cell r="AB468" t="str">
            <v>31.12.2030</v>
          </cell>
          <cell r="AC468">
            <v>227.11</v>
          </cell>
        </row>
        <row r="469">
          <cell r="H469" t="str">
            <v>10264038</v>
          </cell>
          <cell r="I469" t="str">
            <v>MOV ARENA TRITURADA CALIZA MAL</v>
          </cell>
          <cell r="J469">
            <v>250</v>
          </cell>
          <cell r="K469" t="str">
            <v>MXN</v>
          </cell>
          <cell r="L469" t="str">
            <v>TN</v>
          </cell>
          <cell r="M469" t="str">
            <v>01.08.2026</v>
          </cell>
          <cell r="N469" t="str">
            <v>31.12.9999</v>
          </cell>
          <cell r="O469" t="str">
            <v>28.07.2026</v>
          </cell>
          <cell r="P469" t="str">
            <v>ZMIF</v>
          </cell>
          <cell r="Q469">
            <v>56.9</v>
          </cell>
          <cell r="R469" t="str">
            <v>MXN</v>
          </cell>
          <cell r="S469" t="str">
            <v>TN</v>
          </cell>
          <cell r="T469" t="str">
            <v>01.08.2026</v>
          </cell>
          <cell r="U469" t="str">
            <v>31.12.9999</v>
          </cell>
          <cell r="V469" t="str">
            <v>ZICF</v>
          </cell>
          <cell r="W469" t="str">
            <v>01</v>
          </cell>
          <cell r="X469">
            <v>71.45</v>
          </cell>
          <cell r="Y469" t="str">
            <v>MXN</v>
          </cell>
          <cell r="Z469" t="str">
            <v>TN</v>
          </cell>
          <cell r="AA469" t="str">
            <v>21.05.2026</v>
          </cell>
          <cell r="AB469" t="str">
            <v>31.12.2030</v>
          </cell>
          <cell r="AC469">
            <v>306.89999999999998</v>
          </cell>
        </row>
        <row r="470">
          <cell r="H470" t="str">
            <v>10264039</v>
          </cell>
          <cell r="I470" t="str">
            <v>MOV GRAVA TRITURADA CALIZA 20M</v>
          </cell>
          <cell r="J470">
            <v>260</v>
          </cell>
          <cell r="K470" t="str">
            <v>MXN</v>
          </cell>
          <cell r="L470" t="str">
            <v>TN</v>
          </cell>
          <cell r="M470" t="str">
            <v>01.08.2026</v>
          </cell>
          <cell r="N470" t="str">
            <v>31.12.9999</v>
          </cell>
          <cell r="O470" t="str">
            <v>28.07.2026</v>
          </cell>
          <cell r="P470" t="str">
            <v>ZMIF</v>
          </cell>
          <cell r="Q470">
            <v>34.1</v>
          </cell>
          <cell r="R470" t="str">
            <v>MXN</v>
          </cell>
          <cell r="S470" t="str">
            <v>TN</v>
          </cell>
          <cell r="T470" t="str">
            <v>01.08.2026</v>
          </cell>
          <cell r="U470" t="str">
            <v>31.12.9999</v>
          </cell>
          <cell r="V470" t="str">
            <v>ZICF</v>
          </cell>
          <cell r="W470" t="str">
            <v>01</v>
          </cell>
          <cell r="X470">
            <v>84.3</v>
          </cell>
          <cell r="Y470" t="str">
            <v>MXN</v>
          </cell>
          <cell r="Z470" t="str">
            <v>TN</v>
          </cell>
          <cell r="AA470" t="str">
            <v>21.05.2026</v>
          </cell>
          <cell r="AB470" t="str">
            <v>31.12.2030</v>
          </cell>
          <cell r="AC470">
            <v>294.10000000000002</v>
          </cell>
        </row>
        <row r="471">
          <cell r="H471" t="str">
            <v>10000101</v>
          </cell>
          <cell r="I471" t="str">
            <v>Arena Triturada Caliza Malla 4</v>
          </cell>
          <cell r="J471">
            <v>250</v>
          </cell>
          <cell r="K471" t="str">
            <v>MXN</v>
          </cell>
          <cell r="L471" t="str">
            <v>TN</v>
          </cell>
          <cell r="M471" t="str">
            <v>01.08.2026</v>
          </cell>
          <cell r="N471" t="str">
            <v>31.12.9999</v>
          </cell>
          <cell r="O471" t="str">
            <v>28.07.2026</v>
          </cell>
          <cell r="P471" t="str">
            <v>ZMIF</v>
          </cell>
          <cell r="Q471">
            <v>56.9</v>
          </cell>
          <cell r="R471" t="str">
            <v>MXN</v>
          </cell>
          <cell r="S471" t="str">
            <v>TN</v>
          </cell>
          <cell r="T471" t="str">
            <v>01.08.2026</v>
          </cell>
          <cell r="U471" t="str">
            <v>31.12.9999</v>
          </cell>
          <cell r="V471" t="str">
            <v>ZICF</v>
          </cell>
          <cell r="W471" t="str">
            <v>01</v>
          </cell>
          <cell r="X471">
            <v>149.97999999999999</v>
          </cell>
          <cell r="Y471" t="str">
            <v>MXN</v>
          </cell>
          <cell r="Z471" t="str">
            <v>TN</v>
          </cell>
          <cell r="AA471" t="str">
            <v>21.05.2026</v>
          </cell>
          <cell r="AB471" t="str">
            <v>31.12.2030</v>
          </cell>
          <cell r="AC471">
            <v>306.89999999999998</v>
          </cell>
        </row>
        <row r="472">
          <cell r="H472" t="str">
            <v>10000110</v>
          </cell>
          <cell r="I472" t="str">
            <v>GRAVA TRITURADA CALIZA 20 MM “</v>
          </cell>
          <cell r="J472">
            <v>260</v>
          </cell>
          <cell r="K472" t="str">
            <v>MXN</v>
          </cell>
          <cell r="L472" t="str">
            <v>TN</v>
          </cell>
          <cell r="M472" t="str">
            <v>01.08.2026</v>
          </cell>
          <cell r="N472" t="str">
            <v>31.12.9999</v>
          </cell>
          <cell r="O472" t="str">
            <v>28.07.2026</v>
          </cell>
          <cell r="P472" t="str">
            <v>ZMIF</v>
          </cell>
          <cell r="Q472">
            <v>34.1</v>
          </cell>
          <cell r="R472" t="str">
            <v>MXN</v>
          </cell>
          <cell r="S472" t="str">
            <v>TN</v>
          </cell>
          <cell r="T472" t="str">
            <v>01.08.2026</v>
          </cell>
          <cell r="U472" t="str">
            <v>31.12.9999</v>
          </cell>
          <cell r="V472" t="str">
            <v>ZICF</v>
          </cell>
          <cell r="W472" t="str">
            <v>01</v>
          </cell>
          <cell r="X472">
            <v>176.95</v>
          </cell>
          <cell r="Y472" t="str">
            <v>MXN</v>
          </cell>
          <cell r="Z472" t="str">
            <v>TN</v>
          </cell>
          <cell r="AA472" t="str">
            <v>21.05.2026</v>
          </cell>
          <cell r="AB472" t="str">
            <v>31.12.2030</v>
          </cell>
          <cell r="AC472">
            <v>294.10000000000002</v>
          </cell>
        </row>
        <row r="473">
          <cell r="H473" t="str">
            <v>10000112</v>
          </cell>
          <cell r="I473" t="str">
            <v>Grava Triturada Caliza 13 mm -</v>
          </cell>
          <cell r="J473">
            <v>260</v>
          </cell>
          <cell r="K473" t="str">
            <v>MXN</v>
          </cell>
          <cell r="L473" t="str">
            <v>TN</v>
          </cell>
          <cell r="M473" t="str">
            <v>01.08.2026</v>
          </cell>
          <cell r="N473" t="str">
            <v>31.12.9999</v>
          </cell>
          <cell r="O473" t="str">
            <v>28.07.2026</v>
          </cell>
          <cell r="P473" t="str">
            <v>ZMIF</v>
          </cell>
          <cell r="Q473">
            <v>-17.68</v>
          </cell>
          <cell r="R473" t="str">
            <v>MXN</v>
          </cell>
          <cell r="S473" t="str">
            <v>TN</v>
          </cell>
          <cell r="T473" t="str">
            <v>01.08.2026</v>
          </cell>
          <cell r="U473" t="str">
            <v>31.12.9999</v>
          </cell>
          <cell r="V473" t="str">
            <v>ZICF</v>
          </cell>
          <cell r="W473" t="str">
            <v>01</v>
          </cell>
          <cell r="X473">
            <v>177.99</v>
          </cell>
          <cell r="Y473" t="str">
            <v>MXN</v>
          </cell>
          <cell r="Z473" t="str">
            <v>TN</v>
          </cell>
          <cell r="AA473" t="str">
            <v>21.05.2026</v>
          </cell>
          <cell r="AB473" t="str">
            <v>31.12.2030</v>
          </cell>
          <cell r="AC473">
            <v>242.32</v>
          </cell>
        </row>
        <row r="474">
          <cell r="H474" t="str">
            <v>10264038</v>
          </cell>
          <cell r="I474" t="str">
            <v>MOV ARENA TRITURADA CALIZA MAL</v>
          </cell>
          <cell r="J474">
            <v>250</v>
          </cell>
          <cell r="K474" t="str">
            <v>MXN</v>
          </cell>
          <cell r="L474" t="str">
            <v>TN</v>
          </cell>
          <cell r="M474" t="str">
            <v>01.08.2026</v>
          </cell>
          <cell r="N474" t="str">
            <v>31.12.9999</v>
          </cell>
          <cell r="O474" t="str">
            <v>28.07.2026</v>
          </cell>
          <cell r="P474" t="str">
            <v>ZMIF</v>
          </cell>
          <cell r="Q474">
            <v>56.9</v>
          </cell>
          <cell r="R474" t="str">
            <v>MXN</v>
          </cell>
          <cell r="S474" t="str">
            <v>TN</v>
          </cell>
          <cell r="T474" t="str">
            <v>01.08.2026</v>
          </cell>
          <cell r="U474" t="str">
            <v>31.12.9999</v>
          </cell>
          <cell r="V474" t="str">
            <v>ZICF</v>
          </cell>
          <cell r="W474" t="str">
            <v>01</v>
          </cell>
          <cell r="X474">
            <v>149.97999999999999</v>
          </cell>
          <cell r="Y474" t="str">
            <v>MXN</v>
          </cell>
          <cell r="Z474" t="str">
            <v>TN</v>
          </cell>
          <cell r="AA474" t="str">
            <v>21.05.2026</v>
          </cell>
          <cell r="AB474" t="str">
            <v>31.12.2030</v>
          </cell>
          <cell r="AC474">
            <v>306.89999999999998</v>
          </cell>
        </row>
        <row r="475">
          <cell r="H475" t="str">
            <v>10264039</v>
          </cell>
          <cell r="I475" t="str">
            <v>MOV GRAVA TRITURADA CALIZA 20M</v>
          </cell>
          <cell r="J475">
            <v>260</v>
          </cell>
          <cell r="K475" t="str">
            <v>MXN</v>
          </cell>
          <cell r="L475" t="str">
            <v>TN</v>
          </cell>
          <cell r="M475" t="str">
            <v>01.08.2026</v>
          </cell>
          <cell r="N475" t="str">
            <v>31.12.9999</v>
          </cell>
          <cell r="O475" t="str">
            <v>28.07.2026</v>
          </cell>
          <cell r="P475" t="str">
            <v>ZMIF</v>
          </cell>
          <cell r="Q475">
            <v>34.1</v>
          </cell>
          <cell r="R475" t="str">
            <v>MXN</v>
          </cell>
          <cell r="S475" t="str">
            <v>TN</v>
          </cell>
          <cell r="T475" t="str">
            <v>01.08.2026</v>
          </cell>
          <cell r="U475" t="str">
            <v>31.12.9999</v>
          </cell>
          <cell r="V475" t="str">
            <v>ZICF</v>
          </cell>
          <cell r="W475" t="str">
            <v>01</v>
          </cell>
          <cell r="X475">
            <v>176.95</v>
          </cell>
          <cell r="Y475" t="str">
            <v>MXN</v>
          </cell>
          <cell r="Z475" t="str">
            <v>TN</v>
          </cell>
          <cell r="AA475" t="str">
            <v>21.05.2026</v>
          </cell>
          <cell r="AB475" t="str">
            <v>31.12.2030</v>
          </cell>
          <cell r="AC475">
            <v>294.10000000000002</v>
          </cell>
        </row>
        <row r="476">
          <cell r="H476" t="str">
            <v>10000101</v>
          </cell>
          <cell r="I476" t="str">
            <v>Arena Triturada Caliza Malla 4</v>
          </cell>
          <cell r="J476">
            <v>250</v>
          </cell>
          <cell r="K476" t="str">
            <v>MXN</v>
          </cell>
          <cell r="L476" t="str">
            <v>TN</v>
          </cell>
          <cell r="M476" t="str">
            <v>01.08.2026</v>
          </cell>
          <cell r="N476" t="str">
            <v>31.12.9999</v>
          </cell>
          <cell r="O476" t="str">
            <v>28.07.2026</v>
          </cell>
          <cell r="P476" t="str">
            <v>ZMIF</v>
          </cell>
          <cell r="Q476">
            <v>56.9</v>
          </cell>
          <cell r="R476" t="str">
            <v>MXN</v>
          </cell>
          <cell r="S476" t="str">
            <v>TN</v>
          </cell>
          <cell r="T476" t="str">
            <v>01.08.2026</v>
          </cell>
          <cell r="U476" t="str">
            <v>31.12.9999</v>
          </cell>
          <cell r="V476" t="str">
            <v>ZICF</v>
          </cell>
          <cell r="W476" t="str">
            <v>01</v>
          </cell>
          <cell r="X476">
            <v>150.72999999999999</v>
          </cell>
          <cell r="Y476" t="str">
            <v>MXN</v>
          </cell>
          <cell r="Z476" t="str">
            <v>TN</v>
          </cell>
          <cell r="AA476" t="str">
            <v>21.05.2026</v>
          </cell>
          <cell r="AB476" t="str">
            <v>31.12.2030</v>
          </cell>
          <cell r="AC476">
            <v>306.89999999999998</v>
          </cell>
        </row>
        <row r="477">
          <cell r="H477" t="str">
            <v>10000110</v>
          </cell>
          <cell r="I477" t="str">
            <v>GRAVA TRITURADA CALIZA 20 MM “</v>
          </cell>
          <cell r="J477">
            <v>260</v>
          </cell>
          <cell r="K477" t="str">
            <v>MXN</v>
          </cell>
          <cell r="L477" t="str">
            <v>TN</v>
          </cell>
          <cell r="M477" t="str">
            <v>01.08.2026</v>
          </cell>
          <cell r="N477" t="str">
            <v>31.12.9999</v>
          </cell>
          <cell r="O477" t="str">
            <v>28.07.2026</v>
          </cell>
          <cell r="P477" t="str">
            <v>ZMIF</v>
          </cell>
          <cell r="Q477">
            <v>34.1</v>
          </cell>
          <cell r="R477" t="str">
            <v>MXN</v>
          </cell>
          <cell r="S477" t="str">
            <v>TN</v>
          </cell>
          <cell r="T477" t="str">
            <v>01.08.2026</v>
          </cell>
          <cell r="U477" t="str">
            <v>31.12.9999</v>
          </cell>
          <cell r="V477" t="str">
            <v>ZICF</v>
          </cell>
          <cell r="W477" t="str">
            <v>01</v>
          </cell>
          <cell r="X477">
            <v>177.84</v>
          </cell>
          <cell r="Y477" t="str">
            <v>MXN</v>
          </cell>
          <cell r="Z477" t="str">
            <v>TN</v>
          </cell>
          <cell r="AA477" t="str">
            <v>21.05.2026</v>
          </cell>
          <cell r="AB477" t="str">
            <v>31.12.2030</v>
          </cell>
          <cell r="AC477">
            <v>294.10000000000002</v>
          </cell>
        </row>
        <row r="478">
          <cell r="H478" t="str">
            <v>10000112</v>
          </cell>
          <cell r="I478" t="str">
            <v>Grava Triturada Caliza 13 mm -</v>
          </cell>
          <cell r="J478">
            <v>260</v>
          </cell>
          <cell r="K478" t="str">
            <v>MXN</v>
          </cell>
          <cell r="L478" t="str">
            <v>TN</v>
          </cell>
          <cell r="M478" t="str">
            <v>01.08.2026</v>
          </cell>
          <cell r="N478" t="str">
            <v>31.12.9999</v>
          </cell>
          <cell r="O478" t="str">
            <v>28.07.2026</v>
          </cell>
          <cell r="P478" t="str">
            <v>ZMIF</v>
          </cell>
          <cell r="Q478">
            <v>-17.68</v>
          </cell>
          <cell r="R478" t="str">
            <v>MXN</v>
          </cell>
          <cell r="S478" t="str">
            <v>TN</v>
          </cell>
          <cell r="T478" t="str">
            <v>01.08.2026</v>
          </cell>
          <cell r="U478" t="str">
            <v>31.12.9999</v>
          </cell>
          <cell r="V478" t="str">
            <v>ZICF</v>
          </cell>
          <cell r="W478" t="str">
            <v>01</v>
          </cell>
          <cell r="X478">
            <v>178.88</v>
          </cell>
          <cell r="Y478" t="str">
            <v>MXN</v>
          </cell>
          <cell r="Z478" t="str">
            <v>TN</v>
          </cell>
          <cell r="AA478" t="str">
            <v>21.05.2026</v>
          </cell>
          <cell r="AB478" t="str">
            <v>31.12.2030</v>
          </cell>
          <cell r="AC478">
            <v>242.32</v>
          </cell>
        </row>
        <row r="479">
          <cell r="H479" t="str">
            <v>10000579</v>
          </cell>
          <cell r="I479" t="str">
            <v>Grava Triturada Caliza 40 mm -</v>
          </cell>
          <cell r="J479">
            <v>260</v>
          </cell>
          <cell r="K479" t="str">
            <v>MXN</v>
          </cell>
          <cell r="L479" t="str">
            <v>TN</v>
          </cell>
          <cell r="M479" t="str">
            <v>01.08.2026</v>
          </cell>
          <cell r="N479" t="str">
            <v>31.12.9999</v>
          </cell>
          <cell r="O479" t="str">
            <v>28.07.2026</v>
          </cell>
          <cell r="P479" t="str">
            <v>ZMIF</v>
          </cell>
          <cell r="Q479">
            <v>-32.89</v>
          </cell>
          <cell r="R479" t="str">
            <v>MXN</v>
          </cell>
          <cell r="S479" t="str">
            <v>TN</v>
          </cell>
          <cell r="T479" t="str">
            <v>01.08.2026</v>
          </cell>
          <cell r="U479" t="str">
            <v>31.12.9999</v>
          </cell>
          <cell r="V479" t="str">
            <v>ZICF</v>
          </cell>
          <cell r="W479" t="str">
            <v>01</v>
          </cell>
          <cell r="X479">
            <v>153.99</v>
          </cell>
          <cell r="Y479" t="str">
            <v>MXN</v>
          </cell>
          <cell r="Z479" t="str">
            <v>TN</v>
          </cell>
          <cell r="AA479" t="str">
            <v>21.05.2026</v>
          </cell>
          <cell r="AB479" t="str">
            <v>31.12.2030</v>
          </cell>
          <cell r="AC479">
            <v>227.11</v>
          </cell>
        </row>
        <row r="480">
          <cell r="H480" t="str">
            <v>10264038</v>
          </cell>
          <cell r="I480" t="str">
            <v>MOV ARENA TRITURADA CALIZA MAL</v>
          </cell>
          <cell r="J480">
            <v>250</v>
          </cell>
          <cell r="K480" t="str">
            <v>MXN</v>
          </cell>
          <cell r="L480" t="str">
            <v>TN</v>
          </cell>
          <cell r="M480" t="str">
            <v>01.08.2026</v>
          </cell>
          <cell r="N480" t="str">
            <v>31.12.9999</v>
          </cell>
          <cell r="O480" t="str">
            <v>28.07.2026</v>
          </cell>
          <cell r="P480" t="str">
            <v>ZMIF</v>
          </cell>
          <cell r="Q480">
            <v>56.9</v>
          </cell>
          <cell r="R480" t="str">
            <v>MXN</v>
          </cell>
          <cell r="S480" t="str">
            <v>TN</v>
          </cell>
          <cell r="T480" t="str">
            <v>01.08.2026</v>
          </cell>
          <cell r="U480" t="str">
            <v>31.12.9999</v>
          </cell>
          <cell r="V480" t="str">
            <v>ZICF</v>
          </cell>
          <cell r="W480" t="str">
            <v>01</v>
          </cell>
          <cell r="X480">
            <v>150.72999999999999</v>
          </cell>
          <cell r="Y480" t="str">
            <v>MXN</v>
          </cell>
          <cell r="Z480" t="str">
            <v>TN</v>
          </cell>
          <cell r="AA480" t="str">
            <v>21.05.2026</v>
          </cell>
          <cell r="AB480" t="str">
            <v>31.12.2030</v>
          </cell>
          <cell r="AC480">
            <v>306.89999999999998</v>
          </cell>
        </row>
        <row r="481">
          <cell r="H481" t="str">
            <v>10264039</v>
          </cell>
          <cell r="I481" t="str">
            <v>MOV GRAVA TRITURADA CALIZA 20M</v>
          </cell>
          <cell r="J481">
            <v>260</v>
          </cell>
          <cell r="K481" t="str">
            <v>MXN</v>
          </cell>
          <cell r="L481" t="str">
            <v>TN</v>
          </cell>
          <cell r="M481" t="str">
            <v>01.08.2026</v>
          </cell>
          <cell r="N481" t="str">
            <v>31.12.9999</v>
          </cell>
          <cell r="O481" t="str">
            <v>28.07.2026</v>
          </cell>
          <cell r="P481" t="str">
            <v>ZMIF</v>
          </cell>
          <cell r="Q481">
            <v>34.1</v>
          </cell>
          <cell r="R481" t="str">
            <v>MXN</v>
          </cell>
          <cell r="S481" t="str">
            <v>TN</v>
          </cell>
          <cell r="T481" t="str">
            <v>01.08.2026</v>
          </cell>
          <cell r="U481" t="str">
            <v>31.12.9999</v>
          </cell>
          <cell r="V481" t="str">
            <v>ZICF</v>
          </cell>
          <cell r="W481" t="str">
            <v>01</v>
          </cell>
          <cell r="X481">
            <v>177.84</v>
          </cell>
          <cell r="Y481" t="str">
            <v>MXN</v>
          </cell>
          <cell r="Z481" t="str">
            <v>TN</v>
          </cell>
          <cell r="AA481" t="str">
            <v>21.05.2026</v>
          </cell>
          <cell r="AB481" t="str">
            <v>31.12.2030</v>
          </cell>
          <cell r="AC481">
            <v>294.10000000000002</v>
          </cell>
        </row>
        <row r="482">
          <cell r="H482" t="str">
            <v>10000101</v>
          </cell>
          <cell r="I482" t="str">
            <v>Arena Triturada Caliza Malla 4</v>
          </cell>
          <cell r="J482">
            <v>250</v>
          </cell>
          <cell r="K482" t="str">
            <v>MXN</v>
          </cell>
          <cell r="L482" t="str">
            <v>TN</v>
          </cell>
          <cell r="M482" t="str">
            <v>01.08.2026</v>
          </cell>
          <cell r="N482" t="str">
            <v>31.12.9999</v>
          </cell>
          <cell r="O482" t="str">
            <v>28.07.2026</v>
          </cell>
          <cell r="P482" t="str">
            <v>ZMIF</v>
          </cell>
          <cell r="Q482">
            <v>56.9</v>
          </cell>
          <cell r="R482" t="str">
            <v>MXN</v>
          </cell>
          <cell r="S482" t="str">
            <v>TN</v>
          </cell>
          <cell r="T482" t="str">
            <v>01.08.2026</v>
          </cell>
          <cell r="U482" t="str">
            <v>31.12.9999</v>
          </cell>
          <cell r="V482" t="str">
            <v>ZICF</v>
          </cell>
          <cell r="W482" t="str">
            <v>01</v>
          </cell>
          <cell r="X482">
            <v>466.83</v>
          </cell>
          <cell r="Y482" t="str">
            <v>MXN</v>
          </cell>
          <cell r="Z482" t="str">
            <v>TN</v>
          </cell>
          <cell r="AA482" t="str">
            <v>17.07.2023</v>
          </cell>
          <cell r="AB482" t="str">
            <v>31.12.9999</v>
          </cell>
          <cell r="AC482">
            <v>306.89999999999998</v>
          </cell>
        </row>
        <row r="483">
          <cell r="H483" t="str">
            <v>10000110</v>
          </cell>
          <cell r="I483" t="str">
            <v>GRAVA TRITURADA CALIZA 20 MM “</v>
          </cell>
          <cell r="J483">
            <v>260</v>
          </cell>
          <cell r="K483" t="str">
            <v>MXN</v>
          </cell>
          <cell r="L483" t="str">
            <v>TN</v>
          </cell>
          <cell r="M483" t="str">
            <v>01.08.2026</v>
          </cell>
          <cell r="N483" t="str">
            <v>31.12.9999</v>
          </cell>
          <cell r="O483" t="str">
            <v>28.07.2026</v>
          </cell>
          <cell r="P483" t="str">
            <v>ZMIF</v>
          </cell>
          <cell r="Q483">
            <v>34.1</v>
          </cell>
          <cell r="R483" t="str">
            <v>MXN</v>
          </cell>
          <cell r="S483" t="str">
            <v>TN</v>
          </cell>
          <cell r="T483" t="str">
            <v>01.08.2026</v>
          </cell>
          <cell r="U483" t="str">
            <v>31.12.9999</v>
          </cell>
          <cell r="V483" t="str">
            <v>ZICF</v>
          </cell>
          <cell r="W483" t="str">
            <v>01</v>
          </cell>
          <cell r="X483">
            <v>550.79</v>
          </cell>
          <cell r="Y483" t="str">
            <v>MXN</v>
          </cell>
          <cell r="Z483" t="str">
            <v>TN</v>
          </cell>
          <cell r="AA483" t="str">
            <v>17.07.2023</v>
          </cell>
          <cell r="AB483" t="str">
            <v>31.12.9999</v>
          </cell>
          <cell r="AC483">
            <v>294.10000000000002</v>
          </cell>
        </row>
        <row r="484">
          <cell r="H484" t="str">
            <v>10000112</v>
          </cell>
          <cell r="I484" t="str">
            <v>Grava Triturada Caliza 13 mm -</v>
          </cell>
          <cell r="J484">
            <v>260</v>
          </cell>
          <cell r="K484" t="str">
            <v>MXN</v>
          </cell>
          <cell r="L484" t="str">
            <v>TN</v>
          </cell>
          <cell r="M484" t="str">
            <v>01.08.2026</v>
          </cell>
          <cell r="N484" t="str">
            <v>31.12.9999</v>
          </cell>
          <cell r="O484" t="str">
            <v>28.07.2026</v>
          </cell>
          <cell r="P484" t="str">
            <v>ZMIF</v>
          </cell>
          <cell r="Q484">
            <v>-17.68</v>
          </cell>
          <cell r="R484" t="str">
            <v>MXN</v>
          </cell>
          <cell r="S484" t="str">
            <v>TN</v>
          </cell>
          <cell r="T484" t="str">
            <v>01.08.2026</v>
          </cell>
          <cell r="U484" t="str">
            <v>31.12.9999</v>
          </cell>
          <cell r="V484" t="str">
            <v>ZICF</v>
          </cell>
          <cell r="W484" t="str">
            <v>01</v>
          </cell>
          <cell r="X484">
            <v>554.02</v>
          </cell>
          <cell r="Y484" t="str">
            <v>MXN</v>
          </cell>
          <cell r="Z484" t="str">
            <v>TN</v>
          </cell>
          <cell r="AA484" t="str">
            <v>17.07.2023</v>
          </cell>
          <cell r="AB484" t="str">
            <v>31.12.9999</v>
          </cell>
          <cell r="AC484">
            <v>242.32</v>
          </cell>
        </row>
        <row r="485">
          <cell r="H485" t="str">
            <v>10264038</v>
          </cell>
          <cell r="I485" t="str">
            <v>MOV ARENA TRITURADA CALIZA MAL</v>
          </cell>
          <cell r="J485">
            <v>250</v>
          </cell>
          <cell r="K485" t="str">
            <v>MXN</v>
          </cell>
          <cell r="L485" t="str">
            <v>TN</v>
          </cell>
          <cell r="M485" t="str">
            <v>01.08.2026</v>
          </cell>
          <cell r="N485" t="str">
            <v>31.12.9999</v>
          </cell>
          <cell r="O485" t="str">
            <v>28.07.2026</v>
          </cell>
          <cell r="P485" t="str">
            <v>ZMIF</v>
          </cell>
          <cell r="Q485">
            <v>56.9</v>
          </cell>
          <cell r="R485" t="str">
            <v>MXN</v>
          </cell>
          <cell r="S485" t="str">
            <v>TN</v>
          </cell>
          <cell r="T485" t="str">
            <v>01.08.2026</v>
          </cell>
          <cell r="U485" t="str">
            <v>31.12.9999</v>
          </cell>
          <cell r="V485" t="str">
            <v>ZICF</v>
          </cell>
          <cell r="W485" t="str">
            <v>01</v>
          </cell>
          <cell r="X485">
            <v>466.83</v>
          </cell>
          <cell r="Y485" t="str">
            <v>MXN</v>
          </cell>
          <cell r="Z485" t="str">
            <v>TN</v>
          </cell>
          <cell r="AA485" t="str">
            <v>01.07.2025</v>
          </cell>
          <cell r="AB485" t="str">
            <v>31.12.9999</v>
          </cell>
          <cell r="AC485">
            <v>306.89999999999998</v>
          </cell>
        </row>
        <row r="486">
          <cell r="H486" t="str">
            <v>10264039</v>
          </cell>
          <cell r="I486" t="str">
            <v>MOV GRAVA TRITURADA CALIZA 20M</v>
          </cell>
          <cell r="J486">
            <v>260</v>
          </cell>
          <cell r="K486" t="str">
            <v>MXN</v>
          </cell>
          <cell r="L486" t="str">
            <v>TN</v>
          </cell>
          <cell r="M486" t="str">
            <v>01.08.2026</v>
          </cell>
          <cell r="N486" t="str">
            <v>31.12.9999</v>
          </cell>
          <cell r="O486" t="str">
            <v>28.07.2026</v>
          </cell>
          <cell r="P486" t="str">
            <v>ZMIF</v>
          </cell>
          <cell r="Q486">
            <v>34.1</v>
          </cell>
          <cell r="R486" t="str">
            <v>MXN</v>
          </cell>
          <cell r="S486" t="str">
            <v>TN</v>
          </cell>
          <cell r="T486" t="str">
            <v>01.08.2026</v>
          </cell>
          <cell r="U486" t="str">
            <v>31.12.9999</v>
          </cell>
          <cell r="V486" t="str">
            <v>ZICF</v>
          </cell>
          <cell r="W486" t="str">
            <v>01</v>
          </cell>
          <cell r="X486">
            <v>550.79</v>
          </cell>
          <cell r="Y486" t="str">
            <v>MXN</v>
          </cell>
          <cell r="Z486" t="str">
            <v>TN</v>
          </cell>
          <cell r="AA486" t="str">
            <v>01.07.2025</v>
          </cell>
          <cell r="AB486" t="str">
            <v>31.12.9999</v>
          </cell>
          <cell r="AC486">
            <v>294.10000000000002</v>
          </cell>
        </row>
        <row r="487">
          <cell r="H487" t="str">
            <v>10000101</v>
          </cell>
          <cell r="I487" t="str">
            <v>Arena Triturada Caliza Malla 4</v>
          </cell>
          <cell r="J487">
            <v>289.33999999999997</v>
          </cell>
          <cell r="K487" t="str">
            <v>MXN</v>
          </cell>
          <cell r="L487" t="str">
            <v>TN</v>
          </cell>
          <cell r="M487" t="str">
            <v>17.12.2025</v>
          </cell>
          <cell r="N487" t="str">
            <v>31.12.9999</v>
          </cell>
          <cell r="O487" t="str">
            <v>18.12.2025</v>
          </cell>
          <cell r="P487"/>
          <cell r="Q487"/>
          <cell r="R487"/>
          <cell r="S487"/>
          <cell r="T487"/>
          <cell r="U487"/>
          <cell r="V487" t="str">
            <v>ZICF</v>
          </cell>
          <cell r="W487" t="str">
            <v>01</v>
          </cell>
          <cell r="X487">
            <v>111.15</v>
          </cell>
          <cell r="Y487" t="str">
            <v>MXN</v>
          </cell>
          <cell r="Z487" t="str">
            <v>TN</v>
          </cell>
          <cell r="AA487" t="str">
            <v>01.09.2025</v>
          </cell>
          <cell r="AB487" t="str">
            <v>31.12.9999</v>
          </cell>
          <cell r="AC487">
            <v>289.33999999999997</v>
          </cell>
        </row>
        <row r="488">
          <cell r="H488" t="str">
            <v>10000103</v>
          </cell>
          <cell r="I488" t="str">
            <v>Base H Triturada Caliza 1 1/2"</v>
          </cell>
          <cell r="J488">
            <v>106.02</v>
          </cell>
          <cell r="K488" t="str">
            <v>MXN</v>
          </cell>
          <cell r="L488" t="str">
            <v>TN</v>
          </cell>
          <cell r="M488" t="str">
            <v>17.09.2025</v>
          </cell>
          <cell r="N488" t="str">
            <v>31.12.9999</v>
          </cell>
          <cell r="O488" t="str">
            <v>22.09.2025</v>
          </cell>
          <cell r="P488"/>
          <cell r="Q488"/>
          <cell r="R488"/>
          <cell r="S488"/>
          <cell r="T488"/>
          <cell r="U488"/>
          <cell r="V488" t="str">
            <v>ZICF</v>
          </cell>
          <cell r="W488" t="str">
            <v>01</v>
          </cell>
          <cell r="X488">
            <v>107.73</v>
          </cell>
          <cell r="Y488" t="str">
            <v>MXN</v>
          </cell>
          <cell r="Z488" t="str">
            <v>TN</v>
          </cell>
          <cell r="AA488" t="str">
            <v>17.09.2025</v>
          </cell>
          <cell r="AB488" t="str">
            <v>31.12.9999</v>
          </cell>
          <cell r="AC488">
            <v>106.02</v>
          </cell>
        </row>
        <row r="489">
          <cell r="H489" t="str">
            <v>10000110</v>
          </cell>
          <cell r="I489" t="str">
            <v>GRAVA TRITURADA CALIZA 20 MM “</v>
          </cell>
          <cell r="J489">
            <v>316.39999999999998</v>
          </cell>
          <cell r="K489" t="str">
            <v>MXN</v>
          </cell>
          <cell r="L489" t="str">
            <v>TN</v>
          </cell>
          <cell r="M489" t="str">
            <v>19.03.2025</v>
          </cell>
          <cell r="N489" t="str">
            <v>31.12.9999</v>
          </cell>
          <cell r="O489" t="str">
            <v>24.03.2025</v>
          </cell>
          <cell r="P489"/>
          <cell r="Q489"/>
          <cell r="R489"/>
          <cell r="S489"/>
          <cell r="T489"/>
          <cell r="U489"/>
          <cell r="V489" t="str">
            <v>ZICF</v>
          </cell>
          <cell r="W489" t="str">
            <v>01</v>
          </cell>
          <cell r="X489">
            <v>131.13999999999999</v>
          </cell>
          <cell r="Y489" t="str">
            <v>MXN</v>
          </cell>
          <cell r="Z489" t="str">
            <v>TN</v>
          </cell>
          <cell r="AA489" t="str">
            <v>19.03.2025</v>
          </cell>
          <cell r="AB489" t="str">
            <v>31.12.9999</v>
          </cell>
          <cell r="AC489">
            <v>316.39999999999998</v>
          </cell>
        </row>
        <row r="490">
          <cell r="H490" t="str">
            <v>10000112</v>
          </cell>
          <cell r="I490" t="str">
            <v>Grava Triturada Caliza 13 mm -</v>
          </cell>
          <cell r="J490">
            <v>263.82</v>
          </cell>
          <cell r="K490" t="str">
            <v>MXN</v>
          </cell>
          <cell r="L490" t="str">
            <v>TN</v>
          </cell>
          <cell r="M490" t="str">
            <v>01.06.2023</v>
          </cell>
          <cell r="N490" t="str">
            <v>31.12.9999</v>
          </cell>
          <cell r="O490" t="str">
            <v>06.09.2023</v>
          </cell>
          <cell r="P490"/>
          <cell r="Q490"/>
          <cell r="R490"/>
          <cell r="S490"/>
          <cell r="T490"/>
          <cell r="U490"/>
          <cell r="V490" t="str">
            <v>ZICF</v>
          </cell>
          <cell r="W490" t="str">
            <v>01</v>
          </cell>
          <cell r="X490">
            <v>722.86</v>
          </cell>
          <cell r="Y490" t="str">
            <v>MXN</v>
          </cell>
          <cell r="Z490" t="str">
            <v>TN</v>
          </cell>
          <cell r="AA490" t="str">
            <v>06.09.2023</v>
          </cell>
          <cell r="AB490" t="str">
            <v>31.12.9999</v>
          </cell>
          <cell r="AC490">
            <v>263.82</v>
          </cell>
        </row>
        <row r="491">
          <cell r="H491" t="str">
            <v>10000579</v>
          </cell>
          <cell r="I491" t="str">
            <v>Grava Triturada Caliza 40 mm -</v>
          </cell>
          <cell r="J491">
            <v>227.11</v>
          </cell>
          <cell r="K491" t="str">
            <v>MXN</v>
          </cell>
          <cell r="L491" t="str">
            <v>TN</v>
          </cell>
          <cell r="M491" t="str">
            <v>17.12.2025</v>
          </cell>
          <cell r="N491" t="str">
            <v>31.12.9999</v>
          </cell>
          <cell r="O491" t="str">
            <v>18.12.2025</v>
          </cell>
          <cell r="P491"/>
          <cell r="Q491"/>
          <cell r="R491"/>
          <cell r="S491"/>
          <cell r="T491"/>
          <cell r="U491"/>
          <cell r="V491" t="str">
            <v>ZICF</v>
          </cell>
          <cell r="W491" t="str">
            <v>01</v>
          </cell>
          <cell r="X491">
            <v>113.55</v>
          </cell>
          <cell r="Y491" t="str">
            <v>MXN</v>
          </cell>
          <cell r="Z491" t="str">
            <v>TN</v>
          </cell>
          <cell r="AA491" t="str">
            <v>24.10.2025</v>
          </cell>
          <cell r="AB491" t="str">
            <v>31.12.9999</v>
          </cell>
          <cell r="AC491">
            <v>227.11</v>
          </cell>
        </row>
        <row r="492">
          <cell r="H492" t="str">
            <v>10271224</v>
          </cell>
          <cell r="I492" t="str">
            <v>SUBRASANTE</v>
          </cell>
          <cell r="J492">
            <v>106.02</v>
          </cell>
          <cell r="K492" t="str">
            <v>MXN</v>
          </cell>
          <cell r="L492" t="str">
            <v>TN</v>
          </cell>
          <cell r="M492" t="str">
            <v>26.09.2025</v>
          </cell>
          <cell r="N492" t="str">
            <v>31.12.9999</v>
          </cell>
          <cell r="O492" t="str">
            <v>29.09.2025</v>
          </cell>
          <cell r="P492"/>
          <cell r="Q492"/>
          <cell r="R492"/>
          <cell r="S492"/>
          <cell r="T492"/>
          <cell r="U492"/>
          <cell r="V492" t="str">
            <v>ZICF</v>
          </cell>
          <cell r="W492" t="str">
            <v>01</v>
          </cell>
          <cell r="X492">
            <v>107.73</v>
          </cell>
          <cell r="Y492" t="str">
            <v>MXN</v>
          </cell>
          <cell r="Z492" t="str">
            <v>TN</v>
          </cell>
          <cell r="AA492" t="str">
            <v>26.09.2025</v>
          </cell>
          <cell r="AB492" t="str">
            <v>31.12.9999</v>
          </cell>
          <cell r="AC492">
            <v>106.02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dimiento"/>
      <sheetName val="PIVOTE"/>
      <sheetName val="22 oct"/>
      <sheetName val="23 nov"/>
      <sheetName val="19 Dic"/>
      <sheetName val="24 Feb"/>
      <sheetName val="Datos"/>
      <sheetName val="ZICP"/>
      <sheetName val="Sheet1"/>
      <sheetName val="Sheet3"/>
      <sheetName val="Sheet2"/>
      <sheetName val="23 agosto"/>
      <sheetName val="Hoja2"/>
      <sheetName val="CONSOLIDADO"/>
      <sheetName val="ZMIF"/>
      <sheetName val="ZICF"/>
      <sheetName val="Canteras"/>
      <sheetName val="Hoja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B3" t="str">
            <v>Emisor</v>
          </cell>
          <cell r="C3" t="str">
            <v>Material</v>
          </cell>
          <cell r="D3" t="str">
            <v>Denominación</v>
          </cell>
          <cell r="E3" t="str">
            <v>MATERIAL REF 09 DE ABRIL</v>
          </cell>
        </row>
        <row r="4">
          <cell r="A4" t="str">
            <v>D81310000253</v>
          </cell>
          <cell r="B4" t="str">
            <v>D813</v>
          </cell>
          <cell r="C4">
            <v>10000253</v>
          </cell>
          <cell r="D4" t="str">
            <v>Grava Triturada Andesita 20 mm</v>
          </cell>
          <cell r="E4">
            <v>108.16</v>
          </cell>
        </row>
        <row r="5">
          <cell r="A5" t="str">
            <v>D81310000255</v>
          </cell>
          <cell r="B5" t="str">
            <v>D813</v>
          </cell>
          <cell r="C5">
            <v>10000255</v>
          </cell>
          <cell r="D5" t="str">
            <v>Arena Triturada Andesita Malla</v>
          </cell>
          <cell r="E5">
            <v>108.31</v>
          </cell>
        </row>
        <row r="6">
          <cell r="A6" t="str">
            <v>D81310002350</v>
          </cell>
          <cell r="B6" t="str">
            <v>D813</v>
          </cell>
          <cell r="C6">
            <v>10002350</v>
          </cell>
          <cell r="D6" t="str">
            <v>Grava Triturada Andesita 10mm-</v>
          </cell>
          <cell r="E6">
            <v>125.31</v>
          </cell>
        </row>
        <row r="7">
          <cell r="A7" t="str">
            <v>D81610000124</v>
          </cell>
          <cell r="B7" t="str">
            <v>D816</v>
          </cell>
          <cell r="C7">
            <v>10000124</v>
          </cell>
          <cell r="D7" t="str">
            <v>Arena Triturada Caliza Malla 4</v>
          </cell>
          <cell r="E7">
            <v>284.44</v>
          </cell>
        </row>
        <row r="8">
          <cell r="A8" t="str">
            <v>D81610000237</v>
          </cell>
          <cell r="B8" t="str">
            <v>D816</v>
          </cell>
          <cell r="C8">
            <v>10000237</v>
          </cell>
          <cell r="D8" t="str">
            <v>Grava Triturada Caliza 10 mm -</v>
          </cell>
          <cell r="E8">
            <v>294.32</v>
          </cell>
        </row>
        <row r="9">
          <cell r="A9" t="str">
            <v>D81610000241</v>
          </cell>
          <cell r="B9" t="str">
            <v>D816</v>
          </cell>
          <cell r="C9">
            <v>10000241</v>
          </cell>
          <cell r="D9" t="str">
            <v>Grava Triturada Caliza 20 mm -</v>
          </cell>
          <cell r="E9">
            <v>284.44</v>
          </cell>
        </row>
        <row r="10">
          <cell r="A10" t="str">
            <v>D81610000260</v>
          </cell>
          <cell r="B10" t="str">
            <v>D816</v>
          </cell>
          <cell r="C10">
            <v>10000260</v>
          </cell>
          <cell r="D10" t="str">
            <v>Arena Triturada Caliza Malla 5</v>
          </cell>
          <cell r="E10">
            <v>320.32</v>
          </cell>
        </row>
        <row r="11">
          <cell r="A11" t="str">
            <v>D81610164169</v>
          </cell>
          <cell r="B11" t="str">
            <v>D816</v>
          </cell>
          <cell r="C11">
            <v>10164169</v>
          </cell>
          <cell r="D11" t="str">
            <v>Arena Triturada Caliza Malla 4</v>
          </cell>
          <cell r="E11">
            <v>284.44</v>
          </cell>
        </row>
        <row r="12">
          <cell r="A12" t="str">
            <v>D82410000234</v>
          </cell>
          <cell r="B12" t="str">
            <v>D824</v>
          </cell>
          <cell r="C12">
            <v>10000234</v>
          </cell>
          <cell r="D12" t="str">
            <v>Arena Triturada Basalto  Malla</v>
          </cell>
          <cell r="E12">
            <v>165.36</v>
          </cell>
        </row>
        <row r="13">
          <cell r="A13" t="str">
            <v>D82410000284</v>
          </cell>
          <cell r="B13" t="str">
            <v>D824</v>
          </cell>
          <cell r="C13">
            <v>10000284</v>
          </cell>
          <cell r="D13" t="str">
            <v>Grava Triturada Basalto  20 mm</v>
          </cell>
          <cell r="E13">
            <v>182</v>
          </cell>
        </row>
        <row r="14">
          <cell r="A14" t="str">
            <v>D82410000285</v>
          </cell>
          <cell r="B14" t="str">
            <v>D824</v>
          </cell>
          <cell r="C14">
            <v>10000285</v>
          </cell>
          <cell r="D14" t="str">
            <v>Grava Triturada Basalto  10 mm</v>
          </cell>
          <cell r="E14">
            <v>182</v>
          </cell>
        </row>
        <row r="15">
          <cell r="A15" t="str">
            <v>D82410000287</v>
          </cell>
          <cell r="B15" t="str">
            <v>D824</v>
          </cell>
          <cell r="C15">
            <v>10000287</v>
          </cell>
          <cell r="D15" t="str">
            <v>Grava Triturada Basalto  40 mm</v>
          </cell>
          <cell r="E15">
            <v>182</v>
          </cell>
        </row>
        <row r="16">
          <cell r="A16" t="str">
            <v>D85210038659</v>
          </cell>
          <cell r="B16" t="str">
            <v>D852</v>
          </cell>
          <cell r="C16">
            <v>10038659</v>
          </cell>
          <cell r="D16" t="str">
            <v>Grava Triturada Caliza 40 mm -</v>
          </cell>
          <cell r="E16">
            <v>139.78</v>
          </cell>
        </row>
        <row r="17">
          <cell r="A17" t="str">
            <v>D85210038942</v>
          </cell>
          <cell r="B17" t="str">
            <v>D852</v>
          </cell>
          <cell r="C17">
            <v>10038942</v>
          </cell>
          <cell r="D17" t="str">
            <v>Arena Triturada Caliza Malla 8</v>
          </cell>
          <cell r="E17">
            <v>131.56</v>
          </cell>
        </row>
        <row r="18">
          <cell r="A18" t="str">
            <v>D85210038945</v>
          </cell>
          <cell r="B18" t="str">
            <v>D852</v>
          </cell>
          <cell r="C18">
            <v>10038945</v>
          </cell>
          <cell r="D18" t="str">
            <v>Grava Triturada Caliza 20 mm -</v>
          </cell>
          <cell r="E18">
            <v>118.56</v>
          </cell>
        </row>
        <row r="19">
          <cell r="A19" t="str">
            <v>D85210038947</v>
          </cell>
          <cell r="B19" t="str">
            <v>D852</v>
          </cell>
          <cell r="C19">
            <v>10038947</v>
          </cell>
          <cell r="D19" t="str">
            <v>Grava Triturada Caliza 10 mm -</v>
          </cell>
          <cell r="E19">
            <v>115.44</v>
          </cell>
        </row>
        <row r="20">
          <cell r="A20" t="str">
            <v>D86110000229</v>
          </cell>
          <cell r="B20" t="str">
            <v>D861</v>
          </cell>
          <cell r="C20">
            <v>10000229</v>
          </cell>
          <cell r="D20" t="str">
            <v>Grava Triturada Basalto  10 mm</v>
          </cell>
          <cell r="E20">
            <v>249.35999999999999</v>
          </cell>
        </row>
        <row r="21">
          <cell r="A21" t="str">
            <v>D86110000231</v>
          </cell>
          <cell r="B21" t="str">
            <v>D861</v>
          </cell>
          <cell r="C21">
            <v>10000231</v>
          </cell>
          <cell r="D21" t="str">
            <v>Grava Triturada Basalto 20 mm</v>
          </cell>
          <cell r="E21">
            <v>224.62</v>
          </cell>
        </row>
        <row r="22">
          <cell r="A22" t="str">
            <v>D86110000233</v>
          </cell>
          <cell r="B22" t="str">
            <v>D861</v>
          </cell>
          <cell r="C22">
            <v>10000233</v>
          </cell>
          <cell r="D22" t="str">
            <v>Grava Triturada Basalto  40 mm</v>
          </cell>
          <cell r="E22">
            <v>224.62</v>
          </cell>
        </row>
        <row r="23">
          <cell r="A23" t="str">
            <v>D86110000311</v>
          </cell>
          <cell r="B23" t="str">
            <v>D861</v>
          </cell>
          <cell r="C23">
            <v>10000311</v>
          </cell>
          <cell r="D23" t="str">
            <v>Arena Triturada Basalto  Malla</v>
          </cell>
          <cell r="E23">
            <v>191.26</v>
          </cell>
        </row>
        <row r="24">
          <cell r="A24" t="str">
            <v>D86110000311</v>
          </cell>
          <cell r="B24" t="str">
            <v>D861</v>
          </cell>
          <cell r="C24">
            <v>10000311</v>
          </cell>
          <cell r="D24" t="str">
            <v>Arena Triturada Basalto  Malla</v>
          </cell>
          <cell r="E24">
            <v>240.37</v>
          </cell>
        </row>
        <row r="25">
          <cell r="A25" t="str">
            <v>D86110000311</v>
          </cell>
          <cell r="B25" t="str">
            <v>D861</v>
          </cell>
          <cell r="C25">
            <v>10000311</v>
          </cell>
          <cell r="D25" t="str">
            <v>Arena Triturada Basalto  Malla</v>
          </cell>
          <cell r="E25" t="str">
            <v>#N/D</v>
          </cell>
        </row>
        <row r="26">
          <cell r="A26" t="str">
            <v>D86110066861</v>
          </cell>
          <cell r="B26" t="str">
            <v>D861</v>
          </cell>
          <cell r="C26">
            <v>10066861</v>
          </cell>
          <cell r="D26" t="str">
            <v>GRAVA TRITURADA BASALTO DE 40</v>
          </cell>
          <cell r="E26">
            <v>224.62</v>
          </cell>
        </row>
        <row r="27">
          <cell r="A27" t="str">
            <v>D86110066861</v>
          </cell>
          <cell r="B27" t="str">
            <v>D861</v>
          </cell>
          <cell r="C27">
            <v>10066861</v>
          </cell>
          <cell r="D27" t="str">
            <v>GRAVA TRITURADA BASALTO DE 40</v>
          </cell>
          <cell r="E27" t="str">
            <v>#N/D</v>
          </cell>
        </row>
        <row r="28">
          <cell r="A28" t="str">
            <v>D86310038949</v>
          </cell>
          <cell r="B28" t="str">
            <v>D863</v>
          </cell>
          <cell r="C28">
            <v>10038949</v>
          </cell>
          <cell r="D28" t="str">
            <v>Grava Triturada Caliza 10 mm -</v>
          </cell>
          <cell r="E28">
            <v>166.97</v>
          </cell>
        </row>
        <row r="29">
          <cell r="A29" t="str">
            <v>D86310038949</v>
          </cell>
          <cell r="B29" t="str">
            <v>D863</v>
          </cell>
          <cell r="C29">
            <v>10038949</v>
          </cell>
          <cell r="D29" t="str">
            <v>Grava Triturada Caliza 10 mm -</v>
          </cell>
          <cell r="E29" t="str">
            <v>#N/D</v>
          </cell>
        </row>
        <row r="30">
          <cell r="A30" t="str">
            <v>D86310038950</v>
          </cell>
          <cell r="B30" t="str">
            <v>D863</v>
          </cell>
          <cell r="C30">
            <v>10038950</v>
          </cell>
          <cell r="D30" t="str">
            <v>Grava Triturada Caliza 20 mm -</v>
          </cell>
          <cell r="E30">
            <v>160.04000000000002</v>
          </cell>
        </row>
        <row r="31">
          <cell r="A31" t="str">
            <v>D86310038950</v>
          </cell>
          <cell r="B31" t="str">
            <v>D863</v>
          </cell>
          <cell r="C31">
            <v>10038950</v>
          </cell>
          <cell r="D31" t="str">
            <v>Grava Triturada Caliza 20 mm -</v>
          </cell>
          <cell r="E31" t="str">
            <v>#N/D</v>
          </cell>
        </row>
        <row r="32">
          <cell r="A32" t="str">
            <v>D86310038952</v>
          </cell>
          <cell r="B32" t="str">
            <v>D863</v>
          </cell>
          <cell r="C32">
            <v>10038952</v>
          </cell>
          <cell r="D32" t="str">
            <v>Arena Triturada Caliza Malla 4</v>
          </cell>
          <cell r="E32">
            <v>160.04</v>
          </cell>
        </row>
        <row r="33">
          <cell r="A33" t="str">
            <v>D86310038952</v>
          </cell>
          <cell r="B33" t="str">
            <v>D863</v>
          </cell>
          <cell r="C33">
            <v>10038952</v>
          </cell>
          <cell r="D33" t="str">
            <v>Arena Triturada Caliza Malla 4</v>
          </cell>
          <cell r="E33" t="str">
            <v>#N/D</v>
          </cell>
        </row>
        <row r="34">
          <cell r="A34" t="str">
            <v>D86310049672</v>
          </cell>
          <cell r="B34" t="str">
            <v>D863</v>
          </cell>
          <cell r="C34">
            <v>10049672</v>
          </cell>
          <cell r="D34" t="str">
            <v>Grava Triturada Caliza 40- 4mm</v>
          </cell>
          <cell r="E34">
            <v>166.4</v>
          </cell>
        </row>
        <row r="35">
          <cell r="A35" t="str">
            <v>D86410000236</v>
          </cell>
          <cell r="B35" t="str">
            <v>D864</v>
          </cell>
          <cell r="C35">
            <v>10000236</v>
          </cell>
          <cell r="D35" t="str">
            <v>Grava Triturada Caliza 10 mm -</v>
          </cell>
          <cell r="E35">
            <v>124.8</v>
          </cell>
        </row>
        <row r="36">
          <cell r="A36" t="str">
            <v>D86410000240</v>
          </cell>
          <cell r="B36" t="str">
            <v>D864</v>
          </cell>
          <cell r="C36">
            <v>10000240</v>
          </cell>
          <cell r="D36" t="str">
            <v>Grava Triturada Caliza 20 mm -</v>
          </cell>
          <cell r="E36">
            <v>132.07999999999998</v>
          </cell>
        </row>
        <row r="37">
          <cell r="A37" t="str">
            <v>D86410000269</v>
          </cell>
          <cell r="B37" t="str">
            <v>D864</v>
          </cell>
          <cell r="C37">
            <v>10000269</v>
          </cell>
          <cell r="D37" t="str">
            <v>Grava Triturada Caliza 13 mm -</v>
          </cell>
          <cell r="E37">
            <v>142.48000000000002</v>
          </cell>
        </row>
        <row r="38">
          <cell r="A38" t="str">
            <v>D86410001073</v>
          </cell>
          <cell r="B38" t="str">
            <v>D864</v>
          </cell>
          <cell r="C38">
            <v>10001073</v>
          </cell>
          <cell r="D38" t="str">
            <v>Arena Triturada Caliza Malla 4</v>
          </cell>
          <cell r="E38">
            <v>91</v>
          </cell>
        </row>
        <row r="39">
          <cell r="A39" t="str">
            <v>D86410001074</v>
          </cell>
          <cell r="B39" t="str">
            <v>D864</v>
          </cell>
          <cell r="C39">
            <v>10001074</v>
          </cell>
          <cell r="D39" t="str">
            <v>Grava Triturada Caliza 40 mm -</v>
          </cell>
          <cell r="E39">
            <v>142.48000000000002</v>
          </cell>
        </row>
        <row r="40">
          <cell r="A40" t="str">
            <v>D86410001203</v>
          </cell>
          <cell r="B40" t="str">
            <v>D864</v>
          </cell>
          <cell r="C40">
            <v>10001203</v>
          </cell>
          <cell r="D40" t="str">
            <v>Desperdicio Triturado Caliza</v>
          </cell>
          <cell r="E40">
            <v>23.459999999999997</v>
          </cell>
        </row>
        <row r="41">
          <cell r="A41" t="str">
            <v>D86610000266</v>
          </cell>
          <cell r="B41" t="str">
            <v>D866</v>
          </cell>
          <cell r="C41">
            <v>10000266</v>
          </cell>
          <cell r="D41" t="str">
            <v>Arena Triturada Basalto Malla</v>
          </cell>
          <cell r="E41">
            <v>206.91000000000003</v>
          </cell>
        </row>
        <row r="42">
          <cell r="A42" t="str">
            <v>D86610000266</v>
          </cell>
          <cell r="B42" t="str">
            <v>D866</v>
          </cell>
          <cell r="C42">
            <v>10000266</v>
          </cell>
          <cell r="D42" t="str">
            <v>Arena Triturada Basalto Malla</v>
          </cell>
          <cell r="E42" t="str">
            <v>#N/D</v>
          </cell>
        </row>
        <row r="43">
          <cell r="A43" t="str">
            <v>D86610000274</v>
          </cell>
          <cell r="B43" t="str">
            <v>D866</v>
          </cell>
          <cell r="C43">
            <v>10000274</v>
          </cell>
          <cell r="D43" t="str">
            <v>Grava Triturada Basalto  20 mm</v>
          </cell>
          <cell r="E43">
            <v>184.59</v>
          </cell>
        </row>
        <row r="44">
          <cell r="A44" t="str">
            <v>D86610000274</v>
          </cell>
          <cell r="B44" t="str">
            <v>D866</v>
          </cell>
          <cell r="C44">
            <v>10000274</v>
          </cell>
          <cell r="D44" t="str">
            <v>Grava Triturada Basalto  20 mm</v>
          </cell>
          <cell r="E44" t="str">
            <v>#N/D</v>
          </cell>
        </row>
        <row r="45">
          <cell r="A45" t="str">
            <v>D86610000293</v>
          </cell>
          <cell r="B45" t="str">
            <v>D866</v>
          </cell>
          <cell r="C45">
            <v>10000293</v>
          </cell>
          <cell r="D45" t="str">
            <v>Grava Triturada Basalto 10mm -</v>
          </cell>
          <cell r="E45">
            <v>267.53999999999996</v>
          </cell>
        </row>
        <row r="46">
          <cell r="A46" t="str">
            <v>D86610000293</v>
          </cell>
          <cell r="B46" t="str">
            <v>D866</v>
          </cell>
          <cell r="C46">
            <v>10000293</v>
          </cell>
          <cell r="D46" t="str">
            <v>Grava Triturada Basalto 10mm -</v>
          </cell>
          <cell r="E46" t="str">
            <v>#N/D</v>
          </cell>
        </row>
        <row r="47">
          <cell r="A47" t="str">
            <v>D87310000236</v>
          </cell>
          <cell r="B47" t="str">
            <v>D873</v>
          </cell>
          <cell r="C47">
            <v>10000236</v>
          </cell>
          <cell r="D47" t="str">
            <v>Grava Triturada Caliza 10 mm -</v>
          </cell>
          <cell r="E47">
            <v>299.45</v>
          </cell>
        </row>
        <row r="48">
          <cell r="A48" t="str">
            <v>D87310000240</v>
          </cell>
          <cell r="B48" t="str">
            <v>D873</v>
          </cell>
          <cell r="C48">
            <v>10000240</v>
          </cell>
          <cell r="D48" t="str">
            <v>Grava Triturada Caliza 20 mm -</v>
          </cell>
          <cell r="E48">
            <v>271.69</v>
          </cell>
        </row>
        <row r="49">
          <cell r="A49" t="str">
            <v>D87310001073</v>
          </cell>
          <cell r="B49" t="str">
            <v>D873</v>
          </cell>
          <cell r="C49">
            <v>10001073</v>
          </cell>
          <cell r="D49" t="str">
            <v>Arena Triturada Caliza Malla 4</v>
          </cell>
          <cell r="E49">
            <v>208.28</v>
          </cell>
        </row>
        <row r="50">
          <cell r="A50" t="str">
            <v>D89310051293</v>
          </cell>
          <cell r="B50" t="str">
            <v>D893</v>
          </cell>
          <cell r="C50">
            <v>10051293</v>
          </cell>
          <cell r="D50" t="str">
            <v>Grava Triturada Basalto 20 mm</v>
          </cell>
          <cell r="E50">
            <v>239.86999999999998</v>
          </cell>
        </row>
        <row r="51">
          <cell r="A51" t="str">
            <v>D89310051295</v>
          </cell>
          <cell r="B51" t="str">
            <v>D893</v>
          </cell>
          <cell r="C51">
            <v>10051295</v>
          </cell>
          <cell r="D51" t="str">
            <v>Grava Triturada Basalto 10 mm</v>
          </cell>
          <cell r="E51">
            <v>339.26</v>
          </cell>
        </row>
        <row r="52">
          <cell r="A52" t="str">
            <v>D89310058363</v>
          </cell>
          <cell r="B52" t="str">
            <v>D893</v>
          </cell>
          <cell r="C52">
            <v>10058363</v>
          </cell>
          <cell r="D52" t="str">
            <v>ARENA BASALTO SÍLICE/CUARZO BL</v>
          </cell>
          <cell r="E52">
            <v>137.80000000000001</v>
          </cell>
        </row>
        <row r="53">
          <cell r="A53" t="str">
            <v>D89310197865</v>
          </cell>
          <cell r="B53" t="str">
            <v>D893</v>
          </cell>
          <cell r="C53">
            <v>10197865</v>
          </cell>
          <cell r="D53" t="str">
            <v>GRAVA TRITURADA BASALTO 40-4MM</v>
          </cell>
          <cell r="E53">
            <v>237.42</v>
          </cell>
        </row>
        <row r="54">
          <cell r="A54" t="str">
            <v>D89310199160</v>
          </cell>
          <cell r="B54" t="str">
            <v>D893</v>
          </cell>
          <cell r="C54">
            <v>10199160</v>
          </cell>
          <cell r="D54" t="str">
            <v>GRAVA TRITURADA BASALTO 40-20M</v>
          </cell>
          <cell r="E54">
            <v>237.42</v>
          </cell>
        </row>
        <row r="55">
          <cell r="A55" t="str">
            <v>D91710164930</v>
          </cell>
          <cell r="B55" t="str">
            <v>D917</v>
          </cell>
          <cell r="C55">
            <v>10164930</v>
          </cell>
          <cell r="D55" t="str">
            <v>DESPERDICIO CALIZA</v>
          </cell>
          <cell r="E55" t="str">
            <v>#N/D</v>
          </cell>
        </row>
        <row r="56">
          <cell r="A56" t="str">
            <v>D91710248659</v>
          </cell>
          <cell r="B56" t="str">
            <v>D917</v>
          </cell>
          <cell r="C56">
            <v>10248659</v>
          </cell>
          <cell r="D56" t="str">
            <v>ARENA NO. 4</v>
          </cell>
          <cell r="E56">
            <v>160.12</v>
          </cell>
        </row>
        <row r="57">
          <cell r="A57" t="str">
            <v>D91710248659</v>
          </cell>
          <cell r="B57" t="str">
            <v>D917</v>
          </cell>
          <cell r="C57">
            <v>10248659</v>
          </cell>
          <cell r="D57" t="str">
            <v>ARENA NO. 4</v>
          </cell>
          <cell r="E57" t="str">
            <v>#N/D</v>
          </cell>
        </row>
        <row r="58">
          <cell r="A58" t="str">
            <v>D91710263701</v>
          </cell>
          <cell r="B58" t="str">
            <v>D917</v>
          </cell>
          <cell r="C58">
            <v>10263701</v>
          </cell>
          <cell r="D58" t="str">
            <v>GRAVA TRITURADA CALIZA 20MM</v>
          </cell>
          <cell r="E58" t="str">
            <v>#N/D</v>
          </cell>
        </row>
        <row r="59">
          <cell r="A59" t="str">
            <v>DU0710000101</v>
          </cell>
          <cell r="B59" t="str">
            <v>DU07</v>
          </cell>
          <cell r="C59">
            <v>10000101</v>
          </cell>
          <cell r="D59" t="str">
            <v>Arena Triturada Caliza Malla 4</v>
          </cell>
          <cell r="E59">
            <v>306.89999999999998</v>
          </cell>
        </row>
        <row r="60">
          <cell r="A60" t="str">
            <v>DU0710000101</v>
          </cell>
          <cell r="B60" t="str">
            <v>DU07</v>
          </cell>
          <cell r="C60">
            <v>10000101</v>
          </cell>
          <cell r="D60" t="str">
            <v>Arena Triturada Caliza Malla 4</v>
          </cell>
          <cell r="E60" t="str">
            <v>#N/D</v>
          </cell>
        </row>
        <row r="61">
          <cell r="A61" t="str">
            <v>DU0710000103</v>
          </cell>
          <cell r="B61" t="str">
            <v>DU07</v>
          </cell>
          <cell r="C61">
            <v>10000103</v>
          </cell>
          <cell r="D61" t="str">
            <v>Base H Triturada Caliza 1 1/2"</v>
          </cell>
          <cell r="E61" t="str">
            <v>#N/D</v>
          </cell>
        </row>
        <row r="62">
          <cell r="A62" t="str">
            <v>DU0710000110</v>
          </cell>
          <cell r="B62" t="str">
            <v>DU07</v>
          </cell>
          <cell r="C62">
            <v>10000110</v>
          </cell>
          <cell r="D62" t="str">
            <v>GRAVA TRITURADA CALIZA 20 MM “</v>
          </cell>
          <cell r="E62">
            <v>294.10000000000002</v>
          </cell>
        </row>
        <row r="63">
          <cell r="A63" t="str">
            <v>DU0710000110</v>
          </cell>
          <cell r="B63" t="str">
            <v>DU07</v>
          </cell>
          <cell r="C63">
            <v>10000110</v>
          </cell>
          <cell r="D63" t="str">
            <v>GRAVA TRITURADA CALIZA 20 MM “</v>
          </cell>
          <cell r="E63" t="str">
            <v>#N/D</v>
          </cell>
        </row>
        <row r="64">
          <cell r="A64" t="str">
            <v>DU0710000112</v>
          </cell>
          <cell r="B64" t="str">
            <v>DU07</v>
          </cell>
          <cell r="C64">
            <v>10000112</v>
          </cell>
          <cell r="D64" t="str">
            <v>Grava Triturada Caliza 13 mm -</v>
          </cell>
          <cell r="E64">
            <v>242.32</v>
          </cell>
        </row>
        <row r="65">
          <cell r="A65" t="str">
            <v>DU0710000112</v>
          </cell>
          <cell r="B65" t="str">
            <v>DU07</v>
          </cell>
          <cell r="C65">
            <v>10000112</v>
          </cell>
          <cell r="D65" t="str">
            <v>Grava Triturada Caliza 13 mm -</v>
          </cell>
          <cell r="E65" t="str">
            <v>#N/D</v>
          </cell>
        </row>
        <row r="66">
          <cell r="A66" t="str">
            <v>DU0710000579</v>
          </cell>
          <cell r="B66" t="str">
            <v>DU07</v>
          </cell>
          <cell r="C66">
            <v>10000579</v>
          </cell>
          <cell r="D66" t="str">
            <v>Grava Triturada Caliza 40 mm -</v>
          </cell>
          <cell r="E66">
            <v>227.11</v>
          </cell>
        </row>
        <row r="67">
          <cell r="A67" t="str">
            <v>DU0710000579</v>
          </cell>
          <cell r="B67" t="str">
            <v>DU07</v>
          </cell>
          <cell r="C67">
            <v>10000579</v>
          </cell>
          <cell r="D67" t="str">
            <v>Grava Triturada Caliza 40 mm -</v>
          </cell>
          <cell r="E67" t="str">
            <v>#N/D</v>
          </cell>
        </row>
        <row r="68">
          <cell r="A68" t="str">
            <v>DU0710264038</v>
          </cell>
          <cell r="B68" t="str">
            <v>DU07</v>
          </cell>
          <cell r="C68">
            <v>10264038</v>
          </cell>
          <cell r="D68" t="str">
            <v>MOV ARENA TRITURADA CALIZA MAL</v>
          </cell>
          <cell r="E68">
            <v>306.89999999999998</v>
          </cell>
        </row>
        <row r="69">
          <cell r="A69" t="str">
            <v>DU0710264038</v>
          </cell>
          <cell r="B69" t="str">
            <v>DU07</v>
          </cell>
          <cell r="C69">
            <v>10264038</v>
          </cell>
          <cell r="D69" t="str">
            <v>MOV ARENA TRITURADA CALIZA MAL</v>
          </cell>
          <cell r="E69" t="str">
            <v>#N/D</v>
          </cell>
        </row>
        <row r="70">
          <cell r="A70" t="str">
            <v>DU0710264039</v>
          </cell>
          <cell r="B70" t="str">
            <v>DU07</v>
          </cell>
          <cell r="C70">
            <v>10264039</v>
          </cell>
          <cell r="D70" t="str">
            <v>MOV GRAVA TRITURADA CALIZA 20M</v>
          </cell>
          <cell r="E70">
            <v>294.10000000000002</v>
          </cell>
        </row>
        <row r="71">
          <cell r="A71" t="str">
            <v>DU0710264039</v>
          </cell>
          <cell r="B71" t="str">
            <v>DU07</v>
          </cell>
          <cell r="C71">
            <v>10264039</v>
          </cell>
          <cell r="D71" t="str">
            <v>MOV GRAVA TRITURADA CALIZA 20M</v>
          </cell>
          <cell r="E71" t="str">
            <v>#N/D</v>
          </cell>
        </row>
        <row r="72">
          <cell r="A72" t="str">
            <v>DU0710264103</v>
          </cell>
          <cell r="B72" t="str">
            <v>DU07</v>
          </cell>
          <cell r="C72">
            <v>10264103</v>
          </cell>
          <cell r="D72" t="str">
            <v>MOV BASE H TRITURADA CALIZA 1</v>
          </cell>
          <cell r="E72" t="str">
            <v>#N/D</v>
          </cell>
        </row>
        <row r="73">
          <cell r="A73" t="str">
            <v>DU0710271224</v>
          </cell>
          <cell r="B73" t="str">
            <v>DU07</v>
          </cell>
          <cell r="C73">
            <v>10271224</v>
          </cell>
          <cell r="D73" t="str">
            <v>SUBRASANTE</v>
          </cell>
          <cell r="E73" t="str">
            <v>#N/D</v>
          </cell>
        </row>
        <row r="74">
          <cell r="A74" t="str">
            <v>Total general</v>
          </cell>
          <cell r="B74" t="str">
            <v>Total general</v>
          </cell>
          <cell r="E74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mplate Resumen"/>
      <sheetName val="Analisis Estadistico"/>
      <sheetName val="TRABAJO"/>
      <sheetName val="CONSOLIDADO"/>
      <sheetName val="SINERGIA"/>
    </sheetNames>
    <sheetDataSet>
      <sheetData sheetId="0" refreshError="1"/>
      <sheetData sheetId="1" refreshError="1"/>
      <sheetData sheetId="2" refreshError="1">
        <row r="1">
          <cell r="O1">
            <v>0</v>
          </cell>
          <cell r="Q1">
            <v>0</v>
          </cell>
          <cell r="R1">
            <v>0</v>
          </cell>
          <cell r="S1">
            <v>0</v>
          </cell>
        </row>
        <row r="2">
          <cell r="I2" t="str">
            <v>Filial Nov'25</v>
          </cell>
          <cell r="K2" t="str">
            <v>Cliente de Referencia</v>
          </cell>
          <cell r="P2" t="str">
            <v>Precio Referencia</v>
          </cell>
        </row>
        <row r="3">
          <cell r="H3" t="str">
            <v>Material</v>
          </cell>
          <cell r="I3" t="str">
            <v>Vol Filial</v>
          </cell>
          <cell r="J3" t="str">
            <v xml:space="preserve">$ Filial </v>
          </cell>
          <cell r="K3" t="str">
            <v>Cliente Ref MA</v>
          </cell>
          <cell r="L3" t="str">
            <v>$ Ref MA</v>
          </cell>
          <cell r="M3" t="str">
            <v>Cliente</v>
          </cell>
          <cell r="N3" t="str">
            <v>Vol. Cliente</v>
          </cell>
          <cell r="O3" t="str">
            <v>% filial</v>
          </cell>
          <cell r="P3" t="str">
            <v>$ Ref Dic'25</v>
          </cell>
          <cell r="Q3" t="str">
            <v>% Var vs MA</v>
          </cell>
          <cell r="R3" t="str">
            <v>Dif vs MA</v>
          </cell>
          <cell r="S3" t="str">
            <v>Orden de Mag.</v>
          </cell>
        </row>
        <row r="4">
          <cell r="H4">
            <v>10001073</v>
          </cell>
          <cell r="I4">
            <v>8663.8300000000036</v>
          </cell>
          <cell r="J4">
            <v>87.499991343320417</v>
          </cell>
          <cell r="K4" t="str">
            <v>CEMENTOS MOCTEZUMA</v>
          </cell>
          <cell r="L4">
            <v>87.5</v>
          </cell>
          <cell r="M4" t="str">
            <v>CEMENTOS MOCTEZUMA</v>
          </cell>
          <cell r="N4">
            <v>1051.6499999999999</v>
          </cell>
          <cell r="O4">
            <v>0.12138396067328185</v>
          </cell>
          <cell r="P4">
            <v>87.5</v>
          </cell>
          <cell r="Q4">
            <v>0</v>
          </cell>
          <cell r="R4">
            <v>0</v>
          </cell>
          <cell r="S4">
            <v>0</v>
          </cell>
        </row>
        <row r="5">
          <cell r="H5">
            <v>10000236</v>
          </cell>
          <cell r="I5">
            <v>5566.06</v>
          </cell>
          <cell r="J5">
            <v>119.99999999999991</v>
          </cell>
          <cell r="K5" t="str">
            <v>CONCRETOS TPM-FORTALEZA</v>
          </cell>
          <cell r="L5">
            <v>120</v>
          </cell>
          <cell r="M5" t="str">
            <v>CONCRETOS TPM-FORTALEZA</v>
          </cell>
          <cell r="N5">
            <v>1275.6300000000001</v>
          </cell>
          <cell r="O5">
            <v>0.22918006633058213</v>
          </cell>
          <cell r="P5">
            <v>120</v>
          </cell>
          <cell r="Q5">
            <v>0</v>
          </cell>
          <cell r="R5">
            <v>0</v>
          </cell>
          <cell r="S5">
            <v>0</v>
          </cell>
        </row>
        <row r="6">
          <cell r="H6">
            <v>10000269</v>
          </cell>
          <cell r="I6">
            <v>48.63</v>
          </cell>
          <cell r="J6">
            <v>136.99999999999997</v>
          </cell>
          <cell r="K6" t="str">
            <v>CEMENTOS MOCTEZUMA</v>
          </cell>
          <cell r="L6">
            <v>137</v>
          </cell>
          <cell r="M6" t="str">
            <v>CEMENTOS MOCTEZUMA</v>
          </cell>
          <cell r="N6">
            <v>41.52</v>
          </cell>
          <cell r="O6">
            <v>0.85379395434916716</v>
          </cell>
          <cell r="P6">
            <v>137</v>
          </cell>
          <cell r="Q6">
            <v>0</v>
          </cell>
          <cell r="R6">
            <v>0</v>
          </cell>
          <cell r="S6">
            <v>0</v>
          </cell>
        </row>
        <row r="7">
          <cell r="H7">
            <v>10000240</v>
          </cell>
          <cell r="I7">
            <v>19672.376000000007</v>
          </cell>
          <cell r="J7">
            <v>127.29407774637897</v>
          </cell>
          <cell r="K7" t="str">
            <v>CONCRETOS TPM-FORTALEZA</v>
          </cell>
          <cell r="L7">
            <v>127</v>
          </cell>
          <cell r="M7" t="str">
            <v>CONCRETOS TPM-FORTALEZA</v>
          </cell>
          <cell r="N7">
            <v>4181.880000000001</v>
          </cell>
          <cell r="O7">
            <v>0.21257625413422351</v>
          </cell>
          <cell r="P7">
            <v>127</v>
          </cell>
          <cell r="Q7">
            <v>0</v>
          </cell>
          <cell r="R7">
            <v>0</v>
          </cell>
          <cell r="S7">
            <v>0</v>
          </cell>
        </row>
        <row r="8">
          <cell r="H8">
            <v>10001074</v>
          </cell>
          <cell r="I8">
            <v>9758.4000000000106</v>
          </cell>
          <cell r="J8">
            <v>136.84347331529742</v>
          </cell>
          <cell r="K8" t="str">
            <v>CEMENTOS MOCTEZUMA</v>
          </cell>
          <cell r="L8">
            <v>137</v>
          </cell>
          <cell r="M8" t="str">
            <v>CEMENTOS MOCTEZUMA</v>
          </cell>
          <cell r="N8">
            <v>3249.8799999999997</v>
          </cell>
          <cell r="O8">
            <v>0.33303410395146704</v>
          </cell>
          <cell r="P8">
            <v>137</v>
          </cell>
          <cell r="Q8">
            <v>0</v>
          </cell>
          <cell r="R8">
            <v>0</v>
          </cell>
          <cell r="S8">
            <v>0</v>
          </cell>
        </row>
        <row r="9">
          <cell r="H9">
            <v>10000229</v>
          </cell>
          <cell r="I9">
            <v>1631.0799999999992</v>
          </cell>
          <cell r="J9">
            <v>239.7699867572407</v>
          </cell>
          <cell r="K9" t="str">
            <v>CEMENTOS MOCTEZUMA</v>
          </cell>
          <cell r="L9">
            <v>239.77003581493659</v>
          </cell>
          <cell r="M9" t="str">
            <v>CEMENTOS MOCTEZUMA</v>
          </cell>
          <cell r="N9">
            <v>299.47999999999996</v>
          </cell>
          <cell r="O9">
            <v>0.18360840669985537</v>
          </cell>
          <cell r="P9">
            <v>239.77000133564852</v>
          </cell>
          <cell r="Q9">
            <v>-1.438014886057104E-7</v>
          </cell>
          <cell r="R9">
            <v>-3.4479288075317527E-5</v>
          </cell>
          <cell r="S9">
            <v>-5.6238477193888886E-2</v>
          </cell>
        </row>
        <row r="10">
          <cell r="H10">
            <v>10000231</v>
          </cell>
          <cell r="I10">
            <v>13448.599999999999</v>
          </cell>
          <cell r="J10">
            <v>215.97997784156001</v>
          </cell>
          <cell r="K10" t="str">
            <v>CEMENTOS MOCTEZUMA</v>
          </cell>
          <cell r="L10">
            <v>215.98000034498389</v>
          </cell>
          <cell r="M10" t="str">
            <v>CEMENTOS MOCTEZUMA</v>
          </cell>
          <cell r="N10">
            <v>5620.7599999999984</v>
          </cell>
          <cell r="O10">
            <v>0.41794387519890541</v>
          </cell>
          <cell r="P10">
            <v>215.97999558778537</v>
          </cell>
          <cell r="Q10">
            <v>-2.2026106716310778E-8</v>
          </cell>
          <cell r="R10">
            <v>-4.7571985248850979E-6</v>
          </cell>
          <cell r="S10">
            <v>-6.3977660081769722E-2</v>
          </cell>
        </row>
        <row r="11">
          <cell r="H11">
            <v>10000233</v>
          </cell>
          <cell r="I11">
            <v>1940.7400000000002</v>
          </cell>
          <cell r="J11">
            <v>215.17096056143521</v>
          </cell>
          <cell r="K11" t="str">
            <v>CEMENTOS MOCTEZUMA</v>
          </cell>
          <cell r="L11">
            <v>215.97998029444102</v>
          </cell>
          <cell r="M11" t="str">
            <v>CEMENTOS MOCTEZUMA</v>
          </cell>
          <cell r="N11">
            <v>522.75</v>
          </cell>
          <cell r="O11">
            <v>0.26935601883817512</v>
          </cell>
          <cell r="P11">
            <v>215.97999043519846</v>
          </cell>
          <cell r="Q11">
            <v>4.6952302934499812E-8</v>
          </cell>
          <cell r="R11">
            <v>1.0140757439103254E-5</v>
          </cell>
          <cell r="S11">
            <v>1.968057359236525E-2</v>
          </cell>
        </row>
        <row r="12">
          <cell r="H12">
            <v>10000233</v>
          </cell>
          <cell r="I12">
            <v>1940.7400000000002</v>
          </cell>
          <cell r="J12">
            <v>215.17096056143521</v>
          </cell>
          <cell r="K12" t="str">
            <v>CEMENTOS MOCTEZUMA</v>
          </cell>
          <cell r="L12">
            <v>215.97998029444102</v>
          </cell>
          <cell r="M12" t="str">
            <v>CEMENTOS MOCTEZUMA</v>
          </cell>
          <cell r="N12">
            <v>522.75</v>
          </cell>
          <cell r="O12">
            <v>0.26935601883817512</v>
          </cell>
          <cell r="P12">
            <v>215.97999043519846</v>
          </cell>
          <cell r="Q12">
            <v>4.6952302934499812E-8</v>
          </cell>
          <cell r="R12">
            <v>1.0140757439103254E-5</v>
          </cell>
          <cell r="S12">
            <v>1.968057359236525E-2</v>
          </cell>
        </row>
        <row r="13">
          <cell r="H13">
            <v>10000255</v>
          </cell>
          <cell r="I13">
            <v>58914.150000000009</v>
          </cell>
          <cell r="J13">
            <v>104.15058962914684</v>
          </cell>
          <cell r="K13" t="str">
            <v>CONCRETOS TPM-FORTALEZA</v>
          </cell>
          <cell r="L13">
            <v>104.14000525834714</v>
          </cell>
          <cell r="M13" t="str">
            <v>CONCRETOS TPM-FORTALEZA</v>
          </cell>
          <cell r="N13">
            <v>11121.900000000003</v>
          </cell>
          <cell r="O13">
            <v>0.18878147270222861</v>
          </cell>
          <cell r="P13">
            <v>104.13999856139685</v>
          </cell>
          <cell r="Q13">
            <v>-6.4307182245926242E-8</v>
          </cell>
          <cell r="R13">
            <v>-6.6969502938718506E-6</v>
          </cell>
          <cell r="S13">
            <v>-0.39454513415571035</v>
          </cell>
        </row>
        <row r="14">
          <cell r="H14">
            <v>10002350</v>
          </cell>
          <cell r="I14">
            <v>1079.8899999999999</v>
          </cell>
          <cell r="J14">
            <v>124.18408356406675</v>
          </cell>
          <cell r="K14" t="str">
            <v>CONCRETOS TPM-FORTALEZA</v>
          </cell>
          <cell r="L14">
            <v>120.49001325673883</v>
          </cell>
          <cell r="M14" t="str">
            <v>CONCRETOS TPM-FORTALEZA</v>
          </cell>
          <cell r="N14">
            <v>125.22999999999999</v>
          </cell>
          <cell r="O14">
            <v>0.11596551500615804</v>
          </cell>
          <cell r="P14">
            <v>120.48989858660067</v>
          </cell>
          <cell r="Q14">
            <v>-9.5169827818430974E-7</v>
          </cell>
          <cell r="R14">
            <v>-1.1467013816002236E-4</v>
          </cell>
          <cell r="S14">
            <v>-0.12383113549762653</v>
          </cell>
        </row>
        <row r="15">
          <cell r="H15">
            <v>10000253</v>
          </cell>
          <cell r="I15">
            <v>13345.570000000002</v>
          </cell>
          <cell r="J15">
            <v>103.99999999999997</v>
          </cell>
          <cell r="K15" t="str">
            <v>RUBEN ADRIAN DUANA SANCHEZ</v>
          </cell>
          <cell r="L15">
            <v>104</v>
          </cell>
          <cell r="M15" t="str">
            <v>RUBEN ADRIAN DUANA SANCHEZ</v>
          </cell>
          <cell r="N15">
            <v>2619.4900000000002</v>
          </cell>
          <cell r="O15">
            <v>0.19628161255008217</v>
          </cell>
          <cell r="P15">
            <v>103.99999618246299</v>
          </cell>
          <cell r="Q15">
            <v>-3.6707086592535632E-8</v>
          </cell>
          <cell r="R15">
            <v>-3.8175370065118841E-6</v>
          </cell>
          <cell r="S15">
            <v>-5.0947207347994808E-2</v>
          </cell>
        </row>
        <row r="16">
          <cell r="H16">
            <v>10001073</v>
          </cell>
          <cell r="I16">
            <v>10198.91</v>
          </cell>
          <cell r="J16">
            <v>199.18559042093713</v>
          </cell>
          <cell r="K16" t="str">
            <v>Vallejo Material + Inc en Precio C.Jardin (May'25) + Flete FFCC (nov24)</v>
          </cell>
          <cell r="L16">
            <v>197.8</v>
          </cell>
          <cell r="M16" t="str">
            <v>Vallejo Material + Inc en Precio C.Jardin (May'25) + Flete FFCC (nov24)</v>
          </cell>
          <cell r="N16" t="str">
            <v/>
          </cell>
          <cell r="O16" t="str">
            <v/>
          </cell>
          <cell r="P16">
            <v>197.8</v>
          </cell>
          <cell r="Q16">
            <v>0</v>
          </cell>
          <cell r="R16">
            <v>0</v>
          </cell>
          <cell r="S16">
            <v>0</v>
          </cell>
        </row>
        <row r="17">
          <cell r="H17">
            <v>10000240</v>
          </cell>
          <cell r="I17">
            <v>37393.310000000019</v>
          </cell>
          <cell r="J17">
            <v>258.54952877934591</v>
          </cell>
          <cell r="K17" t="str">
            <v>Vallejo Material + Inc en Precio C.Jardin (May'25) + Flete FFCC (nov24)</v>
          </cell>
          <cell r="L17">
            <v>258.77</v>
          </cell>
          <cell r="M17" t="str">
            <v>Vallejo Material + Inc en Precio C.Jardin (May'25) + Flete FFCC (nov24)</v>
          </cell>
          <cell r="N17" t="str">
            <v/>
          </cell>
          <cell r="O17" t="str">
            <v/>
          </cell>
          <cell r="P17">
            <v>258.77</v>
          </cell>
          <cell r="Q17">
            <v>0</v>
          </cell>
          <cell r="R17">
            <v>0</v>
          </cell>
          <cell r="S17">
            <v>0</v>
          </cell>
        </row>
        <row r="18">
          <cell r="H18">
            <v>10000234</v>
          </cell>
          <cell r="I18">
            <v>1947.5</v>
          </cell>
          <cell r="J18">
            <v>159</v>
          </cell>
          <cell r="K18" t="str">
            <v>ARENAS Y GRAVAS DEL BAJIO</v>
          </cell>
          <cell r="L18">
            <v>158.99999999999997</v>
          </cell>
          <cell r="M18" t="str">
            <v>ARENAS Y GRAVAS DEL BAJIO</v>
          </cell>
          <cell r="N18">
            <v>3607.9099999999994</v>
          </cell>
          <cell r="O18">
            <v>1.8525853658536582</v>
          </cell>
          <cell r="P18">
            <v>159</v>
          </cell>
          <cell r="Q18">
            <v>2.2204460492503131E-16</v>
          </cell>
          <cell r="R18">
            <v>2.8421709430404007E-14</v>
          </cell>
          <cell r="S18">
            <v>5.5351279115711804E-11</v>
          </cell>
        </row>
        <row r="19">
          <cell r="H19">
            <v>10000285</v>
          </cell>
          <cell r="I19">
            <v>1900.63</v>
          </cell>
          <cell r="J19">
            <v>175.00000000000006</v>
          </cell>
          <cell r="K19" t="str">
            <v>ARENAS Y GRAVAS DEL BAJIO</v>
          </cell>
          <cell r="L19">
            <v>174.99999999999997</v>
          </cell>
          <cell r="M19" t="str">
            <v>ARENAS Y GRAVAS DEL BAJIO</v>
          </cell>
          <cell r="N19">
            <v>653.87</v>
          </cell>
          <cell r="O19">
            <v>0.34402803281017347</v>
          </cell>
          <cell r="P19">
            <v>175</v>
          </cell>
          <cell r="Q19">
            <v>2.2204460492503131E-16</v>
          </cell>
          <cell r="R19">
            <v>2.8421709430404007E-14</v>
          </cell>
          <cell r="S19">
            <v>5.4019153594708772E-11</v>
          </cell>
        </row>
        <row r="20">
          <cell r="H20">
            <v>10000284</v>
          </cell>
          <cell r="I20">
            <v>5835.1600000000026</v>
          </cell>
          <cell r="J20">
            <v>174.99999999999991</v>
          </cell>
          <cell r="K20" t="str">
            <v>ARENAS Y GRAVAS DEL BAJIO</v>
          </cell>
          <cell r="L20">
            <v>175</v>
          </cell>
          <cell r="M20" t="str">
            <v>ARENAS Y GRAVAS DEL BAJIO</v>
          </cell>
          <cell r="N20">
            <v>600.25</v>
          </cell>
          <cell r="O20">
            <v>0.10286778768705566</v>
          </cell>
          <cell r="P20">
            <v>175</v>
          </cell>
          <cell r="Q20">
            <v>0</v>
          </cell>
          <cell r="R20">
            <v>0</v>
          </cell>
          <cell r="S20">
            <v>0</v>
          </cell>
        </row>
        <row r="21">
          <cell r="H21">
            <v>10000287</v>
          </cell>
          <cell r="I21">
            <v>3040.2000000000007</v>
          </cell>
          <cell r="J21">
            <v>174.99999999999989</v>
          </cell>
          <cell r="K21" t="str">
            <v>ARENAS Y GRAVAS DEL BAJIO</v>
          </cell>
          <cell r="L21">
            <v>175.00000000000003</v>
          </cell>
          <cell r="M21" t="str">
            <v>ARENAS Y GRAVAS DEL BAJIO</v>
          </cell>
          <cell r="N21" t="str">
            <v/>
          </cell>
          <cell r="O21" t="str">
            <v/>
          </cell>
          <cell r="P21">
            <v>175</v>
          </cell>
          <cell r="Q21">
            <v>-1.1102230246251565E-16</v>
          </cell>
          <cell r="R21">
            <v>-2.8421709430404007E-14</v>
          </cell>
          <cell r="S21">
            <v>-8.6407681010314284E-11</v>
          </cell>
        </row>
        <row r="22">
          <cell r="H22">
            <v>10000124</v>
          </cell>
          <cell r="I22">
            <v>91449.390000000029</v>
          </cell>
          <cell r="J22">
            <v>273.05580026285497</v>
          </cell>
          <cell r="K22" t="str">
            <v>900000941 (ED) TC-ED-GIH</v>
          </cell>
          <cell r="L22">
            <v>273.5</v>
          </cell>
          <cell r="M22" t="str">
            <v>900000941 (ED) TC-ED-GIH</v>
          </cell>
          <cell r="N22" t="str">
            <v/>
          </cell>
          <cell r="O22" t="str">
            <v/>
          </cell>
          <cell r="P22">
            <v>273.5</v>
          </cell>
          <cell r="Q22">
            <v>0</v>
          </cell>
          <cell r="R22">
            <v>0</v>
          </cell>
          <cell r="S22">
            <v>0</v>
          </cell>
        </row>
        <row r="23">
          <cell r="H23">
            <v>10000124</v>
          </cell>
          <cell r="I23">
            <v>91449.390000000029</v>
          </cell>
          <cell r="J23">
            <v>273.05580026285497</v>
          </cell>
          <cell r="K23" t="str">
            <v>900000941 (ED) TC-ED-GIH</v>
          </cell>
          <cell r="L23">
            <v>273.5</v>
          </cell>
          <cell r="M23" t="str">
            <v>900000941 (ED) TC-ED-GIH</v>
          </cell>
          <cell r="N23" t="str">
            <v/>
          </cell>
          <cell r="O23" t="str">
            <v/>
          </cell>
          <cell r="P23">
            <v>273.5</v>
          </cell>
          <cell r="Q23">
            <v>0</v>
          </cell>
          <cell r="R23">
            <v>0</v>
          </cell>
          <cell r="S23">
            <v>0</v>
          </cell>
        </row>
        <row r="24">
          <cell r="H24">
            <v>10000260</v>
          </cell>
          <cell r="I24">
            <v>79.53</v>
          </cell>
          <cell r="J24">
            <v>356.28266063120833</v>
          </cell>
          <cell r="K24" t="str">
            <v>CONCRETOS DELESE</v>
          </cell>
          <cell r="L24">
            <v>308.00000000000006</v>
          </cell>
          <cell r="M24" t="str">
            <v>CONCRETOS DELESE</v>
          </cell>
          <cell r="N24">
            <v>406.97</v>
          </cell>
          <cell r="O24">
            <v>5.1171884823337113</v>
          </cell>
          <cell r="P24">
            <v>307.99999999999994</v>
          </cell>
          <cell r="Q24">
            <v>-3.3306690738754696E-16</v>
          </cell>
          <cell r="R24">
            <v>-1.1368683772161603E-13</v>
          </cell>
          <cell r="S24">
            <v>-9.041514204000123E-12</v>
          </cell>
        </row>
        <row r="25">
          <cell r="H25">
            <v>10000237</v>
          </cell>
          <cell r="I25">
            <v>4008.6899999999996</v>
          </cell>
          <cell r="J25">
            <v>273.10726945710451</v>
          </cell>
          <cell r="K25" t="str">
            <v>BLOCKERA GONZALITOS</v>
          </cell>
          <cell r="L25">
            <v>270</v>
          </cell>
          <cell r="M25" t="str">
            <v>900000941 (ED) TC-ED-GIH</v>
          </cell>
          <cell r="N25" t="str">
            <v/>
          </cell>
          <cell r="O25" t="str">
            <v/>
          </cell>
          <cell r="P25">
            <v>283</v>
          </cell>
          <cell r="Q25">
            <v>4.8148148148148051E-2</v>
          </cell>
          <cell r="R25">
            <v>13</v>
          </cell>
          <cell r="S25">
            <v>52112.969999999994</v>
          </cell>
        </row>
        <row r="26">
          <cell r="H26">
            <v>10000241</v>
          </cell>
          <cell r="I26">
            <v>64263.820000000094</v>
          </cell>
          <cell r="J26">
            <v>273.76639343879663</v>
          </cell>
          <cell r="K26" t="str">
            <v>900000941 (ED) TC-ED-GIH</v>
          </cell>
          <cell r="L26">
            <v>273.5</v>
          </cell>
          <cell r="M26" t="str">
            <v>900000941 (ED) TC-ED-GIH</v>
          </cell>
          <cell r="N26" t="str">
            <v/>
          </cell>
          <cell r="O26" t="str">
            <v/>
          </cell>
          <cell r="P26">
            <v>273.5</v>
          </cell>
          <cell r="Q26">
            <v>0</v>
          </cell>
          <cell r="R26">
            <v>0</v>
          </cell>
          <cell r="S26">
            <v>0</v>
          </cell>
        </row>
        <row r="27">
          <cell r="H27">
            <v>10038952</v>
          </cell>
          <cell r="I27">
            <v>11619.929999999993</v>
          </cell>
          <cell r="J27">
            <v>153.87996571407933</v>
          </cell>
          <cell r="K27" t="str">
            <v>CONCRETOS TANCOL</v>
          </cell>
          <cell r="L27">
            <v>153.87994803513953</v>
          </cell>
          <cell r="M27" t="str">
            <v>CONCRETOS TANCOL</v>
          </cell>
          <cell r="N27">
            <v>1936.4100000000003</v>
          </cell>
          <cell r="O27">
            <v>0.16664558220230255</v>
          </cell>
          <cell r="P27">
            <v>153.87995310910389</v>
          </cell>
          <cell r="Q27">
            <v>3.2973525243562563E-8</v>
          </cell>
          <cell r="R27">
            <v>5.0739643597808026E-6</v>
          </cell>
          <cell r="S27">
            <v>5.8959110683147707E-2</v>
          </cell>
        </row>
        <row r="28">
          <cell r="H28">
            <v>10038949</v>
          </cell>
          <cell r="I28">
            <v>442.71999999999997</v>
          </cell>
          <cell r="J28">
            <v>139.30000903505604</v>
          </cell>
          <cell r="K28" t="str">
            <v/>
          </cell>
          <cell r="L28" t="str">
            <v/>
          </cell>
          <cell r="M28" t="str">
            <v>CONCRETOS HUASTECA</v>
          </cell>
          <cell r="N28">
            <v>418.03000000000003</v>
          </cell>
          <cell r="O28">
            <v>0.94423111673292393</v>
          </cell>
          <cell r="P28">
            <v>160.54996052914865</v>
          </cell>
          <cell r="Q28">
            <v>0</v>
          </cell>
          <cell r="R28">
            <v>0</v>
          </cell>
          <cell r="S28">
            <v>0</v>
          </cell>
        </row>
        <row r="29">
          <cell r="H29">
            <v>10038950</v>
          </cell>
          <cell r="I29">
            <v>4941.8999999999996</v>
          </cell>
          <cell r="J29">
            <v>153.88180456909288</v>
          </cell>
          <cell r="K29" t="str">
            <v>CONCRETOS TANCOL</v>
          </cell>
          <cell r="L29">
            <v>153.87996072422797</v>
          </cell>
          <cell r="M29" t="str">
            <v>CONCRETOS TANCOL</v>
          </cell>
          <cell r="N29">
            <v>1317.8889999999997</v>
          </cell>
          <cell r="O29">
            <v>0.26667658188146254</v>
          </cell>
          <cell r="P29">
            <v>153.88003086754659</v>
          </cell>
          <cell r="Q29">
            <v>4.5583140462213123E-7</v>
          </cell>
          <cell r="R29">
            <v>7.0143318623649975E-5</v>
          </cell>
          <cell r="S29">
            <v>0.34664126630621578</v>
          </cell>
        </row>
        <row r="30">
          <cell r="H30">
            <v>10049672</v>
          </cell>
          <cell r="I30">
            <v>1052.2599999999998</v>
          </cell>
          <cell r="J30">
            <v>160</v>
          </cell>
          <cell r="K30" t="str">
            <v>900005511TC-ED CONSTRUCARGO</v>
          </cell>
          <cell r="L30">
            <v>160</v>
          </cell>
          <cell r="M30" t="str">
            <v>900005511TC-ED CONSTRUCARGO</v>
          </cell>
          <cell r="N30" t="str">
            <v/>
          </cell>
          <cell r="O30" t="str">
            <v/>
          </cell>
          <cell r="P30">
            <v>160</v>
          </cell>
          <cell r="Q30">
            <v>0</v>
          </cell>
          <cell r="R30">
            <v>0</v>
          </cell>
          <cell r="S30">
            <v>0</v>
          </cell>
        </row>
        <row r="31">
          <cell r="H31">
            <v>10038942</v>
          </cell>
          <cell r="I31">
            <v>12930.59</v>
          </cell>
          <cell r="J31">
            <v>126.49999419980053</v>
          </cell>
          <cell r="K31" t="str">
            <v>CONCRETOS RICASA</v>
          </cell>
          <cell r="L31">
            <v>126.49999434517989</v>
          </cell>
          <cell r="M31" t="str">
            <v>CONCRETOS RICASA</v>
          </cell>
          <cell r="N31">
            <v>6330.6600000000044</v>
          </cell>
          <cell r="O31">
            <v>0.48958786876700944</v>
          </cell>
          <cell r="P31">
            <v>126.49999526115744</v>
          </cell>
          <cell r="Q31">
            <v>7.2409296336672924E-9</v>
          </cell>
          <cell r="R31">
            <v>9.1597755158545624E-7</v>
          </cell>
          <cell r="S31">
            <v>1.1844130168755384E-2</v>
          </cell>
        </row>
        <row r="32">
          <cell r="H32">
            <v>10038947</v>
          </cell>
          <cell r="I32">
            <v>236.07999999999998</v>
          </cell>
          <cell r="J32">
            <v>111</v>
          </cell>
          <cell r="K32" t="str">
            <v>900000009 TC-TRITURADOS CRIBISSA</v>
          </cell>
          <cell r="L32">
            <v>111</v>
          </cell>
          <cell r="M32" t="str">
            <v>900000009 TC-TRITURADOS CRIBISSA</v>
          </cell>
          <cell r="N32" t="str">
            <v/>
          </cell>
          <cell r="O32" t="str">
            <v/>
          </cell>
          <cell r="P32">
            <v>111</v>
          </cell>
          <cell r="Q32">
            <v>0</v>
          </cell>
          <cell r="R32">
            <v>0</v>
          </cell>
          <cell r="S32">
            <v>0</v>
          </cell>
        </row>
        <row r="33">
          <cell r="H33">
            <v>10038945</v>
          </cell>
          <cell r="I33">
            <v>6590.1499999999987</v>
          </cell>
          <cell r="J33">
            <v>134.3999939303354</v>
          </cell>
          <cell r="K33" t="str">
            <v>COPLASA</v>
          </cell>
          <cell r="L33">
            <v>134.39999798403355</v>
          </cell>
          <cell r="M33" t="str">
            <v>CONCRETOS RICASA</v>
          </cell>
          <cell r="N33">
            <v>873.73</v>
          </cell>
          <cell r="O33">
            <v>0.13258120073139462</v>
          </cell>
          <cell r="P33">
            <v>114</v>
          </cell>
          <cell r="Q33">
            <v>-0.15178570156271154</v>
          </cell>
          <cell r="R33">
            <v>-20.399997984033547</v>
          </cell>
          <cell r="S33">
            <v>-134439.04671447867</v>
          </cell>
        </row>
        <row r="34">
          <cell r="H34">
            <v>10038659</v>
          </cell>
          <cell r="I34">
            <v>4681.0299999999988</v>
          </cell>
          <cell r="J34">
            <v>133.09535294582608</v>
          </cell>
          <cell r="K34" t="str">
            <v>COPLASA</v>
          </cell>
          <cell r="L34">
            <v>134.39996675255591</v>
          </cell>
          <cell r="M34" t="str">
            <v>COPLASA</v>
          </cell>
          <cell r="N34" t="str">
            <v/>
          </cell>
          <cell r="O34" t="str">
            <v/>
          </cell>
          <cell r="P34">
            <v>134.39996675255591</v>
          </cell>
          <cell r="Q34">
            <v>0</v>
          </cell>
          <cell r="R34">
            <v>0</v>
          </cell>
          <cell r="S34">
            <v>0</v>
          </cell>
        </row>
        <row r="35">
          <cell r="H35">
            <v>10000266</v>
          </cell>
          <cell r="I35">
            <v>3662.2999999999988</v>
          </cell>
          <cell r="J35">
            <v>198.9499904431643</v>
          </cell>
          <cell r="K35" t="str">
            <v>CEMENTOS MOCTEZUMA</v>
          </cell>
          <cell r="L35">
            <v>198.95000530391414</v>
          </cell>
          <cell r="M35" t="str">
            <v>CEMENTOS MOCTEZUMA</v>
          </cell>
          <cell r="N35">
            <v>1399.45</v>
          </cell>
          <cell r="O35">
            <v>0.38212325587745422</v>
          </cell>
          <cell r="P35">
            <v>198.95000530391414</v>
          </cell>
          <cell r="Q35">
            <v>0</v>
          </cell>
          <cell r="R35">
            <v>0</v>
          </cell>
          <cell r="S35">
            <v>0</v>
          </cell>
        </row>
        <row r="36">
          <cell r="H36">
            <v>10000293</v>
          </cell>
          <cell r="I36">
            <v>916.45</v>
          </cell>
          <cell r="J36">
            <v>257.24998636041244</v>
          </cell>
          <cell r="K36" t="str">
            <v>CAMINOS Y PLATAFORMAS</v>
          </cell>
          <cell r="L36">
            <v>257.2500356094921</v>
          </cell>
          <cell r="M36" t="str">
            <v>5M CONCRETOS</v>
          </cell>
          <cell r="N36">
            <v>1543.35</v>
          </cell>
          <cell r="O36">
            <v>1.6840525942495497</v>
          </cell>
          <cell r="P36">
            <v>257.24999514044123</v>
          </cell>
          <cell r="Q36">
            <v>-1.5731407299046651E-7</v>
          </cell>
          <cell r="R36">
            <v>-4.0469050873070955E-5</v>
          </cell>
          <cell r="S36">
            <v>-3.7087861672625878E-2</v>
          </cell>
        </row>
        <row r="37">
          <cell r="H37">
            <v>10000274</v>
          </cell>
          <cell r="I37">
            <v>34472.049999999996</v>
          </cell>
          <cell r="J37">
            <v>177.49000422081093</v>
          </cell>
          <cell r="K37" t="str">
            <v>CEMENTOS MOCTEZUMA</v>
          </cell>
          <cell r="L37">
            <v>177.48999533464223</v>
          </cell>
          <cell r="M37" t="str">
            <v>CEMENTOS MOCTEZUMA</v>
          </cell>
          <cell r="N37">
            <v>7599.2499999999982</v>
          </cell>
          <cell r="O37">
            <v>0.22044670972570529</v>
          </cell>
          <cell r="P37">
            <v>177.49000230285876</v>
          </cell>
          <cell r="Q37">
            <v>3.9259770767685609E-8</v>
          </cell>
          <cell r="R37">
            <v>6.9682165246831573E-6</v>
          </cell>
          <cell r="S37">
            <v>0.24020870844970402</v>
          </cell>
        </row>
        <row r="38">
          <cell r="H38">
            <v>10051295</v>
          </cell>
          <cell r="I38">
            <v>1482.5099999999998</v>
          </cell>
          <cell r="J38">
            <v>325.50003035392689</v>
          </cell>
          <cell r="K38" t="str">
            <v>DC CONCRETOS</v>
          </cell>
          <cell r="L38">
            <v>325.49993521805618</v>
          </cell>
          <cell r="M38" t="str">
            <v>JL CONCRETOS Y AGREGADOS</v>
          </cell>
          <cell r="N38">
            <v>297.65999999999997</v>
          </cell>
          <cell r="O38">
            <v>0.20078110771596819</v>
          </cell>
          <cell r="P38">
            <v>326.20997110797555</v>
          </cell>
          <cell r="Q38">
            <v>2.1813702956459124E-3</v>
          </cell>
          <cell r="R38">
            <v>0.71003588991936795</v>
          </cell>
          <cell r="S38">
            <v>1052.6353071643621</v>
          </cell>
        </row>
        <row r="39">
          <cell r="H39">
            <v>10051293</v>
          </cell>
          <cell r="I39">
            <v>17611.250000000004</v>
          </cell>
          <cell r="J39">
            <v>232.9031891546596</v>
          </cell>
          <cell r="K39" t="str">
            <v>BC CONCRETOS Y SERVICIOS</v>
          </cell>
          <cell r="L39">
            <v>232.91999846349765</v>
          </cell>
          <cell r="M39" t="str">
            <v xml:space="preserve">TC-GUSA TIJUANA </v>
          </cell>
          <cell r="N39" t="str">
            <v/>
          </cell>
          <cell r="O39" t="str">
            <v/>
          </cell>
          <cell r="P39">
            <v>230.64</v>
          </cell>
          <cell r="Q39">
            <v>-9.788762143818075E-3</v>
          </cell>
          <cell r="R39">
            <v>-2.2799984634976624</v>
          </cell>
          <cell r="S39">
            <v>-40153.622940273213</v>
          </cell>
        </row>
        <row r="40">
          <cell r="H40">
            <v>10199160</v>
          </cell>
          <cell r="I40">
            <v>1321.53</v>
          </cell>
          <cell r="J40">
            <v>228.28999720021497</v>
          </cell>
          <cell r="K40" t="str">
            <v>BC CONCRETOS Y SERVICIOS</v>
          </cell>
          <cell r="L40">
            <v>228.28996291538405</v>
          </cell>
          <cell r="M40" t="str">
            <v>BC CONCRETOS Y SERVICIOS</v>
          </cell>
          <cell r="N40">
            <v>656.32999999999993</v>
          </cell>
          <cell r="O40">
            <v>0.49664404137628348</v>
          </cell>
          <cell r="P40">
            <v>228.29000655158234</v>
          </cell>
          <cell r="Q40">
            <v>1.9114374416595581E-7</v>
          </cell>
          <cell r="R40">
            <v>4.3636198284957572E-5</v>
          </cell>
          <cell r="S40">
            <v>5.7666545119519977E-2</v>
          </cell>
        </row>
        <row r="41">
          <cell r="H41">
            <v>10199160</v>
          </cell>
          <cell r="I41">
            <v>1321.53</v>
          </cell>
          <cell r="J41">
            <v>228.28999720021497</v>
          </cell>
          <cell r="K41" t="str">
            <v>BC CONCRETOS Y SERVICIOS</v>
          </cell>
          <cell r="L41">
            <v>228.28996291538405</v>
          </cell>
          <cell r="M41" t="str">
            <v>BC CONCRETOS Y SERVICIOS</v>
          </cell>
          <cell r="N41">
            <v>656.32999999999993</v>
          </cell>
          <cell r="O41">
            <v>0.49664404137628348</v>
          </cell>
          <cell r="P41">
            <v>228.29000655158234</v>
          </cell>
          <cell r="Q41">
            <v>1.9114374416595581E-7</v>
          </cell>
          <cell r="R41">
            <v>4.3636198284957572E-5</v>
          </cell>
          <cell r="S41">
            <v>5.7666545119519977E-2</v>
          </cell>
        </row>
        <row r="42">
          <cell r="H42">
            <v>10000101</v>
          </cell>
          <cell r="I42">
            <v>7209.6960000000145</v>
          </cell>
          <cell r="J42">
            <v>288.83442103522782</v>
          </cell>
          <cell r="K42" t="str">
            <v>900007778 SF TC-ALIANCO MAQAR</v>
          </cell>
          <cell r="L42">
            <v>295.10000000000002</v>
          </cell>
          <cell r="M42" t="str">
            <v>900007778 SF TC-ALIANCO MAQAR</v>
          </cell>
          <cell r="N42" t="str">
            <v/>
          </cell>
          <cell r="O42" t="str">
            <v/>
          </cell>
          <cell r="P42">
            <v>295.10000000000002</v>
          </cell>
          <cell r="Q42">
            <v>0</v>
          </cell>
          <cell r="R42">
            <v>0</v>
          </cell>
          <cell r="S42">
            <v>0</v>
          </cell>
        </row>
        <row r="43">
          <cell r="H43">
            <v>10000101</v>
          </cell>
          <cell r="I43">
            <v>7209.6960000000145</v>
          </cell>
          <cell r="J43">
            <v>288.83442103522782</v>
          </cell>
          <cell r="K43" t="str">
            <v>900007778 SF TC-ALIANCO MAQAR</v>
          </cell>
          <cell r="L43">
            <v>295.10000000000002</v>
          </cell>
          <cell r="M43" t="str">
            <v>900007778 SF TC-ALIANCO MAQAR</v>
          </cell>
          <cell r="N43" t="str">
            <v/>
          </cell>
          <cell r="O43" t="str">
            <v/>
          </cell>
          <cell r="P43">
            <v>295.10000000000002</v>
          </cell>
          <cell r="Q43">
            <v>0</v>
          </cell>
          <cell r="R43">
            <v>0</v>
          </cell>
          <cell r="S43">
            <v>0</v>
          </cell>
        </row>
        <row r="44">
          <cell r="H44">
            <v>10000112</v>
          </cell>
          <cell r="I44">
            <v>3550.9560000000006</v>
          </cell>
          <cell r="J44">
            <v>227.11972212553508</v>
          </cell>
          <cell r="K44" t="str">
            <v>900002370 TC-MOSECA</v>
          </cell>
          <cell r="L44">
            <v>233</v>
          </cell>
          <cell r="M44" t="str">
            <v>900002370 TC-MOSECA</v>
          </cell>
          <cell r="N44" t="str">
            <v/>
          </cell>
          <cell r="O44" t="str">
            <v/>
          </cell>
          <cell r="P44">
            <v>233</v>
          </cell>
          <cell r="Q44">
            <v>0</v>
          </cell>
          <cell r="R44">
            <v>0</v>
          </cell>
          <cell r="S44">
            <v>0</v>
          </cell>
        </row>
        <row r="45">
          <cell r="H45">
            <v>10000110</v>
          </cell>
          <cell r="I45">
            <v>7955.4239999999854</v>
          </cell>
          <cell r="J45">
            <v>262.87711000695799</v>
          </cell>
          <cell r="K45" t="str">
            <v>UNDER CONCRETOS</v>
          </cell>
          <cell r="L45">
            <v>268</v>
          </cell>
          <cell r="M45" t="str">
            <v>UNDER CONCRETOS</v>
          </cell>
          <cell r="N45">
            <v>1945.619999999999</v>
          </cell>
          <cell r="O45">
            <v>0.24456521739130466</v>
          </cell>
          <cell r="P45">
            <v>282.79153688798442</v>
          </cell>
          <cell r="Q45">
            <v>5.5192301820837342E-2</v>
          </cell>
          <cell r="R45">
            <v>14.791536887984421</v>
          </cell>
          <cell r="S45">
            <v>117672.94755555635</v>
          </cell>
        </row>
        <row r="46">
          <cell r="H46">
            <v>10000110</v>
          </cell>
          <cell r="I46">
            <v>7955.4239999999854</v>
          </cell>
          <cell r="J46">
            <v>262.87711000695799</v>
          </cell>
          <cell r="K46" t="str">
            <v>UNDER CONCRETOS</v>
          </cell>
          <cell r="L46">
            <v>268</v>
          </cell>
          <cell r="M46" t="str">
            <v>UNDER CONCRETOS</v>
          </cell>
          <cell r="N46">
            <v>1945.619999999999</v>
          </cell>
          <cell r="O46">
            <v>0.24456521739130466</v>
          </cell>
          <cell r="P46">
            <v>282.79153688798442</v>
          </cell>
          <cell r="Q46">
            <v>5.5192301820837342E-2</v>
          </cell>
          <cell r="R46">
            <v>14.791536887984421</v>
          </cell>
          <cell r="S46">
            <v>117672.94755555635</v>
          </cell>
        </row>
        <row r="47">
          <cell r="H47" t="e">
            <v>#N/A</v>
          </cell>
          <cell r="I47">
            <v>0</v>
          </cell>
          <cell r="J47">
            <v>0</v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>
            <v>0</v>
          </cell>
          <cell r="R47">
            <v>0</v>
          </cell>
          <cell r="S47">
            <v>0</v>
          </cell>
        </row>
        <row r="48">
          <cell r="H48" t="e">
            <v>#N/A</v>
          </cell>
          <cell r="I48">
            <v>0</v>
          </cell>
          <cell r="J48">
            <v>0</v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>
            <v>0</v>
          </cell>
          <cell r="R48">
            <v>0</v>
          </cell>
          <cell r="S48">
            <v>0</v>
          </cell>
        </row>
        <row r="49">
          <cell r="H49" t="e">
            <v>#N/A</v>
          </cell>
          <cell r="I49">
            <v>0</v>
          </cell>
          <cell r="J49">
            <v>0</v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>
            <v>0</v>
          </cell>
          <cell r="R49">
            <v>0</v>
          </cell>
          <cell r="S49">
            <v>0</v>
          </cell>
        </row>
        <row r="50">
          <cell r="H50" t="e">
            <v>#N/A</v>
          </cell>
          <cell r="I50">
            <v>0</v>
          </cell>
          <cell r="J50">
            <v>0</v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>
            <v>0</v>
          </cell>
          <cell r="R50">
            <v>0</v>
          </cell>
          <cell r="S50">
            <v>0</v>
          </cell>
        </row>
        <row r="51">
          <cell r="H51" t="e">
            <v>#N/A</v>
          </cell>
          <cell r="I51">
            <v>0</v>
          </cell>
          <cell r="J51">
            <v>0</v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>
            <v>0</v>
          </cell>
          <cell r="R51">
            <v>0</v>
          </cell>
          <cell r="S51">
            <v>0</v>
          </cell>
        </row>
        <row r="52">
          <cell r="H52" t="e">
            <v>#N/A</v>
          </cell>
          <cell r="I52">
            <v>0</v>
          </cell>
          <cell r="J52">
            <v>0</v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>
            <v>0</v>
          </cell>
          <cell r="R52">
            <v>0</v>
          </cell>
          <cell r="S52">
            <v>0</v>
          </cell>
        </row>
        <row r="53">
          <cell r="H53" t="e">
            <v>#N/A</v>
          </cell>
          <cell r="I53">
            <v>0</v>
          </cell>
          <cell r="J53">
            <v>0</v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>
            <v>0</v>
          </cell>
          <cell r="R53">
            <v>0</v>
          </cell>
          <cell r="S53">
            <v>0</v>
          </cell>
        </row>
        <row r="54">
          <cell r="H54" t="e">
            <v>#N/A</v>
          </cell>
          <cell r="I54">
            <v>0</v>
          </cell>
          <cell r="J54">
            <v>0</v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>
            <v>0</v>
          </cell>
          <cell r="R54">
            <v>0</v>
          </cell>
          <cell r="S54">
            <v>0</v>
          </cell>
        </row>
        <row r="55">
          <cell r="I55">
            <v>474863.29200000031</v>
          </cell>
          <cell r="J55">
            <v>204.53019815648318</v>
          </cell>
          <cell r="L55">
            <v>204.62611983994643</v>
          </cell>
          <cell r="M55" t="str">
            <v>N.D</v>
          </cell>
          <cell r="N55" t="str">
            <v>N.D</v>
          </cell>
          <cell r="O55" t="str">
            <v>N.D.</v>
          </cell>
          <cell r="P55">
            <v>204.76789658125386</v>
          </cell>
          <cell r="Q55">
            <v>6.9285749746095249E-4</v>
          </cell>
          <cell r="R55">
            <v>0.14177674130743867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mplate Resumen"/>
      <sheetName val="Analisis Estadistico"/>
      <sheetName val="TRABAJO"/>
      <sheetName val="cons25"/>
      <sheetName val="CONSOLIDADO"/>
      <sheetName val="SINERGIA"/>
    </sheetNames>
    <sheetDataSet>
      <sheetData sheetId="0" refreshError="1"/>
      <sheetData sheetId="1" refreshError="1"/>
      <sheetData sheetId="2" refreshError="1">
        <row r="1">
          <cell r="O1">
            <v>0</v>
          </cell>
          <cell r="Q1">
            <v>0</v>
          </cell>
          <cell r="R1">
            <v>0</v>
          </cell>
          <cell r="S1">
            <v>0</v>
          </cell>
        </row>
        <row r="2">
          <cell r="I2" t="str">
            <v>Filial Sep'25</v>
          </cell>
          <cell r="K2" t="str">
            <v>Cliente de Referencia</v>
          </cell>
          <cell r="P2" t="str">
            <v>Precio Referencia</v>
          </cell>
        </row>
        <row r="3">
          <cell r="F3" t="str">
            <v>Material</v>
          </cell>
          <cell r="G3" t="str">
            <v>Material</v>
          </cell>
          <cell r="H3" t="str">
            <v>Material</v>
          </cell>
          <cell r="I3" t="str">
            <v>Vol Filial</v>
          </cell>
          <cell r="J3" t="str">
            <v xml:space="preserve">$ Filial </v>
          </cell>
          <cell r="K3" t="str">
            <v>Cliente Ref MA</v>
          </cell>
          <cell r="L3" t="str">
            <v>$ Ref MA</v>
          </cell>
          <cell r="M3" t="str">
            <v>Cliente</v>
          </cell>
          <cell r="N3" t="str">
            <v>Vol. Cliente</v>
          </cell>
          <cell r="O3" t="str">
            <v>% filial</v>
          </cell>
          <cell r="P3" t="str">
            <v>$ Ref Oct'25</v>
          </cell>
          <cell r="Q3" t="str">
            <v>% Var vs MA</v>
          </cell>
          <cell r="R3" t="str">
            <v>Dif vs MA</v>
          </cell>
          <cell r="S3" t="str">
            <v>Orden de Mag.</v>
          </cell>
        </row>
        <row r="4">
          <cell r="F4">
            <v>10001073</v>
          </cell>
          <cell r="G4" t="str">
            <v>Arena Triturada Caliza Malla 4</v>
          </cell>
          <cell r="H4">
            <v>10001073</v>
          </cell>
          <cell r="I4">
            <v>7571.5700000000006</v>
          </cell>
          <cell r="J4">
            <v>86.755921162981991</v>
          </cell>
          <cell r="K4" t="str">
            <v>CEMENTOS MOCTEZUMA</v>
          </cell>
          <cell r="L4">
            <v>87.5</v>
          </cell>
          <cell r="M4" t="str">
            <v>CEMENTOS MOCTEZUMA</v>
          </cell>
          <cell r="N4">
            <v>5981.2999999999975</v>
          </cell>
          <cell r="O4">
            <v>0.78996826285697641</v>
          </cell>
          <cell r="P4">
            <v>87.5</v>
          </cell>
          <cell r="Q4">
            <v>0</v>
          </cell>
          <cell r="R4">
            <v>0</v>
          </cell>
          <cell r="S4">
            <v>0</v>
          </cell>
        </row>
        <row r="5">
          <cell r="F5">
            <v>10000236</v>
          </cell>
          <cell r="G5" t="str">
            <v>Grava Triturada Caliza 10 mm - 3/8"</v>
          </cell>
          <cell r="H5">
            <v>10000236</v>
          </cell>
          <cell r="I5">
            <v>5185.9499999999989</v>
          </cell>
          <cell r="J5">
            <v>119.31734590576451</v>
          </cell>
          <cell r="K5" t="str">
            <v>CONCRETOS TPM-FORTALEZA</v>
          </cell>
          <cell r="L5">
            <v>120</v>
          </cell>
          <cell r="M5" t="str">
            <v>CONCRETOS TPM-FORTALEZA</v>
          </cell>
          <cell r="N5">
            <v>1191.3000000000002</v>
          </cell>
          <cell r="O5">
            <v>0.22971683105313404</v>
          </cell>
          <cell r="P5">
            <v>120</v>
          </cell>
          <cell r="Q5">
            <v>0</v>
          </cell>
          <cell r="R5">
            <v>0</v>
          </cell>
          <cell r="S5">
            <v>0</v>
          </cell>
        </row>
        <row r="6">
          <cell r="F6">
            <v>10000269</v>
          </cell>
          <cell r="G6" t="str">
            <v>Grava Triturada Caliza 13 mm - 1/2"</v>
          </cell>
          <cell r="H6">
            <v>10000269</v>
          </cell>
          <cell r="I6">
            <v>3545.3300000000004</v>
          </cell>
          <cell r="J6">
            <v>136.31734704526795</v>
          </cell>
          <cell r="K6" t="str">
            <v>CEMENTOS MOCTEZUMA</v>
          </cell>
          <cell r="L6">
            <v>137</v>
          </cell>
          <cell r="M6" t="str">
            <v>CEMENTOS MOCTEZUMA</v>
          </cell>
          <cell r="N6">
            <v>399.76</v>
          </cell>
          <cell r="O6">
            <v>0.11275678145616909</v>
          </cell>
          <cell r="P6">
            <v>137</v>
          </cell>
          <cell r="Q6">
            <v>0</v>
          </cell>
          <cell r="R6">
            <v>0</v>
          </cell>
          <cell r="S6">
            <v>0</v>
          </cell>
        </row>
        <row r="7">
          <cell r="F7">
            <v>10000240</v>
          </cell>
          <cell r="G7" t="str">
            <v>Grava Triturada Caliza 20 mm - 3/4"</v>
          </cell>
          <cell r="H7">
            <v>10000240</v>
          </cell>
          <cell r="I7">
            <v>11186.280000000006</v>
          </cell>
          <cell r="J7">
            <v>125.5674111500873</v>
          </cell>
          <cell r="K7" t="str">
            <v>CONCRETOS TPM-FORTALEZA</v>
          </cell>
          <cell r="L7">
            <v>127</v>
          </cell>
          <cell r="M7" t="str">
            <v>CONCRETOS TPM-FORTALEZA</v>
          </cell>
          <cell r="N7">
            <v>1144.24</v>
          </cell>
          <cell r="O7">
            <v>0.10228959046260235</v>
          </cell>
          <cell r="P7">
            <v>127</v>
          </cell>
          <cell r="Q7">
            <v>0</v>
          </cell>
          <cell r="R7">
            <v>0</v>
          </cell>
          <cell r="S7">
            <v>0</v>
          </cell>
        </row>
        <row r="8">
          <cell r="F8">
            <v>10001074</v>
          </cell>
          <cell r="G8" t="str">
            <v>Grava Triturada Caliza 40 mm - 1 1/2"</v>
          </cell>
          <cell r="H8">
            <v>10001074</v>
          </cell>
          <cell r="I8">
            <v>6171</v>
          </cell>
          <cell r="J8">
            <v>135.29003403014087</v>
          </cell>
          <cell r="K8" t="str">
            <v>CEMENTOS MOCTEZUMA</v>
          </cell>
          <cell r="L8">
            <v>137</v>
          </cell>
          <cell r="M8" t="str">
            <v>CEMENTOS MOCTEZUMA</v>
          </cell>
          <cell r="N8">
            <v>789.38</v>
          </cell>
          <cell r="O8">
            <v>0.12791767946848159</v>
          </cell>
          <cell r="P8">
            <v>137</v>
          </cell>
          <cell r="Q8">
            <v>0</v>
          </cell>
          <cell r="R8">
            <v>0</v>
          </cell>
          <cell r="S8">
            <v>0</v>
          </cell>
        </row>
        <row r="9">
          <cell r="F9">
            <v>10000311</v>
          </cell>
          <cell r="G9" t="str">
            <v>Arena Triturada Basalto  Malla 4</v>
          </cell>
          <cell r="H9">
            <v>10000311</v>
          </cell>
          <cell r="I9">
            <v>51.01</v>
          </cell>
          <cell r="J9">
            <v>180.5900803763968</v>
          </cell>
          <cell r="K9" t="str">
            <v>DEMOLIENDO MEXICO</v>
          </cell>
          <cell r="L9">
            <v>180</v>
          </cell>
          <cell r="M9" t="str">
            <v>TRITURADOS VEGA</v>
          </cell>
          <cell r="N9">
            <v>1364.8500000000004</v>
          </cell>
          <cell r="O9">
            <v>26.756518329739276</v>
          </cell>
          <cell r="P9">
            <v>183.90001831703114</v>
          </cell>
          <cell r="Q9">
            <v>2.1666768427950789E-2</v>
          </cell>
          <cell r="R9">
            <v>3.9000183170311402</v>
          </cell>
          <cell r="S9">
            <v>198.93993435175847</v>
          </cell>
        </row>
        <row r="10">
          <cell r="F10">
            <v>10000229</v>
          </cell>
          <cell r="G10" t="str">
            <v>Grava Triturada Basalto  10 mm - 3/8"</v>
          </cell>
          <cell r="H10">
            <v>10000229</v>
          </cell>
          <cell r="I10">
            <v>1889.2699999999998</v>
          </cell>
          <cell r="J10">
            <v>243.57465052639384</v>
          </cell>
          <cell r="K10" t="str">
            <v>CEMENTOS MOCTEZUMA</v>
          </cell>
          <cell r="L10">
            <v>239.76994973295629</v>
          </cell>
          <cell r="M10" t="str">
            <v>CEMENTOS MOCTEZUMA</v>
          </cell>
          <cell r="N10">
            <v>681.28000000000009</v>
          </cell>
          <cell r="O10">
            <v>0.36060488971930965</v>
          </cell>
          <cell r="P10">
            <v>239.77003581493659</v>
          </cell>
          <cell r="Q10">
            <v>3.5901905293123093E-7</v>
          </cell>
          <cell r="R10">
            <v>8.6081980299468341E-5</v>
          </cell>
          <cell r="S10">
            <v>0.16263210292037653</v>
          </cell>
        </row>
        <row r="11">
          <cell r="F11">
            <v>10000231</v>
          </cell>
          <cell r="G11" t="str">
            <v>Grava Triturada Basalto  20 mm - 3/4"</v>
          </cell>
          <cell r="H11">
            <v>10000231</v>
          </cell>
          <cell r="I11">
            <v>19342.880000000008</v>
          </cell>
          <cell r="J11">
            <v>216.12107917745399</v>
          </cell>
          <cell r="K11" t="str">
            <v>CEMENTOS MOCTEZUMA</v>
          </cell>
          <cell r="L11">
            <v>215.97999989651558</v>
          </cell>
          <cell r="M11" t="str">
            <v>CEMENTOS MOCTEZUMA</v>
          </cell>
          <cell r="N11">
            <v>6377.11</v>
          </cell>
          <cell r="O11">
            <v>0.32968771971909028</v>
          </cell>
          <cell r="P11">
            <v>215.98000034498389</v>
          </cell>
          <cell r="Q11">
            <v>2.0764343577894806E-9</v>
          </cell>
          <cell r="R11">
            <v>4.4846831315226154E-7</v>
          </cell>
          <cell r="S11">
            <v>8.6746687651066204E-3</v>
          </cell>
        </row>
        <row r="12">
          <cell r="F12">
            <v>10000233</v>
          </cell>
          <cell r="G12" t="str">
            <v>Grava Triturada Basalto  40 mm - 1 1/2"</v>
          </cell>
          <cell r="H12">
            <v>10000233</v>
          </cell>
          <cell r="I12">
            <v>4406.8700000000017</v>
          </cell>
          <cell r="J12">
            <v>177.99999999999991</v>
          </cell>
          <cell r="K12" t="str">
            <v xml:space="preserve">900006110 SF TC-LA CAÑADA FILIAL </v>
          </cell>
          <cell r="L12">
            <v>178</v>
          </cell>
          <cell r="M12" t="str">
            <v>CEMENTOS MOCTEZUMA</v>
          </cell>
          <cell r="N12">
            <v>700.31000000000006</v>
          </cell>
          <cell r="O12">
            <v>0.15891324227853323</v>
          </cell>
          <cell r="P12">
            <v>215.97998029444102</v>
          </cell>
          <cell r="Q12">
            <v>0.2133706758114664</v>
          </cell>
          <cell r="R12">
            <v>37.97998029444102</v>
          </cell>
          <cell r="S12">
            <v>167372.83576016338</v>
          </cell>
        </row>
        <row r="13">
          <cell r="F13">
            <v>10066861</v>
          </cell>
          <cell r="G13" t="str">
            <v>GRAVA TRITURADA BASALTO DE 40 A 4 MM</v>
          </cell>
          <cell r="H13">
            <v>10000233</v>
          </cell>
          <cell r="I13">
            <v>4406.8700000000017</v>
          </cell>
          <cell r="J13">
            <v>177.99999999999991</v>
          </cell>
          <cell r="K13" t="str">
            <v xml:space="preserve">900006110 SF TC-LA CAÑADA FILIAL </v>
          </cell>
          <cell r="L13">
            <v>178</v>
          </cell>
          <cell r="M13" t="str">
            <v>CEMENTOS MOCTEZUMA</v>
          </cell>
          <cell r="N13">
            <v>700.31000000000006</v>
          </cell>
          <cell r="O13">
            <v>0.15891324227853323</v>
          </cell>
          <cell r="P13">
            <v>215.97998029444102</v>
          </cell>
          <cell r="Q13">
            <v>0.2133706758114664</v>
          </cell>
          <cell r="R13">
            <v>37.97998029444102</v>
          </cell>
          <cell r="S13">
            <v>167372.83576016338</v>
          </cell>
        </row>
        <row r="14">
          <cell r="F14">
            <v>10000255</v>
          </cell>
          <cell r="G14" t="str">
            <v>Arena Triturada Andesita Malla 4</v>
          </cell>
          <cell r="H14">
            <v>10000255</v>
          </cell>
          <cell r="I14">
            <v>58752.739999999896</v>
          </cell>
          <cell r="J14">
            <v>104.25809928183794</v>
          </cell>
          <cell r="K14" t="str">
            <v>CONCRETOS TPM-FORTALEZA</v>
          </cell>
          <cell r="L14">
            <v>104.1400012356315</v>
          </cell>
          <cell r="M14" t="str">
            <v>CONCRETOS TPM-FORTALEZA</v>
          </cell>
          <cell r="N14">
            <v>11334.360000000004</v>
          </cell>
          <cell r="O14">
            <v>0.19291627930884628</v>
          </cell>
          <cell r="P14">
            <v>104.14000525834714</v>
          </cell>
          <cell r="Q14">
            <v>3.8627958387493777E-8</v>
          </cell>
          <cell r="R14">
            <v>4.0227156432592892E-6</v>
          </cell>
          <cell r="S14">
            <v>0.23634556628234535</v>
          </cell>
        </row>
        <row r="15">
          <cell r="F15">
            <v>10002350</v>
          </cell>
          <cell r="G15" t="str">
            <v>Grava Triturada Andesita 10mm-3/8"</v>
          </cell>
          <cell r="H15">
            <v>10002350</v>
          </cell>
          <cell r="I15">
            <v>775.43999999999994</v>
          </cell>
          <cell r="J15">
            <v>132.05034561023419</v>
          </cell>
          <cell r="K15" t="str">
            <v>CEMENTOS MOCTEZUMA</v>
          </cell>
          <cell r="L15">
            <v>134.60002506108643</v>
          </cell>
          <cell r="M15" t="str">
            <v>CONCRETOS TPM-FORTALEZA</v>
          </cell>
          <cell r="N15">
            <v>226.3</v>
          </cell>
          <cell r="O15">
            <v>0.29183431342205718</v>
          </cell>
          <cell r="P15">
            <v>120.49001325673883</v>
          </cell>
          <cell r="Q15">
            <v>-0.10482919150976344</v>
          </cell>
          <cell r="R15">
            <v>-14.110011804347593</v>
          </cell>
          <cell r="S15">
            <v>-10941.467553563296</v>
          </cell>
        </row>
        <row r="16">
          <cell r="F16">
            <v>10000253</v>
          </cell>
          <cell r="G16" t="str">
            <v>Grava Triturada Andesita 20 mm - 3/4"</v>
          </cell>
          <cell r="H16">
            <v>10000253</v>
          </cell>
          <cell r="I16">
            <v>12365.110000000002</v>
          </cell>
          <cell r="J16">
            <v>104.17167659648804</v>
          </cell>
          <cell r="K16" t="str">
            <v>RUBEN ADRIAN DUANA SANCHEZ</v>
          </cell>
          <cell r="L16">
            <v>104.00000000000003</v>
          </cell>
          <cell r="M16" t="str">
            <v>RUBEN ADRIAN DUANA SANCHEZ</v>
          </cell>
          <cell r="N16">
            <v>3141.81</v>
          </cell>
          <cell r="O16">
            <v>0.25408670040137121</v>
          </cell>
          <cell r="P16">
            <v>104</v>
          </cell>
          <cell r="Q16">
            <v>-2.2204460492503131E-16</v>
          </cell>
          <cell r="R16">
            <v>-2.8421709430404007E-14</v>
          </cell>
          <cell r="S16">
            <v>-3.5143756349498296E-10</v>
          </cell>
        </row>
        <row r="17">
          <cell r="F17">
            <v>10001073</v>
          </cell>
          <cell r="G17" t="str">
            <v>Arena Triturada Caliza Malla 4</v>
          </cell>
          <cell r="H17">
            <v>10001073</v>
          </cell>
          <cell r="I17">
            <v>11956.809999999983</v>
          </cell>
          <cell r="J17">
            <v>195.97436021815196</v>
          </cell>
          <cell r="K17" t="str">
            <v>Vallejo Material + Inc en Precio C.Jardin (May'25) + Flete FFCC (nov24)</v>
          </cell>
          <cell r="L17">
            <v>197.8</v>
          </cell>
          <cell r="M17" t="str">
            <v>Vallejo Material + Inc en Precio C.Jardin (May'25) + Flete FFCC (nov24)</v>
          </cell>
          <cell r="N17" t="str">
            <v/>
          </cell>
          <cell r="O17" t="str">
            <v/>
          </cell>
          <cell r="P17">
            <v>197.8</v>
          </cell>
          <cell r="Q17">
            <v>0</v>
          </cell>
          <cell r="R17">
            <v>0</v>
          </cell>
          <cell r="S17">
            <v>0</v>
          </cell>
        </row>
        <row r="18">
          <cell r="F18">
            <v>10000240</v>
          </cell>
          <cell r="G18" t="str">
            <v>Grava Triturada Caliza 20 mm - 3/4"</v>
          </cell>
          <cell r="H18">
            <v>10000240</v>
          </cell>
          <cell r="I18">
            <v>44198.876999999949</v>
          </cell>
          <cell r="J18">
            <v>258.1377671654418</v>
          </cell>
          <cell r="K18" t="str">
            <v>Vallejo Material + Inc en Precio C.Jardin (May'25) + Flete FFCC (nov24)</v>
          </cell>
          <cell r="L18">
            <v>258.77</v>
          </cell>
          <cell r="M18" t="str">
            <v>Vallejo Material + Inc en Precio C.Jardin (May'25) + Flete FFCC (nov24)</v>
          </cell>
          <cell r="N18" t="str">
            <v/>
          </cell>
          <cell r="O18" t="str">
            <v/>
          </cell>
          <cell r="P18">
            <v>258.77</v>
          </cell>
          <cell r="Q18">
            <v>0</v>
          </cell>
          <cell r="R18">
            <v>0</v>
          </cell>
          <cell r="S18">
            <v>0</v>
          </cell>
        </row>
        <row r="19">
          <cell r="F19">
            <v>10000234</v>
          </cell>
          <cell r="G19" t="str">
            <v>Arena Triturada Basalto  Malla 4</v>
          </cell>
          <cell r="H19">
            <v>10000234</v>
          </cell>
          <cell r="I19">
            <v>2790.8</v>
          </cell>
          <cell r="J19">
            <v>155.88496130141891</v>
          </cell>
          <cell r="K19" t="str">
            <v>ARENAS Y GRAVAS DEL BAJIO</v>
          </cell>
          <cell r="L19">
            <v>158.99999999999997</v>
          </cell>
          <cell r="M19" t="str">
            <v>ARENAS Y GRAVAS DEL BAJIO</v>
          </cell>
          <cell r="N19">
            <v>4160.96</v>
          </cell>
          <cell r="O19">
            <v>1.4909559982800631</v>
          </cell>
          <cell r="P19">
            <v>158.99999999999997</v>
          </cell>
          <cell r="Q19">
            <v>0</v>
          </cell>
          <cell r="R19">
            <v>0</v>
          </cell>
          <cell r="S19">
            <v>0</v>
          </cell>
        </row>
        <row r="20">
          <cell r="F20">
            <v>10000285</v>
          </cell>
          <cell r="G20" t="str">
            <v>Grava Triturada Basalto  10 mm - 3/8"</v>
          </cell>
          <cell r="H20">
            <v>10000285</v>
          </cell>
          <cell r="I20">
            <v>3125.47</v>
          </cell>
          <cell r="J20">
            <v>174.80922869200461</v>
          </cell>
          <cell r="K20" t="str">
            <v>ARENAS Y GRAVAS DEL BAJIO</v>
          </cell>
          <cell r="L20">
            <v>175.00000000000003</v>
          </cell>
          <cell r="M20" t="str">
            <v>ARENAS Y GRAVAS DEL BAJIO</v>
          </cell>
          <cell r="N20">
            <v>684.81000000000006</v>
          </cell>
          <cell r="O20">
            <v>0.21910624642053839</v>
          </cell>
          <cell r="P20">
            <v>174.99999999999997</v>
          </cell>
          <cell r="Q20">
            <v>-3.3306690738754696E-16</v>
          </cell>
          <cell r="R20">
            <v>-5.6843418860808015E-14</v>
          </cell>
          <cell r="S20">
            <v>-1.7766240034688961E-10</v>
          </cell>
        </row>
        <row r="21">
          <cell r="F21">
            <v>10000284</v>
          </cell>
          <cell r="G21" t="str">
            <v>Grava Triturada Basalto  20 mm - 3/4"</v>
          </cell>
          <cell r="H21">
            <v>10000284</v>
          </cell>
          <cell r="I21">
            <v>10414.209999999999</v>
          </cell>
          <cell r="J21">
            <v>174.90377282578311</v>
          </cell>
          <cell r="K21" t="str">
            <v>ARENAS Y GRAVAS DEL BAJIO</v>
          </cell>
          <cell r="L21">
            <v>175</v>
          </cell>
          <cell r="M21" t="str">
            <v>ARENAS Y GRAVAS DEL BAJIO</v>
          </cell>
          <cell r="N21" t="str">
            <v/>
          </cell>
          <cell r="O21" t="str">
            <v/>
          </cell>
          <cell r="P21">
            <v>175</v>
          </cell>
          <cell r="Q21">
            <v>0</v>
          </cell>
          <cell r="R21">
            <v>0</v>
          </cell>
          <cell r="S21">
            <v>0</v>
          </cell>
        </row>
        <row r="22">
          <cell r="F22">
            <v>10000287</v>
          </cell>
          <cell r="G22" t="str">
            <v>Grava Triturada Basalto  40 mm - 1 1/2"</v>
          </cell>
          <cell r="H22">
            <v>10000287</v>
          </cell>
          <cell r="I22">
            <v>6649.8200000000043</v>
          </cell>
          <cell r="J22">
            <v>185.48557554941311</v>
          </cell>
          <cell r="K22" t="str">
            <v>ARENAS Y GRAVAS DEL BAJIO</v>
          </cell>
          <cell r="L22">
            <v>174.99999999999997</v>
          </cell>
          <cell r="M22" t="str">
            <v>ARENAS Y GRAVAS DEL BAJIO</v>
          </cell>
          <cell r="N22">
            <v>792.96999999999991</v>
          </cell>
          <cell r="O22">
            <v>0.11924683675648355</v>
          </cell>
          <cell r="P22">
            <v>175.00000000000003</v>
          </cell>
          <cell r="Q22">
            <v>2.2204460492503131E-16</v>
          </cell>
          <cell r="R22">
            <v>5.6843418860808015E-14</v>
          </cell>
          <cell r="S22">
            <v>3.779985036089786E-10</v>
          </cell>
        </row>
        <row r="23">
          <cell r="F23">
            <v>10000124</v>
          </cell>
          <cell r="G23" t="str">
            <v>Arena Triturada Caliza Malla 4</v>
          </cell>
          <cell r="H23">
            <v>10000124</v>
          </cell>
          <cell r="I23">
            <v>127283.88999999997</v>
          </cell>
          <cell r="J23">
            <v>271.51580038919263</v>
          </cell>
          <cell r="K23" t="str">
            <v>900000941 (ED) TC-ED-GIH</v>
          </cell>
          <cell r="L23">
            <v>273.5</v>
          </cell>
          <cell r="M23" t="str">
            <v>900000941 (ED) TC-ED-GIH</v>
          </cell>
          <cell r="N23" t="str">
            <v/>
          </cell>
          <cell r="O23" t="str">
            <v/>
          </cell>
          <cell r="P23">
            <v>273.5</v>
          </cell>
          <cell r="Q23">
            <v>0</v>
          </cell>
          <cell r="R23">
            <v>0</v>
          </cell>
          <cell r="S23">
            <v>0</v>
          </cell>
        </row>
        <row r="24">
          <cell r="F24">
            <v>10164169</v>
          </cell>
          <cell r="G24" t="str">
            <v>ARENA TRITURADA CALIZA MALLA 4 B47 FILIA</v>
          </cell>
          <cell r="H24">
            <v>10000124</v>
          </cell>
          <cell r="I24">
            <v>127283.88999999997</v>
          </cell>
          <cell r="J24">
            <v>271.51580038919263</v>
          </cell>
          <cell r="K24" t="str">
            <v>900000941 (ED) TC-ED-GIH</v>
          </cell>
          <cell r="L24">
            <v>273.5</v>
          </cell>
          <cell r="M24" t="str">
            <v>900000941 (ED) TC-ED-GIH</v>
          </cell>
          <cell r="N24" t="str">
            <v/>
          </cell>
          <cell r="O24" t="str">
            <v/>
          </cell>
          <cell r="P24">
            <v>273.5</v>
          </cell>
          <cell r="Q24">
            <v>0</v>
          </cell>
          <cell r="R24">
            <v>0</v>
          </cell>
          <cell r="S24">
            <v>0</v>
          </cell>
        </row>
        <row r="25">
          <cell r="F25">
            <v>10000260</v>
          </cell>
          <cell r="G25" t="str">
            <v>Arena Triturada Caliza Malla 5</v>
          </cell>
          <cell r="H25">
            <v>10000260</v>
          </cell>
          <cell r="I25">
            <v>517.82000000000005</v>
          </cell>
          <cell r="J25">
            <v>395.87003205747169</v>
          </cell>
          <cell r="K25" t="str">
            <v>900000941 (ED) TC-ED-GIH</v>
          </cell>
          <cell r="L25">
            <v>395.87464461101058</v>
          </cell>
          <cell r="M25" t="str">
            <v>CONCRETOS DELESE</v>
          </cell>
          <cell r="N25">
            <v>763.68</v>
          </cell>
          <cell r="O25">
            <v>1.474798192422077</v>
          </cell>
          <cell r="P25">
            <v>308.00000000000006</v>
          </cell>
          <cell r="Q25">
            <v>-0.22197593558273176</v>
          </cell>
          <cell r="R25">
            <v>-87.874644611010524</v>
          </cell>
          <cell r="S25">
            <v>-45503.248472473475</v>
          </cell>
        </row>
        <row r="26">
          <cell r="F26">
            <v>10000237</v>
          </cell>
          <cell r="G26" t="str">
            <v>Grava Triturada Caliza 10 mm - 3/8"</v>
          </cell>
          <cell r="H26">
            <v>10000237</v>
          </cell>
          <cell r="I26">
            <v>3606.9800000000014</v>
          </cell>
          <cell r="J26">
            <v>304.61177771986536</v>
          </cell>
          <cell r="K26" t="str">
            <v>900000941 (ED) TC-ED-GIH</v>
          </cell>
          <cell r="L26">
            <v>283</v>
          </cell>
          <cell r="M26" t="str">
            <v>BLOCKERA GONZALITOS</v>
          </cell>
          <cell r="N26">
            <v>411.57000000000005</v>
          </cell>
          <cell r="O26">
            <v>0.11410376547693636</v>
          </cell>
          <cell r="P26">
            <v>270</v>
          </cell>
          <cell r="Q26">
            <v>-4.5936395759717308E-2</v>
          </cell>
          <cell r="R26">
            <v>-13</v>
          </cell>
          <cell r="S26">
            <v>-46890.74000000002</v>
          </cell>
        </row>
        <row r="27">
          <cell r="F27">
            <v>10000241</v>
          </cell>
          <cell r="G27" t="str">
            <v>Grava Triturada Caliza 20 mm - 3/4"</v>
          </cell>
          <cell r="H27">
            <v>10000241</v>
          </cell>
          <cell r="I27">
            <v>87582.085999999821</v>
          </cell>
          <cell r="J27">
            <v>274.56827758133073</v>
          </cell>
          <cell r="K27" t="str">
            <v>900000941 (ED) TC-ED-GIH</v>
          </cell>
          <cell r="L27">
            <v>273.5</v>
          </cell>
          <cell r="M27" t="str">
            <v>900000941 (ED) TC-ED-GIH</v>
          </cell>
          <cell r="N27" t="str">
            <v/>
          </cell>
          <cell r="O27" t="str">
            <v/>
          </cell>
          <cell r="P27">
            <v>273.5</v>
          </cell>
          <cell r="Q27">
            <v>0</v>
          </cell>
          <cell r="R27">
            <v>0</v>
          </cell>
          <cell r="S27">
            <v>0</v>
          </cell>
        </row>
        <row r="28">
          <cell r="F28">
            <v>10038952</v>
          </cell>
          <cell r="G28" t="str">
            <v>Arena Triturada Caliza Malla 4</v>
          </cell>
          <cell r="H28">
            <v>10038952</v>
          </cell>
          <cell r="I28">
            <v>9565.5199999999913</v>
          </cell>
          <cell r="J28">
            <v>154.7859206817823</v>
          </cell>
          <cell r="K28" t="str">
            <v>CONCRETOS TANCOL</v>
          </cell>
          <cell r="L28">
            <v>153.8799561622431</v>
          </cell>
          <cell r="M28" t="str">
            <v>CONCRETOS TANCOL</v>
          </cell>
          <cell r="N28">
            <v>4110.47</v>
          </cell>
          <cell r="O28">
            <v>0.42971735985079784</v>
          </cell>
          <cell r="P28">
            <v>153.87994803513953</v>
          </cell>
          <cell r="Q28">
            <v>-5.2814569051484739E-8</v>
          </cell>
          <cell r="R28">
            <v>-8.1271035696772742E-6</v>
          </cell>
          <cell r="S28">
            <v>-7.7739971737819283E-2</v>
          </cell>
        </row>
        <row r="29">
          <cell r="F29">
            <v>10038950</v>
          </cell>
          <cell r="G29" t="str">
            <v>Grava Triturada Caliza 20 mm - 3/4"</v>
          </cell>
          <cell r="H29">
            <v>10038950</v>
          </cell>
          <cell r="I29">
            <v>5677.6800000000012</v>
          </cell>
          <cell r="J29">
            <v>154.7966634259063</v>
          </cell>
          <cell r="K29" t="str">
            <v>CONCRETOS TANCOL</v>
          </cell>
          <cell r="L29">
            <v>153.87996956837347</v>
          </cell>
          <cell r="M29" t="str">
            <v>CONCRETOS TANCOL</v>
          </cell>
          <cell r="N29">
            <v>2780.3399999999997</v>
          </cell>
          <cell r="O29">
            <v>0.48969649575178581</v>
          </cell>
          <cell r="P29">
            <v>153.87996072422797</v>
          </cell>
          <cell r="Q29">
            <v>-5.7474312753491574E-8</v>
          </cell>
          <cell r="R29">
            <v>-8.8441454977328249E-6</v>
          </cell>
          <cell r="S29">
            <v>-5.0214228009567714E-2</v>
          </cell>
        </row>
        <row r="30">
          <cell r="F30">
            <v>10049672</v>
          </cell>
          <cell r="G30" t="str">
            <v>Grava Triturada Caliza 40 mm - 1 1/2"</v>
          </cell>
          <cell r="H30">
            <v>10049672</v>
          </cell>
          <cell r="I30">
            <v>1361.92</v>
          </cell>
          <cell r="J30">
            <v>160.85681244125936</v>
          </cell>
          <cell r="K30" t="str">
            <v>900005511TC-ED CONSTRUCARGO</v>
          </cell>
          <cell r="L30">
            <v>160</v>
          </cell>
          <cell r="M30" t="str">
            <v>900005511TC-ED CONSTRUCARGO</v>
          </cell>
          <cell r="N30" t="str">
            <v/>
          </cell>
          <cell r="O30" t="str">
            <v/>
          </cell>
          <cell r="P30">
            <v>160</v>
          </cell>
          <cell r="Q30">
            <v>0</v>
          </cell>
          <cell r="R30">
            <v>0</v>
          </cell>
          <cell r="S30">
            <v>0</v>
          </cell>
        </row>
        <row r="31">
          <cell r="F31">
            <v>10038942</v>
          </cell>
          <cell r="G31" t="str">
            <v>Arena Triturada Caliza Malla 8</v>
          </cell>
          <cell r="H31">
            <v>10038942</v>
          </cell>
          <cell r="I31">
            <v>19702.489999999998</v>
          </cell>
          <cell r="J31">
            <v>126.30609227564585</v>
          </cell>
          <cell r="K31" t="str">
            <v>CONCRETOS RICASA</v>
          </cell>
          <cell r="L31">
            <v>126.49999434517989</v>
          </cell>
          <cell r="M31" t="str">
            <v>CONCRETOS RICASA</v>
          </cell>
          <cell r="N31">
            <v>4546.8799999999983</v>
          </cell>
          <cell r="O31">
            <v>0.23077692210476944</v>
          </cell>
          <cell r="P31">
            <v>126.49999434517989</v>
          </cell>
          <cell r="Q31">
            <v>0</v>
          </cell>
          <cell r="R31">
            <v>0</v>
          </cell>
          <cell r="S31">
            <v>0</v>
          </cell>
        </row>
        <row r="32">
          <cell r="F32">
            <v>10038947</v>
          </cell>
          <cell r="G32" t="str">
            <v>Grava Triturada Caliza 10 mm - 3/8"</v>
          </cell>
          <cell r="H32">
            <v>10038947</v>
          </cell>
          <cell r="I32">
            <v>591.58000000000015</v>
          </cell>
          <cell r="J32">
            <v>110.84086683119776</v>
          </cell>
          <cell r="K32" t="str">
            <v>900000009 TC-TRITURADOS CRIBISSA</v>
          </cell>
          <cell r="L32">
            <v>111</v>
          </cell>
          <cell r="M32" t="str">
            <v>900000009 TC-TRITURADOS CRIBISSA</v>
          </cell>
          <cell r="N32" t="str">
            <v/>
          </cell>
          <cell r="O32" t="str">
            <v/>
          </cell>
          <cell r="P32">
            <v>111</v>
          </cell>
          <cell r="Q32">
            <v>0</v>
          </cell>
          <cell r="R32">
            <v>0</v>
          </cell>
          <cell r="S32">
            <v>0</v>
          </cell>
        </row>
        <row r="33">
          <cell r="F33">
            <v>10038945</v>
          </cell>
          <cell r="G33" t="str">
            <v>Grava Triturada Caliza 20 mm - 3/4"</v>
          </cell>
          <cell r="H33">
            <v>10038945</v>
          </cell>
          <cell r="I33">
            <v>11297.900000000001</v>
          </cell>
          <cell r="J33">
            <v>133.97929438214163</v>
          </cell>
          <cell r="K33" t="str">
            <v>COPLASA</v>
          </cell>
          <cell r="L33">
            <v>134.39997290858238</v>
          </cell>
          <cell r="M33" t="str">
            <v>COPLASA</v>
          </cell>
          <cell r="N33">
            <v>1984.1600000000003</v>
          </cell>
          <cell r="O33">
            <v>0.17562201825117943</v>
          </cell>
          <cell r="P33">
            <v>134.39999798403355</v>
          </cell>
          <cell r="Q33">
            <v>1.8657333500371465E-7</v>
          </cell>
          <cell r="R33">
            <v>2.5075451162592799E-5</v>
          </cell>
          <cell r="S33">
            <v>0.28329993968985723</v>
          </cell>
        </row>
        <row r="34">
          <cell r="F34">
            <v>10038659</v>
          </cell>
          <cell r="G34" t="str">
            <v>Grava Triturada Caliza 40 mm - 1 1/2"</v>
          </cell>
          <cell r="H34">
            <v>10038659</v>
          </cell>
          <cell r="I34">
            <v>3010.2899999999995</v>
          </cell>
          <cell r="J34">
            <v>119.5104059741753</v>
          </cell>
          <cell r="K34" t="str">
            <v>CONCRETOS RICASA</v>
          </cell>
          <cell r="L34">
            <v>113.99999999999991</v>
          </cell>
          <cell r="M34" t="str">
            <v>COPLASA</v>
          </cell>
          <cell r="N34">
            <v>601.54999999999995</v>
          </cell>
          <cell r="O34">
            <v>0.19983124549462014</v>
          </cell>
          <cell r="P34">
            <v>134.39996675255591</v>
          </cell>
          <cell r="Q34">
            <v>0.1789470767768071</v>
          </cell>
          <cell r="R34">
            <v>20.399966752555997</v>
          </cell>
          <cell r="S34">
            <v>61409.815915551786</v>
          </cell>
        </row>
        <row r="35">
          <cell r="F35">
            <v>10000266</v>
          </cell>
          <cell r="G35" t="str">
            <v>Arena Triturada Basalto Malla 5</v>
          </cell>
          <cell r="H35">
            <v>10000266</v>
          </cell>
          <cell r="I35">
            <v>12335.029999999999</v>
          </cell>
          <cell r="J35">
            <v>198.95000822859771</v>
          </cell>
          <cell r="K35" t="str">
            <v>CEMENTOS MOCTEZUMA</v>
          </cell>
          <cell r="L35">
            <v>198.95000530391414</v>
          </cell>
          <cell r="M35" t="str">
            <v>CEMENTOS MOCTEZUMA</v>
          </cell>
          <cell r="N35">
            <v>1346.91</v>
          </cell>
          <cell r="O35">
            <v>0.10919389738006313</v>
          </cell>
          <cell r="P35">
            <v>198.95000530391414</v>
          </cell>
          <cell r="Q35">
            <v>0</v>
          </cell>
          <cell r="R35">
            <v>0</v>
          </cell>
          <cell r="S35">
            <v>0</v>
          </cell>
        </row>
        <row r="36">
          <cell r="F36">
            <v>10000293</v>
          </cell>
          <cell r="G36" t="str">
            <v>Grava Triturada Basalto  10 mm - 3/8"</v>
          </cell>
          <cell r="H36">
            <v>10000293</v>
          </cell>
          <cell r="I36">
            <v>417.26000000000005</v>
          </cell>
          <cell r="J36">
            <v>257.25003594880889</v>
          </cell>
          <cell r="K36" t="str">
            <v>CAMINOS Y PLATAFORMAS</v>
          </cell>
          <cell r="L36">
            <v>257.2500356094921</v>
          </cell>
          <cell r="M36" t="str">
            <v>CAMINOS Y PLATAFORMAS</v>
          </cell>
          <cell r="N36">
            <v>1135.31</v>
          </cell>
          <cell r="O36">
            <v>2.7208694818578341</v>
          </cell>
          <cell r="P36">
            <v>257.2500356094921</v>
          </cell>
          <cell r="Q36">
            <v>0</v>
          </cell>
          <cell r="R36">
            <v>0</v>
          </cell>
          <cell r="S36">
            <v>0</v>
          </cell>
        </row>
        <row r="37">
          <cell r="F37">
            <v>10000274</v>
          </cell>
          <cell r="G37" t="str">
            <v>Grava Triturada Basalto  20 mm - 3/4"</v>
          </cell>
          <cell r="H37">
            <v>10000274</v>
          </cell>
          <cell r="I37">
            <v>25731.753000000019</v>
          </cell>
          <cell r="J37">
            <v>177.57679665275805</v>
          </cell>
          <cell r="K37" t="str">
            <v>CEMENTOS MOCTEZUMA</v>
          </cell>
          <cell r="L37">
            <v>177.48999841706592</v>
          </cell>
          <cell r="M37" t="str">
            <v>CEMENTOS MOCTEZUMA</v>
          </cell>
          <cell r="N37">
            <v>8509.5300000000079</v>
          </cell>
          <cell r="O37">
            <v>0.33070152663131819</v>
          </cell>
          <cell r="P37">
            <v>177.48999533464223</v>
          </cell>
          <cell r="Q37">
            <v>-1.7366745819202833E-8</v>
          </cell>
          <cell r="R37">
            <v>-3.0824236887383449E-6</v>
          </cell>
          <cell r="S37">
            <v>-7.9316164999964037E-2</v>
          </cell>
        </row>
        <row r="38">
          <cell r="F38">
            <v>10051295</v>
          </cell>
          <cell r="G38" t="str">
            <v>Grava Triturada Basalto 10 mm - 3/8"</v>
          </cell>
          <cell r="H38">
            <v>10051295</v>
          </cell>
          <cell r="I38">
            <v>1763.0899999999992</v>
          </cell>
          <cell r="J38">
            <v>325.49999149220986</v>
          </cell>
          <cell r="K38" t="str">
            <v>DC CONCRETOS</v>
          </cell>
          <cell r="L38">
            <v>325.49993521805618</v>
          </cell>
          <cell r="M38" t="str">
            <v>DC CONCRETOS</v>
          </cell>
          <cell r="N38">
            <v>961.64</v>
          </cell>
          <cell r="O38">
            <v>0.54542876427181841</v>
          </cell>
          <cell r="P38">
            <v>325.49993521805618</v>
          </cell>
          <cell r="Q38">
            <v>0</v>
          </cell>
          <cell r="R38">
            <v>0</v>
          </cell>
          <cell r="S38">
            <v>0</v>
          </cell>
        </row>
        <row r="39">
          <cell r="F39">
            <v>10051293</v>
          </cell>
          <cell r="G39" t="str">
            <v>Grava Triturada Basalto 20 mm - 3/4"</v>
          </cell>
          <cell r="H39">
            <v>10051293</v>
          </cell>
          <cell r="I39">
            <v>12975.370000000004</v>
          </cell>
          <cell r="J39">
            <v>232.87970593516849</v>
          </cell>
          <cell r="K39" t="str">
            <v>BC CONCRETOS Y SERVICIOS</v>
          </cell>
          <cell r="L39">
            <v>232.92000841750846</v>
          </cell>
          <cell r="M39" t="str">
            <v>BC CONCRETOS Y SERVICIOS</v>
          </cell>
          <cell r="N39">
            <v>3384.3099999999995</v>
          </cell>
          <cell r="O39">
            <v>0.26082570285086271</v>
          </cell>
          <cell r="P39">
            <v>232.91999846349765</v>
          </cell>
          <cell r="Q39">
            <v>-4.2735748051470068E-8</v>
          </cell>
          <cell r="R39">
            <v>-9.9540108067230904E-6</v>
          </cell>
          <cell r="S39">
            <v>-0.12915697320123062</v>
          </cell>
        </row>
        <row r="40">
          <cell r="F40">
            <v>10197865</v>
          </cell>
          <cell r="G40" t="str">
            <v>GRAVA TRITURADA BASALTO 40-4MM - 1 1/2"</v>
          </cell>
          <cell r="H40">
            <v>10199160</v>
          </cell>
          <cell r="I40">
            <v>3723.9500000000012</v>
          </cell>
          <cell r="J40">
            <v>228.2900012083943</v>
          </cell>
          <cell r="K40" t="str">
            <v>BC CONCRETOS Y SERVICIOS</v>
          </cell>
          <cell r="L40">
            <v>228.29001673870135</v>
          </cell>
          <cell r="M40" t="str">
            <v>BC CONCRETOS Y SERVICIOS</v>
          </cell>
          <cell r="N40">
            <v>412.56999999999994</v>
          </cell>
          <cell r="O40">
            <v>0.11078827588984809</v>
          </cell>
          <cell r="P40">
            <v>228.28996291538405</v>
          </cell>
          <cell r="Q40">
            <v>-2.357672843622538E-7</v>
          </cell>
          <cell r="R40">
            <v>-5.382331730174883E-5</v>
          </cell>
          <cell r="S40">
            <v>-0.20043534246584763</v>
          </cell>
        </row>
        <row r="41">
          <cell r="F41">
            <v>10199160</v>
          </cell>
          <cell r="G41" t="str">
            <v>GRAVA TRITURADA BASALTO 40-20MM - 1 1/2"</v>
          </cell>
          <cell r="H41">
            <v>10199160</v>
          </cell>
          <cell r="I41">
            <v>3723.9500000000012</v>
          </cell>
          <cell r="J41">
            <v>228.2900012083943</v>
          </cell>
          <cell r="K41" t="str">
            <v>BC CONCRETOS Y SERVICIOS</v>
          </cell>
          <cell r="L41">
            <v>228.29001673870135</v>
          </cell>
          <cell r="M41" t="str">
            <v>BC CONCRETOS Y SERVICIOS</v>
          </cell>
          <cell r="N41">
            <v>412.56999999999994</v>
          </cell>
          <cell r="O41">
            <v>0.11078827588984809</v>
          </cell>
          <cell r="P41">
            <v>228.28996291538405</v>
          </cell>
          <cell r="Q41">
            <v>-2.357672843622538E-7</v>
          </cell>
          <cell r="R41">
            <v>-5.382331730174883E-5</v>
          </cell>
          <cell r="S41">
            <v>-0.20043534246584763</v>
          </cell>
        </row>
        <row r="42">
          <cell r="F42">
            <v>10000101</v>
          </cell>
          <cell r="G42" t="str">
            <v>Arena Triturada Caliza Malla 4 -Especial</v>
          </cell>
          <cell r="H42">
            <v>10000101</v>
          </cell>
          <cell r="I42">
            <v>6878.1180000000204</v>
          </cell>
          <cell r="J42">
            <v>289.12414704138484</v>
          </cell>
          <cell r="K42" t="str">
            <v>900007778 SF TC-ALIANCO MAQAR</v>
          </cell>
          <cell r="L42">
            <v>295.10000000000002</v>
          </cell>
          <cell r="M42" t="str">
            <v>900007778 SF TC-ALIANCO MAQAR</v>
          </cell>
          <cell r="N42" t="str">
            <v/>
          </cell>
          <cell r="O42" t="str">
            <v/>
          </cell>
          <cell r="P42">
            <v>295.10000000000002</v>
          </cell>
          <cell r="Q42">
            <v>0</v>
          </cell>
          <cell r="R42">
            <v>0</v>
          </cell>
          <cell r="S42">
            <v>0</v>
          </cell>
        </row>
        <row r="43">
          <cell r="F43">
            <v>10264038</v>
          </cell>
          <cell r="G43" t="str">
            <v>MOV ARENA TRITURADA CALIZA MALLA 4</v>
          </cell>
          <cell r="H43">
            <v>10000101</v>
          </cell>
          <cell r="I43">
            <v>6878.1180000000204</v>
          </cell>
          <cell r="J43">
            <v>289.12414704138484</v>
          </cell>
          <cell r="K43" t="str">
            <v>900007778 SF TC-ALIANCO MAQAR</v>
          </cell>
          <cell r="L43">
            <v>295.10000000000002</v>
          </cell>
          <cell r="M43" t="str">
            <v>900007778 SF TC-ALIANCO MAQAR</v>
          </cell>
          <cell r="N43" t="str">
            <v/>
          </cell>
          <cell r="O43" t="str">
            <v/>
          </cell>
          <cell r="P43">
            <v>295.10000000000002</v>
          </cell>
          <cell r="Q43">
            <v>0</v>
          </cell>
          <cell r="R43">
            <v>0</v>
          </cell>
          <cell r="S43">
            <v>0</v>
          </cell>
        </row>
        <row r="44">
          <cell r="F44">
            <v>10000112</v>
          </cell>
          <cell r="G44" t="str">
            <v>Grava Triturada Caliza 13 mm - 1/2"</v>
          </cell>
          <cell r="H44">
            <v>10000112</v>
          </cell>
          <cell r="I44">
            <v>2632.7700000000004</v>
          </cell>
          <cell r="J44">
            <v>227.02419884760144</v>
          </cell>
          <cell r="K44" t="str">
            <v>900002370 TC-MOSECA</v>
          </cell>
          <cell r="L44">
            <v>233</v>
          </cell>
          <cell r="M44" t="str">
            <v>900002370 TC-MOSECA</v>
          </cell>
          <cell r="N44" t="str">
            <v/>
          </cell>
          <cell r="O44" t="str">
            <v/>
          </cell>
          <cell r="P44">
            <v>233</v>
          </cell>
          <cell r="Q44">
            <v>0</v>
          </cell>
          <cell r="R44">
            <v>0</v>
          </cell>
          <cell r="S44">
            <v>0</v>
          </cell>
        </row>
        <row r="45">
          <cell r="F45">
            <v>10000110</v>
          </cell>
          <cell r="G45" t="str">
            <v>GRAVA TRITURADA CALIZA 20 MM “3/4"–INTEG</v>
          </cell>
          <cell r="H45">
            <v>10000110</v>
          </cell>
          <cell r="I45">
            <v>8152.3879999999772</v>
          </cell>
          <cell r="J45">
            <v>263.83897822331357</v>
          </cell>
          <cell r="K45" t="str">
            <v>UNDER CONCRETOS</v>
          </cell>
          <cell r="L45">
            <v>268</v>
          </cell>
          <cell r="M45" t="str">
            <v>UNDER CONCRETOS</v>
          </cell>
          <cell r="N45" t="str">
            <v/>
          </cell>
          <cell r="O45" t="str">
            <v/>
          </cell>
          <cell r="P45">
            <v>268</v>
          </cell>
          <cell r="Q45">
            <v>0</v>
          </cell>
          <cell r="R45">
            <v>0</v>
          </cell>
          <cell r="S45">
            <v>0</v>
          </cell>
        </row>
        <row r="46">
          <cell r="F46">
            <v>10264039</v>
          </cell>
          <cell r="G46" t="str">
            <v>MOV GRAVA TRITURADA CALIZA 20MM 3/4 INTE</v>
          </cell>
          <cell r="H46">
            <v>10000110</v>
          </cell>
          <cell r="I46">
            <v>8152.3879999999772</v>
          </cell>
          <cell r="J46">
            <v>263.83897822331357</v>
          </cell>
          <cell r="K46" t="str">
            <v>UNDER CONCRETOS</v>
          </cell>
          <cell r="L46">
            <v>268</v>
          </cell>
          <cell r="M46" t="str">
            <v>UNDER CONCRETOS</v>
          </cell>
          <cell r="N46" t="str">
            <v/>
          </cell>
          <cell r="O46" t="str">
            <v/>
          </cell>
          <cell r="P46">
            <v>268</v>
          </cell>
          <cell r="Q46">
            <v>0</v>
          </cell>
          <cell r="R46">
            <v>0</v>
          </cell>
          <cell r="S46">
            <v>0</v>
          </cell>
        </row>
        <row r="47">
          <cell r="G47">
            <v>0</v>
          </cell>
          <cell r="H47" t="e">
            <v>#N/A</v>
          </cell>
          <cell r="I47">
            <v>0</v>
          </cell>
          <cell r="J47">
            <v>0</v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>
            <v>0</v>
          </cell>
          <cell r="R47">
            <v>0</v>
          </cell>
          <cell r="S47">
            <v>0</v>
          </cell>
        </row>
        <row r="48">
          <cell r="G48">
            <v>0</v>
          </cell>
          <cell r="H48" t="e">
            <v>#N/A</v>
          </cell>
          <cell r="I48">
            <v>0</v>
          </cell>
          <cell r="J48">
            <v>0</v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>
            <v>0</v>
          </cell>
          <cell r="R48">
            <v>0</v>
          </cell>
          <cell r="S48">
            <v>0</v>
          </cell>
        </row>
        <row r="49">
          <cell r="F49" t="e">
            <v>#N/A</v>
          </cell>
          <cell r="G49">
            <v>0</v>
          </cell>
          <cell r="H49" t="e">
            <v>#N/A</v>
          </cell>
          <cell r="I49">
            <v>0</v>
          </cell>
          <cell r="J49">
            <v>0</v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>
            <v>0</v>
          </cell>
          <cell r="R49">
            <v>0</v>
          </cell>
          <cell r="S49">
            <v>0</v>
          </cell>
        </row>
        <row r="50">
          <cell r="F50" t="e">
            <v>#N/A</v>
          </cell>
          <cell r="G50">
            <v>0</v>
          </cell>
          <cell r="H50" t="e">
            <v>#N/A</v>
          </cell>
          <cell r="I50">
            <v>0</v>
          </cell>
          <cell r="J50">
            <v>0</v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>
            <v>0</v>
          </cell>
          <cell r="R50">
            <v>0</v>
          </cell>
          <cell r="S50">
            <v>0</v>
          </cell>
        </row>
        <row r="51">
          <cell r="F51" t="e">
            <v>#N/A</v>
          </cell>
          <cell r="G51">
            <v>0</v>
          </cell>
          <cell r="H51" t="e">
            <v>#N/A</v>
          </cell>
          <cell r="I51">
            <v>0</v>
          </cell>
          <cell r="J51">
            <v>0</v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>
            <v>0</v>
          </cell>
          <cell r="R51">
            <v>0</v>
          </cell>
          <cell r="S51">
            <v>0</v>
          </cell>
        </row>
        <row r="52">
          <cell r="F52" t="e">
            <v>#N/A</v>
          </cell>
          <cell r="G52">
            <v>0</v>
          </cell>
          <cell r="H52" t="e">
            <v>#N/A</v>
          </cell>
          <cell r="I52">
            <v>0</v>
          </cell>
          <cell r="J52">
            <v>0</v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>
            <v>0</v>
          </cell>
          <cell r="R52">
            <v>0</v>
          </cell>
          <cell r="S52">
            <v>0</v>
          </cell>
        </row>
        <row r="53">
          <cell r="F53" t="e">
            <v>#N/A</v>
          </cell>
          <cell r="G53">
            <v>0</v>
          </cell>
          <cell r="H53" t="e">
            <v>#N/A</v>
          </cell>
          <cell r="I53">
            <v>0</v>
          </cell>
          <cell r="J53">
            <v>0</v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>
            <v>0</v>
          </cell>
          <cell r="R53">
            <v>0</v>
          </cell>
          <cell r="S53">
            <v>0</v>
          </cell>
        </row>
        <row r="54">
          <cell r="F54" t="e">
            <v>#N/A</v>
          </cell>
          <cell r="G54">
            <v>0</v>
          </cell>
          <cell r="H54" t="e">
            <v>#N/A</v>
          </cell>
          <cell r="I54">
            <v>0</v>
          </cell>
          <cell r="J54">
            <v>0</v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>
            <v>0</v>
          </cell>
          <cell r="R54">
            <v>0</v>
          </cell>
          <cell r="S54">
            <v>0</v>
          </cell>
        </row>
        <row r="55">
          <cell r="F55" t="e">
            <v>#N/A</v>
          </cell>
          <cell r="G55">
            <v>0</v>
          </cell>
          <cell r="H55" t="e">
            <v>#N/A</v>
          </cell>
          <cell r="I55">
            <v>0</v>
          </cell>
          <cell r="J55">
            <v>0</v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>
            <v>0</v>
          </cell>
          <cell r="R55">
            <v>0</v>
          </cell>
          <cell r="S55">
            <v>0</v>
          </cell>
        </row>
        <row r="56">
          <cell r="G56" t="str">
            <v>TODOS LOS MATERIALES</v>
          </cell>
          <cell r="I56">
            <v>555187.32199999969</v>
          </cell>
          <cell r="J56">
            <v>212.48323853115639</v>
          </cell>
          <cell r="L56">
            <v>212.76892706166544</v>
          </cell>
          <cell r="M56" t="str">
            <v>N.D</v>
          </cell>
          <cell r="N56" t="str">
            <v>N.D</v>
          </cell>
          <cell r="O56" t="str">
            <v>N.D.</v>
          </cell>
          <cell r="P56">
            <v>212.99524038816759</v>
          </cell>
          <cell r="Q56">
            <v>1.0636577888865073E-3</v>
          </cell>
          <cell r="R56">
            <v>0.22631332650215086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emplate Resumen"/>
      <sheetName val="Analisis Estadistico"/>
      <sheetName val="TRABAJO"/>
      <sheetName val="CONSUMOS 2025"/>
      <sheetName val="CONSOLIDADO"/>
    </sheetNames>
    <sheetDataSet>
      <sheetData sheetId="0"/>
      <sheetData sheetId="1"/>
      <sheetData sheetId="2">
        <row r="1">
          <cell r="O1">
            <v>0</v>
          </cell>
          <cell r="Q1">
            <v>0</v>
          </cell>
          <cell r="R1">
            <v>0</v>
          </cell>
          <cell r="S1">
            <v>0</v>
          </cell>
        </row>
        <row r="2">
          <cell r="H2"/>
          <cell r="I2" t="str">
            <v>Filial Sep'25</v>
          </cell>
          <cell r="J2"/>
          <cell r="K2" t="str">
            <v>Cliente de Referencia</v>
          </cell>
          <cell r="L2"/>
          <cell r="M2"/>
          <cell r="N2"/>
          <cell r="O2"/>
          <cell r="P2" t="str">
            <v>Precio Referencia</v>
          </cell>
          <cell r="Q2"/>
          <cell r="R2"/>
          <cell r="S2"/>
        </row>
        <row r="3">
          <cell r="H3" t="str">
            <v>Material</v>
          </cell>
          <cell r="I3" t="str">
            <v>Vol Filial</v>
          </cell>
          <cell r="J3" t="str">
            <v xml:space="preserve">$ Filial </v>
          </cell>
          <cell r="K3" t="str">
            <v>Cliente Ref MA</v>
          </cell>
          <cell r="L3" t="str">
            <v>$ Ref MA</v>
          </cell>
          <cell r="M3" t="str">
            <v>Cliente</v>
          </cell>
          <cell r="N3" t="str">
            <v>Vol. Cliente</v>
          </cell>
          <cell r="O3" t="str">
            <v>% filial</v>
          </cell>
          <cell r="P3" t="str">
            <v>$ Ref Oct'25</v>
          </cell>
          <cell r="Q3" t="str">
            <v>% Var vs MA</v>
          </cell>
          <cell r="R3" t="str">
            <v>Dif vs MA</v>
          </cell>
          <cell r="S3" t="str">
            <v>Orden de Mag.</v>
          </cell>
        </row>
        <row r="4">
          <cell r="H4">
            <v>10001073</v>
          </cell>
          <cell r="I4">
            <v>7918.2400000000025</v>
          </cell>
          <cell r="J4">
            <v>85.507388005415208</v>
          </cell>
          <cell r="K4" t="str">
            <v>CEMENTOS MOCTEZUMA</v>
          </cell>
          <cell r="L4">
            <v>87.5</v>
          </cell>
          <cell r="M4" t="str">
            <v>CEMENTOS MOCTEZUMA</v>
          </cell>
          <cell r="N4">
            <v>3356.2400000000002</v>
          </cell>
          <cell r="O4">
            <v>0.42386186829396422</v>
          </cell>
          <cell r="P4">
            <v>87.5</v>
          </cell>
          <cell r="Q4">
            <v>0</v>
          </cell>
          <cell r="R4">
            <v>0</v>
          </cell>
          <cell r="S4">
            <v>0</v>
          </cell>
        </row>
        <row r="5">
          <cell r="H5">
            <v>10000236</v>
          </cell>
          <cell r="I5">
            <v>4205.5800000000008</v>
          </cell>
          <cell r="J5">
            <v>118.00739969278914</v>
          </cell>
          <cell r="K5" t="str">
            <v>CONCRETOS TPM-FORTALEZA</v>
          </cell>
          <cell r="L5">
            <v>120</v>
          </cell>
          <cell r="M5" t="str">
            <v>CONCRETOS TPM-FORTALEZA</v>
          </cell>
          <cell r="N5">
            <v>1635.48</v>
          </cell>
          <cell r="O5">
            <v>0.38888334070449254</v>
          </cell>
          <cell r="P5">
            <v>120</v>
          </cell>
          <cell r="Q5">
            <v>0</v>
          </cell>
          <cell r="R5">
            <v>0</v>
          </cell>
          <cell r="S5">
            <v>0</v>
          </cell>
        </row>
        <row r="6">
          <cell r="H6">
            <v>10000269</v>
          </cell>
          <cell r="I6">
            <v>93.98</v>
          </cell>
          <cell r="J6">
            <v>135.00744839327515</v>
          </cell>
          <cell r="K6" t="str">
            <v/>
          </cell>
          <cell r="L6" t="str">
            <v/>
          </cell>
          <cell r="M6" t="str">
            <v>CEMENTOS MOCTEZUMA</v>
          </cell>
          <cell r="N6">
            <v>1874.84</v>
          </cell>
          <cell r="O6">
            <v>19.949350925728876</v>
          </cell>
          <cell r="P6">
            <v>137</v>
          </cell>
          <cell r="Q6">
            <v>0</v>
          </cell>
          <cell r="R6">
            <v>0</v>
          </cell>
          <cell r="S6">
            <v>0</v>
          </cell>
        </row>
        <row r="7">
          <cell r="H7">
            <v>10000240</v>
          </cell>
          <cell r="I7">
            <v>14740.169999999991</v>
          </cell>
          <cell r="J7">
            <v>125.00740086444036</v>
          </cell>
          <cell r="K7" t="str">
            <v>CONCRETOS TPM-FORTALEZA</v>
          </cell>
          <cell r="L7">
            <v>127</v>
          </cell>
          <cell r="M7" t="str">
            <v>CONCRETOS TPM-FORTALEZA</v>
          </cell>
          <cell r="N7">
            <v>11396.159999999996</v>
          </cell>
          <cell r="O7">
            <v>0.77313626640669697</v>
          </cell>
          <cell r="P7">
            <v>127</v>
          </cell>
          <cell r="Q7">
            <v>0</v>
          </cell>
          <cell r="R7">
            <v>0</v>
          </cell>
          <cell r="S7">
            <v>0</v>
          </cell>
        </row>
        <row r="8">
          <cell r="H8">
            <v>10001074</v>
          </cell>
          <cell r="I8">
            <v>7012.0700000000033</v>
          </cell>
          <cell r="J8">
            <v>135.00740437559804</v>
          </cell>
          <cell r="K8" t="str">
            <v>CEMENTOS MOCTEZUMA</v>
          </cell>
          <cell r="L8">
            <v>137</v>
          </cell>
          <cell r="M8" t="str">
            <v>CEMENTOS MOCTEZUMA</v>
          </cell>
          <cell r="N8">
            <v>1115.1999999999998</v>
          </cell>
          <cell r="O8">
            <v>0.15904005521907216</v>
          </cell>
          <cell r="P8">
            <v>137</v>
          </cell>
          <cell r="Q8">
            <v>0</v>
          </cell>
          <cell r="R8">
            <v>0</v>
          </cell>
          <cell r="S8">
            <v>0</v>
          </cell>
        </row>
        <row r="9">
          <cell r="H9">
            <v>10000311</v>
          </cell>
          <cell r="I9">
            <v>48.74</v>
          </cell>
          <cell r="J9">
            <v>180.59006975789904</v>
          </cell>
          <cell r="K9" t="str">
            <v/>
          </cell>
          <cell r="L9" t="str">
            <v/>
          </cell>
          <cell r="M9" t="str">
            <v>DEMOLIENDO MEXICO</v>
          </cell>
          <cell r="N9">
            <v>598.29</v>
          </cell>
          <cell r="O9">
            <v>12.27513336068937</v>
          </cell>
          <cell r="P9">
            <v>180</v>
          </cell>
          <cell r="Q9">
            <v>0</v>
          </cell>
          <cell r="R9">
            <v>0</v>
          </cell>
          <cell r="S9">
            <v>0</v>
          </cell>
        </row>
        <row r="10">
          <cell r="H10">
            <v>10000229</v>
          </cell>
          <cell r="I10">
            <v>2077.7500000000005</v>
          </cell>
          <cell r="J10">
            <v>233.85999278065211</v>
          </cell>
          <cell r="K10" t="str">
            <v>CEMENTOS MOCTEZUMA</v>
          </cell>
          <cell r="L10">
            <v>239.76999702013535</v>
          </cell>
          <cell r="M10" t="str">
            <v>CEMENTOS MOCTEZUMA</v>
          </cell>
          <cell r="N10">
            <v>254.64000000000001</v>
          </cell>
          <cell r="O10">
            <v>0.12255564913969436</v>
          </cell>
          <cell r="P10">
            <v>239.76994973295629</v>
          </cell>
          <cell r="Q10">
            <v>-1.9721891664215008E-7</v>
          </cell>
          <cell r="R10">
            <v>-4.7287179057775575E-5</v>
          </cell>
          <cell r="S10">
            <v>-9.8250936287293228E-2</v>
          </cell>
        </row>
        <row r="11">
          <cell r="H11">
            <v>10000231</v>
          </cell>
          <cell r="I11">
            <v>19516.361000000015</v>
          </cell>
          <cell r="J11">
            <v>215.8526515265832</v>
          </cell>
          <cell r="K11" t="str">
            <v>CEMENTOS MOCTEZUMA</v>
          </cell>
          <cell r="L11">
            <v>215.98000174075989</v>
          </cell>
          <cell r="M11" t="str">
            <v>CEMENTOS MOCTEZUMA</v>
          </cell>
          <cell r="N11">
            <v>5797.9699999999984</v>
          </cell>
          <cell r="O11">
            <v>0.29708253500742243</v>
          </cell>
          <cell r="P11">
            <v>215.97999989651558</v>
          </cell>
          <cell r="Q11">
            <v>-8.5389586512718552E-9</v>
          </cell>
          <cell r="R11">
            <v>-1.844244309268106E-6</v>
          </cell>
          <cell r="S11">
            <v>-3.5992937711872029E-2</v>
          </cell>
        </row>
        <row r="12">
          <cell r="H12">
            <v>10000233</v>
          </cell>
          <cell r="I12">
            <v>2167.6199999999994</v>
          </cell>
          <cell r="J12">
            <v>177.99999999999997</v>
          </cell>
          <cell r="K12" t="str">
            <v xml:space="preserve">900006110 SF TC-LA CAÑADA FILIAL </v>
          </cell>
          <cell r="L12">
            <v>178</v>
          </cell>
          <cell r="M12" t="str">
            <v xml:space="preserve">900006110 SF TC-LA CAÑADA FILIAL </v>
          </cell>
          <cell r="N12" t="str">
            <v/>
          </cell>
          <cell r="O12" t="str">
            <v/>
          </cell>
          <cell r="P12">
            <v>178</v>
          </cell>
          <cell r="Q12">
            <v>0</v>
          </cell>
          <cell r="R12">
            <v>0</v>
          </cell>
          <cell r="S12">
            <v>0</v>
          </cell>
        </row>
        <row r="13">
          <cell r="H13">
            <v>10000233</v>
          </cell>
          <cell r="I13">
            <v>2167.6199999999994</v>
          </cell>
          <cell r="J13">
            <v>177.99999999999997</v>
          </cell>
          <cell r="K13" t="str">
            <v xml:space="preserve">900006110 SF TC-LA CAÑADA FILIAL </v>
          </cell>
          <cell r="L13">
            <v>178</v>
          </cell>
          <cell r="M13" t="str">
            <v xml:space="preserve">900006110 SF TC-LA CAÑADA FILIAL </v>
          </cell>
          <cell r="N13" t="str">
            <v/>
          </cell>
          <cell r="O13" t="str">
            <v/>
          </cell>
          <cell r="P13">
            <v>178</v>
          </cell>
          <cell r="Q13">
            <v>0</v>
          </cell>
          <cell r="R13">
            <v>0</v>
          </cell>
          <cell r="S13">
            <v>0</v>
          </cell>
        </row>
        <row r="14">
          <cell r="H14">
            <v>10000255</v>
          </cell>
          <cell r="I14">
            <v>60810.720000000074</v>
          </cell>
          <cell r="J14">
            <v>104.19827754053892</v>
          </cell>
          <cell r="K14" t="str">
            <v>CONCRETOS TPM-FORTALEZA</v>
          </cell>
          <cell r="L14">
            <v>104.1</v>
          </cell>
          <cell r="M14" t="str">
            <v>CONCRETOS TPM-FORTALEZA</v>
          </cell>
          <cell r="N14">
            <v>11977.680000000002</v>
          </cell>
          <cell r="O14">
            <v>0.19696658747010376</v>
          </cell>
          <cell r="P14">
            <v>104.1400012356315</v>
          </cell>
          <cell r="Q14">
            <v>3.8425778704609392E-4</v>
          </cell>
          <cell r="R14">
            <v>4.000123563150737E-2</v>
          </cell>
          <cell r="S14">
            <v>2432.5039396416209</v>
          </cell>
        </row>
        <row r="15">
          <cell r="H15">
            <v>10002350</v>
          </cell>
          <cell r="I15">
            <v>993.92</v>
          </cell>
          <cell r="J15">
            <v>129.97315679330325</v>
          </cell>
          <cell r="K15" t="str">
            <v>CEMENTOS MOCTEZUMA</v>
          </cell>
          <cell r="L15">
            <v>134.59999476878008</v>
          </cell>
          <cell r="M15" t="str">
            <v>CEMENTOS MOCTEZUMA</v>
          </cell>
          <cell r="N15">
            <v>159.60999999999999</v>
          </cell>
          <cell r="O15">
            <v>0.16058636509980681</v>
          </cell>
          <cell r="P15">
            <v>134.60002506108643</v>
          </cell>
          <cell r="Q15">
            <v>2.2505429075891925E-7</v>
          </cell>
          <cell r="R15">
            <v>3.0292306348655984E-5</v>
          </cell>
          <cell r="S15">
            <v>3.0108129126056156E-2</v>
          </cell>
        </row>
        <row r="16">
          <cell r="H16">
            <v>10000253</v>
          </cell>
          <cell r="I16">
            <v>11566.470000000001</v>
          </cell>
          <cell r="J16">
            <v>103.94554258991728</v>
          </cell>
          <cell r="K16" t="str">
            <v>CONCRETOS TPM-FORTALEZA</v>
          </cell>
          <cell r="L16">
            <v>103.9000266101135</v>
          </cell>
          <cell r="M16" t="str">
            <v>RUBEN ADRIAN DUANA SANCHEZ</v>
          </cell>
          <cell r="N16">
            <v>2511.8899999999994</v>
          </cell>
          <cell r="O16">
            <v>0.21716997493617318</v>
          </cell>
          <cell r="P16">
            <v>104.00000000000003</v>
          </cell>
          <cell r="Q16">
            <v>9.622075484319037E-4</v>
          </cell>
          <cell r="R16">
            <v>9.9973389886528707E-2</v>
          </cell>
          <cell r="S16">
            <v>1156.3392149208378</v>
          </cell>
        </row>
        <row r="17">
          <cell r="H17">
            <v>10001073</v>
          </cell>
          <cell r="I17">
            <v>9678.260000000002</v>
          </cell>
          <cell r="J17">
            <v>195.826605195562</v>
          </cell>
          <cell r="K17" t="str">
            <v>Vallejo Material + Inc en Precio C.Jardin (May'25) + Flete FFCC (nov24)</v>
          </cell>
          <cell r="L17">
            <v>197.8</v>
          </cell>
          <cell r="M17" t="str">
            <v>Vallejo Material + Inc en Precio C.Jardin (May'25) + Flete FFCC (nov24)</v>
          </cell>
          <cell r="N17" t="str">
            <v/>
          </cell>
          <cell r="O17" t="str">
            <v/>
          </cell>
          <cell r="P17">
            <v>197.8</v>
          </cell>
          <cell r="Q17">
            <v>0</v>
          </cell>
          <cell r="R17">
            <v>0</v>
          </cell>
          <cell r="S17">
            <v>0</v>
          </cell>
        </row>
        <row r="18">
          <cell r="H18">
            <v>10000240</v>
          </cell>
          <cell r="I18">
            <v>40656.550000000025</v>
          </cell>
          <cell r="J18">
            <v>256.7303711210123</v>
          </cell>
          <cell r="K18" t="str">
            <v>Vallejo Material + Inc en Precio C.Jardin (May'25) + Flete FFCC (nov24)</v>
          </cell>
          <cell r="L18">
            <v>258.77</v>
          </cell>
          <cell r="M18" t="str">
            <v>Vallejo Material + Inc en Precio C.Jardin (May'25) + Flete FFCC (nov24)</v>
          </cell>
          <cell r="N18" t="str">
            <v/>
          </cell>
          <cell r="O18" t="str">
            <v/>
          </cell>
          <cell r="P18">
            <v>258.77</v>
          </cell>
          <cell r="Q18">
            <v>0</v>
          </cell>
          <cell r="R18">
            <v>0</v>
          </cell>
          <cell r="S18">
            <v>0</v>
          </cell>
        </row>
        <row r="19">
          <cell r="H19">
            <v>10000234</v>
          </cell>
          <cell r="I19">
            <v>3342.7700000000009</v>
          </cell>
          <cell r="J19">
            <v>159.00000000000011</v>
          </cell>
          <cell r="K19" t="str">
            <v>ARENAS Y GRAVAS DEL BAJIO</v>
          </cell>
          <cell r="L19">
            <v>159.00000000000003</v>
          </cell>
          <cell r="M19" t="str">
            <v>ARENAS Y GRAVAS DEL BAJIO</v>
          </cell>
          <cell r="N19">
            <v>3415.9600000000009</v>
          </cell>
          <cell r="O19">
            <v>1.021895015211935</v>
          </cell>
          <cell r="P19">
            <v>158.99999999999997</v>
          </cell>
          <cell r="Q19">
            <v>-3.3306690738754696E-16</v>
          </cell>
          <cell r="R19">
            <v>-5.6843418860808015E-14</v>
          </cell>
          <cell r="S19">
            <v>-1.9001447526534326E-10</v>
          </cell>
        </row>
        <row r="20">
          <cell r="H20">
            <v>10000285</v>
          </cell>
          <cell r="I20">
            <v>2102.3399999999997</v>
          </cell>
          <cell r="J20">
            <v>175.30502677968366</v>
          </cell>
          <cell r="K20" t="str">
            <v>ARENAS Y GRAVAS DEL BAJIO</v>
          </cell>
          <cell r="L20">
            <v>175</v>
          </cell>
          <cell r="M20" t="str">
            <v>ARENAS Y GRAVAS DEL BAJIO</v>
          </cell>
          <cell r="N20">
            <v>315.40999999999997</v>
          </cell>
          <cell r="O20">
            <v>0.15002806396681792</v>
          </cell>
          <cell r="P20">
            <v>175.00000000000003</v>
          </cell>
          <cell r="Q20">
            <v>2.2204460492503131E-16</v>
          </cell>
          <cell r="R20">
            <v>2.8421709430404007E-14</v>
          </cell>
          <cell r="S20">
            <v>5.9752096603915552E-11</v>
          </cell>
        </row>
        <row r="21">
          <cell r="H21">
            <v>10000284</v>
          </cell>
          <cell r="I21">
            <v>8342.9500000000025</v>
          </cell>
          <cell r="J21">
            <v>175.91542919470911</v>
          </cell>
          <cell r="K21" t="str">
            <v>ARENAS Y GRAVAS DEL BAJIO</v>
          </cell>
          <cell r="L21">
            <v>175.00000000000003</v>
          </cell>
          <cell r="M21" t="str">
            <v>ARENAS Y GRAVAS DEL BAJIO</v>
          </cell>
          <cell r="N21" t="str">
            <v/>
          </cell>
          <cell r="O21" t="str">
            <v/>
          </cell>
          <cell r="P21">
            <v>175</v>
          </cell>
          <cell r="Q21">
            <v>-1.1102230246251565E-16</v>
          </cell>
          <cell r="R21">
            <v>-2.8421709430404007E-14</v>
          </cell>
          <cell r="S21">
            <v>-2.3712090069238919E-10</v>
          </cell>
        </row>
        <row r="22">
          <cell r="H22">
            <v>10000287</v>
          </cell>
          <cell r="I22">
            <v>3086.74</v>
          </cell>
          <cell r="J22">
            <v>211.01411521540535</v>
          </cell>
          <cell r="K22" t="str">
            <v xml:space="preserve">TRANSPORTES ALDAMA </v>
          </cell>
          <cell r="L22">
            <v>211</v>
          </cell>
          <cell r="M22" t="str">
            <v>ARENAS Y GRAVAS DEL BAJIO</v>
          </cell>
          <cell r="N22">
            <v>704.37000000000012</v>
          </cell>
          <cell r="O22">
            <v>0.22819220277703992</v>
          </cell>
          <cell r="P22">
            <v>174.99999999999997</v>
          </cell>
          <cell r="Q22">
            <v>-0.17061611374407593</v>
          </cell>
          <cell r="R22">
            <v>-36.000000000000028</v>
          </cell>
          <cell r="S22">
            <v>-111122.64000000009</v>
          </cell>
        </row>
        <row r="23">
          <cell r="H23">
            <v>10000124</v>
          </cell>
          <cell r="I23">
            <v>110890.41999999988</v>
          </cell>
          <cell r="J23">
            <v>273.74371221607691</v>
          </cell>
          <cell r="K23" t="str">
            <v>900000941 (ED) TC-ED-GIH</v>
          </cell>
          <cell r="L23">
            <v>273.5</v>
          </cell>
          <cell r="M23" t="str">
            <v>900000941 (ED) TC-ED-GIH</v>
          </cell>
          <cell r="N23" t="str">
            <v/>
          </cell>
          <cell r="O23" t="str">
            <v/>
          </cell>
          <cell r="P23">
            <v>273.5</v>
          </cell>
          <cell r="Q23">
            <v>0</v>
          </cell>
          <cell r="R23">
            <v>0</v>
          </cell>
          <cell r="S23">
            <v>0</v>
          </cell>
        </row>
        <row r="24">
          <cell r="H24">
            <v>10000124</v>
          </cell>
          <cell r="I24">
            <v>110890.41999999988</v>
          </cell>
          <cell r="J24">
            <v>273.74371221607691</v>
          </cell>
          <cell r="K24" t="str">
            <v>900000941 (ED) TC-ED-GIH</v>
          </cell>
          <cell r="L24">
            <v>273.5</v>
          </cell>
          <cell r="M24" t="str">
            <v>900000941 (ED) TC-ED-GIH</v>
          </cell>
          <cell r="N24" t="str">
            <v/>
          </cell>
          <cell r="O24" t="str">
            <v/>
          </cell>
          <cell r="P24">
            <v>273.5</v>
          </cell>
          <cell r="Q24">
            <v>0</v>
          </cell>
          <cell r="R24">
            <v>0</v>
          </cell>
          <cell r="S24">
            <v>0</v>
          </cell>
        </row>
        <row r="25">
          <cell r="H25">
            <v>10000260</v>
          </cell>
          <cell r="I25">
            <v>764.14999999999986</v>
          </cell>
          <cell r="J25">
            <v>416.48931492508029</v>
          </cell>
          <cell r="K25" t="str">
            <v>900000941 (ED) TC-ED-GIH</v>
          </cell>
          <cell r="L25">
            <v>395.87464461101058</v>
          </cell>
          <cell r="M25" t="str">
            <v>900000941 (ED) TC-ED-GIH</v>
          </cell>
          <cell r="N25" t="str">
            <v/>
          </cell>
          <cell r="O25" t="str">
            <v/>
          </cell>
          <cell r="P25">
            <v>395.87464461101058</v>
          </cell>
          <cell r="Q25">
            <v>0</v>
          </cell>
          <cell r="R25">
            <v>0</v>
          </cell>
          <cell r="S25">
            <v>0</v>
          </cell>
        </row>
        <row r="26">
          <cell r="H26">
            <v>10000237</v>
          </cell>
          <cell r="I26">
            <v>2730.940000000001</v>
          </cell>
          <cell r="J26">
            <v>330.49185628391666</v>
          </cell>
          <cell r="K26" t="str">
            <v>PRELOSA PREFABRICADOS DISEÑO Y</v>
          </cell>
          <cell r="L26">
            <v>335.60999560310717</v>
          </cell>
          <cell r="M26" t="str">
            <v>900000941 (ED) TC-ED-GIH</v>
          </cell>
          <cell r="N26" t="str">
            <v/>
          </cell>
          <cell r="O26" t="str">
            <v/>
          </cell>
          <cell r="P26">
            <v>283</v>
          </cell>
          <cell r="Q26">
            <v>-0.15675932270302173</v>
          </cell>
          <cell r="R26">
            <v>-52.609995603107166</v>
          </cell>
          <cell r="S26">
            <v>-143674.74139234953</v>
          </cell>
        </row>
        <row r="27">
          <cell r="H27">
            <v>10000241</v>
          </cell>
          <cell r="I27">
            <v>54083.079999999958</v>
          </cell>
          <cell r="J27">
            <v>273.93234316536689</v>
          </cell>
          <cell r="K27" t="str">
            <v>900000941 (ED) TC-ED-GIH</v>
          </cell>
          <cell r="L27">
            <v>273.5</v>
          </cell>
          <cell r="M27" t="str">
            <v>900000941 (ED) TC-ED-GIH</v>
          </cell>
          <cell r="N27" t="str">
            <v/>
          </cell>
          <cell r="O27" t="str">
            <v/>
          </cell>
          <cell r="P27">
            <v>273.5</v>
          </cell>
          <cell r="Q27">
            <v>0</v>
          </cell>
          <cell r="R27">
            <v>0</v>
          </cell>
          <cell r="S27">
            <v>0</v>
          </cell>
        </row>
        <row r="28">
          <cell r="H28">
            <v>10038952</v>
          </cell>
          <cell r="I28">
            <v>7993.4199999999992</v>
          </cell>
          <cell r="J28">
            <v>154.07402463526245</v>
          </cell>
          <cell r="K28" t="str">
            <v>CONCRETOS TANCOL</v>
          </cell>
          <cell r="L28">
            <v>153.8799422090861</v>
          </cell>
          <cell r="M28" t="str">
            <v>CONCRETOS TANCOL</v>
          </cell>
          <cell r="N28">
            <v>2764.74</v>
          </cell>
          <cell r="O28">
            <v>0.3458769838191913</v>
          </cell>
          <cell r="P28">
            <v>153.8799561622431</v>
          </cell>
          <cell r="Q28">
            <v>9.0675605912693413E-8</v>
          </cell>
          <cell r="R28">
            <v>1.3953157008472772E-5</v>
          </cell>
          <cell r="S28">
            <v>0.11153344429466641</v>
          </cell>
        </row>
        <row r="29">
          <cell r="H29">
            <v>10038949</v>
          </cell>
          <cell r="I29">
            <v>298.23</v>
          </cell>
          <cell r="J29">
            <v>170</v>
          </cell>
          <cell r="K29" t="str">
            <v>CONCRETOS TANCOL</v>
          </cell>
          <cell r="L29">
            <v>168.50000000000003</v>
          </cell>
          <cell r="M29" t="str">
            <v>900005511TC-ED CONSTRUCARGO</v>
          </cell>
          <cell r="N29" t="str">
            <v/>
          </cell>
          <cell r="O29" t="str">
            <v/>
          </cell>
          <cell r="P29">
            <v>139.30000000000001</v>
          </cell>
          <cell r="Q29">
            <v>-0.1732937685459941</v>
          </cell>
          <cell r="R29">
            <v>-29.200000000000017</v>
          </cell>
          <cell r="S29">
            <v>-8708.3160000000062</v>
          </cell>
        </row>
        <row r="30">
          <cell r="H30">
            <v>10038950</v>
          </cell>
          <cell r="I30">
            <v>4504.0200000000004</v>
          </cell>
          <cell r="J30">
            <v>149.18927757869633</v>
          </cell>
          <cell r="K30" t="str">
            <v>CONCRETOS TANCOL</v>
          </cell>
          <cell r="L30">
            <v>153.87996005774426</v>
          </cell>
          <cell r="M30" t="str">
            <v>CONCRETOS TANCOL</v>
          </cell>
          <cell r="N30">
            <v>1432.72</v>
          </cell>
          <cell r="O30">
            <v>0.31809805462675561</v>
          </cell>
          <cell r="P30">
            <v>153.87996956837347</v>
          </cell>
          <cell r="Q30">
            <v>6.18055087109326E-8</v>
          </cell>
          <cell r="R30">
            <v>9.5106292121727165E-6</v>
          </cell>
          <cell r="S30">
            <v>4.2836064184210161E-2</v>
          </cell>
        </row>
        <row r="31">
          <cell r="H31">
            <v>10049672</v>
          </cell>
          <cell r="I31">
            <v>960.39</v>
          </cell>
          <cell r="J31">
            <v>160.00000000000006</v>
          </cell>
          <cell r="K31" t="str">
            <v>900005511TC-ED CONSTRUCARGO</v>
          </cell>
          <cell r="L31">
            <v>160</v>
          </cell>
          <cell r="M31" t="str">
            <v>900005511TC-ED CONSTRUCARGO</v>
          </cell>
          <cell r="N31" t="str">
            <v/>
          </cell>
          <cell r="O31" t="str">
            <v/>
          </cell>
          <cell r="P31">
            <v>160</v>
          </cell>
          <cell r="Q31">
            <v>0</v>
          </cell>
          <cell r="R31">
            <v>0</v>
          </cell>
          <cell r="S31">
            <v>0</v>
          </cell>
        </row>
        <row r="32">
          <cell r="H32">
            <v>10038942</v>
          </cell>
          <cell r="I32">
            <v>13594.560000000001</v>
          </cell>
          <cell r="J32">
            <v>126.26373858366881</v>
          </cell>
          <cell r="K32" t="str">
            <v>CONCRETOS RICASA</v>
          </cell>
          <cell r="L32">
            <v>126.49998859118215</v>
          </cell>
          <cell r="M32" t="str">
            <v>CONCRETOS RICASA</v>
          </cell>
          <cell r="N32">
            <v>6189.4099999999971</v>
          </cell>
          <cell r="O32">
            <v>0.45528579078690273</v>
          </cell>
          <cell r="P32">
            <v>126.49999434517989</v>
          </cell>
          <cell r="Q32">
            <v>4.5486152178142447E-8</v>
          </cell>
          <cell r="R32">
            <v>5.7539977404985621E-6</v>
          </cell>
          <cell r="S32">
            <v>7.8223067523072135E-2</v>
          </cell>
        </row>
        <row r="33">
          <cell r="H33">
            <v>10038947</v>
          </cell>
          <cell r="I33">
            <v>877.53</v>
          </cell>
          <cell r="J33">
            <v>111</v>
          </cell>
          <cell r="K33" t="str">
            <v>900000009 TC-TRITURADOS CRIBISSA</v>
          </cell>
          <cell r="L33">
            <v>111</v>
          </cell>
          <cell r="M33" t="str">
            <v>900000009 TC-TRITURADOS CRIBISSA</v>
          </cell>
          <cell r="N33" t="str">
            <v/>
          </cell>
          <cell r="O33" t="str">
            <v/>
          </cell>
          <cell r="P33">
            <v>111</v>
          </cell>
          <cell r="Q33">
            <v>0</v>
          </cell>
          <cell r="R33">
            <v>0</v>
          </cell>
          <cell r="S33">
            <v>0</v>
          </cell>
        </row>
        <row r="34">
          <cell r="H34">
            <v>10038945</v>
          </cell>
          <cell r="I34">
            <v>7165.94</v>
          </cell>
          <cell r="J34">
            <v>133.44757142817272</v>
          </cell>
          <cell r="K34" t="str">
            <v>COPLASA</v>
          </cell>
          <cell r="L34">
            <v>134.40000185040415</v>
          </cell>
          <cell r="M34" t="str">
            <v>COPLASA</v>
          </cell>
          <cell r="N34">
            <v>1255.0100000000004</v>
          </cell>
          <cell r="O34">
            <v>0.17513543233686027</v>
          </cell>
          <cell r="P34">
            <v>134.39997290858238</v>
          </cell>
          <cell r="Q34">
            <v>-2.1534093275210608E-7</v>
          </cell>
          <cell r="R34">
            <v>-2.894182176760296E-5</v>
          </cell>
          <cell r="S34">
            <v>-0.20739535827733674</v>
          </cell>
        </row>
        <row r="35">
          <cell r="H35">
            <v>10038659</v>
          </cell>
          <cell r="I35">
            <v>3914.0399999999991</v>
          </cell>
          <cell r="J35">
            <v>125.82796036831512</v>
          </cell>
          <cell r="K35" t="str">
            <v>900000009 TC-TRITURADOS CRIBISSA</v>
          </cell>
          <cell r="L35">
            <v>131</v>
          </cell>
          <cell r="M35" t="str">
            <v>CONCRETOS RICASA</v>
          </cell>
          <cell r="N35">
            <v>718.35000000000036</v>
          </cell>
          <cell r="O35">
            <v>0.18353159395407317</v>
          </cell>
          <cell r="P35">
            <v>113.99999999999991</v>
          </cell>
          <cell r="Q35">
            <v>-0.12977099236641287</v>
          </cell>
          <cell r="R35">
            <v>-17.000000000000085</v>
          </cell>
          <cell r="S35">
            <v>-66538.680000000313</v>
          </cell>
        </row>
        <row r="36">
          <cell r="H36">
            <v>10000266</v>
          </cell>
          <cell r="I36">
            <v>12631.210000000003</v>
          </cell>
          <cell r="J36">
            <v>198.94999766451505</v>
          </cell>
          <cell r="K36" t="str">
            <v>CEMENTOS MOCTEZUMA</v>
          </cell>
          <cell r="L36">
            <v>198.95000400136476</v>
          </cell>
          <cell r="M36" t="str">
            <v>CEMENTOS MOCTEZUMA</v>
          </cell>
          <cell r="N36">
            <v>5656.2000000000044</v>
          </cell>
          <cell r="O36">
            <v>0.44779557936254744</v>
          </cell>
          <cell r="P36">
            <v>198.95000530391414</v>
          </cell>
          <cell r="Q36">
            <v>6.5471190691113179E-9</v>
          </cell>
          <cell r="R36">
            <v>1.3025493785789877E-6</v>
          </cell>
          <cell r="S36">
            <v>1.6452774736200697E-2</v>
          </cell>
        </row>
        <row r="37">
          <cell r="H37">
            <v>10000293</v>
          </cell>
          <cell r="I37">
            <v>4259.2500000000018</v>
          </cell>
          <cell r="J37">
            <v>257.25000176087349</v>
          </cell>
          <cell r="K37" t="str">
            <v>CAMINOS Y PLATAFORMAS</v>
          </cell>
          <cell r="L37">
            <v>257.2500356094921</v>
          </cell>
          <cell r="M37" t="str">
            <v>CAMINOS Y PLATAFORMAS</v>
          </cell>
          <cell r="N37">
            <v>220.02</v>
          </cell>
          <cell r="O37">
            <v>5.1656981863004027E-2</v>
          </cell>
          <cell r="P37">
            <v>257.2500356094921</v>
          </cell>
          <cell r="Q37">
            <v>0</v>
          </cell>
          <cell r="R37">
            <v>0</v>
          </cell>
          <cell r="S37">
            <v>0</v>
          </cell>
        </row>
        <row r="38">
          <cell r="H38">
            <v>10000274</v>
          </cell>
          <cell r="I38">
            <v>21558.099999999995</v>
          </cell>
          <cell r="J38">
            <v>177.3194734229823</v>
          </cell>
          <cell r="K38" t="str">
            <v>CEMENTOS MOCTEZUMA</v>
          </cell>
          <cell r="L38">
            <v>177.49000751176524</v>
          </cell>
          <cell r="M38" t="str">
            <v>CEMENTOS MOCTEZUMA</v>
          </cell>
          <cell r="N38">
            <v>8591.6400000000012</v>
          </cell>
          <cell r="O38">
            <v>0.39853419364415249</v>
          </cell>
          <cell r="P38">
            <v>177.48999841706592</v>
          </cell>
          <cell r="Q38">
            <v>-5.124062729677803E-8</v>
          </cell>
          <cell r="R38">
            <v>-9.0946993225315964E-6</v>
          </cell>
          <cell r="S38">
            <v>-0.19606443746506835</v>
          </cell>
        </row>
        <row r="39">
          <cell r="H39">
            <v>10051295</v>
          </cell>
          <cell r="I39">
            <v>1164.4399999999998</v>
          </cell>
          <cell r="J39">
            <v>328.35706433994034</v>
          </cell>
          <cell r="K39" t="str">
            <v>DC CONCRETOS</v>
          </cell>
          <cell r="L39">
            <v>325.49994842465986</v>
          </cell>
          <cell r="M39" t="str">
            <v>DC CONCRETOS</v>
          </cell>
          <cell r="N39">
            <v>3087.2799999999993</v>
          </cell>
          <cell r="O39">
            <v>2.6513001958022739</v>
          </cell>
          <cell r="P39">
            <v>325.49993521805618</v>
          </cell>
          <cell r="Q39">
            <v>-4.0573289616929742E-8</v>
          </cell>
          <cell r="R39">
            <v>-1.3206603682647255E-5</v>
          </cell>
          <cell r="S39">
            <v>-1.5378297592221767E-2</v>
          </cell>
        </row>
        <row r="40">
          <cell r="H40">
            <v>10051293</v>
          </cell>
          <cell r="I40">
            <v>6771.2400000000034</v>
          </cell>
          <cell r="J40">
            <v>232.94209775462102</v>
          </cell>
          <cell r="K40" t="str">
            <v>BC CONCRETOS Y SERVICIOS</v>
          </cell>
          <cell r="L40">
            <v>232.91998849961956</v>
          </cell>
          <cell r="M40" t="str">
            <v>BC CONCRETOS Y SERVICIOS</v>
          </cell>
          <cell r="N40">
            <v>2376</v>
          </cell>
          <cell r="O40">
            <v>0.35089584773246835</v>
          </cell>
          <cell r="P40">
            <v>232.92000841750846</v>
          </cell>
          <cell r="Q40">
            <v>8.5513866876496536E-8</v>
          </cell>
          <cell r="R40">
            <v>1.9917888891995972E-5</v>
          </cell>
          <cell r="S40">
            <v>0.13486880598103887</v>
          </cell>
        </row>
        <row r="41">
          <cell r="H41">
            <v>10199160</v>
          </cell>
          <cell r="I41">
            <v>2282.5400000000004</v>
          </cell>
          <cell r="J41">
            <v>228.18410192154337</v>
          </cell>
          <cell r="K41" t="str">
            <v>BC CONCRETOS Y SERVICIOS</v>
          </cell>
          <cell r="L41">
            <v>228.28999619787919</v>
          </cell>
          <cell r="M41" t="str">
            <v>BC CONCRETOS Y SERVICIOS</v>
          </cell>
          <cell r="N41">
            <v>800.54</v>
          </cell>
          <cell r="O41">
            <v>0.35072331700649267</v>
          </cell>
          <cell r="P41">
            <v>228.29001673870135</v>
          </cell>
          <cell r="Q41">
            <v>8.9976882389208868E-8</v>
          </cell>
          <cell r="R41">
            <v>2.0540822163184203E-5</v>
          </cell>
          <cell r="S41">
            <v>4.6885248220354475E-2</v>
          </cell>
        </row>
        <row r="42">
          <cell r="H42">
            <v>10199160</v>
          </cell>
          <cell r="I42">
            <v>2282.5400000000004</v>
          </cell>
          <cell r="J42">
            <v>228.18410192154337</v>
          </cell>
          <cell r="K42" t="str">
            <v>BC CONCRETOS Y SERVICIOS</v>
          </cell>
          <cell r="L42">
            <v>228.28999619787919</v>
          </cell>
          <cell r="M42" t="str">
            <v>BC CONCRETOS Y SERVICIOS</v>
          </cell>
          <cell r="N42">
            <v>800.54</v>
          </cell>
          <cell r="O42">
            <v>0.35072331700649267</v>
          </cell>
          <cell r="P42">
            <v>228.29001673870135</v>
          </cell>
          <cell r="Q42">
            <v>8.9976882389208868E-8</v>
          </cell>
          <cell r="R42">
            <v>2.0540822163184203E-5</v>
          </cell>
          <cell r="S42">
            <v>4.6885248220354475E-2</v>
          </cell>
        </row>
        <row r="43">
          <cell r="H43">
            <v>10000101</v>
          </cell>
          <cell r="I43">
            <v>6385.0020000000131</v>
          </cell>
          <cell r="J43">
            <v>302.3653211071815</v>
          </cell>
          <cell r="K43" t="str">
            <v>900007778 SF TC-ALIANCO MAQAR</v>
          </cell>
          <cell r="L43">
            <v>295.10000000000002</v>
          </cell>
          <cell r="M43" t="str">
            <v>900007778 SF TC-ALIANCO MAQAR</v>
          </cell>
          <cell r="N43" t="str">
            <v/>
          </cell>
          <cell r="O43" t="str">
            <v/>
          </cell>
          <cell r="P43">
            <v>295.10000000000002</v>
          </cell>
          <cell r="Q43">
            <v>0</v>
          </cell>
          <cell r="R43">
            <v>0</v>
          </cell>
          <cell r="S43">
            <v>0</v>
          </cell>
        </row>
        <row r="44">
          <cell r="H44">
            <v>10000101</v>
          </cell>
          <cell r="I44">
            <v>6385.0020000000131</v>
          </cell>
          <cell r="J44">
            <v>302.3653211071815</v>
          </cell>
          <cell r="K44" t="str">
            <v>900007778 SF TC-ALIANCO MAQAR</v>
          </cell>
          <cell r="L44">
            <v>295.10000000000002</v>
          </cell>
          <cell r="M44" t="str">
            <v>900007778 SF TC-ALIANCO MAQAR</v>
          </cell>
          <cell r="N44" t="str">
            <v/>
          </cell>
          <cell r="O44" t="str">
            <v/>
          </cell>
          <cell r="P44">
            <v>295.10000000000002</v>
          </cell>
          <cell r="Q44">
            <v>0</v>
          </cell>
          <cell r="R44">
            <v>0</v>
          </cell>
          <cell r="S44">
            <v>0</v>
          </cell>
        </row>
        <row r="45">
          <cell r="H45">
            <v>10000112</v>
          </cell>
          <cell r="I45">
            <v>3087.6840000000007</v>
          </cell>
          <cell r="J45">
            <v>234.82903043187059</v>
          </cell>
          <cell r="K45" t="str">
            <v>900002370 TC-MOSECA</v>
          </cell>
          <cell r="L45">
            <v>233</v>
          </cell>
          <cell r="M45" t="str">
            <v>900002370 TC-MOSECA</v>
          </cell>
          <cell r="N45" t="str">
            <v/>
          </cell>
          <cell r="O45" t="str">
            <v/>
          </cell>
          <cell r="P45">
            <v>233</v>
          </cell>
          <cell r="Q45">
            <v>0</v>
          </cell>
          <cell r="R45">
            <v>0</v>
          </cell>
          <cell r="S45">
            <v>0</v>
          </cell>
        </row>
        <row r="46">
          <cell r="H46">
            <v>10000110</v>
          </cell>
          <cell r="I46">
            <v>11688.132000000029</v>
          </cell>
          <cell r="J46">
            <v>272.37325605152267</v>
          </cell>
          <cell r="K46" t="str">
            <v>UNDER CONCRETOS</v>
          </cell>
          <cell r="L46">
            <v>268</v>
          </cell>
          <cell r="M46" t="str">
            <v>UNDER CONCRETOS</v>
          </cell>
          <cell r="N46" t="str">
            <v/>
          </cell>
          <cell r="O46" t="str">
            <v/>
          </cell>
          <cell r="P46">
            <v>268</v>
          </cell>
          <cell r="Q46">
            <v>0</v>
          </cell>
          <cell r="R46">
            <v>0</v>
          </cell>
          <cell r="S46">
            <v>0</v>
          </cell>
        </row>
        <row r="47">
          <cell r="H47">
            <v>10000110</v>
          </cell>
          <cell r="I47">
            <v>11688.132000000029</v>
          </cell>
          <cell r="J47">
            <v>272.37325605152267</v>
          </cell>
          <cell r="K47" t="str">
            <v>UNDER CONCRETOS</v>
          </cell>
          <cell r="L47">
            <v>268</v>
          </cell>
          <cell r="M47" t="str">
            <v>UNDER CONCRETOS</v>
          </cell>
          <cell r="N47" t="str">
            <v/>
          </cell>
          <cell r="O47" t="str">
            <v/>
          </cell>
          <cell r="P47">
            <v>268</v>
          </cell>
          <cell r="Q47">
            <v>0</v>
          </cell>
          <cell r="R47">
            <v>0</v>
          </cell>
          <cell r="S47">
            <v>0</v>
          </cell>
        </row>
        <row r="48">
          <cell r="H48" t="e">
            <v>#N/A</v>
          </cell>
          <cell r="I48">
            <v>0</v>
          </cell>
          <cell r="J48">
            <v>0</v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>
            <v>0</v>
          </cell>
          <cell r="R48">
            <v>0</v>
          </cell>
          <cell r="S48">
            <v>0</v>
          </cell>
        </row>
        <row r="49">
          <cell r="H49" t="e">
            <v>#N/A</v>
          </cell>
          <cell r="I49">
            <v>0</v>
          </cell>
          <cell r="J49">
            <v>0</v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>
            <v>0</v>
          </cell>
          <cell r="R49">
            <v>0</v>
          </cell>
          <cell r="S49">
            <v>0</v>
          </cell>
        </row>
        <row r="50">
          <cell r="H50" t="e">
            <v>#N/A</v>
          </cell>
          <cell r="I50">
            <v>0</v>
          </cell>
          <cell r="J50">
            <v>0</v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>
            <v>0</v>
          </cell>
          <cell r="R50">
            <v>0</v>
          </cell>
          <cell r="S50">
            <v>0</v>
          </cell>
        </row>
        <row r="51">
          <cell r="H51" t="e">
            <v>#N/A</v>
          </cell>
          <cell r="I51">
            <v>0</v>
          </cell>
          <cell r="J51">
            <v>0</v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>
            <v>0</v>
          </cell>
          <cell r="R51">
            <v>0</v>
          </cell>
          <cell r="S51">
            <v>0</v>
          </cell>
        </row>
        <row r="52">
          <cell r="H52" t="e">
            <v>#N/A</v>
          </cell>
          <cell r="I52">
            <v>0</v>
          </cell>
          <cell r="J52">
            <v>0</v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>
            <v>0</v>
          </cell>
          <cell r="R52">
            <v>0</v>
          </cell>
          <cell r="S52">
            <v>0</v>
          </cell>
        </row>
        <row r="53">
          <cell r="H53" t="e">
            <v>#N/A</v>
          </cell>
          <cell r="I53">
            <v>0</v>
          </cell>
          <cell r="J53">
            <v>0</v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>
            <v>0</v>
          </cell>
          <cell r="R53">
            <v>0</v>
          </cell>
          <cell r="S53">
            <v>0</v>
          </cell>
        </row>
        <row r="54">
          <cell r="H54" t="e">
            <v>#N/A</v>
          </cell>
          <cell r="I54">
            <v>0</v>
          </cell>
          <cell r="J54">
            <v>0</v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>
            <v>0</v>
          </cell>
          <cell r="R54">
            <v>0</v>
          </cell>
          <cell r="S54">
            <v>0</v>
          </cell>
        </row>
        <row r="55">
          <cell r="H55"/>
          <cell r="I55">
            <v>475965.54900000006</v>
          </cell>
          <cell r="J55">
            <v>209.26215651376873</v>
          </cell>
          <cell r="K55"/>
          <cell r="L55">
            <v>209.36108962978349</v>
          </cell>
          <cell r="M55" t="str">
            <v>N.D</v>
          </cell>
          <cell r="N55" t="str">
            <v>N.D</v>
          </cell>
          <cell r="O55" t="str">
            <v>N.D.</v>
          </cell>
          <cell r="P55">
            <v>208.72069209039731</v>
          </cell>
          <cell r="Q55">
            <v>-3.0588183340019004E-3</v>
          </cell>
          <cell r="R55">
            <v>-0.6403975393861856</v>
          </cell>
          <cell r="S55"/>
        </row>
      </sheetData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mplate Resumen"/>
      <sheetName val="Analisis Estadistico"/>
      <sheetName val="TRABAJO"/>
      <sheetName val="CONSOLIDADO"/>
      <sheetName val="SINERGIA"/>
    </sheetNames>
    <sheetDataSet>
      <sheetData sheetId="0"/>
      <sheetData sheetId="1"/>
      <sheetData sheetId="2">
        <row r="1">
          <cell r="O1">
            <v>0</v>
          </cell>
          <cell r="Q1">
            <v>0</v>
          </cell>
          <cell r="R1">
            <v>0</v>
          </cell>
          <cell r="S1">
            <v>0</v>
          </cell>
        </row>
        <row r="2">
          <cell r="I2" t="str">
            <v>Filial Ago'25</v>
          </cell>
          <cell r="K2" t="str">
            <v>Cliente de Referencia</v>
          </cell>
          <cell r="P2" t="str">
            <v>Precio Referencia</v>
          </cell>
        </row>
        <row r="3">
          <cell r="C3" t="str">
            <v>LLAVE</v>
          </cell>
          <cell r="D3" t="str">
            <v>UO</v>
          </cell>
          <cell r="E3" t="str">
            <v>Cantera</v>
          </cell>
          <cell r="F3" t="str">
            <v>Material</v>
          </cell>
          <cell r="G3" t="str">
            <v>Material</v>
          </cell>
          <cell r="H3" t="str">
            <v>Material</v>
          </cell>
          <cell r="I3" t="str">
            <v>Vol Filial</v>
          </cell>
          <cell r="J3" t="str">
            <v xml:space="preserve">$ Filial </v>
          </cell>
          <cell r="K3" t="str">
            <v>Cliente Ref MA</v>
          </cell>
          <cell r="L3" t="str">
            <v>$ Ref MA</v>
          </cell>
          <cell r="M3" t="str">
            <v>Cliente</v>
          </cell>
          <cell r="N3" t="str">
            <v>Vol. Cliente</v>
          </cell>
          <cell r="O3" t="str">
            <v>% filial</v>
          </cell>
          <cell r="P3" t="str">
            <v>$ Ref Sep'25</v>
          </cell>
          <cell r="Q3" t="str">
            <v>% Var vs MA</v>
          </cell>
          <cell r="R3" t="str">
            <v>Dif vs MA</v>
          </cell>
          <cell r="S3" t="str">
            <v>Orden de Mag.</v>
          </cell>
        </row>
        <row r="4">
          <cell r="C4" t="str">
            <v>D86410001073</v>
          </cell>
          <cell r="D4" t="str">
            <v>D864</v>
          </cell>
          <cell r="E4" t="str">
            <v>MX-CANTERA CERRO JARDIN</v>
          </cell>
          <cell r="F4">
            <v>10001073</v>
          </cell>
          <cell r="G4" t="str">
            <v>Arena Triturada Caliza Malla 4</v>
          </cell>
          <cell r="H4">
            <v>10001073</v>
          </cell>
          <cell r="I4">
            <v>9052.8399999999983</v>
          </cell>
          <cell r="J4">
            <v>84.301932874103485</v>
          </cell>
          <cell r="K4" t="str">
            <v>CEMENTOS MOCTEZUMA</v>
          </cell>
          <cell r="L4">
            <v>87.5</v>
          </cell>
          <cell r="M4" t="str">
            <v>CEMENTOS MOCTEZUMA</v>
          </cell>
          <cell r="N4">
            <v>1886.5899999999997</v>
          </cell>
          <cell r="O4">
            <v>0.20839758573000297</v>
          </cell>
          <cell r="P4">
            <v>87.5</v>
          </cell>
          <cell r="Q4">
            <v>0</v>
          </cell>
          <cell r="R4">
            <v>0</v>
          </cell>
          <cell r="S4">
            <v>0</v>
          </cell>
        </row>
        <row r="5">
          <cell r="C5" t="str">
            <v>D86410000236</v>
          </cell>
          <cell r="D5" t="str">
            <v>D864</v>
          </cell>
          <cell r="E5" t="str">
            <v>MX-CANTERA CERRO JARDIN</v>
          </cell>
          <cell r="F5">
            <v>10000236</v>
          </cell>
          <cell r="G5" t="str">
            <v>Grava Triturada Caliza 10 mm - 3/8"</v>
          </cell>
          <cell r="H5">
            <v>10000236</v>
          </cell>
          <cell r="I5">
            <v>5776.9700000000021</v>
          </cell>
          <cell r="J5">
            <v>116.89693385979156</v>
          </cell>
          <cell r="K5" t="str">
            <v>CONCRETOS TPM-FORTALEZA</v>
          </cell>
          <cell r="L5">
            <v>120</v>
          </cell>
          <cell r="M5" t="str">
            <v>CONCRETOS TPM-FORTALEZA</v>
          </cell>
          <cell r="N5">
            <v>1371.3</v>
          </cell>
          <cell r="O5">
            <v>0.23737357126659814</v>
          </cell>
          <cell r="P5">
            <v>120</v>
          </cell>
          <cell r="Q5">
            <v>0</v>
          </cell>
          <cell r="R5">
            <v>0</v>
          </cell>
          <cell r="S5">
            <v>0</v>
          </cell>
        </row>
        <row r="6">
          <cell r="C6" t="str">
            <v>D86410000240</v>
          </cell>
          <cell r="D6" t="str">
            <v>D864</v>
          </cell>
          <cell r="E6" t="str">
            <v>MX-CANTERA CERRO JARDIN</v>
          </cell>
          <cell r="F6">
            <v>10000240</v>
          </cell>
          <cell r="G6" t="str">
            <v>Grava Triturada Caliza 20 mm - 3/4"</v>
          </cell>
          <cell r="H6">
            <v>10000240</v>
          </cell>
          <cell r="I6">
            <v>19607.639999999992</v>
          </cell>
          <cell r="J6">
            <v>124.30874036855042</v>
          </cell>
          <cell r="K6" t="str">
            <v>CONCRETOS TPM-FORTALEZA</v>
          </cell>
          <cell r="L6">
            <v>127</v>
          </cell>
          <cell r="M6" t="str">
            <v>CONCRETOS TPM-FORTALEZA</v>
          </cell>
          <cell r="N6">
            <v>1966.12</v>
          </cell>
          <cell r="O6">
            <v>0.10027315882992552</v>
          </cell>
          <cell r="P6">
            <v>127</v>
          </cell>
          <cell r="Q6">
            <v>0</v>
          </cell>
          <cell r="R6">
            <v>0</v>
          </cell>
          <cell r="S6">
            <v>0</v>
          </cell>
        </row>
        <row r="7">
          <cell r="C7" t="str">
            <v>D86410001074</v>
          </cell>
          <cell r="D7" t="str">
            <v>D864</v>
          </cell>
          <cell r="E7" t="str">
            <v>MX-CANTERA CERRO JARDIN</v>
          </cell>
          <cell r="F7">
            <v>10001074</v>
          </cell>
          <cell r="G7" t="str">
            <v>Grava Triturada Caliza 40 mm - 1 1/2"</v>
          </cell>
          <cell r="H7">
            <v>10001074</v>
          </cell>
          <cell r="I7">
            <v>5101.4700000000012</v>
          </cell>
          <cell r="J7">
            <v>134.62039961030848</v>
          </cell>
          <cell r="K7" t="str">
            <v>CEMENTOS MOCTEZUMA</v>
          </cell>
          <cell r="L7">
            <v>137</v>
          </cell>
          <cell r="M7" t="str">
            <v>CEMENTOS MOCTEZUMA</v>
          </cell>
          <cell r="N7">
            <v>1138.1699999999998</v>
          </cell>
          <cell r="O7">
            <v>0.22310628113073283</v>
          </cell>
          <cell r="P7">
            <v>137</v>
          </cell>
          <cell r="Q7">
            <v>0</v>
          </cell>
          <cell r="R7">
            <v>0</v>
          </cell>
          <cell r="S7">
            <v>0</v>
          </cell>
        </row>
        <row r="8">
          <cell r="C8" t="str">
            <v>D86110000229</v>
          </cell>
          <cell r="D8" t="str">
            <v>D861</v>
          </cell>
          <cell r="E8" t="str">
            <v>MX-CANTERA QUERETARO</v>
          </cell>
          <cell r="F8">
            <v>10000229</v>
          </cell>
          <cell r="G8" t="str">
            <v>Grava Triturada Basalto  10 mm - 3/8"</v>
          </cell>
          <cell r="H8">
            <v>10000229</v>
          </cell>
          <cell r="I8">
            <v>1900.69</v>
          </cell>
          <cell r="J8">
            <v>221.26201011211708</v>
          </cell>
          <cell r="K8" t="str">
            <v>900006111 SF TC- ANA REBECA</v>
          </cell>
          <cell r="L8">
            <v>216</v>
          </cell>
          <cell r="M8" t="str">
            <v>CEMENTOS MOCTEZUMA</v>
          </cell>
          <cell r="N8">
            <v>469.82</v>
          </cell>
          <cell r="O8">
            <v>0.24718391741946344</v>
          </cell>
          <cell r="P8">
            <v>239.76999702013535</v>
          </cell>
          <cell r="Q8">
            <v>0.11004628250062654</v>
          </cell>
          <cell r="R8">
            <v>23.769997020135349</v>
          </cell>
          <cell r="S8">
            <v>45179.395636201058</v>
          </cell>
        </row>
        <row r="9">
          <cell r="C9" t="str">
            <v>D86110000231</v>
          </cell>
          <cell r="D9" t="str">
            <v>D861</v>
          </cell>
          <cell r="E9" t="str">
            <v>MX-CANTERA QUERETARO</v>
          </cell>
          <cell r="F9">
            <v>10000231</v>
          </cell>
          <cell r="G9" t="str">
            <v>Grava Triturada Basalto  20 mm - 3/4"</v>
          </cell>
          <cell r="H9">
            <v>10000231</v>
          </cell>
          <cell r="I9">
            <v>21344.230000000007</v>
          </cell>
          <cell r="J9">
            <v>215.98000208955793</v>
          </cell>
          <cell r="K9" t="str">
            <v>CEMENTOS MOCTEZUMA</v>
          </cell>
          <cell r="L9">
            <v>215.98000216231802</v>
          </cell>
          <cell r="M9" t="str">
            <v>CEMENTOS MOCTEZUMA</v>
          </cell>
          <cell r="N9">
            <v>3906.34</v>
          </cell>
          <cell r="O9">
            <v>0.18301620625339957</v>
          </cell>
          <cell r="P9">
            <v>215.98000174075989</v>
          </cell>
          <cell r="Q9">
            <v>-1.9518386906725027E-9</v>
          </cell>
          <cell r="R9">
            <v>-4.2155812707278528E-7</v>
          </cell>
          <cell r="S9">
            <v>-8.9978336226107583E-3</v>
          </cell>
        </row>
        <row r="10">
          <cell r="C10" t="str">
            <v>D86110000233</v>
          </cell>
          <cell r="D10" t="str">
            <v>D861</v>
          </cell>
          <cell r="E10" t="str">
            <v>MX-CANTERA QUERETARO</v>
          </cell>
          <cell r="F10">
            <v>10000233</v>
          </cell>
          <cell r="G10" t="str">
            <v>Grava Triturada Basalto  40 mm - 1 1/2"</v>
          </cell>
          <cell r="H10">
            <v>10000233</v>
          </cell>
          <cell r="I10">
            <v>3755.99</v>
          </cell>
          <cell r="J10">
            <v>184.84319447069879</v>
          </cell>
          <cell r="K10" t="str">
            <v xml:space="preserve">900006110 SF TC-LA CAÑADA FILIAL </v>
          </cell>
          <cell r="L10">
            <v>178</v>
          </cell>
          <cell r="M10" t="str">
            <v xml:space="preserve">900006110 SF TC-LA CAÑADA FILIAL </v>
          </cell>
          <cell r="N10" t="str">
            <v/>
          </cell>
          <cell r="O10" t="str">
            <v/>
          </cell>
          <cell r="P10">
            <v>178</v>
          </cell>
          <cell r="Q10">
            <v>0</v>
          </cell>
          <cell r="R10">
            <v>0</v>
          </cell>
          <cell r="S10">
            <v>0</v>
          </cell>
        </row>
        <row r="11">
          <cell r="C11" t="str">
            <v>D81310000255</v>
          </cell>
          <cell r="D11" t="str">
            <v>D813</v>
          </cell>
          <cell r="E11" t="str">
            <v>MX-CANTERA SAN VICENTE</v>
          </cell>
          <cell r="F11">
            <v>10000255</v>
          </cell>
          <cell r="G11" t="str">
            <v>Arena Triturada Andesita Malla 4</v>
          </cell>
          <cell r="H11">
            <v>10000255</v>
          </cell>
          <cell r="I11">
            <v>63064.409999999953</v>
          </cell>
          <cell r="J11">
            <v>104.14000511540512</v>
          </cell>
          <cell r="K11" t="str">
            <v>CONCRETOS TPM-FORTALEZA</v>
          </cell>
          <cell r="L11">
            <v>104.1400056701213</v>
          </cell>
          <cell r="M11" t="str">
            <v>CONCRETOS TPM-FORTALEZA</v>
          </cell>
          <cell r="N11">
            <v>8719.3299999999981</v>
          </cell>
          <cell r="O11">
            <v>0.13826070837735585</v>
          </cell>
          <cell r="P11">
            <v>104.1</v>
          </cell>
          <cell r="Q11">
            <v>-3.8415275535919058E-4</v>
          </cell>
          <cell r="R11">
            <v>-4.0005670121303183E-2</v>
          </cell>
          <cell r="S11">
            <v>-2522.9339828546117</v>
          </cell>
        </row>
        <row r="12">
          <cell r="C12" t="str">
            <v>D81310002350</v>
          </cell>
          <cell r="D12" t="str">
            <v>D813</v>
          </cell>
          <cell r="E12" t="str">
            <v>MX-CANTERA SAN VICENTE</v>
          </cell>
          <cell r="F12">
            <v>10002350</v>
          </cell>
          <cell r="G12" t="str">
            <v>Grava Triturada Andesita 10mm-3/8"</v>
          </cell>
          <cell r="H12">
            <v>10002350</v>
          </cell>
          <cell r="I12">
            <v>741.21</v>
          </cell>
          <cell r="J12">
            <v>120.49002307038491</v>
          </cell>
          <cell r="K12" t="str">
            <v>CONCRETOS TPM-FORTALEZA</v>
          </cell>
          <cell r="L12">
            <v>120.49002822201319</v>
          </cell>
          <cell r="M12" t="str">
            <v>CEMENTOS MOCTEZUMA</v>
          </cell>
          <cell r="N12">
            <v>382.32</v>
          </cell>
          <cell r="O12">
            <v>0.51580523738211836</v>
          </cell>
          <cell r="P12">
            <v>134.59999476878008</v>
          </cell>
          <cell r="Q12">
            <v>0.11710484888233297</v>
          </cell>
          <cell r="R12">
            <v>14.109966546766884</v>
          </cell>
          <cell r="S12">
            <v>10458.448304129082</v>
          </cell>
        </row>
        <row r="13">
          <cell r="C13" t="str">
            <v>D81310000253</v>
          </cell>
          <cell r="D13" t="str">
            <v>D813</v>
          </cell>
          <cell r="E13" t="str">
            <v>MX-CANTERA SAN VICENTE</v>
          </cell>
          <cell r="F13">
            <v>10000253</v>
          </cell>
          <cell r="G13" t="str">
            <v>Grava Triturada Andesita 20 mm - 3/4"</v>
          </cell>
          <cell r="H13">
            <v>10000253</v>
          </cell>
          <cell r="I13">
            <v>12907.320000000003</v>
          </cell>
          <cell r="J13">
            <v>103.90000170445917</v>
          </cell>
          <cell r="K13" t="str">
            <v>CONCRETOS TPM-FORTALEZA</v>
          </cell>
          <cell r="L13">
            <v>103.90000809751906</v>
          </cell>
          <cell r="M13" t="str">
            <v>CONCRETOS TPM-FORTALEZA</v>
          </cell>
          <cell r="N13">
            <v>1240.1299999999999</v>
          </cell>
          <cell r="O13">
            <v>9.6079588946427263E-2</v>
          </cell>
          <cell r="P13">
            <v>103.9000266101135</v>
          </cell>
          <cell r="Q13">
            <v>1.7817702602229701E-7</v>
          </cell>
          <cell r="R13">
            <v>1.8512594436970176E-5</v>
          </cell>
          <cell r="S13">
            <v>0.23894798042819396</v>
          </cell>
        </row>
        <row r="14">
          <cell r="C14" t="str">
            <v>D87310001073</v>
          </cell>
          <cell r="D14" t="str">
            <v>D873</v>
          </cell>
          <cell r="E14" t="str">
            <v>MX-VIRTUAL VALLEJO</v>
          </cell>
          <cell r="F14">
            <v>10001073</v>
          </cell>
          <cell r="G14" t="str">
            <v>Arena Triturada Caliza Malla 4</v>
          </cell>
          <cell r="H14">
            <v>10001073</v>
          </cell>
          <cell r="I14">
            <v>8355.1200000000063</v>
          </cell>
          <cell r="J14">
            <v>194.69694031922924</v>
          </cell>
          <cell r="K14" t="str">
            <v>Vallejo Material + Inc en Precio C.Jardin (May'25) + Flete FFCC (nov24)</v>
          </cell>
          <cell r="L14">
            <v>197.8</v>
          </cell>
          <cell r="M14" t="str">
            <v>Vallejo Material + Inc en Precio C.Jardin (May'25) + Flete FFCC (nov24)</v>
          </cell>
          <cell r="N14" t="str">
            <v/>
          </cell>
          <cell r="O14" t="str">
            <v/>
          </cell>
          <cell r="P14">
            <v>197.8</v>
          </cell>
          <cell r="Q14">
            <v>0</v>
          </cell>
          <cell r="R14">
            <v>0</v>
          </cell>
          <cell r="S14">
            <v>0</v>
          </cell>
        </row>
        <row r="15">
          <cell r="C15" t="str">
            <v>D87310000240</v>
          </cell>
          <cell r="D15" t="str">
            <v>D873</v>
          </cell>
          <cell r="E15" t="str">
            <v>MX-VIRTUAL VALLEJO</v>
          </cell>
          <cell r="F15">
            <v>10000240</v>
          </cell>
          <cell r="G15" t="str">
            <v>Grava Triturada Caliza 20 mm - 3/4"</v>
          </cell>
          <cell r="H15">
            <v>10000240</v>
          </cell>
          <cell r="I15">
            <v>34378.270000000019</v>
          </cell>
          <cell r="J15">
            <v>255.4957870189514</v>
          </cell>
          <cell r="K15" t="str">
            <v>Vallejo Material + Inc en Precio C.Jardin (May'25) + Flete FFCC (nov24)</v>
          </cell>
          <cell r="L15">
            <v>258.77</v>
          </cell>
          <cell r="M15" t="str">
            <v>Vallejo Material + Inc en Precio C.Jardin (May'25) + Flete FFCC (nov24)</v>
          </cell>
          <cell r="N15" t="str">
            <v/>
          </cell>
          <cell r="O15" t="str">
            <v/>
          </cell>
          <cell r="P15">
            <v>258.77</v>
          </cell>
          <cell r="Q15">
            <v>0</v>
          </cell>
          <cell r="R15">
            <v>0</v>
          </cell>
          <cell r="S15">
            <v>0</v>
          </cell>
        </row>
        <row r="16">
          <cell r="C16" t="str">
            <v>D82410000234</v>
          </cell>
          <cell r="D16" t="str">
            <v>D824</v>
          </cell>
          <cell r="E16" t="str">
            <v>MX-CANTERA LEON</v>
          </cell>
          <cell r="F16">
            <v>10000234</v>
          </cell>
          <cell r="G16" t="str">
            <v>Arena Triturada Basalto  Malla 4</v>
          </cell>
          <cell r="H16">
            <v>10000234</v>
          </cell>
          <cell r="I16">
            <v>1481.7899999999997</v>
          </cell>
          <cell r="J16">
            <v>159.00000000000003</v>
          </cell>
          <cell r="K16" t="str">
            <v>ARENAS Y GRAVAS DEL BAJIO</v>
          </cell>
          <cell r="L16">
            <v>159</v>
          </cell>
          <cell r="M16" t="str">
            <v>ARENAS Y GRAVAS DEL BAJIO</v>
          </cell>
          <cell r="N16">
            <v>3944.8699999999994</v>
          </cell>
          <cell r="O16">
            <v>2.6622328400110677</v>
          </cell>
          <cell r="P16">
            <v>159.00000000000003</v>
          </cell>
          <cell r="Q16">
            <v>2.2204460492503131E-16</v>
          </cell>
          <cell r="R16">
            <v>2.8421709430404007E-14</v>
          </cell>
          <cell r="S16">
            <v>4.2115004816878347E-11</v>
          </cell>
        </row>
        <row r="17">
          <cell r="C17" t="str">
            <v>D82410000285</v>
          </cell>
          <cell r="D17" t="str">
            <v>D824</v>
          </cell>
          <cell r="E17" t="str">
            <v>MX-CANTERA LEON</v>
          </cell>
          <cell r="F17">
            <v>10000285</v>
          </cell>
          <cell r="G17" t="str">
            <v>Grava Triturada Basalto  10 mm - 3/8"</v>
          </cell>
          <cell r="H17">
            <v>10000285</v>
          </cell>
          <cell r="I17">
            <v>1401.12</v>
          </cell>
          <cell r="J17">
            <v>175</v>
          </cell>
          <cell r="K17" t="str">
            <v>ARENAS Y GRAVAS DEL BAJIO</v>
          </cell>
          <cell r="L17">
            <v>175</v>
          </cell>
          <cell r="M17" t="str">
            <v>ARENAS Y GRAVAS DEL BAJIO</v>
          </cell>
          <cell r="N17">
            <v>270.39</v>
          </cell>
          <cell r="O17">
            <v>0.19298132922233643</v>
          </cell>
          <cell r="P17">
            <v>175</v>
          </cell>
          <cell r="Q17">
            <v>0</v>
          </cell>
          <cell r="R17">
            <v>0</v>
          </cell>
          <cell r="S17">
            <v>0</v>
          </cell>
        </row>
        <row r="18">
          <cell r="C18" t="str">
            <v>D82410000284</v>
          </cell>
          <cell r="D18" t="str">
            <v>D824</v>
          </cell>
          <cell r="E18" t="str">
            <v>MX-CANTERA LEON</v>
          </cell>
          <cell r="F18">
            <v>10000284</v>
          </cell>
          <cell r="G18" t="str">
            <v>Grava Triturada Basalto  20 mm - 3/4"</v>
          </cell>
          <cell r="H18">
            <v>10000284</v>
          </cell>
          <cell r="I18">
            <v>8294.3200000000052</v>
          </cell>
          <cell r="J18">
            <v>175.00000120564437</v>
          </cell>
          <cell r="K18" t="str">
            <v>ARENAS Y GRAVAS DEL BAJIO</v>
          </cell>
          <cell r="L18">
            <v>174.99999999999994</v>
          </cell>
          <cell r="M18" t="str">
            <v>ARENAS Y GRAVAS DEL BAJIO</v>
          </cell>
          <cell r="N18">
            <v>1298.9299999999998</v>
          </cell>
          <cell r="O18">
            <v>0.1566047608483877</v>
          </cell>
          <cell r="P18">
            <v>175.00000000000003</v>
          </cell>
          <cell r="Q18">
            <v>4.4408920985006262E-16</v>
          </cell>
          <cell r="R18">
            <v>8.5265128291212022E-14</v>
          </cell>
          <cell r="S18">
            <v>7.0721625888836609E-10</v>
          </cell>
        </row>
        <row r="19">
          <cell r="C19" t="str">
            <v>D82410000287</v>
          </cell>
          <cell r="D19" t="str">
            <v>D824</v>
          </cell>
          <cell r="E19" t="str">
            <v>MX-CANTERA LEON</v>
          </cell>
          <cell r="F19">
            <v>10000287</v>
          </cell>
          <cell r="G19" t="str">
            <v>Grava Triturada Basalto  40 mm - 1 1/2"</v>
          </cell>
          <cell r="H19">
            <v>10000287</v>
          </cell>
          <cell r="I19">
            <v>2812.0999999999985</v>
          </cell>
          <cell r="J19">
            <v>207.6341488567264</v>
          </cell>
          <cell r="K19" t="str">
            <v xml:space="preserve">TRANSPORTES ALDAMA </v>
          </cell>
          <cell r="L19">
            <v>211.04</v>
          </cell>
          <cell r="M19" t="str">
            <v xml:space="preserve">TRANSPORTES ALDAMA </v>
          </cell>
          <cell r="N19" t="str">
            <v/>
          </cell>
          <cell r="O19" t="str">
            <v/>
          </cell>
          <cell r="P19">
            <v>211</v>
          </cell>
          <cell r="Q19">
            <v>-1.8953752843053895E-4</v>
          </cell>
          <cell r="R19">
            <v>-3.9999999999992042E-2</v>
          </cell>
          <cell r="S19">
            <v>-112.48399999997757</v>
          </cell>
        </row>
        <row r="20">
          <cell r="C20" t="str">
            <v>D81610164169</v>
          </cell>
          <cell r="D20" t="str">
            <v>D816</v>
          </cell>
          <cell r="E20" t="str">
            <v>MX-CANTERA MONTERREY</v>
          </cell>
          <cell r="F20">
            <v>10164169</v>
          </cell>
          <cell r="G20" t="str">
            <v>ARENA TRITURADA CALIZA MALLA 4 B47 FILIA</v>
          </cell>
          <cell r="H20">
            <v>10164169</v>
          </cell>
          <cell r="I20">
            <v>102961.82999999975</v>
          </cell>
          <cell r="J20">
            <v>273.63118788778479</v>
          </cell>
          <cell r="K20" t="str">
            <v>900000941 (ED) TC-ED-GIH</v>
          </cell>
          <cell r="L20">
            <v>273.5</v>
          </cell>
          <cell r="M20" t="str">
            <v>900000941 (ED) TC-ED-GIH</v>
          </cell>
          <cell r="N20" t="str">
            <v/>
          </cell>
          <cell r="O20" t="str">
            <v/>
          </cell>
          <cell r="P20">
            <v>273.5</v>
          </cell>
          <cell r="Q20">
            <v>0</v>
          </cell>
          <cell r="R20">
            <v>0</v>
          </cell>
          <cell r="S20">
            <v>0</v>
          </cell>
        </row>
        <row r="21">
          <cell r="C21" t="str">
            <v>D81610000124</v>
          </cell>
          <cell r="D21" t="str">
            <v>D816</v>
          </cell>
          <cell r="E21" t="str">
            <v>MX-CANTERA MONTERREY</v>
          </cell>
          <cell r="F21">
            <v>10000124</v>
          </cell>
          <cell r="G21" t="str">
            <v>Arena Triturada Caliza Malla 4</v>
          </cell>
          <cell r="H21">
            <v>10164169</v>
          </cell>
          <cell r="I21">
            <v>102961.82999999975</v>
          </cell>
          <cell r="J21">
            <v>273.63118788778479</v>
          </cell>
          <cell r="K21" t="str">
            <v>900000941 (ED) TC-ED-GIH</v>
          </cell>
          <cell r="L21">
            <v>273.5</v>
          </cell>
          <cell r="M21" t="str">
            <v>900000941 (ED) TC-ED-GIH</v>
          </cell>
          <cell r="N21" t="str">
            <v/>
          </cell>
          <cell r="O21" t="str">
            <v/>
          </cell>
          <cell r="P21">
            <v>273.5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>D81610000260</v>
          </cell>
          <cell r="D22" t="str">
            <v>D816</v>
          </cell>
          <cell r="E22" t="str">
            <v>MX-CANTERA MONTERREY</v>
          </cell>
          <cell r="F22">
            <v>10000260</v>
          </cell>
          <cell r="G22" t="str">
            <v>Arena Triturada Caliza Malla 5</v>
          </cell>
          <cell r="H22">
            <v>10000260</v>
          </cell>
          <cell r="I22">
            <v>724.03000000000009</v>
          </cell>
          <cell r="J22">
            <v>381.86829275030038</v>
          </cell>
          <cell r="K22" t="str">
            <v>OPTICRETOS</v>
          </cell>
          <cell r="L22">
            <v>379.08993094588089</v>
          </cell>
          <cell r="M22" t="str">
            <v>900000941 (ED) TC-ED-GIH</v>
          </cell>
          <cell r="N22" t="str">
            <v/>
          </cell>
          <cell r="O22" t="str">
            <v/>
          </cell>
          <cell r="P22">
            <v>395.87464461101058</v>
          </cell>
          <cell r="Q22">
            <v>4.4276337340982685E-2</v>
          </cell>
          <cell r="R22">
            <v>16.784713665129686</v>
          </cell>
          <cell r="S22">
            <v>12152.636234963848</v>
          </cell>
        </row>
        <row r="23">
          <cell r="C23" t="str">
            <v>D81610000237</v>
          </cell>
          <cell r="D23" t="str">
            <v>D816</v>
          </cell>
          <cell r="E23" t="str">
            <v>MX-CANTERA MONTERREY</v>
          </cell>
          <cell r="F23">
            <v>10000237</v>
          </cell>
          <cell r="G23" t="str">
            <v>Grava Triturada Caliza 10 mm - 3/8"</v>
          </cell>
          <cell r="H23">
            <v>10000237</v>
          </cell>
          <cell r="I23">
            <v>1830.15</v>
          </cell>
          <cell r="J23">
            <v>282.59999453596703</v>
          </cell>
          <cell r="K23" t="str">
            <v>900000941 (ED) TC-ED-GIH</v>
          </cell>
          <cell r="L23">
            <v>282.60000000000002</v>
          </cell>
          <cell r="M23" t="str">
            <v>PRELOSA PREFABRICADOS DISEÑO Y</v>
          </cell>
          <cell r="N23">
            <v>204.69</v>
          </cell>
          <cell r="O23">
            <v>0.11184329153348085</v>
          </cell>
          <cell r="P23">
            <v>335.60999560310717</v>
          </cell>
          <cell r="Q23">
            <v>0.18757960227567994</v>
          </cell>
          <cell r="R23">
            <v>53.009995603107143</v>
          </cell>
          <cell r="S23">
            <v>97016.243453026545</v>
          </cell>
        </row>
        <row r="24">
          <cell r="C24" t="str">
            <v>D81610000241</v>
          </cell>
          <cell r="D24" t="str">
            <v>D816</v>
          </cell>
          <cell r="E24" t="str">
            <v>MX-CANTERA MONTERREY</v>
          </cell>
          <cell r="F24">
            <v>10000241</v>
          </cell>
          <cell r="G24" t="str">
            <v>Grava Triturada Caliza 20 mm - 3/4"</v>
          </cell>
          <cell r="H24">
            <v>10000241</v>
          </cell>
          <cell r="I24">
            <v>43545.740000000005</v>
          </cell>
          <cell r="J24">
            <v>273.5000004592867</v>
          </cell>
          <cell r="K24" t="str">
            <v>900000941 (ED) TC-ED-GIH</v>
          </cell>
          <cell r="L24">
            <v>273.5</v>
          </cell>
          <cell r="M24" t="str">
            <v>900000941 (ED) TC-ED-GIH</v>
          </cell>
          <cell r="N24" t="str">
            <v/>
          </cell>
          <cell r="O24" t="str">
            <v/>
          </cell>
          <cell r="P24">
            <v>273.5</v>
          </cell>
          <cell r="Q24">
            <v>0</v>
          </cell>
          <cell r="R24">
            <v>0</v>
          </cell>
          <cell r="S24">
            <v>0</v>
          </cell>
        </row>
        <row r="25">
          <cell r="C25" t="str">
            <v>D86310038952</v>
          </cell>
          <cell r="D25" t="str">
            <v>D863</v>
          </cell>
          <cell r="E25" t="str">
            <v>MX-CANTERA TAMUIN</v>
          </cell>
          <cell r="F25">
            <v>10038952</v>
          </cell>
          <cell r="G25" t="str">
            <v>Arena Triturada Caliza Malla 4</v>
          </cell>
          <cell r="H25">
            <v>10038952</v>
          </cell>
          <cell r="I25">
            <v>10008.870000000004</v>
          </cell>
          <cell r="J25">
            <v>153.87996447151389</v>
          </cell>
          <cell r="K25" t="str">
            <v>CONCRETOS TANCOL</v>
          </cell>
          <cell r="L25">
            <v>153.87994510757937</v>
          </cell>
          <cell r="M25" t="str">
            <v>CONCRETOS TANCOL</v>
          </cell>
          <cell r="N25">
            <v>4235.9599999999982</v>
          </cell>
          <cell r="O25">
            <v>0.42322060332485051</v>
          </cell>
          <cell r="P25">
            <v>153.8799422090861</v>
          </cell>
          <cell r="Q25">
            <v>-1.8836069148875367E-8</v>
          </cell>
          <cell r="R25">
            <v>-2.8984932782805117E-6</v>
          </cell>
          <cell r="S25">
            <v>-2.9010642418183477E-2</v>
          </cell>
        </row>
        <row r="26">
          <cell r="C26" t="str">
            <v>D86310038949</v>
          </cell>
          <cell r="D26" t="str">
            <v>D863</v>
          </cell>
          <cell r="E26" t="str">
            <v>MX-CANTERA TAMUIN</v>
          </cell>
          <cell r="F26">
            <v>10038949</v>
          </cell>
          <cell r="G26" t="str">
            <v>Grava Triturada Caliza 10 mm - 3/8"</v>
          </cell>
          <cell r="H26">
            <v>10038949</v>
          </cell>
          <cell r="I26">
            <v>492.77</v>
          </cell>
          <cell r="J26">
            <v>170</v>
          </cell>
          <cell r="K26" t="str">
            <v>CONCRETOS HUASTECA</v>
          </cell>
          <cell r="L26">
            <v>169.99999999999997</v>
          </cell>
          <cell r="M26" t="str">
            <v>CONCRETOS TANCOL</v>
          </cell>
          <cell r="N26">
            <v>48.44</v>
          </cell>
          <cell r="O26">
            <v>9.8301438805122057E-2</v>
          </cell>
          <cell r="P26">
            <v>168.50000000000003</v>
          </cell>
          <cell r="Q26">
            <v>-8.8235294117643415E-3</v>
          </cell>
          <cell r="R26">
            <v>-1.4999999999999432</v>
          </cell>
          <cell r="S26">
            <v>-739.15499999997201</v>
          </cell>
        </row>
        <row r="27">
          <cell r="C27" t="str">
            <v>D86310038950</v>
          </cell>
          <cell r="D27" t="str">
            <v>D863</v>
          </cell>
          <cell r="E27" t="str">
            <v>MX-CANTERA TAMUIN</v>
          </cell>
          <cell r="F27">
            <v>10038950</v>
          </cell>
          <cell r="G27" t="str">
            <v>Grava Triturada Caliza 20 mm - 3/4"</v>
          </cell>
          <cell r="H27">
            <v>10038950</v>
          </cell>
          <cell r="I27">
            <v>3882.4100000000003</v>
          </cell>
          <cell r="J27">
            <v>146.09295772471231</v>
          </cell>
          <cell r="K27" t="str">
            <v xml:space="preserve">CONCRETOS HUASTECA </v>
          </cell>
          <cell r="L27">
            <v>141.29000599840037</v>
          </cell>
          <cell r="M27" t="str">
            <v>CONCRETOS TANCOL</v>
          </cell>
          <cell r="N27">
            <v>2673.8599999999997</v>
          </cell>
          <cell r="O27">
            <v>0.68871139318103947</v>
          </cell>
          <cell r="P27">
            <v>153.87996005774426</v>
          </cell>
          <cell r="Q27">
            <v>8.9107180443367184E-2</v>
          </cell>
          <cell r="R27">
            <v>12.589954059343881</v>
          </cell>
          <cell r="S27">
            <v>48879.363539537284</v>
          </cell>
        </row>
        <row r="28">
          <cell r="C28" t="str">
            <v>D86310049672</v>
          </cell>
          <cell r="D28" t="str">
            <v>D863</v>
          </cell>
          <cell r="E28" t="str">
            <v>MX-CANTERA TAMUIN</v>
          </cell>
          <cell r="F28">
            <v>10049672</v>
          </cell>
          <cell r="G28" t="str">
            <v>Grava Triturada Caliza 40 mm - 1 1/2"</v>
          </cell>
          <cell r="H28">
            <v>10049672</v>
          </cell>
          <cell r="I28">
            <v>1146.7</v>
          </cell>
          <cell r="J28">
            <v>139.15880352315335</v>
          </cell>
          <cell r="K28" t="str">
            <v>900005511TC-ED CONSTRUCARGO</v>
          </cell>
          <cell r="L28">
            <v>160</v>
          </cell>
          <cell r="M28" t="str">
            <v>900005511TC-ED CONSTRUCARGO</v>
          </cell>
          <cell r="N28" t="str">
            <v/>
          </cell>
          <cell r="O28" t="str">
            <v/>
          </cell>
          <cell r="P28">
            <v>160</v>
          </cell>
          <cell r="Q28">
            <v>0</v>
          </cell>
          <cell r="R28">
            <v>0</v>
          </cell>
          <cell r="S28">
            <v>0</v>
          </cell>
        </row>
        <row r="29">
          <cell r="C29" t="str">
            <v>D85210038942</v>
          </cell>
          <cell r="D29" t="str">
            <v>D852</v>
          </cell>
          <cell r="E29" t="str">
            <v>MX-CANTERA TORREON II</v>
          </cell>
          <cell r="F29">
            <v>10038942</v>
          </cell>
          <cell r="G29" t="str">
            <v>Arena Triturada Caliza Malla 8</v>
          </cell>
          <cell r="H29">
            <v>10038942</v>
          </cell>
          <cell r="I29">
            <v>14145.31</v>
          </cell>
          <cell r="J29">
            <v>126.69799884201885</v>
          </cell>
          <cell r="K29" t="str">
            <v>CONCRETOS RICASA</v>
          </cell>
          <cell r="L29">
            <v>126.49998102839304</v>
          </cell>
          <cell r="M29" t="str">
            <v>CONCRETOS RICASA</v>
          </cell>
          <cell r="N29">
            <v>7012.119999999999</v>
          </cell>
          <cell r="O29">
            <v>0.49572048968880844</v>
          </cell>
          <cell r="P29">
            <v>126.49998859118215</v>
          </cell>
          <cell r="Q29">
            <v>5.978490302815942E-8</v>
          </cell>
          <cell r="R29">
            <v>7.5627891078511311E-6</v>
          </cell>
          <cell r="S29">
            <v>0.10697799639517767</v>
          </cell>
        </row>
        <row r="30">
          <cell r="C30" t="str">
            <v>D85210038947</v>
          </cell>
          <cell r="D30" t="str">
            <v>D852</v>
          </cell>
          <cell r="E30" t="str">
            <v>MX-CANTERA TORREON II</v>
          </cell>
          <cell r="F30">
            <v>10038947</v>
          </cell>
          <cell r="G30" t="str">
            <v>Grava Triturada Caliza 10 mm - 3/8"</v>
          </cell>
          <cell r="H30">
            <v>10038947</v>
          </cell>
          <cell r="I30">
            <v>628.29999999999995</v>
          </cell>
          <cell r="J30">
            <v>110.95933471271684</v>
          </cell>
          <cell r="K30" t="str">
            <v>900000009 TC-TRITURADOS CRIBISSA</v>
          </cell>
          <cell r="L30">
            <v>111</v>
          </cell>
          <cell r="M30" t="str">
            <v>900000009 TC-TRITURADOS CRIBISSA</v>
          </cell>
          <cell r="N30" t="str">
            <v/>
          </cell>
          <cell r="O30" t="str">
            <v/>
          </cell>
          <cell r="P30">
            <v>111</v>
          </cell>
          <cell r="Q30">
            <v>0</v>
          </cell>
          <cell r="R30">
            <v>0</v>
          </cell>
          <cell r="S30">
            <v>0</v>
          </cell>
        </row>
        <row r="31">
          <cell r="C31" t="str">
            <v>D85210038945</v>
          </cell>
          <cell r="D31" t="str">
            <v>D852</v>
          </cell>
          <cell r="E31" t="str">
            <v>MX-CANTERA TORREON II</v>
          </cell>
          <cell r="F31">
            <v>10038945</v>
          </cell>
          <cell r="G31" t="str">
            <v>Grava Triturada Caliza 20 mm - 3/4"</v>
          </cell>
          <cell r="H31">
            <v>10038945</v>
          </cell>
          <cell r="I31">
            <v>7611.9899999999989</v>
          </cell>
          <cell r="J31">
            <v>134.39999132946852</v>
          </cell>
          <cell r="K31" t="str">
            <v>COPLASA</v>
          </cell>
          <cell r="L31">
            <v>134.3999877847676</v>
          </cell>
          <cell r="M31" t="str">
            <v>COPLASA</v>
          </cell>
          <cell r="N31">
            <v>2161.6899999999991</v>
          </cell>
          <cell r="O31">
            <v>0.28398487123603677</v>
          </cell>
          <cell r="P31">
            <v>134.40000185040415</v>
          </cell>
          <cell r="Q31">
            <v>1.046550432981519E-7</v>
          </cell>
          <cell r="R31">
            <v>1.4065636548821203E-5</v>
          </cell>
          <cell r="S31">
            <v>0.1070674847532615</v>
          </cell>
        </row>
        <row r="32">
          <cell r="C32" t="str">
            <v>D85210038659</v>
          </cell>
          <cell r="D32" t="str">
            <v>D852</v>
          </cell>
          <cell r="E32" t="str">
            <v>MX-CANTERA TORREON II</v>
          </cell>
          <cell r="F32">
            <v>10038659</v>
          </cell>
          <cell r="G32" t="str">
            <v>Grava Triturada Caliza 40 mm - 1 1/2"</v>
          </cell>
          <cell r="H32">
            <v>10038659</v>
          </cell>
          <cell r="I32">
            <v>2838.2000000000003</v>
          </cell>
          <cell r="J32">
            <v>114.00000000000004</v>
          </cell>
          <cell r="K32" t="str">
            <v>900000009 TC-TRITURADOS CRIBISSA</v>
          </cell>
          <cell r="L32">
            <v>114</v>
          </cell>
          <cell r="M32" t="str">
            <v>900000009 TC-TRITURADOS CRIBISSA</v>
          </cell>
          <cell r="N32" t="str">
            <v/>
          </cell>
          <cell r="O32" t="str">
            <v/>
          </cell>
          <cell r="P32">
            <v>131</v>
          </cell>
          <cell r="Q32">
            <v>0.14912280701754388</v>
          </cell>
          <cell r="R32">
            <v>17</v>
          </cell>
          <cell r="S32">
            <v>48249.4</v>
          </cell>
        </row>
        <row r="33">
          <cell r="C33" t="str">
            <v>D86610000266</v>
          </cell>
          <cell r="D33" t="str">
            <v>D866</v>
          </cell>
          <cell r="E33" t="str">
            <v>MX-CANTERA PONCITLAN</v>
          </cell>
          <cell r="F33">
            <v>10000266</v>
          </cell>
          <cell r="G33" t="str">
            <v>Arena Triturada Basalto Malla 5</v>
          </cell>
          <cell r="H33">
            <v>10000266</v>
          </cell>
          <cell r="I33">
            <v>16422.539999999994</v>
          </cell>
          <cell r="J33">
            <v>198.9499937281322</v>
          </cell>
          <cell r="K33" t="str">
            <v>CEMENTOS MOCTEZUMA</v>
          </cell>
          <cell r="L33">
            <v>198.94999290723271</v>
          </cell>
          <cell r="M33" t="str">
            <v>CEMENTOS MOCTEZUMA</v>
          </cell>
          <cell r="N33">
            <v>4748.3799999999992</v>
          </cell>
          <cell r="O33">
            <v>0.2891379774383257</v>
          </cell>
          <cell r="P33">
            <v>198.95000400136476</v>
          </cell>
          <cell r="Q33">
            <v>5.5763420103716044E-8</v>
          </cell>
          <cell r="R33">
            <v>1.109413204858356E-5</v>
          </cell>
          <cell r="S33">
            <v>0.1821938273331454</v>
          </cell>
        </row>
        <row r="34">
          <cell r="C34" t="str">
            <v>D86610000293</v>
          </cell>
          <cell r="D34" t="str">
            <v>D866</v>
          </cell>
          <cell r="E34" t="str">
            <v>MX-CANTERA PONCITLAN</v>
          </cell>
          <cell r="F34">
            <v>10000293</v>
          </cell>
          <cell r="G34" t="str">
            <v>Grava Triturada Basalto  10 mm - 3/8"</v>
          </cell>
          <cell r="H34">
            <v>10000293</v>
          </cell>
          <cell r="I34">
            <v>2880.63</v>
          </cell>
          <cell r="J34">
            <v>257.24998351055149</v>
          </cell>
          <cell r="K34" t="str">
            <v>CAMINOS Y PLATAFORMAS</v>
          </cell>
          <cell r="L34">
            <v>257.25003823214558</v>
          </cell>
          <cell r="M34" t="str">
            <v>CAMINOS Y PLATAFORMAS</v>
          </cell>
          <cell r="N34">
            <v>351.03</v>
          </cell>
          <cell r="O34">
            <v>0.12185876006290289</v>
          </cell>
          <cell r="P34">
            <v>257.2500356094921</v>
          </cell>
          <cell r="Q34">
            <v>-1.0194958544040844E-8</v>
          </cell>
          <cell r="R34">
            <v>-2.6226534828310832E-6</v>
          </cell>
          <cell r="S34">
            <v>-7.5548943022477038E-3</v>
          </cell>
        </row>
        <row r="35">
          <cell r="C35" t="str">
            <v>D86610000274</v>
          </cell>
          <cell r="D35" t="str">
            <v>D866</v>
          </cell>
          <cell r="E35" t="str">
            <v>MX-CANTERA PONCITLAN</v>
          </cell>
          <cell r="F35">
            <v>10000274</v>
          </cell>
          <cell r="G35" t="str">
            <v>Grava Triturada Basalto  20 mm - 3/4"</v>
          </cell>
          <cell r="H35">
            <v>10000274</v>
          </cell>
          <cell r="I35">
            <v>28590.219999999994</v>
          </cell>
          <cell r="J35">
            <v>177.49000427418898</v>
          </cell>
          <cell r="K35" t="str">
            <v>CEMENTOS MOCTEZUMA</v>
          </cell>
          <cell r="L35">
            <v>177.49000201230692</v>
          </cell>
          <cell r="M35" t="str">
            <v>CEMENTOS MOCTEZUMA</v>
          </cell>
          <cell r="N35">
            <v>8693.0299999999952</v>
          </cell>
          <cell r="O35">
            <v>0.30405607232123422</v>
          </cell>
          <cell r="P35">
            <v>177.49000751176524</v>
          </cell>
          <cell r="Q35">
            <v>3.0984609100670468E-8</v>
          </cell>
          <cell r="R35">
            <v>5.4994583251755103E-6</v>
          </cell>
          <cell r="S35">
            <v>0.15723072339759933</v>
          </cell>
        </row>
        <row r="36">
          <cell r="C36" t="str">
            <v>D89310051295</v>
          </cell>
          <cell r="D36" t="str">
            <v>D893</v>
          </cell>
          <cell r="E36" t="str">
            <v>MX-CANTERA TIJUANA II</v>
          </cell>
          <cell r="F36">
            <v>10051295</v>
          </cell>
          <cell r="G36" t="str">
            <v>Grava Triturada Basalto  10 mm - 3/8"</v>
          </cell>
          <cell r="H36">
            <v>10051295</v>
          </cell>
          <cell r="I36">
            <v>1052.3499999999999</v>
          </cell>
          <cell r="J36">
            <v>325.49999524872914</v>
          </cell>
          <cell r="K36" t="str">
            <v>DC CONCRETOS</v>
          </cell>
          <cell r="L36">
            <v>325.4999395799598</v>
          </cell>
          <cell r="M36" t="str">
            <v>DC CONCRETOS</v>
          </cell>
          <cell r="N36">
            <v>3490.04</v>
          </cell>
          <cell r="O36">
            <v>3.3164251437259469</v>
          </cell>
          <cell r="P36">
            <v>325.49994842465986</v>
          </cell>
          <cell r="Q36">
            <v>-1.6896898927407533E-2</v>
          </cell>
          <cell r="R36">
            <v>-5.4999395799598574</v>
          </cell>
          <cell r="S36">
            <v>-5787.8614169707553</v>
          </cell>
        </row>
        <row r="37">
          <cell r="C37" t="str">
            <v>D89310051293</v>
          </cell>
          <cell r="D37" t="str">
            <v>D893</v>
          </cell>
          <cell r="E37" t="str">
            <v>MX-CANTERA TIJUANA II</v>
          </cell>
          <cell r="F37">
            <v>10051293</v>
          </cell>
          <cell r="G37" t="str">
            <v>Grava Triturada Basalto  20 mm - 3/4"</v>
          </cell>
          <cell r="H37">
            <v>10051293</v>
          </cell>
          <cell r="I37">
            <v>4701.6099999999979</v>
          </cell>
          <cell r="J37">
            <v>232.92000825249224</v>
          </cell>
          <cell r="K37" t="str">
            <v>BC CONCRETOS Y SERVICIOS</v>
          </cell>
          <cell r="L37">
            <v>232.92001038922496</v>
          </cell>
          <cell r="M37" t="str">
            <v>BC CONCRETOS Y SERVICIOS</v>
          </cell>
          <cell r="N37">
            <v>1669.5100000000007</v>
          </cell>
          <cell r="O37">
            <v>0.35509325528914593</v>
          </cell>
          <cell r="P37">
            <v>232.91998849961956</v>
          </cell>
          <cell r="Q37">
            <v>-9.3979067528060511E-8</v>
          </cell>
          <cell r="R37">
            <v>-2.1889605392289013E-5</v>
          </cell>
          <cell r="S37">
            <v>-0.10291638760843989</v>
          </cell>
        </row>
        <row r="38">
          <cell r="C38" t="str">
            <v>D89310197865</v>
          </cell>
          <cell r="D38" t="str">
            <v>D893</v>
          </cell>
          <cell r="E38" t="str">
            <v>MX-CANTERA TIJUANA II</v>
          </cell>
          <cell r="F38">
            <v>10197865</v>
          </cell>
          <cell r="G38" t="str">
            <v>GRAVA TRITURADA BASALTO 40-4MM - 1 1/2"</v>
          </cell>
          <cell r="H38">
            <v>10199160</v>
          </cell>
          <cell r="I38">
            <v>1383.36</v>
          </cell>
          <cell r="J38">
            <v>228.28998959056213</v>
          </cell>
          <cell r="K38" t="str">
            <v>DC CONCRETOS</v>
          </cell>
          <cell r="L38">
            <v>231.00000000000009</v>
          </cell>
          <cell r="M38" t="str">
            <v>BC CONCRETOS Y SERVICIOS</v>
          </cell>
          <cell r="N38">
            <v>473.42000000000007</v>
          </cell>
          <cell r="O38">
            <v>0.3422247281980107</v>
          </cell>
          <cell r="P38">
            <v>228.28999619787919</v>
          </cell>
          <cell r="Q38">
            <v>-1.1731618190999549E-2</v>
          </cell>
          <cell r="R38">
            <v>-2.7100038021208945</v>
          </cell>
          <cell r="S38">
            <v>-3748.9108597019604</v>
          </cell>
        </row>
        <row r="39">
          <cell r="C39" t="str">
            <v>D89310199160</v>
          </cell>
          <cell r="D39" t="str">
            <v>D893</v>
          </cell>
          <cell r="E39" t="str">
            <v>MX-CANTERA TIJUANA II</v>
          </cell>
          <cell r="F39">
            <v>10199160</v>
          </cell>
          <cell r="G39" t="str">
            <v>GRAVA TRITURADA BASALTO 40-20MM - 1 1/2"</v>
          </cell>
          <cell r="H39">
            <v>10199160</v>
          </cell>
          <cell r="I39">
            <v>1383.36</v>
          </cell>
          <cell r="J39">
            <v>228.28998959056213</v>
          </cell>
          <cell r="K39" t="str">
            <v>DC CONCRETOS</v>
          </cell>
          <cell r="L39">
            <v>231.00000000000009</v>
          </cell>
          <cell r="M39" t="str">
            <v>BC CONCRETOS Y SERVICIOS</v>
          </cell>
          <cell r="N39">
            <v>473.42000000000007</v>
          </cell>
          <cell r="O39">
            <v>0.3422247281980107</v>
          </cell>
          <cell r="P39">
            <v>228.28999619787919</v>
          </cell>
          <cell r="Q39">
            <v>-1.1731618190999549E-2</v>
          </cell>
          <cell r="R39">
            <v>-2.7100038021208945</v>
          </cell>
          <cell r="S39">
            <v>-3748.9108597019604</v>
          </cell>
        </row>
        <row r="40">
          <cell r="C40" t="str">
            <v>DU0710000101</v>
          </cell>
          <cell r="D40" t="str">
            <v>DU07</v>
          </cell>
          <cell r="E40" t="str">
            <v>MX-CANCÚN III</v>
          </cell>
          <cell r="F40">
            <v>10000101</v>
          </cell>
          <cell r="G40" t="str">
            <v>Arena Triturada Caliza Malla 4 -Especial</v>
          </cell>
          <cell r="H40">
            <v>10000101</v>
          </cell>
          <cell r="I40">
            <v>11156.041000000016</v>
          </cell>
          <cell r="J40">
            <v>312.80874729664464</v>
          </cell>
          <cell r="K40" t="str">
            <v>900007778 SF TC-ALIANCO MAQAR</v>
          </cell>
          <cell r="L40">
            <v>310.10000000000002</v>
          </cell>
          <cell r="M40" t="str">
            <v>900007778 SF TC-ALIANCO MAQAR</v>
          </cell>
          <cell r="N40" t="str">
            <v/>
          </cell>
          <cell r="O40" t="str">
            <v/>
          </cell>
          <cell r="P40">
            <v>295.10000000000002</v>
          </cell>
          <cell r="Q40">
            <v>-4.8371493066752702E-2</v>
          </cell>
          <cell r="R40">
            <v>-15</v>
          </cell>
          <cell r="S40">
            <v>-167340.61500000022</v>
          </cell>
        </row>
        <row r="41">
          <cell r="C41" t="str">
            <v>DU0710264038</v>
          </cell>
          <cell r="D41" t="str">
            <v>DU07</v>
          </cell>
          <cell r="E41" t="str">
            <v>MX-CANCÚN III</v>
          </cell>
          <cell r="F41">
            <v>10264038</v>
          </cell>
          <cell r="G41" t="str">
            <v>MOV ARENA TRITURADA CALIZA MALLA 4</v>
          </cell>
          <cell r="H41">
            <v>10000101</v>
          </cell>
          <cell r="I41">
            <v>11156.041000000016</v>
          </cell>
          <cell r="J41">
            <v>312.80874729664464</v>
          </cell>
          <cell r="K41" t="str">
            <v>900007778 SF TC-ALIANCO MAQAR</v>
          </cell>
          <cell r="L41">
            <v>310.10000000000002</v>
          </cell>
          <cell r="M41" t="str">
            <v>900007778 SF TC-ALIANCO MAQAR</v>
          </cell>
          <cell r="N41" t="str">
            <v/>
          </cell>
          <cell r="O41" t="str">
            <v/>
          </cell>
          <cell r="P41">
            <v>295.10000000000002</v>
          </cell>
          <cell r="Q41">
            <v>-4.8371493066752702E-2</v>
          </cell>
          <cell r="R41">
            <v>-15</v>
          </cell>
          <cell r="S41">
            <v>-167340.61500000022</v>
          </cell>
        </row>
        <row r="42">
          <cell r="C42" t="str">
            <v>DU0710000112</v>
          </cell>
          <cell r="D42" t="str">
            <v>DU07</v>
          </cell>
          <cell r="E42" t="str">
            <v>MX-CANCÚN III</v>
          </cell>
          <cell r="F42">
            <v>10000112</v>
          </cell>
          <cell r="G42" t="str">
            <v>Grava Triturada Caliza 13 mm -1/2" -Esp</v>
          </cell>
          <cell r="H42">
            <v>10000112</v>
          </cell>
          <cell r="I42">
            <v>2899.0320000000006</v>
          </cell>
          <cell r="J42">
            <v>247.99999793034365</v>
          </cell>
          <cell r="K42" t="str">
            <v>900002370 TC-MOSECA</v>
          </cell>
          <cell r="L42">
            <v>248</v>
          </cell>
          <cell r="M42" t="str">
            <v>900002370 TC-MOSECA</v>
          </cell>
          <cell r="N42" t="str">
            <v/>
          </cell>
          <cell r="O42" t="str">
            <v/>
          </cell>
          <cell r="P42">
            <v>233</v>
          </cell>
          <cell r="Q42">
            <v>-6.0483870967741882E-2</v>
          </cell>
          <cell r="R42">
            <v>-15</v>
          </cell>
          <cell r="S42">
            <v>-43485.48000000001</v>
          </cell>
        </row>
        <row r="43">
          <cell r="C43" t="str">
            <v>DU0710000110</v>
          </cell>
          <cell r="D43" t="str">
            <v>DU07</v>
          </cell>
          <cell r="E43" t="str">
            <v>MX-CANCÚN III</v>
          </cell>
          <cell r="F43">
            <v>10000110</v>
          </cell>
          <cell r="G43" t="str">
            <v>Grava Triturada Caliza 20 mm - 3/4"</v>
          </cell>
          <cell r="H43">
            <v>10000110</v>
          </cell>
          <cell r="I43">
            <v>8865.7819999999956</v>
          </cell>
          <cell r="J43">
            <v>283.10002885250356</v>
          </cell>
          <cell r="K43" t="str">
            <v>UNDER CONCRETOS</v>
          </cell>
          <cell r="L43">
            <v>283.10003885650872</v>
          </cell>
          <cell r="M43" t="str">
            <v>UNDER CONCRETOS</v>
          </cell>
          <cell r="N43" t="str">
            <v/>
          </cell>
          <cell r="O43" t="str">
            <v/>
          </cell>
          <cell r="P43">
            <v>268</v>
          </cell>
          <cell r="Q43">
            <v>-5.3338173027105418E-2</v>
          </cell>
          <cell r="R43">
            <v>-15.100038856508718</v>
          </cell>
          <cell r="S43">
            <v>-133873.65269333552</v>
          </cell>
        </row>
        <row r="44">
          <cell r="C44" t="str">
            <v>DU0710264039</v>
          </cell>
          <cell r="D44" t="str">
            <v>DU07</v>
          </cell>
          <cell r="E44" t="str">
            <v>MX-CANCÚN III</v>
          </cell>
          <cell r="F44">
            <v>10264039</v>
          </cell>
          <cell r="G44" t="str">
            <v>MOV GRAVA TRITURADA CALIZA 20MM 3/4 INTE</v>
          </cell>
          <cell r="H44">
            <v>10000110</v>
          </cell>
          <cell r="I44">
            <v>8865.7819999999956</v>
          </cell>
          <cell r="J44">
            <v>283.10002885250356</v>
          </cell>
          <cell r="K44" t="str">
            <v>UNDER CONCRETOS</v>
          </cell>
          <cell r="L44">
            <v>283.10003885650872</v>
          </cell>
          <cell r="M44" t="str">
            <v>UNDER CONCRETOS</v>
          </cell>
          <cell r="N44" t="str">
            <v/>
          </cell>
          <cell r="O44" t="str">
            <v/>
          </cell>
          <cell r="P44">
            <v>268</v>
          </cell>
          <cell r="Q44">
            <v>-5.3338173027105418E-2</v>
          </cell>
          <cell r="R44">
            <v>-15.100038856508718</v>
          </cell>
          <cell r="S44">
            <v>-133873.65269333552</v>
          </cell>
        </row>
        <row r="45">
          <cell r="C45" t="e">
            <v>#N/A</v>
          </cell>
          <cell r="E45">
            <v>0</v>
          </cell>
          <cell r="F45" t="e">
            <v>#N/A</v>
          </cell>
          <cell r="G45">
            <v>0</v>
          </cell>
          <cell r="H45" t="e">
            <v>#N/A</v>
          </cell>
          <cell r="I45">
            <v>0</v>
          </cell>
          <cell r="J45">
            <v>0</v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>
            <v>0</v>
          </cell>
          <cell r="R45">
            <v>0</v>
          </cell>
          <cell r="S45">
            <v>0</v>
          </cell>
        </row>
        <row r="46">
          <cell r="C46" t="e">
            <v>#N/A</v>
          </cell>
          <cell r="E46">
            <v>0</v>
          </cell>
          <cell r="F46" t="e">
            <v>#N/A</v>
          </cell>
          <cell r="G46">
            <v>0</v>
          </cell>
          <cell r="H46" t="e">
            <v>#N/A</v>
          </cell>
          <cell r="I46">
            <v>0</v>
          </cell>
          <cell r="J46">
            <v>0</v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>
            <v>0</v>
          </cell>
          <cell r="R46">
            <v>0</v>
          </cell>
          <cell r="S46">
            <v>0</v>
          </cell>
        </row>
        <row r="47">
          <cell r="C47" t="e">
            <v>#N/A</v>
          </cell>
          <cell r="E47">
            <v>0</v>
          </cell>
          <cell r="F47" t="e">
            <v>#N/A</v>
          </cell>
          <cell r="G47">
            <v>0</v>
          </cell>
          <cell r="H47" t="e">
            <v>#N/A</v>
          </cell>
          <cell r="I47">
            <v>0</v>
          </cell>
          <cell r="J47">
            <v>0</v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>
            <v>0</v>
          </cell>
          <cell r="R47">
            <v>0</v>
          </cell>
          <cell r="S47">
            <v>0</v>
          </cell>
        </row>
        <row r="48">
          <cell r="C48" t="e">
            <v>#N/A</v>
          </cell>
          <cell r="E48">
            <v>0</v>
          </cell>
          <cell r="F48" t="e">
            <v>#N/A</v>
          </cell>
          <cell r="G48">
            <v>0</v>
          </cell>
          <cell r="H48" t="e">
            <v>#N/A</v>
          </cell>
          <cell r="I48">
            <v>0</v>
          </cell>
          <cell r="J48">
            <v>0</v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>
            <v>0</v>
          </cell>
          <cell r="R48">
            <v>0</v>
          </cell>
          <cell r="S48">
            <v>0</v>
          </cell>
        </row>
        <row r="49">
          <cell r="C49" t="e">
            <v>#N/A</v>
          </cell>
          <cell r="E49">
            <v>0</v>
          </cell>
          <cell r="F49" t="e">
            <v>#N/A</v>
          </cell>
          <cell r="G49">
            <v>0</v>
          </cell>
          <cell r="H49" t="e">
            <v>#N/A</v>
          </cell>
          <cell r="I49">
            <v>0</v>
          </cell>
          <cell r="J49">
            <v>0</v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>
            <v>0</v>
          </cell>
          <cell r="R49">
            <v>0</v>
          </cell>
          <cell r="S49">
            <v>0</v>
          </cell>
        </row>
        <row r="50">
          <cell r="C50" t="e">
            <v>#N/A</v>
          </cell>
          <cell r="E50">
            <v>0</v>
          </cell>
          <cell r="F50" t="e">
            <v>#N/A</v>
          </cell>
          <cell r="G50">
            <v>0</v>
          </cell>
          <cell r="H50" t="e">
            <v>#N/A</v>
          </cell>
          <cell r="I50">
            <v>0</v>
          </cell>
          <cell r="J50">
            <v>0</v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>
            <v>0</v>
          </cell>
          <cell r="R50">
            <v>0</v>
          </cell>
          <cell r="S50">
            <v>0</v>
          </cell>
        </row>
        <row r="51">
          <cell r="C51" t="e">
            <v>#N/A</v>
          </cell>
          <cell r="E51">
            <v>0</v>
          </cell>
          <cell r="F51" t="e">
            <v>#N/A</v>
          </cell>
          <cell r="G51">
            <v>0</v>
          </cell>
          <cell r="H51" t="e">
            <v>#N/A</v>
          </cell>
          <cell r="I51">
            <v>0</v>
          </cell>
          <cell r="J51">
            <v>0</v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>
            <v>0</v>
          </cell>
          <cell r="R51">
            <v>0</v>
          </cell>
          <cell r="S51">
            <v>0</v>
          </cell>
        </row>
        <row r="52">
          <cell r="C52" t="e">
            <v>#N/A</v>
          </cell>
          <cell r="E52">
            <v>0</v>
          </cell>
          <cell r="F52" t="e">
            <v>#N/A</v>
          </cell>
          <cell r="G52">
            <v>0</v>
          </cell>
          <cell r="H52" t="e">
            <v>#N/A</v>
          </cell>
          <cell r="I52">
            <v>0</v>
          </cell>
          <cell r="J52">
            <v>0</v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>
            <v>0</v>
          </cell>
          <cell r="R52">
            <v>0</v>
          </cell>
          <cell r="S52">
            <v>0</v>
          </cell>
        </row>
        <row r="53">
          <cell r="C53" t="e">
            <v>#N/A</v>
          </cell>
          <cell r="E53">
            <v>0</v>
          </cell>
          <cell r="F53" t="e">
            <v>#N/A</v>
          </cell>
          <cell r="G53">
            <v>0</v>
          </cell>
          <cell r="H53" t="e">
            <v>#N/A</v>
          </cell>
          <cell r="I53">
            <v>0</v>
          </cell>
          <cell r="J53">
            <v>0</v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>
            <v>0</v>
          </cell>
          <cell r="R53">
            <v>0</v>
          </cell>
          <cell r="S53">
            <v>0</v>
          </cell>
        </row>
        <row r="54">
          <cell r="C54" t="str">
            <v/>
          </cell>
          <cell r="E54" t="str">
            <v>TODAS LAS CANTERAS</v>
          </cell>
          <cell r="G54" t="str">
            <v>TODOS LOS MATERIALES</v>
          </cell>
          <cell r="I54">
            <v>467743.35499999969</v>
          </cell>
          <cell r="J54">
            <v>203.53625709979394</v>
          </cell>
          <cell r="L54">
            <v>203.93099317519986</v>
          </cell>
          <cell r="M54" t="str">
            <v>N.D</v>
          </cell>
          <cell r="N54" t="str">
            <v>N.D</v>
          </cell>
          <cell r="O54" t="str">
            <v>N.D.</v>
          </cell>
          <cell r="P54">
            <v>203.72644732580611</v>
          </cell>
          <cell r="Q54">
            <v>-1.0030150209586752E-3</v>
          </cell>
          <cell r="R54">
            <v>-0.20454584939375309</v>
          </cell>
        </row>
      </sheetData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mplate Resumen"/>
      <sheetName val="Analisis Estadistico"/>
      <sheetName val="TRABAJO"/>
      <sheetName val="CONSOLIDADO"/>
      <sheetName val="SINERGIA"/>
    </sheetNames>
    <sheetDataSet>
      <sheetData sheetId="0" refreshError="1"/>
      <sheetData sheetId="1" refreshError="1"/>
      <sheetData sheetId="2" refreshError="1">
        <row r="1">
          <cell r="O1">
            <v>0</v>
          </cell>
          <cell r="Q1">
            <v>0</v>
          </cell>
          <cell r="R1">
            <v>0</v>
          </cell>
          <cell r="S1">
            <v>0</v>
          </cell>
        </row>
        <row r="2">
          <cell r="I2" t="str">
            <v>Filial Jul'25</v>
          </cell>
          <cell r="K2" t="str">
            <v>Cliente de Referencia</v>
          </cell>
          <cell r="P2" t="str">
            <v>Precio Referencia</v>
          </cell>
        </row>
        <row r="3">
          <cell r="C3" t="str">
            <v>llave</v>
          </cell>
          <cell r="D3" t="str">
            <v>UO</v>
          </cell>
          <cell r="E3" t="str">
            <v>Cantera</v>
          </cell>
          <cell r="F3" t="str">
            <v>Material</v>
          </cell>
          <cell r="G3" t="str">
            <v>Material</v>
          </cell>
          <cell r="H3" t="str">
            <v>Material</v>
          </cell>
          <cell r="I3" t="str">
            <v>Vol Filial</v>
          </cell>
          <cell r="J3" t="str">
            <v xml:space="preserve">$ Filial </v>
          </cell>
          <cell r="K3" t="str">
            <v>Cliente Ref MA</v>
          </cell>
          <cell r="L3" t="str">
            <v>$ Ref MA</v>
          </cell>
          <cell r="M3" t="str">
            <v>Cliente</v>
          </cell>
          <cell r="N3" t="str">
            <v>Vol. Cliente</v>
          </cell>
          <cell r="O3" t="str">
            <v>% filial</v>
          </cell>
          <cell r="P3" t="str">
            <v>$ Ref Ago'25</v>
          </cell>
          <cell r="Q3" t="str">
            <v>% Var vs MA</v>
          </cell>
          <cell r="R3" t="str">
            <v>Dif vs MA</v>
          </cell>
          <cell r="S3" t="str">
            <v>Orden de Mag.</v>
          </cell>
        </row>
        <row r="4">
          <cell r="C4" t="str">
            <v>D86410001073</v>
          </cell>
          <cell r="D4" t="str">
            <v>D864</v>
          </cell>
          <cell r="E4" t="str">
            <v>MX-CANTERA CERRO JARDIN</v>
          </cell>
          <cell r="F4">
            <v>10001073</v>
          </cell>
          <cell r="G4" t="str">
            <v>Arena Triturada Caliza Malla 4</v>
          </cell>
          <cell r="H4">
            <v>10001073</v>
          </cell>
          <cell r="I4">
            <v>11950.330000000004</v>
          </cell>
          <cell r="J4">
            <v>87.571969979071667</v>
          </cell>
          <cell r="K4" t="str">
            <v>CEMENTOS MOCTEZUMA</v>
          </cell>
          <cell r="L4">
            <v>87.5</v>
          </cell>
          <cell r="M4" t="str">
            <v>CEMENTOS MOCTEZUMA</v>
          </cell>
          <cell r="N4">
            <v>9969.880000000001</v>
          </cell>
          <cell r="O4">
            <v>0.83427654299086285</v>
          </cell>
          <cell r="P4">
            <v>87.5</v>
          </cell>
          <cell r="Q4">
            <v>0</v>
          </cell>
          <cell r="R4">
            <v>0</v>
          </cell>
          <cell r="S4">
            <v>0</v>
          </cell>
        </row>
        <row r="5">
          <cell r="C5" t="str">
            <v>D86410000236</v>
          </cell>
          <cell r="D5" t="str">
            <v>D864</v>
          </cell>
          <cell r="E5" t="str">
            <v>MX-CANTERA CERRO JARDIN</v>
          </cell>
          <cell r="F5">
            <v>10000236</v>
          </cell>
          <cell r="G5" t="str">
            <v>Grava Triturada Caliza 10 mm - 3/8"</v>
          </cell>
          <cell r="H5">
            <v>10000236</v>
          </cell>
          <cell r="I5">
            <v>5954.8799999999983</v>
          </cell>
          <cell r="J5">
            <v>119.99999999999997</v>
          </cell>
          <cell r="K5" t="str">
            <v>CONCRETOS TPM-FORTALEZA</v>
          </cell>
          <cell r="L5">
            <v>120</v>
          </cell>
          <cell r="M5" t="str">
            <v>CONCRETOS TPM-FORTALEZA</v>
          </cell>
          <cell r="N5">
            <v>2177.4199999999996</v>
          </cell>
          <cell r="O5">
            <v>0.36565304422591222</v>
          </cell>
          <cell r="P5">
            <v>120</v>
          </cell>
          <cell r="Q5">
            <v>0</v>
          </cell>
          <cell r="R5">
            <v>0</v>
          </cell>
          <cell r="S5">
            <v>0</v>
          </cell>
        </row>
        <row r="6">
          <cell r="C6" t="str">
            <v>D86410000240</v>
          </cell>
          <cell r="D6" t="str">
            <v>D864</v>
          </cell>
          <cell r="E6" t="str">
            <v>MX-CANTERA CERRO JARDIN</v>
          </cell>
          <cell r="F6">
            <v>10000240</v>
          </cell>
          <cell r="G6" t="str">
            <v>Grava Triturada Caliza 20 mm - 3/4"</v>
          </cell>
          <cell r="H6">
            <v>10000240</v>
          </cell>
          <cell r="I6">
            <v>34666.049999999967</v>
          </cell>
          <cell r="J6">
            <v>126.83887146069416</v>
          </cell>
          <cell r="K6" t="str">
            <v>CONCRETOS TPM-FORTALEZA</v>
          </cell>
          <cell r="L6">
            <v>127</v>
          </cell>
          <cell r="M6" t="str">
            <v>CONCRETOS TPM-FORTALEZA</v>
          </cell>
          <cell r="N6">
            <v>14587.83</v>
          </cell>
          <cell r="O6">
            <v>0.42081027402891341</v>
          </cell>
          <cell r="P6">
            <v>127</v>
          </cell>
          <cell r="Q6">
            <v>0</v>
          </cell>
          <cell r="R6">
            <v>0</v>
          </cell>
          <cell r="S6">
            <v>0</v>
          </cell>
        </row>
        <row r="7">
          <cell r="C7" t="str">
            <v>D86410001074</v>
          </cell>
          <cell r="D7" t="str">
            <v>D864</v>
          </cell>
          <cell r="E7" t="str">
            <v>MX-CANTERA CERRO JARDIN</v>
          </cell>
          <cell r="F7">
            <v>10001074</v>
          </cell>
          <cell r="G7" t="str">
            <v>Grava Triturada Caliza 40 mm - 1 1/2"</v>
          </cell>
          <cell r="H7">
            <v>10001074</v>
          </cell>
          <cell r="I7">
            <v>7566.8300000000017</v>
          </cell>
          <cell r="J7">
            <v>136.7553916237049</v>
          </cell>
          <cell r="K7" t="str">
            <v>CEMENTOS MOCTEZUMA</v>
          </cell>
          <cell r="L7">
            <v>137</v>
          </cell>
          <cell r="M7" t="str">
            <v>CEMENTOS MOCTEZUMA</v>
          </cell>
          <cell r="N7">
            <v>746.81</v>
          </cell>
          <cell r="O7">
            <v>9.8695226402601852E-2</v>
          </cell>
          <cell r="P7">
            <v>137</v>
          </cell>
          <cell r="Q7">
            <v>0</v>
          </cell>
          <cell r="R7">
            <v>0</v>
          </cell>
          <cell r="S7">
            <v>0</v>
          </cell>
        </row>
        <row r="8">
          <cell r="C8" t="str">
            <v>D86110000229</v>
          </cell>
          <cell r="D8" t="str">
            <v>D861</v>
          </cell>
          <cell r="E8" t="str">
            <v>MX-CANTERA QUERETARO</v>
          </cell>
          <cell r="F8">
            <v>10000229</v>
          </cell>
          <cell r="G8" t="str">
            <v>Grava Triturada Basalto  10 mm - 3/8"</v>
          </cell>
          <cell r="H8">
            <v>10000229</v>
          </cell>
          <cell r="I8">
            <v>1953.6299999999992</v>
          </cell>
          <cell r="J8">
            <v>239.77000762682823</v>
          </cell>
          <cell r="K8" t="str">
            <v>CEMENTOS MOCTEZUMA</v>
          </cell>
          <cell r="L8">
            <v>239.76995327102802</v>
          </cell>
          <cell r="M8" t="str">
            <v>900006111 SF TC- ANA REBECA</v>
          </cell>
          <cell r="N8" t="str">
            <v/>
          </cell>
          <cell r="O8" t="str">
            <v/>
          </cell>
          <cell r="P8">
            <v>216</v>
          </cell>
          <cell r="Q8">
            <v>-9.9136497074590713E-2</v>
          </cell>
          <cell r="R8">
            <v>-23.769953271028015</v>
          </cell>
          <cell r="S8">
            <v>-46437.693808878445</v>
          </cell>
        </row>
        <row r="9">
          <cell r="C9" t="str">
            <v>D86110000231</v>
          </cell>
          <cell r="D9" t="str">
            <v>D861</v>
          </cell>
          <cell r="E9" t="str">
            <v>MX-CANTERA QUERETARO</v>
          </cell>
          <cell r="F9">
            <v>10000231</v>
          </cell>
          <cell r="G9" t="str">
            <v>Grava Triturada Basalto  20 mm - 3/4"</v>
          </cell>
          <cell r="H9">
            <v>10000231</v>
          </cell>
          <cell r="I9">
            <v>19212.739999999994</v>
          </cell>
          <cell r="J9">
            <v>216.78730831729399</v>
          </cell>
          <cell r="K9" t="str">
            <v>CEMENTOS MOCTEZUMA</v>
          </cell>
          <cell r="L9">
            <v>215.98000536452918</v>
          </cell>
          <cell r="M9" t="str">
            <v>CEMENTOS MOCTEZUMA</v>
          </cell>
          <cell r="N9">
            <v>2774.8</v>
          </cell>
          <cell r="O9">
            <v>0.14442500132724437</v>
          </cell>
          <cell r="P9">
            <v>215.98000216231802</v>
          </cell>
          <cell r="Q9">
            <v>-1.482642408845436E-8</v>
          </cell>
          <cell r="R9">
            <v>-3.2022111611240689E-6</v>
          </cell>
          <cell r="S9">
            <v>-6.1523250463774826E-2</v>
          </cell>
        </row>
        <row r="10">
          <cell r="C10" t="str">
            <v>D86110000233</v>
          </cell>
          <cell r="D10" t="str">
            <v>D861</v>
          </cell>
          <cell r="E10" t="str">
            <v>MX-CANTERA QUERETARO</v>
          </cell>
          <cell r="F10">
            <v>10000233</v>
          </cell>
          <cell r="G10" t="str">
            <v>Grava Triturada Basalto  40 mm - 1 1/2"</v>
          </cell>
          <cell r="H10">
            <v>10000233</v>
          </cell>
          <cell r="I10">
            <v>3290.5600000000004</v>
          </cell>
          <cell r="J10">
            <v>216.57126750461924</v>
          </cell>
          <cell r="K10" t="str">
            <v>CEMENTOS MOCTEZUMA</v>
          </cell>
          <cell r="L10">
            <v>215.98000515331103</v>
          </cell>
          <cell r="M10" t="str">
            <v xml:space="preserve">900006110 SF TC-LA CAÑADA FILIAL </v>
          </cell>
          <cell r="N10" t="str">
            <v/>
          </cell>
          <cell r="O10" t="str">
            <v/>
          </cell>
          <cell r="P10">
            <v>178</v>
          </cell>
          <cell r="Q10">
            <v>-0.17584963536949327</v>
          </cell>
          <cell r="R10">
            <v>-37.980005153311026</v>
          </cell>
          <cell r="S10">
            <v>-124975.48575727915</v>
          </cell>
        </row>
        <row r="11">
          <cell r="C11" t="str">
            <v>D86110066861</v>
          </cell>
          <cell r="D11" t="str">
            <v>D861</v>
          </cell>
          <cell r="E11" t="str">
            <v>MX-CANTERA QUERETARO</v>
          </cell>
          <cell r="F11">
            <v>10066861</v>
          </cell>
          <cell r="G11" t="str">
            <v>Grava Triturada Basalto  40 mm - 1 1/2"</v>
          </cell>
          <cell r="H11">
            <v>10000233</v>
          </cell>
          <cell r="I11">
            <v>3290.5600000000004</v>
          </cell>
          <cell r="J11">
            <v>216.57126750461924</v>
          </cell>
          <cell r="K11" t="str">
            <v>CEMENTOS MOCTEZUMA</v>
          </cell>
          <cell r="L11">
            <v>215.98000515331103</v>
          </cell>
          <cell r="M11" t="str">
            <v xml:space="preserve">900006110 SF TC-LA CAÑADA FILIAL </v>
          </cell>
          <cell r="N11" t="str">
            <v/>
          </cell>
          <cell r="O11" t="str">
            <v/>
          </cell>
          <cell r="P11">
            <v>178</v>
          </cell>
          <cell r="Q11">
            <v>-0.17584963536949327</v>
          </cell>
          <cell r="R11">
            <v>-37.980005153311026</v>
          </cell>
          <cell r="S11">
            <v>-124975.48575727915</v>
          </cell>
        </row>
        <row r="12">
          <cell r="C12" t="str">
            <v>D81310000255</v>
          </cell>
          <cell r="D12" t="str">
            <v>D813</v>
          </cell>
          <cell r="E12" t="str">
            <v>MX-CANTERA SAN VICENTE</v>
          </cell>
          <cell r="F12">
            <v>10000255</v>
          </cell>
          <cell r="G12" t="str">
            <v>Arena Triturada Andesita Malla 4</v>
          </cell>
          <cell r="H12">
            <v>10000255</v>
          </cell>
          <cell r="I12">
            <v>66902.165000000008</v>
          </cell>
          <cell r="J12">
            <v>104.25033479858264</v>
          </cell>
          <cell r="K12" t="str">
            <v>CONCRETOS TPM-FORTALEZA</v>
          </cell>
          <cell r="L12">
            <v>104.1400023286091</v>
          </cell>
          <cell r="M12" t="str">
            <v>CONCRETOS TPM-FORTALEZA</v>
          </cell>
          <cell r="N12">
            <v>16190.130000000003</v>
          </cell>
          <cell r="O12">
            <v>0.24199710128962196</v>
          </cell>
          <cell r="P12">
            <v>104.1400056701213</v>
          </cell>
          <cell r="Q12">
            <v>3.208673060584033E-8</v>
          </cell>
          <cell r="R12">
            <v>3.3415121976076989E-6</v>
          </cell>
          <cell r="S12">
            <v>0.2235544003938629</v>
          </cell>
        </row>
        <row r="13">
          <cell r="C13" t="str">
            <v>D81310002350</v>
          </cell>
          <cell r="D13" t="str">
            <v>D813</v>
          </cell>
          <cell r="E13" t="str">
            <v>MX-CANTERA SAN VICENTE</v>
          </cell>
          <cell r="F13">
            <v>10002350</v>
          </cell>
          <cell r="G13" t="str">
            <v>Grava Triturada Andesita 10mm-3/8"</v>
          </cell>
          <cell r="H13">
            <v>10002350</v>
          </cell>
          <cell r="I13">
            <v>1328.8799999999999</v>
          </cell>
          <cell r="J13">
            <v>119.90732797543797</v>
          </cell>
          <cell r="K13" t="str">
            <v>CONCRETOS TPM-FORTALEZA</v>
          </cell>
          <cell r="L13">
            <v>120.48998739672314</v>
          </cell>
          <cell r="M13" t="str">
            <v>CONCRETOS TPM-FORTALEZA</v>
          </cell>
          <cell r="N13">
            <v>318.89999999999998</v>
          </cell>
          <cell r="O13">
            <v>0.23997652158208416</v>
          </cell>
          <cell r="P13">
            <v>120.49002822201319</v>
          </cell>
          <cell r="Q13">
            <v>3.388272415971727E-7</v>
          </cell>
          <cell r="R13">
            <v>4.0825290057000529E-5</v>
          </cell>
          <cell r="S13">
            <v>5.4251911450946856E-2</v>
          </cell>
        </row>
        <row r="14">
          <cell r="C14" t="str">
            <v>D81310000253</v>
          </cell>
          <cell r="D14" t="str">
            <v>D813</v>
          </cell>
          <cell r="E14" t="str">
            <v>MX-CANTERA SAN VICENTE</v>
          </cell>
          <cell r="F14">
            <v>10000253</v>
          </cell>
          <cell r="G14" t="str">
            <v>Grava Triturada Andesita 20 mm - 3/4"</v>
          </cell>
          <cell r="H14">
            <v>10000253</v>
          </cell>
          <cell r="I14">
            <v>13692.219999999994</v>
          </cell>
          <cell r="J14">
            <v>104.1229150568718</v>
          </cell>
          <cell r="K14" t="str">
            <v>CONCRETOS TPM-FORTALEZA</v>
          </cell>
          <cell r="L14">
            <v>103.90001813655175</v>
          </cell>
          <cell r="M14" t="str">
            <v>CONCRETOS TPM-FORTALEZA</v>
          </cell>
          <cell r="N14">
            <v>1605.43</v>
          </cell>
          <cell r="O14">
            <v>0.11725125655299147</v>
          </cell>
          <cell r="P14">
            <v>103.90000809751906</v>
          </cell>
          <cell r="Q14">
            <v>-9.6622049472472327E-8</v>
          </cell>
          <cell r="R14">
            <v>-1.0039032687814142E-5</v>
          </cell>
          <cell r="S14">
            <v>-0.13745664414874251</v>
          </cell>
        </row>
        <row r="15">
          <cell r="C15" t="str">
            <v>D87310001073</v>
          </cell>
          <cell r="D15" t="str">
            <v>D873</v>
          </cell>
          <cell r="E15" t="str">
            <v>MX-VIRTUAL VALLEJO</v>
          </cell>
          <cell r="F15">
            <v>10001073</v>
          </cell>
          <cell r="G15" t="str">
            <v>Arena Triturada Caliza Malla 4</v>
          </cell>
          <cell r="H15">
            <v>10001073</v>
          </cell>
          <cell r="I15">
            <v>6785.0799999999981</v>
          </cell>
          <cell r="J15">
            <v>198.623355951588</v>
          </cell>
          <cell r="K15" t="str">
            <v>Vallejo Material + Inc en Precio C.Jardin (May'25) + Flete FFCC (nov24)</v>
          </cell>
          <cell r="L15">
            <v>197.8</v>
          </cell>
          <cell r="M15" t="str">
            <v>Vallejo Material + Inc en Precio C.Jardin (May'25) + Flete FFCC (nov24)</v>
          </cell>
          <cell r="N15" t="str">
            <v/>
          </cell>
          <cell r="O15" t="str">
            <v/>
          </cell>
          <cell r="P15">
            <v>197.8</v>
          </cell>
          <cell r="Q15">
            <v>0</v>
          </cell>
          <cell r="R15">
            <v>0</v>
          </cell>
          <cell r="S15">
            <v>0</v>
          </cell>
        </row>
        <row r="16">
          <cell r="C16" t="str">
            <v>D87310000240</v>
          </cell>
          <cell r="D16" t="str">
            <v>D873</v>
          </cell>
          <cell r="E16" t="str">
            <v>MX-VIRTUAL VALLEJO</v>
          </cell>
          <cell r="F16">
            <v>10000240</v>
          </cell>
          <cell r="G16" t="str">
            <v>Grava Triturada Caliza 20 mm - 3/4"</v>
          </cell>
          <cell r="H16">
            <v>10000240</v>
          </cell>
          <cell r="I16">
            <v>23188.860000000019</v>
          </cell>
          <cell r="J16">
            <v>259.5938222060073</v>
          </cell>
          <cell r="K16" t="str">
            <v>Vallejo Material + Inc en Precio C.Jardin (May'25) + Flete FFCC (nov24)</v>
          </cell>
          <cell r="L16">
            <v>258.77</v>
          </cell>
          <cell r="M16" t="str">
            <v>Vallejo Material + Inc en Precio C.Jardin (May'25) + Flete FFCC (nov24)</v>
          </cell>
          <cell r="N16" t="str">
            <v/>
          </cell>
          <cell r="O16" t="str">
            <v/>
          </cell>
          <cell r="P16">
            <v>258.77</v>
          </cell>
          <cell r="Q16">
            <v>0</v>
          </cell>
          <cell r="R16">
            <v>0</v>
          </cell>
          <cell r="S16">
            <v>0</v>
          </cell>
        </row>
        <row r="17">
          <cell r="C17" t="str">
            <v>D82410000234</v>
          </cell>
          <cell r="D17" t="str">
            <v>D824</v>
          </cell>
          <cell r="E17" t="str">
            <v>MX-CANTERA LEON</v>
          </cell>
          <cell r="F17">
            <v>10000234</v>
          </cell>
          <cell r="G17" t="str">
            <v>Arena Triturada Basalto  Malla 4</v>
          </cell>
          <cell r="H17">
            <v>10000234</v>
          </cell>
          <cell r="I17">
            <v>1444.3999999999999</v>
          </cell>
          <cell r="J17">
            <v>158.75899335364167</v>
          </cell>
          <cell r="K17" t="str">
            <v>ARENAS Y GRAVAS DEL BAJIO</v>
          </cell>
          <cell r="L17">
            <v>158.99999999999997</v>
          </cell>
          <cell r="M17" t="str">
            <v>ARENAS Y GRAVAS DEL BAJIO</v>
          </cell>
          <cell r="N17">
            <v>4189.9200000000019</v>
          </cell>
          <cell r="O17">
            <v>2.900803101633898</v>
          </cell>
          <cell r="P17">
            <v>159</v>
          </cell>
          <cell r="Q17">
            <v>2.2204460492503131E-16</v>
          </cell>
          <cell r="R17">
            <v>2.8421709430404007E-14</v>
          </cell>
          <cell r="S17">
            <v>4.1052317101275544E-11</v>
          </cell>
        </row>
        <row r="18">
          <cell r="C18" t="str">
            <v>D82410000285</v>
          </cell>
          <cell r="D18" t="str">
            <v>D824</v>
          </cell>
          <cell r="E18" t="str">
            <v>MX-CANTERA LEON</v>
          </cell>
          <cell r="F18">
            <v>10000285</v>
          </cell>
          <cell r="G18" t="str">
            <v>Grava Triturada Basalto  10 mm - 3/8"</v>
          </cell>
          <cell r="H18">
            <v>10000285</v>
          </cell>
          <cell r="I18">
            <v>122.47</v>
          </cell>
          <cell r="J18">
            <v>175</v>
          </cell>
          <cell r="K18" t="str">
            <v>ARENAS Y GRAVAS DEL BAJIO</v>
          </cell>
          <cell r="L18">
            <v>175</v>
          </cell>
          <cell r="M18" t="str">
            <v>ARENAS Y GRAVAS DEL BAJIO</v>
          </cell>
          <cell r="N18">
            <v>184.49</v>
          </cell>
          <cell r="O18">
            <v>1.5064097329958357</v>
          </cell>
          <cell r="P18">
            <v>175</v>
          </cell>
          <cell r="Q18">
            <v>0</v>
          </cell>
          <cell r="R18">
            <v>0</v>
          </cell>
          <cell r="S18">
            <v>0</v>
          </cell>
        </row>
        <row r="19">
          <cell r="C19" t="str">
            <v>D82410000284</v>
          </cell>
          <cell r="D19" t="str">
            <v>D824</v>
          </cell>
          <cell r="E19" t="str">
            <v>MX-CANTERA LEON</v>
          </cell>
          <cell r="F19">
            <v>10000284</v>
          </cell>
          <cell r="G19" t="str">
            <v>Grava Triturada Basalto  20 mm - 3/4"</v>
          </cell>
          <cell r="H19">
            <v>10000284</v>
          </cell>
          <cell r="I19">
            <v>5056.71</v>
          </cell>
          <cell r="J19">
            <v>175.25604790466537</v>
          </cell>
          <cell r="K19" t="str">
            <v>ARENAS Y GRAVAS DEL BAJIO</v>
          </cell>
          <cell r="L19">
            <v>175</v>
          </cell>
          <cell r="M19" t="str">
            <v>ARENAS Y GRAVAS DEL BAJIO</v>
          </cell>
          <cell r="N19">
            <v>1452.7700000000004</v>
          </cell>
          <cell r="O19">
            <v>0.2872954945013656</v>
          </cell>
          <cell r="P19">
            <v>174.99999999999994</v>
          </cell>
          <cell r="Q19">
            <v>-3.3306690738754696E-16</v>
          </cell>
          <cell r="R19">
            <v>-5.6843418860808015E-14</v>
          </cell>
          <cell r="S19">
            <v>-2.874406845876365E-10</v>
          </cell>
        </row>
        <row r="20">
          <cell r="C20" t="str">
            <v>D82410000287</v>
          </cell>
          <cell r="D20" t="str">
            <v>D824</v>
          </cell>
          <cell r="E20" t="str">
            <v>MX-CANTERA LEON</v>
          </cell>
          <cell r="F20">
            <v>10000287</v>
          </cell>
          <cell r="G20" t="str">
            <v>Grava Triturada Basalto  40 mm - 1 1/2"</v>
          </cell>
          <cell r="H20">
            <v>10000287</v>
          </cell>
          <cell r="I20">
            <v>424.33999999999992</v>
          </cell>
          <cell r="J20">
            <v>175.00000000000003</v>
          </cell>
          <cell r="K20" t="str">
            <v>ARENAS Y GRAVAS DEL BAJIO</v>
          </cell>
          <cell r="L20">
            <v>175</v>
          </cell>
          <cell r="M20" t="str">
            <v xml:space="preserve">TRANSPORTES ALDAMA </v>
          </cell>
          <cell r="N20" t="str">
            <v/>
          </cell>
          <cell r="O20" t="str">
            <v/>
          </cell>
          <cell r="P20">
            <v>211.04</v>
          </cell>
          <cell r="Q20">
            <v>0.20594285714285721</v>
          </cell>
          <cell r="R20">
            <v>36.039999999999992</v>
          </cell>
          <cell r="S20">
            <v>15293.213599999994</v>
          </cell>
        </row>
        <row r="21">
          <cell r="C21" t="str">
            <v>D81610164169</v>
          </cell>
          <cell r="D21" t="str">
            <v>D816</v>
          </cell>
          <cell r="E21" t="str">
            <v>MX-CANTERA MONTERREY</v>
          </cell>
          <cell r="F21">
            <v>10164169</v>
          </cell>
          <cell r="G21" t="str">
            <v>Arena Triturada Caliza Malla 4</v>
          </cell>
          <cell r="H21">
            <v>10164169</v>
          </cell>
          <cell r="I21">
            <v>107072.93999999978</v>
          </cell>
          <cell r="J21">
            <v>274.4336773604997</v>
          </cell>
          <cell r="K21" t="str">
            <v>900000941 (ED) TC-ED-GIH</v>
          </cell>
          <cell r="L21">
            <v>273.5</v>
          </cell>
          <cell r="M21" t="str">
            <v>900000941 (ED) TC-ED-GIH</v>
          </cell>
          <cell r="N21" t="str">
            <v/>
          </cell>
          <cell r="O21" t="str">
            <v/>
          </cell>
          <cell r="P21">
            <v>273.5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>D81610000260</v>
          </cell>
          <cell r="D22" t="str">
            <v>D816</v>
          </cell>
          <cell r="E22" t="str">
            <v>MX-CANTERA MONTERREY</v>
          </cell>
          <cell r="F22">
            <v>10000260</v>
          </cell>
          <cell r="G22" t="str">
            <v>Arena Triturada Caliza Malla 5</v>
          </cell>
          <cell r="H22">
            <v>10000260</v>
          </cell>
          <cell r="I22">
            <v>451.82999999999993</v>
          </cell>
          <cell r="J22">
            <v>445.61740034968909</v>
          </cell>
          <cell r="K22" t="str">
            <v>CONSTRUCTORA COEXSA</v>
          </cell>
          <cell r="L22">
            <v>395.87464461101058</v>
          </cell>
          <cell r="M22" t="str">
            <v>OPTICRETOS</v>
          </cell>
          <cell r="N22">
            <v>62.269999999999996</v>
          </cell>
          <cell r="O22">
            <v>0.13781732067370472</v>
          </cell>
          <cell r="P22">
            <v>379.08993094588089</v>
          </cell>
          <cell r="Q22">
            <v>-4.2399062161767032E-2</v>
          </cell>
          <cell r="R22">
            <v>-16.784713665129686</v>
          </cell>
          <cell r="S22">
            <v>-7583.8371753155452</v>
          </cell>
        </row>
        <row r="23">
          <cell r="C23" t="str">
            <v>D81610000237</v>
          </cell>
          <cell r="D23" t="str">
            <v>D816</v>
          </cell>
          <cell r="E23" t="str">
            <v>MX-CANTERA MONTERREY</v>
          </cell>
          <cell r="F23">
            <v>10000237</v>
          </cell>
          <cell r="G23" t="str">
            <v>Grava Triturada Caliza 10 mm - 3/8"</v>
          </cell>
          <cell r="H23">
            <v>10000237</v>
          </cell>
          <cell r="I23">
            <v>2503.7099999999996</v>
          </cell>
          <cell r="J23">
            <v>282.60001357984754</v>
          </cell>
          <cell r="K23" t="str">
            <v>900000941 (ED) TC-ED-GIH</v>
          </cell>
          <cell r="L23">
            <v>282.60000000000002</v>
          </cell>
          <cell r="M23" t="str">
            <v>900000941 (ED) TC-ED-GIH</v>
          </cell>
          <cell r="N23">
            <v>371.76</v>
          </cell>
          <cell r="O23">
            <v>0.14848365026300972</v>
          </cell>
          <cell r="P23">
            <v>282.60000000000002</v>
          </cell>
          <cell r="Q23">
            <v>0</v>
          </cell>
          <cell r="R23">
            <v>0</v>
          </cell>
          <cell r="S23">
            <v>0</v>
          </cell>
        </row>
        <row r="24">
          <cell r="C24" t="str">
            <v>D81610000241</v>
          </cell>
          <cell r="D24" t="str">
            <v>D816</v>
          </cell>
          <cell r="E24" t="str">
            <v>MX-CANTERA MONTERREY</v>
          </cell>
          <cell r="F24">
            <v>10000241</v>
          </cell>
          <cell r="G24" t="str">
            <v>Grava Triturada Caliza 20 mm - 3/4"</v>
          </cell>
          <cell r="H24">
            <v>10000241</v>
          </cell>
          <cell r="I24">
            <v>49009.729999999916</v>
          </cell>
          <cell r="J24">
            <v>273.63509082788295</v>
          </cell>
          <cell r="K24" t="str">
            <v>900000941 (ED) TC-ED-GIH</v>
          </cell>
          <cell r="L24">
            <v>273.5</v>
          </cell>
          <cell r="M24" t="str">
            <v>900000941 (ED) TC-ED-GIH</v>
          </cell>
          <cell r="N24" t="str">
            <v/>
          </cell>
          <cell r="O24" t="str">
            <v/>
          </cell>
          <cell r="P24">
            <v>273.5</v>
          </cell>
          <cell r="Q24">
            <v>0</v>
          </cell>
          <cell r="R24">
            <v>0</v>
          </cell>
          <cell r="S24">
            <v>0</v>
          </cell>
        </row>
        <row r="25">
          <cell r="C25" t="str">
            <v>D86310038952</v>
          </cell>
          <cell r="D25" t="str">
            <v>D863</v>
          </cell>
          <cell r="E25" t="str">
            <v>MX-CANTERA TAMUIN</v>
          </cell>
          <cell r="F25">
            <v>10038952</v>
          </cell>
          <cell r="G25" t="str">
            <v>Arena Triturada Caliza Malla 4</v>
          </cell>
          <cell r="H25">
            <v>10038952</v>
          </cell>
          <cell r="I25">
            <v>8904.9699999999993</v>
          </cell>
          <cell r="J25">
            <v>154.20745156917988</v>
          </cell>
          <cell r="K25" t="str">
            <v>CONCRETOS TANCOL</v>
          </cell>
          <cell r="L25">
            <v>153.87993600677908</v>
          </cell>
          <cell r="M25" t="str">
            <v>CONCRETOS TANCOL</v>
          </cell>
          <cell r="N25">
            <v>4488.7799999999988</v>
          </cell>
          <cell r="O25">
            <v>0.50407581384328071</v>
          </cell>
          <cell r="P25">
            <v>153.87994510757937</v>
          </cell>
          <cell r="Q25">
            <v>5.914221534730757E-8</v>
          </cell>
          <cell r="R25">
            <v>9.1008002982562175E-6</v>
          </cell>
          <cell r="S25">
            <v>8.104235363196266E-2</v>
          </cell>
        </row>
        <row r="26">
          <cell r="C26" t="str">
            <v>D86310038949</v>
          </cell>
          <cell r="D26" t="str">
            <v>D863</v>
          </cell>
          <cell r="E26" t="str">
            <v>MX-CANTERA TAMUIN</v>
          </cell>
          <cell r="F26">
            <v>10038949</v>
          </cell>
          <cell r="G26" t="str">
            <v>Grava Triturada Caliza 10 mm - 3/8"</v>
          </cell>
          <cell r="H26">
            <v>10038949</v>
          </cell>
          <cell r="I26">
            <v>303.35999999999996</v>
          </cell>
          <cell r="J26">
            <v>175.42098496835445</v>
          </cell>
          <cell r="K26" t="str">
            <v>CONCRETOS HUASTECA</v>
          </cell>
          <cell r="L26">
            <v>170</v>
          </cell>
          <cell r="M26" t="str">
            <v>CONCRETOS HUASTECA</v>
          </cell>
          <cell r="N26">
            <v>101.11</v>
          </cell>
          <cell r="O26">
            <v>0.3333003691983123</v>
          </cell>
          <cell r="P26">
            <v>169.99999999999997</v>
          </cell>
          <cell r="Q26">
            <v>-2.2204460492503131E-16</v>
          </cell>
          <cell r="R26">
            <v>-2.8421709430404007E-14</v>
          </cell>
          <cell r="S26">
            <v>-8.6220097728073585E-12</v>
          </cell>
        </row>
        <row r="27">
          <cell r="C27" t="str">
            <v>D86310038950</v>
          </cell>
          <cell r="D27" t="str">
            <v>D863</v>
          </cell>
          <cell r="E27" t="str">
            <v>MX-CANTERA TAMUIN</v>
          </cell>
          <cell r="F27">
            <v>10038950</v>
          </cell>
          <cell r="G27" t="str">
            <v>Grava Triturada Caliza 20 mm - 3/4"</v>
          </cell>
          <cell r="H27">
            <v>10038950</v>
          </cell>
          <cell r="I27">
            <v>2950.4100000000012</v>
          </cell>
          <cell r="J27">
            <v>154.83377903410013</v>
          </cell>
          <cell r="K27" t="str">
            <v>CONCRETOS TANCOL</v>
          </cell>
          <cell r="L27">
            <v>153.8799855295288</v>
          </cell>
          <cell r="M27" t="str">
            <v xml:space="preserve">CONCRETOS HUASTECA </v>
          </cell>
          <cell r="N27">
            <v>600.16000000000008</v>
          </cell>
          <cell r="O27">
            <v>0.20341579644862912</v>
          </cell>
          <cell r="P27">
            <v>141.29000599840037</v>
          </cell>
          <cell r="Q27">
            <v>-8.1816874935385697E-2</v>
          </cell>
          <cell r="R27">
            <v>-12.589979531128421</v>
          </cell>
          <cell r="S27">
            <v>-37145.601508436623</v>
          </cell>
        </row>
        <row r="28">
          <cell r="C28" t="str">
            <v>D86310049672</v>
          </cell>
          <cell r="D28" t="str">
            <v>D863</v>
          </cell>
          <cell r="E28" t="str">
            <v>MX-CANTERA TAMUIN</v>
          </cell>
          <cell r="F28">
            <v>10049672</v>
          </cell>
          <cell r="G28" t="str">
            <v>Grava Triturada Caliza 40 mm - 1 1/2"</v>
          </cell>
          <cell r="H28">
            <v>10049672</v>
          </cell>
          <cell r="I28">
            <v>820.86000000000013</v>
          </cell>
          <cell r="J28">
            <v>101.11647540384472</v>
          </cell>
          <cell r="K28" t="str">
            <v>900005511TC-ED CONSTRUCARGO</v>
          </cell>
          <cell r="L28">
            <v>105</v>
          </cell>
          <cell r="M28" t="str">
            <v>900005511TC-ED CONSTRUCARGO</v>
          </cell>
          <cell r="N28" t="str">
            <v/>
          </cell>
          <cell r="O28" t="str">
            <v/>
          </cell>
          <cell r="P28">
            <v>160</v>
          </cell>
          <cell r="Q28">
            <v>0.52380952380952372</v>
          </cell>
          <cell r="R28">
            <v>55</v>
          </cell>
          <cell r="S28">
            <v>45147.30000000001</v>
          </cell>
        </row>
        <row r="29">
          <cell r="C29" t="str">
            <v>D85210038942</v>
          </cell>
          <cell r="D29" t="str">
            <v>D852</v>
          </cell>
          <cell r="E29" t="str">
            <v>MX-CANTERA TORREON II</v>
          </cell>
          <cell r="F29">
            <v>10038942</v>
          </cell>
          <cell r="G29" t="str">
            <v>Arena Triturada Caliza Malla 8</v>
          </cell>
          <cell r="H29">
            <v>10038942</v>
          </cell>
          <cell r="I29">
            <v>13298.269999999999</v>
          </cell>
          <cell r="J29">
            <v>127.30653912125413</v>
          </cell>
          <cell r="K29" t="str">
            <v>CONCRETOS RICASA</v>
          </cell>
          <cell r="L29">
            <v>127.3344195259089</v>
          </cell>
          <cell r="M29" t="str">
            <v>CONCRETOS RICASA</v>
          </cell>
          <cell r="N29">
            <v>6061.6900000000023</v>
          </cell>
          <cell r="O29">
            <v>0.45582545699553423</v>
          </cell>
          <cell r="P29">
            <v>126.49998102839304</v>
          </cell>
          <cell r="Q29">
            <v>-6.5531260174793715E-3</v>
          </cell>
          <cell r="R29">
            <v>-0.83443849751586185</v>
          </cell>
          <cell r="S29">
            <v>-11096.588438360259</v>
          </cell>
        </row>
        <row r="30">
          <cell r="C30" t="str">
            <v>D85210038947</v>
          </cell>
          <cell r="D30" t="str">
            <v>D852</v>
          </cell>
          <cell r="E30" t="str">
            <v>MX-CANTERA TORREON II</v>
          </cell>
          <cell r="F30">
            <v>10038947</v>
          </cell>
          <cell r="G30" t="str">
            <v>Grava Triturada Caliza 10 mm - 3/8"</v>
          </cell>
          <cell r="H30">
            <v>10038947</v>
          </cell>
          <cell r="I30">
            <v>579.16000000000008</v>
          </cell>
          <cell r="J30">
            <v>110.89999309344566</v>
          </cell>
          <cell r="K30" t="str">
            <v>900000009 TC-TRITURADOS CRIBISSA</v>
          </cell>
          <cell r="L30">
            <v>110.9</v>
          </cell>
          <cell r="M30" t="str">
            <v>900000009 TC-TRITURADOS CRIBISSA</v>
          </cell>
          <cell r="N30" t="str">
            <v/>
          </cell>
          <cell r="O30" t="str">
            <v/>
          </cell>
          <cell r="P30">
            <v>111</v>
          </cell>
          <cell r="Q30">
            <v>9.0171325518473289E-4</v>
          </cell>
          <cell r="R30">
            <v>9.9999999999994316E-2</v>
          </cell>
          <cell r="S30">
            <v>57.915999999996714</v>
          </cell>
        </row>
        <row r="31">
          <cell r="C31" t="str">
            <v>D85210038945</v>
          </cell>
          <cell r="D31" t="str">
            <v>D852</v>
          </cell>
          <cell r="E31" t="str">
            <v>MX-CANTERA TORREON II</v>
          </cell>
          <cell r="F31">
            <v>10038945</v>
          </cell>
          <cell r="G31" t="str">
            <v>Grava Triturada Caliza 20 mm - 3/4"</v>
          </cell>
          <cell r="H31">
            <v>10038945</v>
          </cell>
          <cell r="I31">
            <v>5907.66</v>
          </cell>
          <cell r="J31">
            <v>133.79361710051015</v>
          </cell>
          <cell r="K31" t="str">
            <v>COPLASA</v>
          </cell>
          <cell r="L31">
            <v>134.40000692517771</v>
          </cell>
          <cell r="M31" t="str">
            <v>COPLASA</v>
          </cell>
          <cell r="N31">
            <v>1801.0300000000004</v>
          </cell>
          <cell r="O31">
            <v>0.30486351618068752</v>
          </cell>
          <cell r="P31">
            <v>134.3999877847676</v>
          </cell>
          <cell r="Q31">
            <v>-1.4241375834167513E-7</v>
          </cell>
          <cell r="R31">
            <v>-1.9140410103091199E-5</v>
          </cell>
          <cell r="S31">
            <v>-0.11307503514962775</v>
          </cell>
        </row>
        <row r="32">
          <cell r="C32" t="str">
            <v>D85210038659</v>
          </cell>
          <cell r="D32" t="str">
            <v>D852</v>
          </cell>
          <cell r="E32" t="str">
            <v>MX-CANTERA TORREON II</v>
          </cell>
          <cell r="F32">
            <v>10038659</v>
          </cell>
          <cell r="G32" t="str">
            <v>Grava Triturada Caliza 40 mm - 1 1/2"</v>
          </cell>
          <cell r="H32">
            <v>10038659</v>
          </cell>
          <cell r="I32">
            <v>4286.2899999999981</v>
          </cell>
          <cell r="J32">
            <v>113.65378450828112</v>
          </cell>
          <cell r="K32" t="str">
            <v>900000009 TC-TRITURADOS CRIBISSA</v>
          </cell>
          <cell r="L32">
            <v>114</v>
          </cell>
          <cell r="M32" t="str">
            <v>900000009 TC-TRITURADOS CRIBISSA</v>
          </cell>
          <cell r="N32" t="str">
            <v/>
          </cell>
          <cell r="O32" t="str">
            <v/>
          </cell>
          <cell r="P32">
            <v>114</v>
          </cell>
          <cell r="Q32">
            <v>0</v>
          </cell>
          <cell r="R32">
            <v>0</v>
          </cell>
          <cell r="S32">
            <v>0</v>
          </cell>
        </row>
        <row r="33">
          <cell r="C33" t="str">
            <v>D86610000266</v>
          </cell>
          <cell r="D33" t="str">
            <v>D866</v>
          </cell>
          <cell r="E33" t="str">
            <v>MX-CANTERA PONCITLAN</v>
          </cell>
          <cell r="F33">
            <v>10000266</v>
          </cell>
          <cell r="G33" t="str">
            <v>Arena Triturada Basalto Malla 5</v>
          </cell>
          <cell r="H33">
            <v>10000266</v>
          </cell>
          <cell r="I33">
            <v>19001.649999999994</v>
          </cell>
          <cell r="J33">
            <v>199.23724518660242</v>
          </cell>
          <cell r="K33" t="str">
            <v>CEMENTOS MOCTEZUMA</v>
          </cell>
          <cell r="L33">
            <v>198.9500006484665</v>
          </cell>
          <cell r="M33" t="str">
            <v>CEMENTOS MOCTEZUMA</v>
          </cell>
          <cell r="N33">
            <v>3242.7400000000002</v>
          </cell>
          <cell r="O33">
            <v>0.17065570621498666</v>
          </cell>
          <cell r="P33">
            <v>198.94999290723271</v>
          </cell>
          <cell r="Q33">
            <v>-3.8910448640905315E-8</v>
          </cell>
          <cell r="R33">
            <v>-7.7412337873283832E-6</v>
          </cell>
          <cell r="S33">
            <v>-0.14709621499498832</v>
          </cell>
        </row>
        <row r="34">
          <cell r="C34" t="str">
            <v>D86610000293</v>
          </cell>
          <cell r="D34" t="str">
            <v>D866</v>
          </cell>
          <cell r="E34" t="str">
            <v>MX-CANTERA PONCITLAN</v>
          </cell>
          <cell r="F34">
            <v>10000293</v>
          </cell>
          <cell r="G34" t="str">
            <v>Grava Triturada Basalto  10 mm - 3/8"</v>
          </cell>
          <cell r="H34">
            <v>10000293</v>
          </cell>
          <cell r="I34">
            <v>3166.1200000000003</v>
          </cell>
          <cell r="J34">
            <v>257.19000227407656</v>
          </cell>
          <cell r="K34" t="str">
            <v>5M CONCRETOS</v>
          </cell>
          <cell r="L34">
            <v>257.24999566792007</v>
          </cell>
          <cell r="M34" t="str">
            <v>CAMINOS Y PLATAFORMAS</v>
          </cell>
          <cell r="N34">
            <v>523.12</v>
          </cell>
          <cell r="O34">
            <v>0.16522431240761562</v>
          </cell>
          <cell r="P34">
            <v>257.25003823214558</v>
          </cell>
          <cell r="Q34">
            <v>1.6545860526129275E-7</v>
          </cell>
          <cell r="R34">
            <v>4.2564225509522657E-5</v>
          </cell>
          <cell r="S34">
            <v>0.1347634456702099</v>
          </cell>
        </row>
        <row r="35">
          <cell r="C35" t="str">
            <v>D86610000274</v>
          </cell>
          <cell r="D35" t="str">
            <v>D866</v>
          </cell>
          <cell r="E35" t="str">
            <v>MX-CANTERA PONCITLAN</v>
          </cell>
          <cell r="F35">
            <v>10000274</v>
          </cell>
          <cell r="G35" t="str">
            <v>Grava Triturada Basalto  20 mm - 3/4"</v>
          </cell>
          <cell r="H35">
            <v>10000274</v>
          </cell>
          <cell r="I35">
            <v>18048.399999999994</v>
          </cell>
          <cell r="J35">
            <v>177.95096462844316</v>
          </cell>
          <cell r="K35" t="str">
            <v>CEMENTOS MOCTEZUMA</v>
          </cell>
          <cell r="L35">
            <v>177.48999869886299</v>
          </cell>
          <cell r="M35" t="str">
            <v>CEMENTOS MOCTEZUMA</v>
          </cell>
          <cell r="N35">
            <v>5665.1399999999985</v>
          </cell>
          <cell r="O35">
            <v>0.31388599543449835</v>
          </cell>
          <cell r="P35">
            <v>177.49000201230692</v>
          </cell>
          <cell r="Q35">
            <v>1.8668341539296307E-8</v>
          </cell>
          <cell r="R35">
            <v>3.3134439263449167E-6</v>
          </cell>
          <cell r="S35">
            <v>5.9802361360243576E-2</v>
          </cell>
        </row>
        <row r="36">
          <cell r="C36" t="str">
            <v>D89310051295</v>
          </cell>
          <cell r="D36" t="str">
            <v>D893</v>
          </cell>
          <cell r="E36" t="str">
            <v>MX-CANTERA TIJUANA II</v>
          </cell>
          <cell r="F36">
            <v>10051295</v>
          </cell>
          <cell r="G36" t="str">
            <v>Grava Triturada Basalto  10 mm - 3/8"</v>
          </cell>
          <cell r="H36">
            <v>10051295</v>
          </cell>
          <cell r="I36">
            <v>1068.6300000000001</v>
          </cell>
          <cell r="J36">
            <v>325.50003275221536</v>
          </cell>
          <cell r="K36" t="str">
            <v>DC CONCRETOS</v>
          </cell>
          <cell r="L36">
            <v>325.49993229166671</v>
          </cell>
          <cell r="M36" t="str">
            <v>DC CONCRETOS</v>
          </cell>
          <cell r="N36">
            <v>2896.3900000000003</v>
          </cell>
          <cell r="O36">
            <v>2.7103768376332313</v>
          </cell>
          <cell r="P36">
            <v>325.4999395799598</v>
          </cell>
          <cell r="Q36">
            <v>2.239107410595409E-8</v>
          </cell>
          <cell r="R36">
            <v>7.2882930908235721E-6</v>
          </cell>
          <cell r="S36">
            <v>7.7884886456467944E-3</v>
          </cell>
        </row>
        <row r="37">
          <cell r="C37" t="str">
            <v>D89310051293</v>
          </cell>
          <cell r="D37" t="str">
            <v>D893</v>
          </cell>
          <cell r="E37" t="str">
            <v>MX-CANTERA TIJUANA II</v>
          </cell>
          <cell r="F37">
            <v>10051293</v>
          </cell>
          <cell r="G37" t="str">
            <v>Grava Triturada Basalto  20 mm - 3/4"</v>
          </cell>
          <cell r="H37">
            <v>10051293</v>
          </cell>
          <cell r="I37">
            <v>9704.7700000000023</v>
          </cell>
          <cell r="J37">
            <v>235.70231958098972</v>
          </cell>
          <cell r="K37" t="str">
            <v>CRISOL CONSTRUCTORA</v>
          </cell>
          <cell r="L37">
            <v>235.19996282527887</v>
          </cell>
          <cell r="M37" t="str">
            <v>BC CONCRETOS Y SERVICIOS</v>
          </cell>
          <cell r="N37">
            <v>2695.099999999999</v>
          </cell>
          <cell r="O37">
            <v>0.27770879680816735</v>
          </cell>
          <cell r="P37">
            <v>232.92001038922496</v>
          </cell>
          <cell r="Q37">
            <v>-9.6936768555002661E-3</v>
          </cell>
          <cell r="R37">
            <v>-2.2799524360539181</v>
          </cell>
          <cell r="S37">
            <v>-22126.414002842987</v>
          </cell>
        </row>
        <row r="38">
          <cell r="C38" t="str">
            <v>D89310199160</v>
          </cell>
          <cell r="D38" t="str">
            <v>D893</v>
          </cell>
          <cell r="E38" t="str">
            <v>MX-CANTERA TIJUANA II</v>
          </cell>
          <cell r="F38">
            <v>10199160</v>
          </cell>
          <cell r="G38" t="str">
            <v>Grava Triturada Basalto  40 mm - 1 1/2"</v>
          </cell>
          <cell r="H38">
            <v>10199160</v>
          </cell>
          <cell r="I38">
            <v>2797.2300000000005</v>
          </cell>
          <cell r="J38">
            <v>228.09020709773574</v>
          </cell>
          <cell r="K38" t="str">
            <v>CONCRETOS T Y G</v>
          </cell>
          <cell r="L38">
            <v>229.36999132697309</v>
          </cell>
          <cell r="M38" t="str">
            <v>DC CONCRETOS</v>
          </cell>
          <cell r="N38">
            <v>775.05</v>
          </cell>
          <cell r="O38">
            <v>0.27707768041955788</v>
          </cell>
          <cell r="P38">
            <v>231.00000000000009</v>
          </cell>
          <cell r="Q38">
            <v>7.1064600194512551E-3</v>
          </cell>
          <cell r="R38">
            <v>1.6300086730269925</v>
          </cell>
          <cell r="S38">
            <v>4559.5091604512945</v>
          </cell>
        </row>
        <row r="39">
          <cell r="C39" t="str">
            <v>DU0710000101</v>
          </cell>
          <cell r="D39" t="str">
            <v>DU07</v>
          </cell>
          <cell r="E39" t="str">
            <v>MX-CANCÚN III</v>
          </cell>
          <cell r="F39">
            <v>10000101</v>
          </cell>
          <cell r="G39" t="str">
            <v>Arena Triturada Caliza Malla 4</v>
          </cell>
          <cell r="H39">
            <v>10000101</v>
          </cell>
          <cell r="I39">
            <v>16322.423000000004</v>
          </cell>
          <cell r="J39">
            <v>315.01625585858238</v>
          </cell>
          <cell r="K39" t="str">
            <v>900007778 SF TC-ALIANCO MAQAR</v>
          </cell>
          <cell r="L39">
            <v>310.10000000000002</v>
          </cell>
          <cell r="M39" t="str">
            <v>900007778 SF TC-ALIANCO MAQAR</v>
          </cell>
          <cell r="N39" t="str">
            <v/>
          </cell>
          <cell r="O39" t="str">
            <v/>
          </cell>
          <cell r="P39">
            <v>310.10000000000002</v>
          </cell>
          <cell r="Q39">
            <v>0</v>
          </cell>
          <cell r="R39">
            <v>0</v>
          </cell>
          <cell r="S39">
            <v>0</v>
          </cell>
        </row>
        <row r="40">
          <cell r="D40" t="str">
            <v>DU07</v>
          </cell>
          <cell r="E40" t="str">
            <v>MX-CANCÚN III</v>
          </cell>
          <cell r="F40">
            <v>10000112</v>
          </cell>
          <cell r="G40" t="str">
            <v>Grava Triturada Caliza 13 mm - 1/2"</v>
          </cell>
          <cell r="H40">
            <v>10000112</v>
          </cell>
          <cell r="I40">
            <v>3571.2540000000026</v>
          </cell>
          <cell r="J40">
            <v>254.25799173063533</v>
          </cell>
          <cell r="K40" t="str">
            <v>900002370 TC-MOSECA</v>
          </cell>
          <cell r="L40">
            <v>248</v>
          </cell>
          <cell r="M40" t="str">
            <v>900002370 TC-MOSECA</v>
          </cell>
          <cell r="N40" t="str">
            <v/>
          </cell>
          <cell r="O40" t="str">
            <v/>
          </cell>
          <cell r="P40">
            <v>248</v>
          </cell>
          <cell r="Q40">
            <v>0</v>
          </cell>
          <cell r="R40">
            <v>0</v>
          </cell>
          <cell r="S40">
            <v>0</v>
          </cell>
        </row>
        <row r="41">
          <cell r="D41" t="str">
            <v>DU07</v>
          </cell>
          <cell r="E41" t="str">
            <v>MX-CANCÚN III</v>
          </cell>
          <cell r="F41">
            <v>10000110</v>
          </cell>
          <cell r="G41" t="str">
            <v>Grava Triturada Caliza 20 mm - 3/4"</v>
          </cell>
          <cell r="H41">
            <v>10000110</v>
          </cell>
          <cell r="I41">
            <v>9223.6800000000039</v>
          </cell>
          <cell r="J41">
            <v>287.71166822786631</v>
          </cell>
          <cell r="K41" t="str">
            <v>UNDER CONCRETOS</v>
          </cell>
          <cell r="L41">
            <v>283.10005550929776</v>
          </cell>
          <cell r="M41" t="str">
            <v>UNDER CONCRETOS</v>
          </cell>
          <cell r="N41">
            <v>1801.4999999999991</v>
          </cell>
          <cell r="O41">
            <v>0.19531249999999981</v>
          </cell>
          <cell r="P41">
            <v>283.10003885650872</v>
          </cell>
          <cell r="Q41">
            <v>-5.8822980486539223E-8</v>
          </cell>
          <cell r="R41">
            <v>-1.6652789042836957E-5</v>
          </cell>
          <cell r="S41">
            <v>-0.15359999723863446</v>
          </cell>
        </row>
        <row r="44">
          <cell r="F44">
            <v>10001073</v>
          </cell>
          <cell r="G44" t="str">
            <v>Arena Triturada Caliza Malla 4</v>
          </cell>
          <cell r="H44">
            <v>10001073</v>
          </cell>
          <cell r="J44">
            <v>-111.05138597251633</v>
          </cell>
        </row>
        <row r="45">
          <cell r="F45">
            <v>10000240</v>
          </cell>
          <cell r="G45" t="str">
            <v>Grava Triturada Caliza 20 mm - 3/4"</v>
          </cell>
          <cell r="H45">
            <v>10000240</v>
          </cell>
          <cell r="J45">
            <v>-132.75495074531312</v>
          </cell>
        </row>
      </sheetData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mplate Resumen"/>
      <sheetName val="Analisis Estadistico"/>
      <sheetName val="TRABAJO"/>
      <sheetName val="CONSOLIDADO"/>
      <sheetName val="SINERGIA"/>
    </sheetNames>
    <sheetDataSet>
      <sheetData sheetId="0" refreshError="1"/>
      <sheetData sheetId="1" refreshError="1"/>
      <sheetData sheetId="2" refreshError="1">
        <row r="1">
          <cell r="O1">
            <v>0</v>
          </cell>
          <cell r="Q1">
            <v>0</v>
          </cell>
          <cell r="R1">
            <v>0</v>
          </cell>
          <cell r="S1">
            <v>0</v>
          </cell>
        </row>
        <row r="2">
          <cell r="I2" t="str">
            <v>Filial Jun'25</v>
          </cell>
          <cell r="K2" t="str">
            <v>Cliente de Referencia</v>
          </cell>
          <cell r="P2" t="str">
            <v>Precio Referencia</v>
          </cell>
        </row>
        <row r="3">
          <cell r="C3" t="str">
            <v>llave</v>
          </cell>
          <cell r="D3" t="str">
            <v>UO</v>
          </cell>
          <cell r="E3" t="str">
            <v>Cantera</v>
          </cell>
          <cell r="F3" t="str">
            <v>mat</v>
          </cell>
          <cell r="G3" t="str">
            <v>Material</v>
          </cell>
          <cell r="H3" t="str">
            <v>Material</v>
          </cell>
          <cell r="I3" t="str">
            <v>Vol Filial</v>
          </cell>
          <cell r="J3" t="str">
            <v xml:space="preserve">$ Filial </v>
          </cell>
          <cell r="K3" t="str">
            <v>Cliente Ref MA</v>
          </cell>
          <cell r="L3" t="str">
            <v>$ Ref MA</v>
          </cell>
          <cell r="M3" t="str">
            <v>Cliente</v>
          </cell>
          <cell r="N3" t="str">
            <v>Vol. Cliente</v>
          </cell>
          <cell r="O3" t="str">
            <v>% filial</v>
          </cell>
          <cell r="P3" t="str">
            <v>$ Ref Jul'25</v>
          </cell>
          <cell r="Q3" t="str">
            <v>% Var vs MA</v>
          </cell>
          <cell r="R3" t="str">
            <v>Dif vs MA</v>
          </cell>
          <cell r="S3" t="str">
            <v>Orden de Mag.</v>
          </cell>
        </row>
        <row r="4">
          <cell r="C4" t="str">
            <v>D86410001073</v>
          </cell>
          <cell r="D4" t="str">
            <v>D864</v>
          </cell>
          <cell r="E4" t="str">
            <v>MX-CANTERA CERRO JARDIN</v>
          </cell>
          <cell r="F4">
            <v>10001073</v>
          </cell>
          <cell r="G4" t="str">
            <v>Arena Triturada Caliza Malla 4</v>
          </cell>
          <cell r="H4">
            <v>10001073</v>
          </cell>
          <cell r="I4">
            <v>7116.4400000000051</v>
          </cell>
          <cell r="J4">
            <v>87.479984374209536</v>
          </cell>
          <cell r="K4" t="str">
            <v>CEMENTOS MOCTEZUMA</v>
          </cell>
          <cell r="L4">
            <v>87.5</v>
          </cell>
          <cell r="M4" t="str">
            <v>CEMENTOS MOCTEZUMA</v>
          </cell>
          <cell r="N4">
            <v>6134.2399999999961</v>
          </cell>
          <cell r="O4">
            <v>0.86198155257403863</v>
          </cell>
          <cell r="P4">
            <v>87.5</v>
          </cell>
          <cell r="Q4">
            <v>0</v>
          </cell>
          <cell r="R4">
            <v>0</v>
          </cell>
          <cell r="S4">
            <v>0</v>
          </cell>
        </row>
        <row r="5">
          <cell r="C5" t="str">
            <v>D86410000236</v>
          </cell>
          <cell r="D5" t="str">
            <v>D864</v>
          </cell>
          <cell r="E5" t="str">
            <v>MX-CANTERA CERRO JARDIN</v>
          </cell>
          <cell r="F5">
            <v>10000236</v>
          </cell>
          <cell r="G5" t="str">
            <v>Grava Triturada Caliza 10 mm - 3/8"</v>
          </cell>
          <cell r="H5">
            <v>10000236</v>
          </cell>
          <cell r="I5">
            <v>4627.2500000000009</v>
          </cell>
          <cell r="J5">
            <v>120.44000000000003</v>
          </cell>
          <cell r="K5" t="str">
            <v>CONCRETOS TPM-FORTALEZA</v>
          </cell>
          <cell r="L5">
            <v>120</v>
          </cell>
          <cell r="M5" t="str">
            <v>CONCRETOS TPM-FORTALEZA</v>
          </cell>
          <cell r="N5">
            <v>2084.1700000000005</v>
          </cell>
          <cell r="O5">
            <v>0.45041223188719004</v>
          </cell>
          <cell r="P5">
            <v>120</v>
          </cell>
          <cell r="Q5">
            <v>0</v>
          </cell>
          <cell r="R5">
            <v>0</v>
          </cell>
          <cell r="S5">
            <v>0</v>
          </cell>
        </row>
        <row r="6">
          <cell r="C6" t="str">
            <v>D86410000269</v>
          </cell>
          <cell r="D6" t="str">
            <v>D864</v>
          </cell>
          <cell r="E6" t="str">
            <v>MX-CANTERA CERRO JARDIN</v>
          </cell>
          <cell r="F6">
            <v>10000269</v>
          </cell>
          <cell r="G6" t="str">
            <v>Grava Triturada Caliza 13 mm - 1/2"</v>
          </cell>
          <cell r="H6">
            <v>10000269</v>
          </cell>
          <cell r="I6">
            <v>472.54</v>
          </cell>
          <cell r="J6">
            <v>131.20000423244593</v>
          </cell>
          <cell r="K6" t="str">
            <v>MARRUB DESARROLLOS PUBLICOS Y</v>
          </cell>
          <cell r="L6">
            <v>137</v>
          </cell>
          <cell r="M6" t="str">
            <v>CEMENTOS MOCTEZUMA</v>
          </cell>
          <cell r="N6">
            <v>1645.3599999999997</v>
          </cell>
          <cell r="O6">
            <v>3.481948618106403</v>
          </cell>
          <cell r="P6">
            <v>137</v>
          </cell>
          <cell r="Q6">
            <v>0</v>
          </cell>
          <cell r="R6">
            <v>0</v>
          </cell>
          <cell r="S6">
            <v>0</v>
          </cell>
        </row>
        <row r="7">
          <cell r="C7" t="str">
            <v>D86410000240</v>
          </cell>
          <cell r="D7" t="str">
            <v>D864</v>
          </cell>
          <cell r="E7" t="str">
            <v>MX-CANTERA CERRO JARDIN</v>
          </cell>
          <cell r="F7">
            <v>10000240</v>
          </cell>
          <cell r="G7" t="str">
            <v>Grava Triturada Caliza 20 mm - 3/4"</v>
          </cell>
          <cell r="H7">
            <v>10000240</v>
          </cell>
          <cell r="I7">
            <v>11761.950000000008</v>
          </cell>
          <cell r="J7">
            <v>126.95837850016355</v>
          </cell>
          <cell r="K7" t="str">
            <v>CONCRETOS TPM-FORTALEZA</v>
          </cell>
          <cell r="L7">
            <v>127</v>
          </cell>
          <cell r="M7" t="str">
            <v>CONCRETOS TPM-FORTALEZA</v>
          </cell>
          <cell r="N7">
            <v>11635.509999999998</v>
          </cell>
          <cell r="O7">
            <v>0.98925008183166829</v>
          </cell>
          <cell r="P7">
            <v>127</v>
          </cell>
          <cell r="Q7">
            <v>0</v>
          </cell>
          <cell r="R7">
            <v>0</v>
          </cell>
          <cell r="S7">
            <v>0</v>
          </cell>
        </row>
        <row r="8">
          <cell r="C8" t="str">
            <v>D86410001074</v>
          </cell>
          <cell r="D8" t="str">
            <v>D864</v>
          </cell>
          <cell r="E8" t="str">
            <v>MX-CANTERA CERRO JARDIN</v>
          </cell>
          <cell r="F8">
            <v>10001074</v>
          </cell>
          <cell r="G8" t="str">
            <v>Grava Triturada Caliza 40 mm - 1 1/2"</v>
          </cell>
          <cell r="H8">
            <v>10001074</v>
          </cell>
          <cell r="I8">
            <v>8416.1999999999971</v>
          </cell>
          <cell r="J8">
            <v>136.42138732444585</v>
          </cell>
          <cell r="K8" t="str">
            <v>CEMENTOS MOCTEZUMA</v>
          </cell>
          <cell r="L8">
            <v>137</v>
          </cell>
          <cell r="M8" t="str">
            <v>CEMENTOS MOCTEZUMA</v>
          </cell>
          <cell r="N8">
            <v>540.29</v>
          </cell>
          <cell r="O8">
            <v>6.4196430693186965E-2</v>
          </cell>
          <cell r="P8">
            <v>137</v>
          </cell>
          <cell r="Q8">
            <v>0</v>
          </cell>
          <cell r="R8">
            <v>0</v>
          </cell>
          <cell r="S8">
            <v>0</v>
          </cell>
        </row>
        <row r="9">
          <cell r="C9" t="str">
            <v>D86110000311</v>
          </cell>
          <cell r="D9" t="str">
            <v>D861</v>
          </cell>
          <cell r="E9" t="str">
            <v>MX-CANTERA QUERETARO</v>
          </cell>
          <cell r="F9">
            <v>10000311</v>
          </cell>
          <cell r="G9" t="str">
            <v>Arena Triturada Basalto  Malla 4</v>
          </cell>
          <cell r="H9">
            <v>10000311</v>
          </cell>
          <cell r="I9">
            <v>277.37</v>
          </cell>
          <cell r="J9">
            <v>186.1295742149475</v>
          </cell>
          <cell r="K9" t="str">
            <v>GRUPO EMPRESARIAL MIXERPLUS</v>
          </cell>
          <cell r="L9">
            <v>184.00000000000003</v>
          </cell>
          <cell r="M9" t="str">
            <v>GRUPO EMPRESARIAL MIXERPLUS</v>
          </cell>
          <cell r="N9">
            <v>798.79</v>
          </cell>
          <cell r="O9">
            <v>2.879871651584526</v>
          </cell>
          <cell r="P9">
            <v>180.59044304510576</v>
          </cell>
          <cell r="Q9">
            <v>-1.8530200841816669E-2</v>
          </cell>
          <cell r="R9">
            <v>-3.4095569548942706</v>
          </cell>
          <cell r="S9">
            <v>-945.70881257902386</v>
          </cell>
        </row>
        <row r="10">
          <cell r="C10" t="str">
            <v>D86110000229</v>
          </cell>
          <cell r="D10" t="str">
            <v>D861</v>
          </cell>
          <cell r="E10" t="str">
            <v>MX-CANTERA QUERETARO</v>
          </cell>
          <cell r="F10">
            <v>10000229</v>
          </cell>
          <cell r="G10" t="str">
            <v>Grava Triturada Basalto  10 mm - 3/8"</v>
          </cell>
          <cell r="H10">
            <v>10000229</v>
          </cell>
          <cell r="I10">
            <v>1661.1999999999998</v>
          </cell>
          <cell r="J10">
            <v>232.45350349145195</v>
          </cell>
          <cell r="K10" t="str">
            <v>CEMENTOS MOCTEZUMA</v>
          </cell>
          <cell r="L10">
            <v>239.77002181364909</v>
          </cell>
          <cell r="M10" t="str">
            <v>CEMENTOS MOCTEZUMA</v>
          </cell>
          <cell r="N10">
            <v>214</v>
          </cell>
          <cell r="O10">
            <v>0.12882253792439202</v>
          </cell>
          <cell r="P10">
            <v>239.76995327102802</v>
          </cell>
          <cell r="Q10">
            <v>-2.8586818556775029E-7</v>
          </cell>
          <cell r="R10">
            <v>-6.8542621079359378E-5</v>
          </cell>
          <cell r="S10">
            <v>-0.11386300213703179</v>
          </cell>
        </row>
        <row r="11">
          <cell r="C11" t="str">
            <v>D86110000231</v>
          </cell>
          <cell r="D11" t="str">
            <v>D861</v>
          </cell>
          <cell r="E11" t="str">
            <v>MX-CANTERA QUERETARO</v>
          </cell>
          <cell r="F11">
            <v>10000231</v>
          </cell>
          <cell r="G11" t="str">
            <v>Grava Triturada Basalto  20 mm - 3/4"</v>
          </cell>
          <cell r="H11">
            <v>10000231</v>
          </cell>
          <cell r="I11">
            <v>13238.930000000004</v>
          </cell>
          <cell r="J11">
            <v>216.4197657967826</v>
          </cell>
          <cell r="K11" t="str">
            <v>CEMENTOS MOCTEZUMA</v>
          </cell>
          <cell r="L11">
            <v>215.97999448596525</v>
          </cell>
          <cell r="M11" t="str">
            <v>CEMENTOS MOCTEZUMA</v>
          </cell>
          <cell r="N11">
            <v>4250.1400000000003</v>
          </cell>
          <cell r="O11">
            <v>0.32103349742010867</v>
          </cell>
          <cell r="P11">
            <v>215.98000536452918</v>
          </cell>
          <cell r="Q11">
            <v>5.0368387016774818E-8</v>
          </cell>
          <cell r="R11">
            <v>1.0878563927008145E-5</v>
          </cell>
          <cell r="S11">
            <v>0.14402054633018599</v>
          </cell>
        </row>
        <row r="12">
          <cell r="C12" t="str">
            <v>D86110000233</v>
          </cell>
          <cell r="D12" t="str">
            <v>D861</v>
          </cell>
          <cell r="E12" t="str">
            <v>MX-CANTERA QUERETARO</v>
          </cell>
          <cell r="F12">
            <v>10000233</v>
          </cell>
          <cell r="G12" t="str">
            <v>Grava Triturada Basalto  40 mm - 1 1/2"</v>
          </cell>
          <cell r="H12">
            <v>10000233</v>
          </cell>
          <cell r="I12">
            <v>1632.5699999999995</v>
          </cell>
          <cell r="J12">
            <v>215.98001923347869</v>
          </cell>
          <cell r="K12" t="str">
            <v>CEMENTOS MOCTEZUMA</v>
          </cell>
          <cell r="L12">
            <v>215.97997882957804</v>
          </cell>
          <cell r="M12" t="str">
            <v>CEMENTOS MOCTEZUMA</v>
          </cell>
          <cell r="N12">
            <v>388.09999999999997</v>
          </cell>
          <cell r="O12">
            <v>0.23772334417513497</v>
          </cell>
          <cell r="P12">
            <v>215.98000515331103</v>
          </cell>
          <cell r="Q12">
            <v>1.2188043130301196E-7</v>
          </cell>
          <cell r="R12">
            <v>2.6323732981836656E-5</v>
          </cell>
          <cell r="S12">
            <v>4.2975336754157059E-2</v>
          </cell>
        </row>
        <row r="13">
          <cell r="C13" t="str">
            <v>D86110066861</v>
          </cell>
          <cell r="D13" t="str">
            <v>D861</v>
          </cell>
          <cell r="E13" t="str">
            <v>MX-CANTERA QUERETARO</v>
          </cell>
          <cell r="F13">
            <v>10066861</v>
          </cell>
          <cell r="G13" t="str">
            <v>Grava Triturada Basalto  40 mm - 1 1/2"</v>
          </cell>
          <cell r="H13">
            <v>10000233</v>
          </cell>
          <cell r="I13">
            <v>1632.5699999999995</v>
          </cell>
          <cell r="J13">
            <v>215.98001923347869</v>
          </cell>
          <cell r="K13" t="str">
            <v>CEMENTOS MOCTEZUMA</v>
          </cell>
          <cell r="L13">
            <v>215.97997882957804</v>
          </cell>
          <cell r="M13" t="str">
            <v>CEMENTOS MOCTEZUMA</v>
          </cell>
          <cell r="N13">
            <v>388.09999999999997</v>
          </cell>
          <cell r="O13">
            <v>0.23772334417513497</v>
          </cell>
          <cell r="P13">
            <v>215.98000515331103</v>
          </cell>
          <cell r="Q13">
            <v>1.2188043130301196E-7</v>
          </cell>
          <cell r="R13">
            <v>2.6323732981836656E-5</v>
          </cell>
          <cell r="S13">
            <v>4.2975336754157059E-2</v>
          </cell>
        </row>
        <row r="14">
          <cell r="C14" t="str">
            <v>D81310000255</v>
          </cell>
          <cell r="D14" t="str">
            <v>D813</v>
          </cell>
          <cell r="E14" t="str">
            <v>MX-CANTERA SAN VICENTE</v>
          </cell>
          <cell r="F14">
            <v>10000255</v>
          </cell>
          <cell r="G14" t="str">
            <v>Arena Triturada Andesita Malla 4</v>
          </cell>
          <cell r="H14">
            <v>10000255</v>
          </cell>
          <cell r="I14">
            <v>58895.079999999914</v>
          </cell>
          <cell r="J14">
            <v>104.83373466849858</v>
          </cell>
          <cell r="K14" t="str">
            <v>CONCRETOS TPM-FORTALEZA</v>
          </cell>
          <cell r="L14">
            <v>104.14</v>
          </cell>
          <cell r="M14" t="str">
            <v>CONCRETOS TPM-FORTALEZA</v>
          </cell>
          <cell r="N14">
            <v>12282.009999999998</v>
          </cell>
          <cell r="O14">
            <v>0.20854050966566334</v>
          </cell>
          <cell r="P14">
            <v>104.1400023286091</v>
          </cell>
          <cell r="Q14">
            <v>2.2360371554341896E-8</v>
          </cell>
          <cell r="R14">
            <v>2.3286090993224207E-6</v>
          </cell>
          <cell r="S14">
            <v>0.13714361919332171</v>
          </cell>
        </row>
        <row r="15">
          <cell r="C15" t="str">
            <v>D81310002350</v>
          </cell>
          <cell r="D15" t="str">
            <v>D813</v>
          </cell>
          <cell r="E15" t="str">
            <v>MX-CANTERA SAN VICENTE</v>
          </cell>
          <cell r="F15">
            <v>10002350</v>
          </cell>
          <cell r="G15" t="str">
            <v>Grava Triturada Andesita 10mm-3/8"</v>
          </cell>
          <cell r="H15">
            <v>10002350</v>
          </cell>
          <cell r="I15">
            <v>934.8</v>
          </cell>
          <cell r="J15">
            <v>125.09750748823275</v>
          </cell>
          <cell r="K15" t="str">
            <v>CONCRETOS TPM-FORTALEZA</v>
          </cell>
          <cell r="L15">
            <v>120.48997886061383</v>
          </cell>
          <cell r="M15" t="str">
            <v>CONCRETOS TPM-FORTALEZA</v>
          </cell>
          <cell r="N15">
            <v>214.23000000000002</v>
          </cell>
          <cell r="O15">
            <v>0.2291720154043646</v>
          </cell>
          <cell r="P15">
            <v>120.48998739672314</v>
          </cell>
          <cell r="Q15">
            <v>7.0844972999140055E-8</v>
          </cell>
          <cell r="R15">
            <v>8.5361093056235404E-6</v>
          </cell>
          <cell r="S15">
            <v>7.9795549788968852E-3</v>
          </cell>
        </row>
        <row r="16">
          <cell r="C16" t="str">
            <v>D81310000253</v>
          </cell>
          <cell r="D16" t="str">
            <v>D813</v>
          </cell>
          <cell r="E16" t="str">
            <v>MX-CANTERA SAN VICENTE</v>
          </cell>
          <cell r="F16">
            <v>10000253</v>
          </cell>
          <cell r="G16" t="str">
            <v>Grava Triturada Andesita 20 mm - 3/4"</v>
          </cell>
          <cell r="H16">
            <v>10000253</v>
          </cell>
          <cell r="I16">
            <v>9968.7400000000016</v>
          </cell>
          <cell r="J16">
            <v>104.131588345167</v>
          </cell>
          <cell r="K16" t="str">
            <v>CONCRETOS TPM-FORTALEZA</v>
          </cell>
          <cell r="L16">
            <v>103.89999896210645</v>
          </cell>
          <cell r="M16" t="str">
            <v>CONCRETOS TPM-FORTALEZA</v>
          </cell>
          <cell r="N16">
            <v>1213.02</v>
          </cell>
          <cell r="O16">
            <v>0.1216823791171201</v>
          </cell>
          <cell r="P16">
            <v>103.90001813655175</v>
          </cell>
          <cell r="Q16">
            <v>1.8454711736559659E-7</v>
          </cell>
          <cell r="R16">
            <v>1.9174445299086074E-5</v>
          </cell>
          <cell r="S16">
            <v>0.19114505983081134</v>
          </cell>
        </row>
        <row r="17">
          <cell r="C17" t="str">
            <v>D87310001073</v>
          </cell>
          <cell r="D17" t="str">
            <v>D873</v>
          </cell>
          <cell r="E17" t="str">
            <v>MX-VIRTUAL VALLEJO</v>
          </cell>
          <cell r="F17">
            <v>10001073</v>
          </cell>
          <cell r="G17" t="str">
            <v>Arena Triturada Caliza Malla 4</v>
          </cell>
          <cell r="H17">
            <v>10001073</v>
          </cell>
          <cell r="I17">
            <v>11089.959999999994</v>
          </cell>
          <cell r="J17">
            <v>196.37627457628381</v>
          </cell>
          <cell r="K17" t="str">
            <v>Vallejo Material + Inc en Precio C.Jardin (May'25) + Flete FFCC (nov24)</v>
          </cell>
          <cell r="L17">
            <v>197.8</v>
          </cell>
          <cell r="M17" t="str">
            <v>Vallejo Material + Inc en Precio C.Jardin (May'25) + Flete FFCC (nov24)</v>
          </cell>
          <cell r="N17" t="str">
            <v/>
          </cell>
          <cell r="O17" t="str">
            <v/>
          </cell>
          <cell r="P17">
            <v>197.8</v>
          </cell>
          <cell r="Q17">
            <v>0</v>
          </cell>
          <cell r="R17">
            <v>0</v>
          </cell>
          <cell r="S17">
            <v>0</v>
          </cell>
        </row>
        <row r="18">
          <cell r="C18" t="str">
            <v>D87310000240</v>
          </cell>
          <cell r="D18" t="str">
            <v>D873</v>
          </cell>
          <cell r="E18" t="str">
            <v>MX-VIRTUAL VALLEJO</v>
          </cell>
          <cell r="F18">
            <v>10000240</v>
          </cell>
          <cell r="G18" t="str">
            <v>Grava Triturada Caliza 20 mm - 3/4"</v>
          </cell>
          <cell r="H18">
            <v>10000240</v>
          </cell>
          <cell r="I18">
            <v>46342.239999999998</v>
          </cell>
          <cell r="J18">
            <v>259.25778318009679</v>
          </cell>
          <cell r="K18" t="str">
            <v>Vallejo Material + Inc en Precio C.Jardin (May'25) + Flete FFCC (nov24)</v>
          </cell>
          <cell r="L18">
            <v>258.77</v>
          </cell>
          <cell r="M18" t="str">
            <v>Vallejo Material + Inc en Precio C.Jardin (May'25) + Flete FFCC (nov24)</v>
          </cell>
          <cell r="N18" t="str">
            <v/>
          </cell>
          <cell r="O18" t="str">
            <v/>
          </cell>
          <cell r="P18">
            <v>258.77</v>
          </cell>
          <cell r="Q18">
            <v>0</v>
          </cell>
          <cell r="R18">
            <v>0</v>
          </cell>
          <cell r="S18">
            <v>0</v>
          </cell>
        </row>
        <row r="19">
          <cell r="C19" t="str">
            <v>D82410000234</v>
          </cell>
          <cell r="D19" t="str">
            <v>D824</v>
          </cell>
          <cell r="E19" t="str">
            <v>MX-CANTERA LEON</v>
          </cell>
          <cell r="F19">
            <v>10000234</v>
          </cell>
          <cell r="G19" t="str">
            <v>Arena Triturada Basalto  Malla 4</v>
          </cell>
          <cell r="H19">
            <v>10000234</v>
          </cell>
          <cell r="I19">
            <v>1264.01</v>
          </cell>
          <cell r="J19">
            <v>158.99999999999997</v>
          </cell>
          <cell r="K19" t="str">
            <v>ARENAS Y GRAVAS DEL BAJIO</v>
          </cell>
          <cell r="L19">
            <v>159</v>
          </cell>
          <cell r="M19" t="str">
            <v>ARENAS Y GRAVAS DEL BAJIO</v>
          </cell>
          <cell r="N19">
            <v>3156.48</v>
          </cell>
          <cell r="O19">
            <v>2.4971954335804307</v>
          </cell>
          <cell r="P19">
            <v>158.99999999999997</v>
          </cell>
          <cell r="Q19">
            <v>-2.2204460492503131E-16</v>
          </cell>
          <cell r="R19">
            <v>-2.8421709430404007E-14</v>
          </cell>
          <cell r="S19">
            <v>-3.5925324937124969E-11</v>
          </cell>
        </row>
        <row r="20">
          <cell r="C20" t="str">
            <v>D82410000285</v>
          </cell>
          <cell r="D20" t="str">
            <v>D824</v>
          </cell>
          <cell r="E20" t="str">
            <v>MX-CANTERA LEON</v>
          </cell>
          <cell r="F20">
            <v>10000285</v>
          </cell>
          <cell r="G20" t="str">
            <v>Grava Triturada Basalto  10 mm - 3/8"</v>
          </cell>
          <cell r="H20">
            <v>10000285</v>
          </cell>
          <cell r="I20">
            <v>212.64999999999998</v>
          </cell>
          <cell r="J20">
            <v>175.00000000000003</v>
          </cell>
          <cell r="K20" t="str">
            <v>ARENAS Y GRAVAS DEL BAJIO</v>
          </cell>
          <cell r="L20">
            <v>175</v>
          </cell>
          <cell r="M20" t="str">
            <v>ARENAS Y GRAVAS DEL BAJIO</v>
          </cell>
          <cell r="N20">
            <v>88.53</v>
          </cell>
          <cell r="O20">
            <v>0.41631789325182228</v>
          </cell>
          <cell r="P20">
            <v>175</v>
          </cell>
          <cell r="Q20">
            <v>0</v>
          </cell>
          <cell r="R20">
            <v>0</v>
          </cell>
          <cell r="S20">
            <v>0</v>
          </cell>
        </row>
        <row r="21">
          <cell r="C21" t="str">
            <v>D82410000284</v>
          </cell>
          <cell r="D21" t="str">
            <v>D824</v>
          </cell>
          <cell r="E21" t="str">
            <v>MX-CANTERA LEON</v>
          </cell>
          <cell r="F21">
            <v>10000284</v>
          </cell>
          <cell r="G21" t="str">
            <v>Grava Triturada Basalto  20 mm - 3/4"</v>
          </cell>
          <cell r="H21">
            <v>10000284</v>
          </cell>
          <cell r="I21">
            <v>6540.1100000000006</v>
          </cell>
          <cell r="J21">
            <v>175.3689983807611</v>
          </cell>
          <cell r="K21" t="str">
            <v>ARENAS Y GRAVAS DEL BAJIO</v>
          </cell>
          <cell r="L21">
            <v>175.00000000000003</v>
          </cell>
          <cell r="M21" t="str">
            <v>ARENAS Y GRAVAS DEL BAJIO</v>
          </cell>
          <cell r="N21">
            <v>844.81999999999994</v>
          </cell>
          <cell r="O21">
            <v>0.1291751973590658</v>
          </cell>
          <cell r="P21">
            <v>175</v>
          </cell>
          <cell r="Q21">
            <v>-1.1102230246251565E-16</v>
          </cell>
          <cell r="R21">
            <v>-2.8421709430404007E-14</v>
          </cell>
          <cell r="S21">
            <v>-1.8588110606287957E-10</v>
          </cell>
        </row>
        <row r="22">
          <cell r="C22" t="str">
            <v>D82410000287</v>
          </cell>
          <cell r="D22" t="str">
            <v>D824</v>
          </cell>
          <cell r="E22" t="str">
            <v>MX-CANTERA LEON</v>
          </cell>
          <cell r="F22">
            <v>10000287</v>
          </cell>
          <cell r="G22" t="str">
            <v>Grava Triturada Basalto  40 mm - 1 1/2"</v>
          </cell>
          <cell r="H22">
            <v>10000287</v>
          </cell>
          <cell r="I22">
            <v>392.19000000000005</v>
          </cell>
          <cell r="J22">
            <v>174.99999999999997</v>
          </cell>
          <cell r="K22" t="str">
            <v>ARENAS Y GRAVAS DEL BAJIO</v>
          </cell>
          <cell r="L22">
            <v>175</v>
          </cell>
          <cell r="M22" t="str">
            <v>ARENAS Y GRAVAS DEL BAJIO</v>
          </cell>
          <cell r="N22">
            <v>332.63</v>
          </cell>
          <cell r="O22">
            <v>0.84813483260664457</v>
          </cell>
          <cell r="P22">
            <v>175</v>
          </cell>
          <cell r="Q22">
            <v>0</v>
          </cell>
          <cell r="R22">
            <v>0</v>
          </cell>
          <cell r="S22">
            <v>0</v>
          </cell>
        </row>
        <row r="23">
          <cell r="C23" t="str">
            <v>D81610164169</v>
          </cell>
          <cell r="D23" t="str">
            <v>D816</v>
          </cell>
          <cell r="E23" t="str">
            <v>MX-CANTERA MONTERREY</v>
          </cell>
          <cell r="F23">
            <v>10164169</v>
          </cell>
          <cell r="G23" t="str">
            <v>Arena Triturada Caliza Malla 4</v>
          </cell>
          <cell r="H23">
            <v>10164169</v>
          </cell>
          <cell r="I23">
            <v>83194.05</v>
          </cell>
          <cell r="J23">
            <v>274.05735470265034</v>
          </cell>
          <cell r="K23" t="str">
            <v>900000941 (ED) TC-ED-GIH</v>
          </cell>
          <cell r="L23">
            <v>273.5</v>
          </cell>
          <cell r="M23" t="str">
            <v>900000941 (ED) TC-ED-GIH</v>
          </cell>
          <cell r="N23" t="str">
            <v/>
          </cell>
          <cell r="O23" t="str">
            <v/>
          </cell>
          <cell r="P23">
            <v>273.5</v>
          </cell>
          <cell r="Q23">
            <v>0</v>
          </cell>
          <cell r="R23">
            <v>0</v>
          </cell>
          <cell r="S23">
            <v>0</v>
          </cell>
        </row>
        <row r="24">
          <cell r="C24" t="str">
            <v>D81610000260</v>
          </cell>
          <cell r="D24" t="str">
            <v>D816</v>
          </cell>
          <cell r="E24" t="str">
            <v>MX-CANTERA MONTERREY</v>
          </cell>
          <cell r="F24">
            <v>10000260</v>
          </cell>
          <cell r="G24" t="str">
            <v>Arena Triturada Caliza Malla 5</v>
          </cell>
          <cell r="H24">
            <v>10000260</v>
          </cell>
          <cell r="I24">
            <v>763.20000000000016</v>
          </cell>
          <cell r="J24">
            <v>398.31610324947587</v>
          </cell>
          <cell r="K24" t="str">
            <v>MATERIALES Y BLOCKS GARCIA</v>
          </cell>
          <cell r="L24">
            <v>388.22985370691799</v>
          </cell>
          <cell r="M24" t="str">
            <v>CONSTRUCTORA COEXSA</v>
          </cell>
          <cell r="N24">
            <v>77.38</v>
          </cell>
          <cell r="O24">
            <v>0.10138888888888886</v>
          </cell>
          <cell r="P24">
            <v>395.87464461101058</v>
          </cell>
          <cell r="Q24">
            <v>1.9691404025471426E-2</v>
          </cell>
          <cell r="R24">
            <v>7.6447909040925879</v>
          </cell>
          <cell r="S24">
            <v>5834.5044180034647</v>
          </cell>
        </row>
        <row r="25">
          <cell r="C25" t="str">
            <v>D81610000237</v>
          </cell>
          <cell r="D25" t="str">
            <v>D816</v>
          </cell>
          <cell r="E25" t="str">
            <v>MX-CANTERA MONTERREY</v>
          </cell>
          <cell r="F25">
            <v>10000237</v>
          </cell>
          <cell r="G25" t="str">
            <v>Grava Triturada Caliza 10 mm - 3/8"</v>
          </cell>
          <cell r="H25">
            <v>10000237</v>
          </cell>
          <cell r="I25">
            <v>2346.1300000000006</v>
          </cell>
          <cell r="J25">
            <v>282.60000085246747</v>
          </cell>
          <cell r="K25" t="str">
            <v>900000941 (ED) TC-ED-GIH</v>
          </cell>
          <cell r="L25">
            <v>282.60000000000002</v>
          </cell>
          <cell r="M25" t="str">
            <v>900000941 (ED) TC-ED-GIH</v>
          </cell>
          <cell r="N25" t="str">
            <v/>
          </cell>
          <cell r="O25" t="str">
            <v/>
          </cell>
          <cell r="P25">
            <v>282.60000000000002</v>
          </cell>
          <cell r="Q25">
            <v>0</v>
          </cell>
          <cell r="R25">
            <v>0</v>
          </cell>
          <cell r="S25">
            <v>0</v>
          </cell>
        </row>
        <row r="26">
          <cell r="C26" t="str">
            <v>D81610000241</v>
          </cell>
          <cell r="D26" t="str">
            <v>D816</v>
          </cell>
          <cell r="E26" t="str">
            <v>MX-CANTERA MONTERREY</v>
          </cell>
          <cell r="F26">
            <v>10000241</v>
          </cell>
          <cell r="G26" t="str">
            <v>Grava Triturada Caliza 20 mm - 3/4"</v>
          </cell>
          <cell r="H26">
            <v>10000241</v>
          </cell>
          <cell r="I26">
            <v>67490.129999999961</v>
          </cell>
          <cell r="J26">
            <v>274.34743109844294</v>
          </cell>
          <cell r="K26" t="str">
            <v>900000941 (ED) TC-ED-GIH</v>
          </cell>
          <cell r="L26">
            <v>273.5</v>
          </cell>
          <cell r="M26" t="str">
            <v>900000941 (ED) TC-ED-GIH</v>
          </cell>
          <cell r="N26" t="str">
            <v/>
          </cell>
          <cell r="O26" t="str">
            <v/>
          </cell>
          <cell r="P26">
            <v>273.5</v>
          </cell>
          <cell r="Q26">
            <v>0</v>
          </cell>
          <cell r="R26">
            <v>0</v>
          </cell>
          <cell r="S26">
            <v>0</v>
          </cell>
        </row>
        <row r="27">
          <cell r="C27" t="str">
            <v>D86310038952</v>
          </cell>
          <cell r="D27" t="str">
            <v>D863</v>
          </cell>
          <cell r="E27" t="str">
            <v>MX-CANTERA TAMUIN</v>
          </cell>
          <cell r="F27">
            <v>10038952</v>
          </cell>
          <cell r="G27" t="str">
            <v>Arena Triturada Caliza Malla 4</v>
          </cell>
          <cell r="H27">
            <v>10038952</v>
          </cell>
          <cell r="I27">
            <v>10792.04</v>
          </cell>
          <cell r="J27">
            <v>153.311686205759</v>
          </cell>
          <cell r="K27" t="str">
            <v>CONCRETOS TANCOL</v>
          </cell>
          <cell r="L27">
            <v>153.88</v>
          </cell>
          <cell r="M27" t="str">
            <v>CONCRETOS TANCOL</v>
          </cell>
          <cell r="N27">
            <v>2737.7900000000009</v>
          </cell>
          <cell r="O27">
            <v>0.25368605008876921</v>
          </cell>
          <cell r="P27">
            <v>153.87993600677908</v>
          </cell>
          <cell r="Q27">
            <v>-4.1586444576857673E-7</v>
          </cell>
          <cell r="R27">
            <v>-6.3993220919655869E-5</v>
          </cell>
          <cell r="S27">
            <v>-0.69061739989376303</v>
          </cell>
        </row>
        <row r="28">
          <cell r="C28" t="str">
            <v>D86310038949</v>
          </cell>
          <cell r="D28" t="str">
            <v>D863</v>
          </cell>
          <cell r="E28" t="str">
            <v>MX-CANTERA TAMUIN</v>
          </cell>
          <cell r="F28">
            <v>10038949</v>
          </cell>
          <cell r="G28" t="str">
            <v>Grava Triturada Caliza 10 mm - 3/8"</v>
          </cell>
          <cell r="H28">
            <v>10038949</v>
          </cell>
          <cell r="I28">
            <v>345.77000000000004</v>
          </cell>
          <cell r="J28">
            <v>157.34019724094048</v>
          </cell>
          <cell r="K28" t="str">
            <v>CONCRETOS TANCOL</v>
          </cell>
          <cell r="L28">
            <v>168.49997265368629</v>
          </cell>
          <cell r="M28" t="str">
            <v>CONCRETOS HUASTECA</v>
          </cell>
          <cell r="N28">
            <v>312.70999999999998</v>
          </cell>
          <cell r="O28">
            <v>0.90438730948318236</v>
          </cell>
          <cell r="P28">
            <v>170</v>
          </cell>
          <cell r="Q28">
            <v>8.9022408887666771E-3</v>
          </cell>
          <cell r="R28">
            <v>1.5000273463137148</v>
          </cell>
          <cell r="S28">
            <v>518.66445553489325</v>
          </cell>
        </row>
        <row r="29">
          <cell r="C29" t="str">
            <v>D86310038950</v>
          </cell>
          <cell r="D29" t="str">
            <v>D863</v>
          </cell>
          <cell r="E29" t="str">
            <v>MX-CANTERA TAMUIN</v>
          </cell>
          <cell r="F29">
            <v>10038950</v>
          </cell>
          <cell r="G29" t="str">
            <v>Grava Triturada Caliza 20 mm - 3/4"</v>
          </cell>
          <cell r="H29">
            <v>10038950</v>
          </cell>
          <cell r="I29">
            <v>3739.3999999999974</v>
          </cell>
          <cell r="J29">
            <v>153.3177033748731</v>
          </cell>
          <cell r="K29" t="str">
            <v>CONCRETOS TANCOL</v>
          </cell>
          <cell r="L29">
            <v>153.88</v>
          </cell>
          <cell r="M29" t="str">
            <v>CONCRETOS TANCOL</v>
          </cell>
          <cell r="N29">
            <v>442.28</v>
          </cell>
          <cell r="O29">
            <v>0.11827565919666264</v>
          </cell>
          <cell r="P29">
            <v>153.8799855295288</v>
          </cell>
          <cell r="Q29">
            <v>-9.4037374553934683E-8</v>
          </cell>
          <cell r="R29">
            <v>-1.4470471199956592E-5</v>
          </cell>
          <cell r="S29">
            <v>-5.4110880005117643E-2</v>
          </cell>
        </row>
        <row r="30">
          <cell r="C30" t="str">
            <v>D86310049672</v>
          </cell>
          <cell r="D30" t="str">
            <v>D863</v>
          </cell>
          <cell r="E30" t="str">
            <v>MX-CANTERA TAMUIN</v>
          </cell>
          <cell r="F30">
            <v>10049672</v>
          </cell>
          <cell r="G30" t="str">
            <v>Grava Triturada Caliza 40 mm - 1 1/2"</v>
          </cell>
          <cell r="H30">
            <v>10049672</v>
          </cell>
          <cell r="I30">
            <v>344.87</v>
          </cell>
          <cell r="J30">
            <v>160</v>
          </cell>
          <cell r="K30" t="str">
            <v>CONCRETOS HUASTECA</v>
          </cell>
          <cell r="L30">
            <v>160</v>
          </cell>
          <cell r="M30" t="str">
            <v>900005511TC-ED CONSTRUCARGO</v>
          </cell>
          <cell r="N30" t="str">
            <v/>
          </cell>
          <cell r="O30" t="str">
            <v/>
          </cell>
          <cell r="P30">
            <v>105</v>
          </cell>
          <cell r="Q30">
            <v>-0.34375</v>
          </cell>
          <cell r="R30">
            <v>-55</v>
          </cell>
          <cell r="S30">
            <v>-18967.849999999999</v>
          </cell>
        </row>
        <row r="31">
          <cell r="C31" t="str">
            <v>D85210038942</v>
          </cell>
          <cell r="D31" t="str">
            <v>D852</v>
          </cell>
          <cell r="E31" t="str">
            <v>MX-CANTERA TORREON II</v>
          </cell>
          <cell r="F31">
            <v>10038942</v>
          </cell>
          <cell r="G31" t="str">
            <v>Arena Triturada Caliza Malla 8</v>
          </cell>
          <cell r="H31">
            <v>10038942</v>
          </cell>
          <cell r="I31">
            <v>12702.460000000006</v>
          </cell>
          <cell r="J31">
            <v>128.72757402896755</v>
          </cell>
          <cell r="K31" t="str">
            <v>CONCRETOS RICASA</v>
          </cell>
          <cell r="L31">
            <v>128.80000000000001</v>
          </cell>
          <cell r="M31" t="str">
            <v>CONCRETOS RICASA</v>
          </cell>
          <cell r="N31">
            <v>2660.6699999999996</v>
          </cell>
          <cell r="O31">
            <v>0.20946100204212398</v>
          </cell>
          <cell r="P31">
            <v>127.3344195259089</v>
          </cell>
          <cell r="Q31">
            <v>-1.1378730388906133E-2</v>
          </cell>
          <cell r="R31">
            <v>-1.4655804740911123</v>
          </cell>
          <cell r="S31">
            <v>-18616.477348923399</v>
          </cell>
        </row>
        <row r="32">
          <cell r="C32" t="str">
            <v>D85210038947</v>
          </cell>
          <cell r="D32" t="str">
            <v>D852</v>
          </cell>
          <cell r="E32" t="str">
            <v>MX-CANTERA TORREON II</v>
          </cell>
          <cell r="F32">
            <v>10038947</v>
          </cell>
          <cell r="G32" t="str">
            <v>Grava Triturada Caliza 10 mm - 3/8"</v>
          </cell>
          <cell r="H32">
            <v>10038947</v>
          </cell>
          <cell r="I32">
            <v>594.08000000000004</v>
          </cell>
          <cell r="J32">
            <v>110.90055211419332</v>
          </cell>
          <cell r="K32" t="str">
            <v>900000009 TC-TRITURADOS CRIBISSA</v>
          </cell>
          <cell r="L32">
            <v>110.9</v>
          </cell>
          <cell r="M32" t="str">
            <v>900000009 TC-TRITURADOS CRIBISSA</v>
          </cell>
          <cell r="N32" t="str">
            <v/>
          </cell>
          <cell r="O32" t="str">
            <v/>
          </cell>
          <cell r="P32">
            <v>110.9</v>
          </cell>
          <cell r="Q32">
            <v>0</v>
          </cell>
          <cell r="R32">
            <v>0</v>
          </cell>
          <cell r="S32">
            <v>0</v>
          </cell>
        </row>
        <row r="33">
          <cell r="C33" t="str">
            <v>D85210038945</v>
          </cell>
          <cell r="D33" t="str">
            <v>D852</v>
          </cell>
          <cell r="E33" t="str">
            <v>MX-CANTERA TORREON II</v>
          </cell>
          <cell r="F33">
            <v>10038945</v>
          </cell>
          <cell r="G33" t="str">
            <v>Grava Triturada Caliza 20 mm - 3/4"</v>
          </cell>
          <cell r="H33">
            <v>10038945</v>
          </cell>
          <cell r="I33">
            <v>3910.0899999999997</v>
          </cell>
          <cell r="J33">
            <v>129.37809871384039</v>
          </cell>
          <cell r="K33" t="str">
            <v>COPLASA</v>
          </cell>
          <cell r="L33">
            <v>134.40001798757575</v>
          </cell>
          <cell r="M33" t="str">
            <v>COPLASA</v>
          </cell>
          <cell r="N33">
            <v>2310.4100000000012</v>
          </cell>
          <cell r="O33">
            <v>0.59088409729699354</v>
          </cell>
          <cell r="P33">
            <v>134.40000692517771</v>
          </cell>
          <cell r="Q33">
            <v>-8.2309498217192356E-8</v>
          </cell>
          <cell r="R33">
            <v>-1.1062398044714428E-5</v>
          </cell>
          <cell r="S33">
            <v>-4.3254971970657433E-2</v>
          </cell>
        </row>
        <row r="34">
          <cell r="C34" t="str">
            <v>D85210038659</v>
          </cell>
          <cell r="D34" t="str">
            <v>D852</v>
          </cell>
          <cell r="E34" t="str">
            <v>MX-CANTERA TORREON II</v>
          </cell>
          <cell r="F34">
            <v>10038659</v>
          </cell>
          <cell r="G34" t="str">
            <v>Grava Triturada Caliza 40 mm - 1 1/2"</v>
          </cell>
          <cell r="H34">
            <v>10038659</v>
          </cell>
          <cell r="I34">
            <v>5166.2000000000007</v>
          </cell>
          <cell r="J34">
            <v>114.00885757423259</v>
          </cell>
          <cell r="K34" t="str">
            <v>900000009 TC-TRITURADOS CRIBISSA</v>
          </cell>
          <cell r="L34">
            <v>114</v>
          </cell>
          <cell r="M34" t="str">
            <v>900000009 TC-TRITURADOS CRIBISSA</v>
          </cell>
          <cell r="N34" t="str">
            <v/>
          </cell>
          <cell r="O34" t="str">
            <v/>
          </cell>
          <cell r="P34">
            <v>114</v>
          </cell>
          <cell r="Q34">
            <v>0</v>
          </cell>
          <cell r="R34">
            <v>0</v>
          </cell>
          <cell r="S34">
            <v>0</v>
          </cell>
        </row>
        <row r="35">
          <cell r="C35" t="str">
            <v>D86610000266</v>
          </cell>
          <cell r="D35" t="str">
            <v>D866</v>
          </cell>
          <cell r="E35" t="str">
            <v>MX-CANTERA PONCITLAN</v>
          </cell>
          <cell r="F35">
            <v>10000266</v>
          </cell>
          <cell r="G35" t="str">
            <v>Arena Triturada Basalto Malla 5</v>
          </cell>
          <cell r="H35">
            <v>10000266</v>
          </cell>
          <cell r="I35">
            <v>10749.720000000003</v>
          </cell>
          <cell r="J35">
            <v>199.90187465347921</v>
          </cell>
          <cell r="K35" t="str">
            <v>CEMENTOS MOCTEZUMA</v>
          </cell>
          <cell r="L35">
            <v>198.95</v>
          </cell>
          <cell r="M35" t="str">
            <v>CEMENTOS MOCTEZUMA</v>
          </cell>
          <cell r="N35">
            <v>3855.2499999999995</v>
          </cell>
          <cell r="O35">
            <v>0.35863724822600018</v>
          </cell>
          <cell r="P35">
            <v>198.9500006484665</v>
          </cell>
          <cell r="Q35">
            <v>3.259444714132087E-9</v>
          </cell>
          <cell r="R35">
            <v>6.484665107109322E-7</v>
          </cell>
          <cell r="S35">
            <v>6.9708334195195242E-3</v>
          </cell>
        </row>
        <row r="36">
          <cell r="C36" t="str">
            <v>D86610000293</v>
          </cell>
          <cell r="D36" t="str">
            <v>D866</v>
          </cell>
          <cell r="E36" t="str">
            <v>MX-CANTERA PONCITLAN</v>
          </cell>
          <cell r="F36">
            <v>10000293</v>
          </cell>
          <cell r="G36" t="str">
            <v>Grava Triturada Basalto  10 mm - 3/8"</v>
          </cell>
          <cell r="H36">
            <v>10000293</v>
          </cell>
          <cell r="I36">
            <v>5178.7400000000007</v>
          </cell>
          <cell r="J36">
            <v>258.62926696455116</v>
          </cell>
          <cell r="K36" t="str">
            <v>CAMINOS Y PLATAFORMAS</v>
          </cell>
          <cell r="L36">
            <v>257.25001177190751</v>
          </cell>
          <cell r="M36" t="str">
            <v>5M CONCRETOS</v>
          </cell>
          <cell r="N36">
            <v>577.09</v>
          </cell>
          <cell r="O36">
            <v>0.11143444158231539</v>
          </cell>
          <cell r="P36">
            <v>257.24999566792007</v>
          </cell>
          <cell r="Q36">
            <v>-6.2600531425260897E-8</v>
          </cell>
          <cell r="R36">
            <v>-1.6103987434235023E-5</v>
          </cell>
          <cell r="S36">
            <v>-8.3398363885170301E-2</v>
          </cell>
        </row>
        <row r="37">
          <cell r="C37" t="str">
            <v>D86610000274</v>
          </cell>
          <cell r="D37" t="str">
            <v>D866</v>
          </cell>
          <cell r="E37" t="str">
            <v>MX-CANTERA PONCITLAN</v>
          </cell>
          <cell r="F37">
            <v>10000274</v>
          </cell>
          <cell r="G37" t="str">
            <v>Grava Triturada Basalto  20 mm - 3/4"</v>
          </cell>
          <cell r="H37">
            <v>10000274</v>
          </cell>
          <cell r="I37">
            <v>33312.549999999981</v>
          </cell>
          <cell r="J37">
            <v>178.05460404562274</v>
          </cell>
          <cell r="K37" t="str">
            <v>CEMENTOS MOCTEZUMA</v>
          </cell>
          <cell r="L37">
            <v>177.48999788117109</v>
          </cell>
          <cell r="M37" t="str">
            <v>CEMENTOS MOCTEZUMA</v>
          </cell>
          <cell r="N37">
            <v>6302.1799999999976</v>
          </cell>
          <cell r="O37">
            <v>0.18918335582235526</v>
          </cell>
          <cell r="P37">
            <v>177.48999869886299</v>
          </cell>
          <cell r="Q37">
            <v>4.6069745796017969E-9</v>
          </cell>
          <cell r="R37">
            <v>8.1769189819169696E-7</v>
          </cell>
          <cell r="S37">
            <v>2.7239402243105799E-2</v>
          </cell>
        </row>
        <row r="38">
          <cell r="C38" t="str">
            <v>D89310051295</v>
          </cell>
          <cell r="D38" t="str">
            <v>D893</v>
          </cell>
          <cell r="E38" t="str">
            <v>MX-CANTERA TIJUANA II</v>
          </cell>
          <cell r="F38">
            <v>10051295</v>
          </cell>
          <cell r="G38" t="str">
            <v>Grava Triturada Basalto  10 mm - 3/8"</v>
          </cell>
          <cell r="H38">
            <v>10051295</v>
          </cell>
          <cell r="I38">
            <v>560.38</v>
          </cell>
          <cell r="J38">
            <v>325.50001784503382</v>
          </cell>
          <cell r="K38" t="str">
            <v>DC CONCRETOS</v>
          </cell>
          <cell r="L38">
            <v>325.49994064879331</v>
          </cell>
          <cell r="M38" t="str">
            <v>DC CONCRETOS</v>
          </cell>
          <cell r="N38">
            <v>1919.9999999999998</v>
          </cell>
          <cell r="O38">
            <v>3.4262464756058386</v>
          </cell>
          <cell r="P38">
            <v>325.49993229166671</v>
          </cell>
          <cell r="Q38">
            <v>-2.5674740777859029E-8</v>
          </cell>
          <cell r="R38">
            <v>-8.3571266031867708E-6</v>
          </cell>
          <cell r="S38">
            <v>-4.6831666058938029E-3</v>
          </cell>
        </row>
        <row r="39">
          <cell r="C39" t="str">
            <v>D89310051293</v>
          </cell>
          <cell r="D39" t="str">
            <v>D893</v>
          </cell>
          <cell r="E39" t="str">
            <v>MX-CANTERA TIJUANA II</v>
          </cell>
          <cell r="F39">
            <v>10051293</v>
          </cell>
          <cell r="G39" t="str">
            <v>Grava Triturada Basalto  20 mm - 3/4"</v>
          </cell>
          <cell r="H39">
            <v>10051293</v>
          </cell>
          <cell r="I39">
            <v>23802.049999999985</v>
          </cell>
          <cell r="J39">
            <v>234.91792051524945</v>
          </cell>
          <cell r="K39" t="str">
            <v>DC CONCRETOS</v>
          </cell>
          <cell r="L39">
            <v>236.24998140641847</v>
          </cell>
          <cell r="M39" t="str">
            <v>CRISOL CONSTRUCTORA</v>
          </cell>
          <cell r="N39">
            <v>2958.9999999999991</v>
          </cell>
          <cell r="O39">
            <v>0.12431702311355539</v>
          </cell>
          <cell r="P39">
            <v>235.19996282527887</v>
          </cell>
          <cell r="Q39">
            <v>-4.4445234445680271E-3</v>
          </cell>
          <cell r="R39">
            <v>-1.0500185811395966</v>
          </cell>
          <cell r="S39">
            <v>-24992.59476921372</v>
          </cell>
        </row>
        <row r="40">
          <cell r="C40" t="str">
            <v>D89310199160</v>
          </cell>
          <cell r="D40" t="str">
            <v>D893</v>
          </cell>
          <cell r="E40" t="str">
            <v>MX-CANTERA TIJUANA II</v>
          </cell>
          <cell r="F40">
            <v>10199160</v>
          </cell>
          <cell r="G40" t="str">
            <v>Grava Triturada Basalto  40 mm - 1 1/2"</v>
          </cell>
          <cell r="H40">
            <v>10199160</v>
          </cell>
          <cell r="I40">
            <v>2877.0300000000007</v>
          </cell>
          <cell r="J40">
            <v>227.83133648241417</v>
          </cell>
          <cell r="K40" t="str">
            <v>BC CONCRETOS Y SERVICIOS</v>
          </cell>
          <cell r="L40">
            <v>228.28998684053118</v>
          </cell>
          <cell r="M40" t="str">
            <v>CONCRETOS T Y G</v>
          </cell>
          <cell r="N40">
            <v>518.85</v>
          </cell>
          <cell r="O40">
            <v>0.18034222792254509</v>
          </cell>
          <cell r="P40">
            <v>229.36999132697309</v>
          </cell>
          <cell r="Q40">
            <v>4.7308447531531073E-3</v>
          </cell>
          <cell r="R40">
            <v>1.0800044864419078</v>
          </cell>
          <cell r="S40">
            <v>3107.2053076279626</v>
          </cell>
        </row>
        <row r="41">
          <cell r="C41" t="str">
            <v>DU0710000101</v>
          </cell>
          <cell r="D41" t="str">
            <v>DU07</v>
          </cell>
          <cell r="E41" t="str">
            <v>MX-CANCÚN III</v>
          </cell>
          <cell r="F41">
            <v>10000101</v>
          </cell>
          <cell r="G41" t="str">
            <v>Arena Triturada Caliza Malla 4</v>
          </cell>
          <cell r="H41">
            <v>10000101</v>
          </cell>
          <cell r="I41">
            <v>7315.9710000000105</v>
          </cell>
          <cell r="J41">
            <v>316.35451261356877</v>
          </cell>
          <cell r="K41" t="str">
            <v>900007778 SF TC-ALIANCO MAQAR</v>
          </cell>
          <cell r="L41">
            <v>310.10000000000002</v>
          </cell>
          <cell r="M41" t="str">
            <v>900007778 SF TC-ALIANCO MAQAR</v>
          </cell>
          <cell r="N41" t="str">
            <v/>
          </cell>
          <cell r="O41" t="str">
            <v/>
          </cell>
          <cell r="P41">
            <v>310.10000000000002</v>
          </cell>
          <cell r="Q41">
            <v>0</v>
          </cell>
          <cell r="R41">
            <v>0</v>
          </cell>
          <cell r="S41">
            <v>0</v>
          </cell>
        </row>
        <row r="42">
          <cell r="C42" t="str">
            <v>DU0710000101</v>
          </cell>
          <cell r="D42" t="str">
            <v>DU07</v>
          </cell>
          <cell r="E42" t="str">
            <v>MX-CANCÚN III</v>
          </cell>
          <cell r="F42">
            <v>10000112</v>
          </cell>
          <cell r="G42" t="str">
            <v>Grava Triturada Caliza 13 mm - 1/2"</v>
          </cell>
          <cell r="H42">
            <v>10000112</v>
          </cell>
          <cell r="I42">
            <v>4021.3920000000012</v>
          </cell>
          <cell r="J42">
            <v>248.39487172600934</v>
          </cell>
          <cell r="K42" t="str">
            <v>900002370 TC-MOSECA</v>
          </cell>
          <cell r="L42">
            <v>248</v>
          </cell>
          <cell r="M42" t="str">
            <v>900002370 TC-MOSECA</v>
          </cell>
          <cell r="N42" t="str">
            <v/>
          </cell>
          <cell r="O42" t="str">
            <v/>
          </cell>
          <cell r="P42">
            <v>248</v>
          </cell>
          <cell r="Q42">
            <v>0</v>
          </cell>
          <cell r="R42">
            <v>0</v>
          </cell>
          <cell r="S42">
            <v>0</v>
          </cell>
        </row>
        <row r="43">
          <cell r="C43" t="str">
            <v>DU0710000110</v>
          </cell>
          <cell r="D43" t="str">
            <v>DU07</v>
          </cell>
          <cell r="E43" t="str">
            <v>MX-CANCÚN III</v>
          </cell>
          <cell r="F43">
            <v>10000110</v>
          </cell>
          <cell r="G43" t="str">
            <v>Grava Triturada Caliza 20 mm - 3/4"</v>
          </cell>
          <cell r="H43">
            <v>10000110</v>
          </cell>
          <cell r="I43">
            <v>4599.8300000000017</v>
          </cell>
          <cell r="J43">
            <v>286.83300687199358</v>
          </cell>
          <cell r="K43" t="str">
            <v>UNDER CONCRETOS</v>
          </cell>
          <cell r="L43">
            <v>283.10001979816076</v>
          </cell>
          <cell r="M43" t="str">
            <v>UNDER CONCRETOS</v>
          </cell>
          <cell r="N43">
            <v>2522.0999999999985</v>
          </cell>
          <cell r="O43">
            <v>0.54830287206266271</v>
          </cell>
          <cell r="P43">
            <v>283.10005550929776</v>
          </cell>
          <cell r="Q43">
            <v>1.2614318078973952E-7</v>
          </cell>
          <cell r="R43">
            <v>3.5711137002181204E-5</v>
          </cell>
          <cell r="S43">
            <v>0.16426515931674324</v>
          </cell>
        </row>
        <row r="44">
          <cell r="E44" t="str">
            <v>TODAS LAS CANTERAS</v>
          </cell>
          <cell r="G44" t="str">
            <v>TODOS LOS MATERIALES</v>
          </cell>
          <cell r="I44">
            <v>468650.31300000002</v>
          </cell>
          <cell r="J44">
            <v>209.99038997761212</v>
          </cell>
          <cell r="L44">
            <v>209.58265539354753</v>
          </cell>
          <cell r="M44" t="str">
            <v>N.D</v>
          </cell>
          <cell r="N44" t="str">
            <v>N.D</v>
          </cell>
          <cell r="O44" t="str">
            <v>N.D.</v>
          </cell>
          <cell r="P44">
            <v>209.46729747435245</v>
          </cell>
          <cell r="Q44">
            <v>-5.504172994585943E-4</v>
          </cell>
          <cell r="R44">
            <v>-0.11535791919507687</v>
          </cell>
        </row>
      </sheetData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mplate Resumen"/>
      <sheetName val="Analisis Estadistico"/>
      <sheetName val="TRABAJO"/>
      <sheetName val="CONSOLIDADO"/>
      <sheetName val="SINERGIA"/>
    </sheetNames>
    <sheetDataSet>
      <sheetData sheetId="0" refreshError="1"/>
      <sheetData sheetId="1" refreshError="1"/>
      <sheetData sheetId="2" refreshError="1">
        <row r="1">
          <cell r="P1">
            <v>0</v>
          </cell>
        </row>
        <row r="2">
          <cell r="J2" t="str">
            <v>Filial May'25</v>
          </cell>
          <cell r="L2" t="str">
            <v>Cliente de Referencia</v>
          </cell>
          <cell r="Q2" t="str">
            <v>Precio Referencia</v>
          </cell>
        </row>
        <row r="3">
          <cell r="C3" t="str">
            <v>llave</v>
          </cell>
          <cell r="D3" t="str">
            <v>UO</v>
          </cell>
          <cell r="E3" t="str">
            <v>Cantera</v>
          </cell>
          <cell r="F3" t="str">
            <v>Material</v>
          </cell>
          <cell r="G3" t="str">
            <v>Material</v>
          </cell>
          <cell r="H3" t="str">
            <v>Material</v>
          </cell>
          <cell r="J3" t="str">
            <v>Vol Filial</v>
          </cell>
          <cell r="K3" t="str">
            <v xml:space="preserve">$ Filial </v>
          </cell>
          <cell r="L3" t="str">
            <v>Cliente Ref MA</v>
          </cell>
          <cell r="M3" t="str">
            <v>$ Ref MA</v>
          </cell>
          <cell r="N3" t="str">
            <v>Cliente</v>
          </cell>
          <cell r="O3" t="str">
            <v>Vol. Cliente</v>
          </cell>
          <cell r="P3" t="str">
            <v>% filial</v>
          </cell>
          <cell r="Q3" t="str">
            <v>$ Ref Jun'25</v>
          </cell>
        </row>
        <row r="4">
          <cell r="C4" t="str">
            <v>D86410001073</v>
          </cell>
          <cell r="D4" t="str">
            <v>D864</v>
          </cell>
          <cell r="E4" t="str">
            <v>MX-CANTERA CERRO JARDIN</v>
          </cell>
          <cell r="F4">
            <v>10001073</v>
          </cell>
          <cell r="G4" t="str">
            <v>Arena Triturada Caliza Malla 4</v>
          </cell>
          <cell r="H4">
            <v>10001073</v>
          </cell>
          <cell r="I4" t="str">
            <v>D86410001073</v>
          </cell>
          <cell r="J4">
            <v>7045.670000000001</v>
          </cell>
          <cell r="K4">
            <v>83.946487700956723</v>
          </cell>
          <cell r="L4" t="str">
            <v>CEMENTOS MOCTEZUMA</v>
          </cell>
          <cell r="M4">
            <v>87.5</v>
          </cell>
          <cell r="N4" t="str">
            <v>CEMENTOS MOCTEZUMA</v>
          </cell>
          <cell r="O4">
            <v>3952.22</v>
          </cell>
          <cell r="P4">
            <v>0.56094310406249503</v>
          </cell>
          <cell r="Q4">
            <v>87.5</v>
          </cell>
        </row>
        <row r="5">
          <cell r="C5" t="str">
            <v>D86410000236</v>
          </cell>
          <cell r="D5" t="str">
            <v>D864</v>
          </cell>
          <cell r="E5" t="str">
            <v>MX-CANTERA CERRO JARDIN</v>
          </cell>
          <cell r="F5">
            <v>10000236</v>
          </cell>
          <cell r="G5" t="str">
            <v>Grava Triturada Caliza 10 mm - 3/8"</v>
          </cell>
          <cell r="H5">
            <v>10000236</v>
          </cell>
          <cell r="I5" t="str">
            <v>D86410000236</v>
          </cell>
          <cell r="J5">
            <v>5594.5499999999993</v>
          </cell>
          <cell r="K5">
            <v>117.37795175662038</v>
          </cell>
          <cell r="L5" t="str">
            <v>CONCRETOS TPM-FORTALEZA</v>
          </cell>
          <cell r="M5">
            <v>120</v>
          </cell>
          <cell r="N5" t="str">
            <v>CONCRETOS TPM-FORTALEZA</v>
          </cell>
          <cell r="O5">
            <v>2039.5500000000002</v>
          </cell>
          <cell r="P5">
            <v>0.36456015229106908</v>
          </cell>
          <cell r="Q5">
            <v>120</v>
          </cell>
        </row>
        <row r="6">
          <cell r="C6" t="str">
            <v>D86410000269</v>
          </cell>
          <cell r="D6" t="str">
            <v>D864</v>
          </cell>
          <cell r="E6" t="str">
            <v>MX-CANTERA CERRO JARDIN</v>
          </cell>
          <cell r="F6">
            <v>10000269</v>
          </cell>
          <cell r="G6" t="str">
            <v>Grava Triturada Caliza 13 mm - 1/2"</v>
          </cell>
          <cell r="H6">
            <v>10000269</v>
          </cell>
          <cell r="I6" t="str">
            <v>D86410000269</v>
          </cell>
          <cell r="J6">
            <v>257.34000000000003</v>
          </cell>
          <cell r="K6">
            <v>127.94505323696275</v>
          </cell>
          <cell r="L6" t="str">
            <v>MARRUB DESARROLLOS PUBLICOS Y</v>
          </cell>
          <cell r="M6">
            <v>137</v>
          </cell>
          <cell r="N6" t="str">
            <v>MARRUB DESARROLLOS PUBLICOS Y</v>
          </cell>
          <cell r="O6">
            <v>161</v>
          </cell>
          <cell r="P6">
            <v>0.62563146032486194</v>
          </cell>
          <cell r="Q6">
            <v>137</v>
          </cell>
        </row>
        <row r="7">
          <cell r="C7" t="str">
            <v>D86410000240</v>
          </cell>
          <cell r="D7" t="str">
            <v>D864</v>
          </cell>
          <cell r="E7" t="str">
            <v>MX-CANTERA CERRO JARDIN</v>
          </cell>
          <cell r="F7">
            <v>10000240</v>
          </cell>
          <cell r="G7" t="str">
            <v>Grava Triturada Caliza 20 mm - 3/4"</v>
          </cell>
          <cell r="H7">
            <v>10000240</v>
          </cell>
          <cell r="I7" t="str">
            <v>D86410000240</v>
          </cell>
          <cell r="J7">
            <v>6999.9100000000053</v>
          </cell>
          <cell r="K7">
            <v>124.76702986181256</v>
          </cell>
          <cell r="L7" t="str">
            <v>CONCRETOS TPM-FORTALEZA</v>
          </cell>
          <cell r="M7">
            <v>127</v>
          </cell>
          <cell r="N7" t="str">
            <v>CONCRETOS TPM-FORTALEZA</v>
          </cell>
          <cell r="O7">
            <v>13144.329999999996</v>
          </cell>
          <cell r="P7">
            <v>1.8777855715287748</v>
          </cell>
          <cell r="Q7">
            <v>127</v>
          </cell>
        </row>
        <row r="8">
          <cell r="C8" t="str">
            <v>D86410001074</v>
          </cell>
          <cell r="D8" t="str">
            <v>D864</v>
          </cell>
          <cell r="E8" t="str">
            <v>MX-CANTERA CERRO JARDIN</v>
          </cell>
          <cell r="F8">
            <v>10001074</v>
          </cell>
          <cell r="G8" t="str">
            <v>Grava Triturada Caliza 40 mm - 1 1/2"</v>
          </cell>
          <cell r="H8">
            <v>10001074</v>
          </cell>
          <cell r="I8" t="str">
            <v>D86410001074</v>
          </cell>
          <cell r="J8">
            <v>5981.14</v>
          </cell>
          <cell r="K8">
            <v>134.53484954373235</v>
          </cell>
          <cell r="L8" t="str">
            <v>CEMENTOS MOCTEZUMA</v>
          </cell>
          <cell r="M8">
            <v>137</v>
          </cell>
          <cell r="N8" t="str">
            <v>CEMENTOS MOCTEZUMA</v>
          </cell>
          <cell r="O8">
            <v>1173.8899999999999</v>
          </cell>
          <cell r="P8">
            <v>0.19626526046874004</v>
          </cell>
          <cell r="Q8">
            <v>137</v>
          </cell>
        </row>
        <row r="9">
          <cell r="C9" t="str">
            <v>D86110000311</v>
          </cell>
          <cell r="D9" t="str">
            <v>D861</v>
          </cell>
          <cell r="E9" t="str">
            <v>MX-CANTERA QUERETARO</v>
          </cell>
          <cell r="F9">
            <v>10000311</v>
          </cell>
          <cell r="G9" t="str">
            <v>Arena Triturada Basalto  Malla 4</v>
          </cell>
          <cell r="H9">
            <v>10000311</v>
          </cell>
          <cell r="I9" t="str">
            <v>D86110000311</v>
          </cell>
          <cell r="J9">
            <v>772.30999999999983</v>
          </cell>
          <cell r="K9">
            <v>190.69051287695365</v>
          </cell>
          <cell r="L9" t="str">
            <v>900006110 SF TC-LA CAÑADA FILIAL</v>
          </cell>
          <cell r="M9">
            <v>188</v>
          </cell>
          <cell r="N9" t="str">
            <v>GRUPO EMPRESARIAL MIXERPLUS</v>
          </cell>
          <cell r="O9">
            <v>344.25</v>
          </cell>
          <cell r="P9">
            <v>0.44574069997798821</v>
          </cell>
          <cell r="Q9">
            <v>184.00000000000003</v>
          </cell>
        </row>
        <row r="10">
          <cell r="C10" t="str">
            <v>D86110000229</v>
          </cell>
          <cell r="D10" t="str">
            <v>D861</v>
          </cell>
          <cell r="E10" t="str">
            <v>MX-CANTERA QUERETARO</v>
          </cell>
          <cell r="F10">
            <v>10000229</v>
          </cell>
          <cell r="G10" t="str">
            <v>Grava Triturada Basalto  10 mm - 3/8"</v>
          </cell>
          <cell r="H10">
            <v>10000229</v>
          </cell>
          <cell r="I10" t="str">
            <v>D86110000229</v>
          </cell>
          <cell r="J10">
            <v>1193.6300000000001</v>
          </cell>
          <cell r="K10">
            <v>220.32413729547682</v>
          </cell>
          <cell r="L10" t="str">
            <v>900006111 SF TC- ANA REBECA</v>
          </cell>
          <cell r="M10">
            <v>216</v>
          </cell>
          <cell r="N10" t="str">
            <v>CEMENTOS MOCTEZUMA</v>
          </cell>
          <cell r="O10">
            <v>128.36000000000001</v>
          </cell>
          <cell r="P10">
            <v>0.10753751162420516</v>
          </cell>
          <cell r="Q10">
            <v>239.77002181364909</v>
          </cell>
        </row>
        <row r="11">
          <cell r="C11" t="str">
            <v>D86110000231</v>
          </cell>
          <cell r="D11" t="str">
            <v>D861</v>
          </cell>
          <cell r="E11" t="str">
            <v>MX-CANTERA QUERETARO</v>
          </cell>
          <cell r="F11">
            <v>10000231</v>
          </cell>
          <cell r="G11" t="str">
            <v>Grava Triturada Basalto  20 mm - 3/4"</v>
          </cell>
          <cell r="H11">
            <v>10000231</v>
          </cell>
          <cell r="I11" t="str">
            <v>D86110000231</v>
          </cell>
          <cell r="J11">
            <v>15805.373000000011</v>
          </cell>
          <cell r="K11">
            <v>215.98000376201165</v>
          </cell>
          <cell r="L11" t="str">
            <v>CEMENTOS MOCTEZUMA</v>
          </cell>
          <cell r="M11">
            <v>215.97999592875317</v>
          </cell>
          <cell r="N11" t="str">
            <v>CEMENTOS MOCTEZUMA</v>
          </cell>
          <cell r="O11">
            <v>6710.1500000000033</v>
          </cell>
          <cell r="P11">
            <v>0.42454866455856494</v>
          </cell>
          <cell r="Q11">
            <v>215.97999448596525</v>
          </cell>
        </row>
        <row r="12">
          <cell r="C12" t="str">
            <v>D86110000233</v>
          </cell>
          <cell r="D12" t="str">
            <v>D861</v>
          </cell>
          <cell r="E12" t="str">
            <v>MX-CANTERA QUERETARO</v>
          </cell>
          <cell r="F12">
            <v>10000233</v>
          </cell>
          <cell r="G12" t="str">
            <v>Grava Triturada Basalto  40 mm - 1 1/2"</v>
          </cell>
          <cell r="H12">
            <v>10000233</v>
          </cell>
          <cell r="I12" t="str">
            <v>D86110000233</v>
          </cell>
          <cell r="J12">
            <v>3952.4399999999991</v>
          </cell>
          <cell r="K12">
            <v>208.4333196708869</v>
          </cell>
          <cell r="L12" t="str">
            <v>CEMENTOS MOCTEZUMA</v>
          </cell>
          <cell r="M12">
            <v>215.97999910988472</v>
          </cell>
          <cell r="N12" t="str">
            <v>CEMENTOS MOCTEZUMA</v>
          </cell>
          <cell r="O12">
            <v>991.95000000000016</v>
          </cell>
          <cell r="P12">
            <v>0.25097155175031127</v>
          </cell>
          <cell r="Q12">
            <v>215.97997882957804</v>
          </cell>
        </row>
        <row r="13">
          <cell r="C13" t="str">
            <v>D86110066861</v>
          </cell>
          <cell r="D13" t="str">
            <v>D861</v>
          </cell>
          <cell r="E13" t="str">
            <v>MX-CANTERA QUERETARO</v>
          </cell>
          <cell r="F13">
            <v>10066861</v>
          </cell>
          <cell r="G13" t="str">
            <v>GRAVA TRITURADA BASALTO DE 40 A 4 MM</v>
          </cell>
          <cell r="H13">
            <v>10000233</v>
          </cell>
          <cell r="I13" t="str">
            <v>D86110066861</v>
          </cell>
          <cell r="J13">
            <v>3952.4399999999991</v>
          </cell>
          <cell r="K13">
            <v>208.4333196708869</v>
          </cell>
          <cell r="L13" t="str">
            <v>CEMENTOS MOCTEZUMA</v>
          </cell>
          <cell r="M13">
            <v>215.97999910988472</v>
          </cell>
          <cell r="N13" t="str">
            <v>CEMENTOS MOCTEZUMA</v>
          </cell>
          <cell r="O13">
            <v>991.95000000000016</v>
          </cell>
          <cell r="P13">
            <v>0.25097155175031127</v>
          </cell>
          <cell r="Q13">
            <v>215.97997882957804</v>
          </cell>
        </row>
        <row r="14">
          <cell r="C14" t="str">
            <v>D81310000255</v>
          </cell>
          <cell r="D14" t="str">
            <v>D813</v>
          </cell>
          <cell r="E14" t="str">
            <v>MX-CANTERA SAN VICENTE</v>
          </cell>
          <cell r="F14">
            <v>10000255</v>
          </cell>
          <cell r="G14" t="str">
            <v>Arena Triturada Andesita Malla 4</v>
          </cell>
          <cell r="H14">
            <v>10000255</v>
          </cell>
          <cell r="I14" t="str">
            <v>D81310000255</v>
          </cell>
          <cell r="J14">
            <v>53655.26999999996</v>
          </cell>
          <cell r="K14">
            <v>101.24474483121624</v>
          </cell>
          <cell r="L14" t="str">
            <v>CONCRETOS TPM-FORTALEZA</v>
          </cell>
          <cell r="M14">
            <v>104.14</v>
          </cell>
          <cell r="N14" t="str">
            <v>CONCRETOS TPM-FORTALEZA</v>
          </cell>
          <cell r="O14">
            <v>15600.850000000011</v>
          </cell>
          <cell r="P14">
            <v>0.29076081436175838</v>
          </cell>
          <cell r="Q14">
            <v>104.14</v>
          </cell>
        </row>
        <row r="15">
          <cell r="C15" t="str">
            <v>D81310002350</v>
          </cell>
          <cell r="D15" t="str">
            <v>D813</v>
          </cell>
          <cell r="E15" t="str">
            <v>MX-CANTERA SAN VICENTE</v>
          </cell>
          <cell r="F15">
            <v>10002350</v>
          </cell>
          <cell r="G15" t="str">
            <v>Grava Triturada Andesita 10mm-3/8"</v>
          </cell>
          <cell r="H15">
            <v>10002350</v>
          </cell>
          <cell r="I15" t="str">
            <v>D81310002350</v>
          </cell>
          <cell r="J15">
            <v>762.66</v>
          </cell>
          <cell r="K15">
            <v>132.16450318621668</v>
          </cell>
          <cell r="L15" t="str">
            <v>CEMENTOS MOCTEZUMA</v>
          </cell>
          <cell r="M15">
            <v>134.6</v>
          </cell>
          <cell r="N15" t="str">
            <v>CONCRETOS TPM-FORTALEZA</v>
          </cell>
          <cell r="O15">
            <v>373.71000000000004</v>
          </cell>
          <cell r="P15">
            <v>0.4900086539218001</v>
          </cell>
          <cell r="Q15">
            <v>120.48997886061383</v>
          </cell>
        </row>
        <row r="16">
          <cell r="C16" t="str">
            <v>D81310000253</v>
          </cell>
          <cell r="D16" t="str">
            <v>D813</v>
          </cell>
          <cell r="E16" t="str">
            <v>MX-CANTERA SAN VICENTE</v>
          </cell>
          <cell r="F16">
            <v>10000253</v>
          </cell>
          <cell r="G16" t="str">
            <v>Grava Triturada Andesita 20 mm - 3/4"</v>
          </cell>
          <cell r="H16">
            <v>10000253</v>
          </cell>
          <cell r="I16" t="str">
            <v>D81310000253</v>
          </cell>
          <cell r="J16">
            <v>9633.2600000000039</v>
          </cell>
          <cell r="K16">
            <v>104.03362101718417</v>
          </cell>
          <cell r="L16" t="str">
            <v>CONCRETOS TPM-FORTALEZA</v>
          </cell>
          <cell r="M16">
            <v>103.90001470278011</v>
          </cell>
          <cell r="N16" t="str">
            <v>CONCRETOS TPM-FORTALEZA</v>
          </cell>
          <cell r="O16">
            <v>963.49000000000024</v>
          </cell>
          <cell r="P16">
            <v>0.10001702435105041</v>
          </cell>
          <cell r="Q16">
            <v>103.89999896210645</v>
          </cell>
        </row>
        <row r="17">
          <cell r="C17" t="str">
            <v>D87310001073</v>
          </cell>
          <cell r="D17" t="str">
            <v>D873</v>
          </cell>
          <cell r="E17" t="str">
            <v>MX-VIRTUAL VALLEJO</v>
          </cell>
          <cell r="F17">
            <v>10001073</v>
          </cell>
          <cell r="G17" t="str">
            <v>Arena Triturada Caliza Malla 4</v>
          </cell>
          <cell r="H17">
            <v>10001073</v>
          </cell>
          <cell r="I17" t="str">
            <v>D87310001073</v>
          </cell>
          <cell r="J17">
            <v>10972.880000000003</v>
          </cell>
          <cell r="K17">
            <v>194.07621608912157</v>
          </cell>
          <cell r="L17" t="str">
            <v>Vallejo Material + Inc en Precio C.Jardin (May'25) + Flete FFCC (nov24)</v>
          </cell>
          <cell r="M17">
            <v>197.8</v>
          </cell>
          <cell r="N17" t="str">
            <v>Vallejo Material + Inc en Precio C.Jardin (May'25) + Flete FFCC (nov24)</v>
          </cell>
          <cell r="O17" t="str">
            <v/>
          </cell>
          <cell r="P17" t="str">
            <v/>
          </cell>
          <cell r="Q17">
            <v>197.8</v>
          </cell>
        </row>
        <row r="18">
          <cell r="C18" t="str">
            <v>D87310000240</v>
          </cell>
          <cell r="D18" t="str">
            <v>D873</v>
          </cell>
          <cell r="E18" t="str">
            <v>MX-VIRTUAL VALLEJO</v>
          </cell>
          <cell r="F18">
            <v>10000240</v>
          </cell>
          <cell r="G18" t="str">
            <v>Grava Triturada Caliza 20 mm - 3/4"</v>
          </cell>
          <cell r="H18">
            <v>10000240</v>
          </cell>
          <cell r="I18" t="str">
            <v>D87310000240</v>
          </cell>
          <cell r="J18">
            <v>45812.870999999977</v>
          </cell>
          <cell r="K18">
            <v>256.97550454761966</v>
          </cell>
          <cell r="L18" t="str">
            <v>Vallejo Material + Inc en Precio C.Jardin (May'25) + Flete FFCC (nov24)</v>
          </cell>
          <cell r="M18">
            <v>258.77</v>
          </cell>
          <cell r="N18" t="str">
            <v>Vallejo Material + Inc en Precio C.Jardin (May'25) + Flete FFCC (nov24)</v>
          </cell>
          <cell r="O18" t="str">
            <v/>
          </cell>
          <cell r="P18" t="str">
            <v/>
          </cell>
          <cell r="Q18">
            <v>258.77</v>
          </cell>
        </row>
        <row r="19">
          <cell r="C19" t="str">
            <v>D82410000234</v>
          </cell>
          <cell r="D19" t="str">
            <v>D824</v>
          </cell>
          <cell r="E19" t="str">
            <v>MX-CANTERA LEON</v>
          </cell>
          <cell r="F19">
            <v>10000234</v>
          </cell>
          <cell r="G19" t="str">
            <v>Arena Triturada Basalto  Malla 4</v>
          </cell>
          <cell r="H19">
            <v>10000234</v>
          </cell>
          <cell r="I19" t="str">
            <v>D82410000234</v>
          </cell>
          <cell r="J19">
            <v>1401.97</v>
          </cell>
          <cell r="K19">
            <v>161.04214783483238</v>
          </cell>
          <cell r="L19" t="str">
            <v>ARENAS Y GRAVAS DEL BAJIO</v>
          </cell>
          <cell r="M19">
            <v>159.00000000000009</v>
          </cell>
          <cell r="N19" t="str">
            <v>ARENAS Y GRAVAS DEL BAJIO</v>
          </cell>
          <cell r="O19">
            <v>4705.8999999999987</v>
          </cell>
          <cell r="P19">
            <v>3.3566338794696025</v>
          </cell>
          <cell r="Q19">
            <v>159</v>
          </cell>
        </row>
        <row r="20">
          <cell r="C20" t="str">
            <v>D82410000285</v>
          </cell>
          <cell r="D20" t="str">
            <v>D824</v>
          </cell>
          <cell r="E20" t="str">
            <v>MX-CANTERA LEON</v>
          </cell>
          <cell r="F20">
            <v>10000285</v>
          </cell>
          <cell r="G20" t="str">
            <v>Grava Triturada Basalto  10 mm - 3/8"</v>
          </cell>
          <cell r="H20">
            <v>10000285</v>
          </cell>
          <cell r="I20" t="str">
            <v>D82410000285</v>
          </cell>
          <cell r="J20">
            <v>423.94999999999993</v>
          </cell>
          <cell r="K20">
            <v>175.00000000000006</v>
          </cell>
          <cell r="L20" t="str">
            <v>ARENAS Y GRAVAS DEL BAJIO</v>
          </cell>
          <cell r="M20">
            <v>175</v>
          </cell>
          <cell r="N20" t="str">
            <v>ARENAS Y GRAVAS DEL BAJIO</v>
          </cell>
          <cell r="O20">
            <v>113.9</v>
          </cell>
          <cell r="P20">
            <v>0.26866375751857535</v>
          </cell>
          <cell r="Q20">
            <v>175</v>
          </cell>
        </row>
        <row r="21">
          <cell r="C21" t="str">
            <v>D82410000284</v>
          </cell>
          <cell r="D21" t="str">
            <v>D824</v>
          </cell>
          <cell r="E21" t="str">
            <v>MX-CANTERA LEON</v>
          </cell>
          <cell r="F21">
            <v>10000284</v>
          </cell>
          <cell r="G21" t="str">
            <v>Grava Triturada Basalto  20 mm - 3/4"</v>
          </cell>
          <cell r="H21">
            <v>10000284</v>
          </cell>
          <cell r="I21" t="str">
            <v>D82410000284</v>
          </cell>
          <cell r="J21">
            <v>8881.0099999999966</v>
          </cell>
          <cell r="K21">
            <v>175.00000112599815</v>
          </cell>
          <cell r="L21" t="str">
            <v>ARENAS Y GRAVAS DEL BAJIO</v>
          </cell>
          <cell r="M21">
            <v>174.99999999999997</v>
          </cell>
          <cell r="N21" t="str">
            <v>ARENAS Y GRAVAS DEL BAJIO</v>
          </cell>
          <cell r="O21">
            <v>1295.6899999999998</v>
          </cell>
          <cell r="P21">
            <v>0.14589444218619282</v>
          </cell>
          <cell r="Q21">
            <v>175.00000000000003</v>
          </cell>
        </row>
        <row r="22">
          <cell r="C22" t="str">
            <v>D82410000287</v>
          </cell>
          <cell r="D22" t="str">
            <v>D824</v>
          </cell>
          <cell r="E22" t="str">
            <v>MX-CANTERA LEON</v>
          </cell>
          <cell r="F22">
            <v>10000287</v>
          </cell>
          <cell r="G22" t="str">
            <v>Grava Triturada Basalto  40 mm - 1 1/2"</v>
          </cell>
          <cell r="H22">
            <v>10000287</v>
          </cell>
          <cell r="I22" t="str">
            <v>D82410000287</v>
          </cell>
          <cell r="J22">
            <v>1780.5499999999995</v>
          </cell>
          <cell r="K22">
            <v>175.00001123248444</v>
          </cell>
          <cell r="L22" t="str">
            <v>ARENAS Y GRAVAS DEL BAJIO</v>
          </cell>
          <cell r="M22">
            <v>175</v>
          </cell>
          <cell r="N22" t="str">
            <v>ARENAS Y GRAVAS DEL BAJIO</v>
          </cell>
          <cell r="O22">
            <v>1118.22</v>
          </cell>
          <cell r="P22">
            <v>0.62801943219791656</v>
          </cell>
          <cell r="Q22">
            <v>175</v>
          </cell>
        </row>
        <row r="23">
          <cell r="C23" t="str">
            <v>D81610000124</v>
          </cell>
          <cell r="D23" t="str">
            <v>D816</v>
          </cell>
          <cell r="E23" t="str">
            <v>MX-CANTERA MONTERREY</v>
          </cell>
          <cell r="F23">
            <v>10000124</v>
          </cell>
          <cell r="G23" t="str">
            <v>Arena Triturada Caliza Malla 4</v>
          </cell>
          <cell r="H23">
            <v>10164169</v>
          </cell>
          <cell r="I23" t="str">
            <v>D81610000124</v>
          </cell>
          <cell r="J23">
            <v>99949.599999999904</v>
          </cell>
          <cell r="K23">
            <v>274.89307781121738</v>
          </cell>
          <cell r="L23" t="str">
            <v>900000941 (ED) TC-ED-GIH</v>
          </cell>
          <cell r="M23">
            <v>273.5</v>
          </cell>
          <cell r="N23" t="str">
            <v>900000941 (ED) TC-ED-GIH</v>
          </cell>
          <cell r="O23" t="str">
            <v/>
          </cell>
          <cell r="P23" t="str">
            <v/>
          </cell>
          <cell r="Q23">
            <v>273.5</v>
          </cell>
        </row>
        <row r="24">
          <cell r="C24" t="str">
            <v>D81610164169</v>
          </cell>
          <cell r="D24" t="str">
            <v>D816</v>
          </cell>
          <cell r="E24" t="str">
            <v>MX-CANTERA MONTERREY</v>
          </cell>
          <cell r="F24">
            <v>10164169</v>
          </cell>
          <cell r="G24" t="str">
            <v>ARENA TRITURADA CALIZA MALLA 4 B47 FILIA</v>
          </cell>
          <cell r="H24">
            <v>10164169</v>
          </cell>
          <cell r="I24" t="str">
            <v>D81610164169</v>
          </cell>
          <cell r="J24">
            <v>99949.599999999904</v>
          </cell>
          <cell r="K24">
            <v>274.89307781121738</v>
          </cell>
          <cell r="L24" t="str">
            <v>900000941 (ED) TC-ED-GIH</v>
          </cell>
          <cell r="M24">
            <v>273.5</v>
          </cell>
          <cell r="N24" t="str">
            <v>900000941 (ED) TC-ED-GIH</v>
          </cell>
          <cell r="O24" t="str">
            <v/>
          </cell>
          <cell r="P24" t="str">
            <v/>
          </cell>
          <cell r="Q24">
            <v>273.5</v>
          </cell>
        </row>
        <row r="25">
          <cell r="C25" t="str">
            <v>D81610000260</v>
          </cell>
          <cell r="D25" t="str">
            <v>D816</v>
          </cell>
          <cell r="E25" t="str">
            <v>MX-CANTERA MONTERREY</v>
          </cell>
          <cell r="F25">
            <v>10000260</v>
          </cell>
          <cell r="G25" t="str">
            <v>Arena Triturada Caliza Malla 5</v>
          </cell>
          <cell r="H25">
            <v>10000260</v>
          </cell>
          <cell r="I25" t="str">
            <v>D81610000260</v>
          </cell>
          <cell r="J25">
            <v>155.43</v>
          </cell>
          <cell r="K25">
            <v>387.99999999999989</v>
          </cell>
          <cell r="L25" t="str">
            <v>PRESAJET</v>
          </cell>
          <cell r="M25">
            <v>388</v>
          </cell>
          <cell r="N25" t="str">
            <v>MATERIALES Y BLOCKS GARCIA</v>
          </cell>
          <cell r="O25">
            <v>40</v>
          </cell>
          <cell r="P25" t="str">
            <v/>
          </cell>
          <cell r="Q25">
            <v>388.22985370691799</v>
          </cell>
        </row>
        <row r="26">
          <cell r="C26" t="str">
            <v>D81610000237</v>
          </cell>
          <cell r="D26" t="str">
            <v>D816</v>
          </cell>
          <cell r="E26" t="str">
            <v>MX-CANTERA MONTERREY</v>
          </cell>
          <cell r="F26">
            <v>10000237</v>
          </cell>
          <cell r="G26" t="str">
            <v>Grava Triturada Caliza 10 mm - 3/8"</v>
          </cell>
          <cell r="H26">
            <v>10000237</v>
          </cell>
          <cell r="I26" t="str">
            <v>D81610000237</v>
          </cell>
          <cell r="J26">
            <v>2586.2999999999997</v>
          </cell>
          <cell r="K26">
            <v>285.2221358697754</v>
          </cell>
          <cell r="L26" t="str">
            <v>900000941 (ED) TC-ED-GIH</v>
          </cell>
          <cell r="M26">
            <v>282.60000000000002</v>
          </cell>
          <cell r="N26" t="str">
            <v>900000941 (ED) TC-ED-GIH</v>
          </cell>
          <cell r="P26">
            <v>0</v>
          </cell>
          <cell r="Q26">
            <v>282.60000000000002</v>
          </cell>
        </row>
        <row r="27">
          <cell r="C27" t="str">
            <v>D81610000241</v>
          </cell>
          <cell r="D27" t="str">
            <v>D816</v>
          </cell>
          <cell r="E27" t="str">
            <v>MX-CANTERA MONTERREY</v>
          </cell>
          <cell r="F27">
            <v>10000241</v>
          </cell>
          <cell r="G27" t="str">
            <v>Grava Triturada Caliza 20 mm - 3/4"</v>
          </cell>
          <cell r="H27">
            <v>10000241</v>
          </cell>
          <cell r="I27" t="str">
            <v>D81610000241</v>
          </cell>
          <cell r="J27">
            <v>87694.220000000103</v>
          </cell>
          <cell r="K27">
            <v>274.6644313616103</v>
          </cell>
          <cell r="L27" t="str">
            <v>900000941 (ED) TC-ED-GIH</v>
          </cell>
          <cell r="M27">
            <v>273.5</v>
          </cell>
          <cell r="N27" t="str">
            <v>900000941 (ED) TC-ED-GIH</v>
          </cell>
          <cell r="O27" t="str">
            <v/>
          </cell>
          <cell r="P27" t="str">
            <v/>
          </cell>
          <cell r="Q27">
            <v>273.5</v>
          </cell>
        </row>
        <row r="28">
          <cell r="C28" t="str">
            <v>D86310038952</v>
          </cell>
          <cell r="D28" t="str">
            <v>D863</v>
          </cell>
          <cell r="E28" t="str">
            <v>MX-CANTERA TAMUIN</v>
          </cell>
          <cell r="F28">
            <v>10038952</v>
          </cell>
          <cell r="G28" t="str">
            <v>Arena Triturada Caliza Malla 4</v>
          </cell>
          <cell r="H28">
            <v>10038952</v>
          </cell>
          <cell r="I28" t="str">
            <v>D86310038952</v>
          </cell>
          <cell r="J28">
            <v>10504.040000000005</v>
          </cell>
          <cell r="K28">
            <v>154.57446182611636</v>
          </cell>
          <cell r="L28" t="str">
            <v>CONCRETOS TANCOL</v>
          </cell>
          <cell r="M28">
            <v>153.88</v>
          </cell>
          <cell r="N28" t="str">
            <v>CONCRETOS TANCOL</v>
          </cell>
          <cell r="O28">
            <v>3234.2200000000003</v>
          </cell>
          <cell r="P28">
            <v>0.30790248323502184</v>
          </cell>
          <cell r="Q28">
            <v>153.88</v>
          </cell>
        </row>
        <row r="29">
          <cell r="C29" t="str">
            <v>D86310038949</v>
          </cell>
          <cell r="D29" t="str">
            <v>D863</v>
          </cell>
          <cell r="E29" t="str">
            <v>MX-CANTERA TAMUIN</v>
          </cell>
          <cell r="F29">
            <v>10038949</v>
          </cell>
          <cell r="G29" t="str">
            <v>Grava Triturada Caliza 10 mm - 3/8"</v>
          </cell>
          <cell r="H29">
            <v>10038949</v>
          </cell>
          <cell r="I29" t="str">
            <v>D86310038949</v>
          </cell>
          <cell r="J29">
            <v>1205.53</v>
          </cell>
          <cell r="K29">
            <v>166.874337428351</v>
          </cell>
          <cell r="L29" t="str">
            <v>CONCRETOS TANCOL</v>
          </cell>
          <cell r="M29">
            <v>168.49996382142251</v>
          </cell>
          <cell r="N29" t="str">
            <v>CONCRETOS TANCOL</v>
          </cell>
          <cell r="O29">
            <v>365.68</v>
          </cell>
          <cell r="P29">
            <v>0.3033354624107239</v>
          </cell>
          <cell r="Q29">
            <v>168.49997265368629</v>
          </cell>
        </row>
        <row r="30">
          <cell r="C30" t="str">
            <v>D86310038950</v>
          </cell>
          <cell r="D30" t="str">
            <v>D863</v>
          </cell>
          <cell r="E30" t="str">
            <v>MX-CANTERA TAMUIN</v>
          </cell>
          <cell r="F30">
            <v>10038950</v>
          </cell>
          <cell r="G30" t="str">
            <v>Grava Triturada Caliza 20 mm - 3/4"</v>
          </cell>
          <cell r="H30">
            <v>10038950</v>
          </cell>
          <cell r="I30" t="str">
            <v>D86310038950</v>
          </cell>
          <cell r="J30">
            <v>3322.9600000000005</v>
          </cell>
          <cell r="K30">
            <v>153.87999855550478</v>
          </cell>
          <cell r="L30" t="str">
            <v>CONCRETOS TANCOL</v>
          </cell>
          <cell r="M30">
            <v>153.88</v>
          </cell>
          <cell r="N30" t="str">
            <v>CONCRETOS TANCOL</v>
          </cell>
          <cell r="O30">
            <v>1196.4599999999998</v>
          </cell>
          <cell r="P30">
            <v>0.36005850205840567</v>
          </cell>
          <cell r="Q30">
            <v>153.88</v>
          </cell>
        </row>
        <row r="31">
          <cell r="C31" t="str">
            <v>D86310049672</v>
          </cell>
          <cell r="D31" t="str">
            <v>D863</v>
          </cell>
          <cell r="E31" t="str">
            <v>MX-CANTERA TAMUIN</v>
          </cell>
          <cell r="F31">
            <v>10049672</v>
          </cell>
          <cell r="G31" t="str">
            <v>Grava Triturada Caliza 40 mm - 1 1/2"</v>
          </cell>
          <cell r="H31">
            <v>10049672</v>
          </cell>
          <cell r="I31" t="str">
            <v>D86310049672</v>
          </cell>
          <cell r="J31">
            <v>1722.1499999999999</v>
          </cell>
          <cell r="K31">
            <v>139.67873297912487</v>
          </cell>
          <cell r="L31" t="str">
            <v>CONCRETOS HUASTECA</v>
          </cell>
          <cell r="M31">
            <v>160</v>
          </cell>
          <cell r="N31" t="str">
            <v>CONCRETOS HUASTECA</v>
          </cell>
          <cell r="O31">
            <v>270.13</v>
          </cell>
          <cell r="P31">
            <v>0.15685625526231747</v>
          </cell>
          <cell r="Q31">
            <v>160</v>
          </cell>
        </row>
        <row r="32">
          <cell r="C32" t="str">
            <v>D85210038942</v>
          </cell>
          <cell r="D32" t="str">
            <v>D852</v>
          </cell>
          <cell r="E32" t="str">
            <v>MX-CANTERA TORREON II</v>
          </cell>
          <cell r="F32">
            <v>10038942</v>
          </cell>
          <cell r="G32" t="str">
            <v>Arena Triturada Caliza Malla 8</v>
          </cell>
          <cell r="H32">
            <v>10038942</v>
          </cell>
          <cell r="I32" t="str">
            <v>D85210038942</v>
          </cell>
          <cell r="J32">
            <v>14284.489999999987</v>
          </cell>
          <cell r="K32">
            <v>128.65867804870896</v>
          </cell>
          <cell r="L32" t="str">
            <v>CONCRETOS RICASA</v>
          </cell>
          <cell r="M32">
            <v>128.80000000000001</v>
          </cell>
          <cell r="N32" t="str">
            <v>CONCRETOS RICASA</v>
          </cell>
          <cell r="O32">
            <v>1816.0300000000004</v>
          </cell>
          <cell r="P32">
            <v>0.12713299529769717</v>
          </cell>
          <cell r="Q32">
            <v>128.80000000000001</v>
          </cell>
        </row>
        <row r="33">
          <cell r="C33" t="str">
            <v>D85210038947</v>
          </cell>
          <cell r="D33" t="str">
            <v>D852</v>
          </cell>
          <cell r="E33" t="str">
            <v>MX-CANTERA TORREON II</v>
          </cell>
          <cell r="F33">
            <v>10038947</v>
          </cell>
          <cell r="G33" t="str">
            <v>Grava Triturada Caliza 10 mm - 3/8"</v>
          </cell>
          <cell r="H33">
            <v>10038947</v>
          </cell>
          <cell r="I33" t="str">
            <v>D85210038947</v>
          </cell>
          <cell r="J33">
            <v>578.24999999999989</v>
          </cell>
          <cell r="K33">
            <v>112.81115434500653</v>
          </cell>
          <cell r="L33" t="str">
            <v>900000009 TC-TRITURADOS CRIBISSA</v>
          </cell>
          <cell r="M33">
            <v>110.9</v>
          </cell>
          <cell r="N33" t="str">
            <v>900000009 TC-TRITURADOS CRIBISSA</v>
          </cell>
          <cell r="O33" t="str">
            <v/>
          </cell>
          <cell r="P33" t="str">
            <v/>
          </cell>
          <cell r="Q33">
            <v>110.9</v>
          </cell>
        </row>
        <row r="34">
          <cell r="C34" t="str">
            <v>D85210038945</v>
          </cell>
          <cell r="D34" t="str">
            <v>D852</v>
          </cell>
          <cell r="E34" t="str">
            <v>MX-CANTERA TORREON II</v>
          </cell>
          <cell r="F34">
            <v>10038945</v>
          </cell>
          <cell r="G34" t="str">
            <v>Grava Triturada Caliza 20 mm - 3/4"</v>
          </cell>
          <cell r="H34">
            <v>10038945</v>
          </cell>
          <cell r="I34" t="str">
            <v>D85210038945</v>
          </cell>
          <cell r="J34">
            <v>5326.0699999999988</v>
          </cell>
          <cell r="K34">
            <v>123.35608995000082</v>
          </cell>
          <cell r="L34" t="str">
            <v>CONCRETOS RICASA</v>
          </cell>
          <cell r="M34">
            <v>123.19998356355769</v>
          </cell>
          <cell r="N34" t="str">
            <v>COPLASA</v>
          </cell>
          <cell r="O34">
            <v>1556.63</v>
          </cell>
          <cell r="P34">
            <v>0.29226615496979957</v>
          </cell>
          <cell r="Q34">
            <v>134.40001798757575</v>
          </cell>
        </row>
        <row r="35">
          <cell r="C35" t="str">
            <v>D85210038659</v>
          </cell>
          <cell r="D35" t="str">
            <v>D852</v>
          </cell>
          <cell r="E35" t="str">
            <v>MX-CANTERA TORREON II</v>
          </cell>
          <cell r="F35">
            <v>10038659</v>
          </cell>
          <cell r="G35" t="str">
            <v>Grava Triturada Caliza 40 mm - 1 1/2"</v>
          </cell>
          <cell r="H35">
            <v>10038659</v>
          </cell>
          <cell r="I35" t="str">
            <v>D85210038659</v>
          </cell>
          <cell r="J35">
            <v>5147.3099999999995</v>
          </cell>
          <cell r="K35">
            <v>113.88944710926691</v>
          </cell>
          <cell r="L35" t="str">
            <v>900000009 TC-TRITURADOS CRIBISSA</v>
          </cell>
          <cell r="M35">
            <v>114</v>
          </cell>
          <cell r="N35" t="str">
            <v>900000009 TC-TRITURADOS CRIBISSA</v>
          </cell>
          <cell r="O35" t="str">
            <v/>
          </cell>
          <cell r="P35" t="str">
            <v/>
          </cell>
          <cell r="Q35">
            <v>114</v>
          </cell>
        </row>
        <row r="36">
          <cell r="C36" t="str">
            <v>D86610000266</v>
          </cell>
          <cell r="D36" t="str">
            <v>D866</v>
          </cell>
          <cell r="E36" t="str">
            <v>MX-CANTERA PONCITLAN</v>
          </cell>
          <cell r="F36">
            <v>10000266</v>
          </cell>
          <cell r="G36" t="str">
            <v>Arena Triturada Basalto Malla 5</v>
          </cell>
          <cell r="H36">
            <v>10000266</v>
          </cell>
          <cell r="I36" t="str">
            <v>D86610000266</v>
          </cell>
          <cell r="J36">
            <v>10960.000000000007</v>
          </cell>
          <cell r="K36">
            <v>200.18133941605825</v>
          </cell>
          <cell r="L36" t="str">
            <v>CEMENTOS MOCTEZUMA</v>
          </cell>
          <cell r="M36">
            <v>198.95</v>
          </cell>
          <cell r="N36" t="str">
            <v>CEMENTOS MOCTEZUMA</v>
          </cell>
          <cell r="O36">
            <v>4713.3799999999983</v>
          </cell>
          <cell r="P36">
            <v>0.43005291970802878</v>
          </cell>
          <cell r="Q36">
            <v>198.95</v>
          </cell>
        </row>
        <row r="37">
          <cell r="C37" t="str">
            <v>D86610000293</v>
          </cell>
          <cell r="D37" t="str">
            <v>D866</v>
          </cell>
          <cell r="E37" t="str">
            <v>MX-CANTERA PONCITLAN</v>
          </cell>
          <cell r="F37">
            <v>10000293</v>
          </cell>
          <cell r="G37" t="str">
            <v>Grava Triturada Basalto  10 mm - 3/8"</v>
          </cell>
          <cell r="H37">
            <v>10000293</v>
          </cell>
          <cell r="I37" t="str">
            <v>D86610000293</v>
          </cell>
          <cell r="J37">
            <v>3485.7999999999993</v>
          </cell>
          <cell r="K37">
            <v>259.6255063400082</v>
          </cell>
          <cell r="L37" t="str">
            <v>CAMINOS Y PLATAFORMAS</v>
          </cell>
          <cell r="M37">
            <v>257.2500272084165</v>
          </cell>
          <cell r="N37" t="str">
            <v>CAMINOS Y PLATAFORMAS</v>
          </cell>
          <cell r="O37">
            <v>424.73999999999995</v>
          </cell>
          <cell r="P37">
            <v>0.12184864306615412</v>
          </cell>
          <cell r="Q37">
            <v>257.25001177190751</v>
          </cell>
        </row>
        <row r="38">
          <cell r="C38" t="str">
            <v>D86610000274</v>
          </cell>
          <cell r="D38" t="str">
            <v>D866</v>
          </cell>
          <cell r="E38" t="str">
            <v>MX-CANTERA PONCITLAN</v>
          </cell>
          <cell r="F38">
            <v>10000274</v>
          </cell>
          <cell r="G38" t="str">
            <v>Grava Triturada Basalto  20 mm - 3/4"</v>
          </cell>
          <cell r="H38">
            <v>10000274</v>
          </cell>
          <cell r="I38" t="str">
            <v>D86610000274</v>
          </cell>
          <cell r="J38">
            <v>31174.820000000018</v>
          </cell>
          <cell r="K38">
            <v>177.86920181094874</v>
          </cell>
          <cell r="L38" t="str">
            <v>CEMENTOS MOCTEZUMA</v>
          </cell>
          <cell r="M38">
            <v>177.48999976421962</v>
          </cell>
          <cell r="N38" t="str">
            <v>CEMENTOS MOCTEZUMA</v>
          </cell>
          <cell r="O38">
            <v>6418.6399999999985</v>
          </cell>
          <cell r="P38">
            <v>0.20589180627185641</v>
          </cell>
          <cell r="Q38">
            <v>177.48999788117109</v>
          </cell>
        </row>
        <row r="39">
          <cell r="C39" t="str">
            <v>D89310051295</v>
          </cell>
          <cell r="D39" t="str">
            <v>D893</v>
          </cell>
          <cell r="E39" t="str">
            <v>MX-CANTERA TIJUANA II</v>
          </cell>
          <cell r="F39">
            <v>10051295</v>
          </cell>
          <cell r="G39" t="str">
            <v>Grava Triturada Basalto  10 mm - 3/8"</v>
          </cell>
          <cell r="H39">
            <v>10051295</v>
          </cell>
          <cell r="I39" t="str">
            <v>D89310051295</v>
          </cell>
          <cell r="J39">
            <v>1113.9499999999998</v>
          </cell>
          <cell r="K39">
            <v>325.10662058440681</v>
          </cell>
          <cell r="L39" t="str">
            <v>DC CONCRETOS</v>
          </cell>
          <cell r="M39">
            <v>325.5</v>
          </cell>
          <cell r="N39" t="str">
            <v>DC CONCRETOS</v>
          </cell>
          <cell r="O39">
            <v>1179.4200000000003</v>
          </cell>
          <cell r="P39">
            <v>1.0587728354055392</v>
          </cell>
          <cell r="Q39">
            <v>325.49994064879331</v>
          </cell>
        </row>
        <row r="40">
          <cell r="C40" t="str">
            <v>D89310051293</v>
          </cell>
          <cell r="D40" t="str">
            <v>D893</v>
          </cell>
          <cell r="E40" t="str">
            <v>MX-CANTERA TIJUANA II</v>
          </cell>
          <cell r="F40">
            <v>10051293</v>
          </cell>
          <cell r="G40" t="str">
            <v>Grava Triturada Basalto  20 mm - 3/4"</v>
          </cell>
          <cell r="H40">
            <v>10051293</v>
          </cell>
          <cell r="I40" t="str">
            <v>D89310051293</v>
          </cell>
          <cell r="J40">
            <v>21987.279999999995</v>
          </cell>
          <cell r="K40">
            <v>232.59779517975974</v>
          </cell>
          <cell r="L40" t="str">
            <v>BC CONCRETOS Y SERVICIOS</v>
          </cell>
          <cell r="M40">
            <v>232.92</v>
          </cell>
          <cell r="N40" t="str">
            <v>DC CONCRETOS</v>
          </cell>
          <cell r="O40">
            <v>3226.920000000001</v>
          </cell>
          <cell r="P40">
            <v>0.14676303753806755</v>
          </cell>
          <cell r="Q40">
            <v>236.24998140641847</v>
          </cell>
        </row>
        <row r="41">
          <cell r="C41" t="str">
            <v>D89310197865</v>
          </cell>
          <cell r="D41" t="str">
            <v>D893</v>
          </cell>
          <cell r="E41" t="str">
            <v>MX-CANTERA TIJUANA II</v>
          </cell>
          <cell r="F41">
            <v>10197865</v>
          </cell>
          <cell r="G41" t="str">
            <v>GRAVA TRITURADA BASALTO 40-4MM - 1 1/2"</v>
          </cell>
          <cell r="H41">
            <v>10199160</v>
          </cell>
          <cell r="I41" t="e">
            <v>#N/A</v>
          </cell>
          <cell r="J41">
            <v>442.88</v>
          </cell>
          <cell r="K41">
            <v>267.77068280346822</v>
          </cell>
          <cell r="L41" t="str">
            <v>BC CONCRETOS Y SERVICIOS</v>
          </cell>
          <cell r="M41">
            <v>228.29</v>
          </cell>
          <cell r="N41" t="str">
            <v>BC CONCRETOS Y SERVICIOS</v>
          </cell>
          <cell r="O41">
            <v>167.18</v>
          </cell>
          <cell r="P41">
            <v>0.37748374277456648</v>
          </cell>
          <cell r="Q41">
            <v>228.28998684053118</v>
          </cell>
        </row>
        <row r="42">
          <cell r="C42" t="str">
            <v>D89310199160</v>
          </cell>
          <cell r="D42" t="str">
            <v>D893</v>
          </cell>
          <cell r="E42" t="str">
            <v>MX-CANTERA TIJUANA II</v>
          </cell>
          <cell r="F42">
            <v>10199160</v>
          </cell>
          <cell r="G42" t="str">
            <v>GRAVA TRITURADA BASALTO 40-20MM - 1 1/2"</v>
          </cell>
          <cell r="H42">
            <v>10199160</v>
          </cell>
          <cell r="I42" t="str">
            <v>D89310199160</v>
          </cell>
          <cell r="J42">
            <v>442.88</v>
          </cell>
          <cell r="K42">
            <v>267.77068280346822</v>
          </cell>
          <cell r="L42" t="str">
            <v>BC CONCRETOS Y SERVICIOS</v>
          </cell>
          <cell r="M42">
            <v>228.29</v>
          </cell>
          <cell r="N42" t="str">
            <v>BC CONCRETOS Y SERVICIOS</v>
          </cell>
          <cell r="O42">
            <v>167.18</v>
          </cell>
          <cell r="P42">
            <v>0.37748374277456648</v>
          </cell>
          <cell r="Q42">
            <v>228.28998684053118</v>
          </cell>
        </row>
        <row r="43">
          <cell r="C43" t="str">
            <v>DU0710000101</v>
          </cell>
          <cell r="D43" t="str">
            <v>DU07</v>
          </cell>
          <cell r="E43" t="str">
            <v>MX-CANCÚN III</v>
          </cell>
          <cell r="F43">
            <v>10000101</v>
          </cell>
          <cell r="G43" t="str">
            <v>Arena Triturada Caliza Malla 4 -Especial</v>
          </cell>
          <cell r="H43">
            <v>10000101</v>
          </cell>
          <cell r="I43" t="str">
            <v>DU0710000101</v>
          </cell>
          <cell r="J43">
            <v>7980.5440000000108</v>
          </cell>
          <cell r="K43">
            <v>311.07980358231219</v>
          </cell>
          <cell r="L43" t="str">
            <v>900007778 SF TC-ALIANCO MAQAR</v>
          </cell>
          <cell r="M43">
            <v>310.10000000000002</v>
          </cell>
          <cell r="N43" t="str">
            <v>900007778 SF TC-ALIANCO MAQAR</v>
          </cell>
          <cell r="O43" t="str">
            <v/>
          </cell>
          <cell r="P43" t="str">
            <v/>
          </cell>
          <cell r="Q43">
            <v>310.10000000000002</v>
          </cell>
        </row>
        <row r="44">
          <cell r="C44" t="str">
            <v>DU0710000112</v>
          </cell>
          <cell r="D44" t="str">
            <v>DU07</v>
          </cell>
          <cell r="E44" t="str">
            <v>MX-CANCÚN III</v>
          </cell>
          <cell r="F44">
            <v>10000112</v>
          </cell>
          <cell r="G44" t="str">
            <v>Grava Triturada Caliza 13 mm -1/2" -Esp</v>
          </cell>
          <cell r="H44">
            <v>10000112</v>
          </cell>
          <cell r="I44" t="str">
            <v>DU0710000112</v>
          </cell>
          <cell r="J44">
            <v>4094.2260000000042</v>
          </cell>
          <cell r="K44">
            <v>248.00000781588477</v>
          </cell>
          <cell r="L44" t="str">
            <v>900002370 TC-MOSECA</v>
          </cell>
          <cell r="M44">
            <v>248</v>
          </cell>
          <cell r="N44" t="str">
            <v>900002370 TC-MOSECA</v>
          </cell>
          <cell r="O44" t="str">
            <v/>
          </cell>
          <cell r="P44" t="str">
            <v/>
          </cell>
          <cell r="Q44">
            <v>248</v>
          </cell>
        </row>
        <row r="45">
          <cell r="C45" t="str">
            <v>DU0710000110</v>
          </cell>
          <cell r="D45" t="str">
            <v>DU07</v>
          </cell>
          <cell r="E45" t="str">
            <v>MX-CANCÚN III</v>
          </cell>
          <cell r="F45">
            <v>10000110</v>
          </cell>
          <cell r="G45" t="str">
            <v>GRAVA TRITURADA CALIZA 20 MM “3/4"–INTEG</v>
          </cell>
          <cell r="H45">
            <v>10000110</v>
          </cell>
          <cell r="I45" t="str">
            <v>DU0710000110</v>
          </cell>
          <cell r="J45">
            <v>4532.5740000000005</v>
          </cell>
          <cell r="K45">
            <v>284.11022963993582</v>
          </cell>
          <cell r="L45" t="str">
            <v>UNDER CONCRETOS</v>
          </cell>
          <cell r="M45">
            <v>283.09998748990006</v>
          </cell>
          <cell r="N45" t="str">
            <v>UNDER CONCRETOS</v>
          </cell>
          <cell r="O45">
            <v>4298.3790000000026</v>
          </cell>
          <cell r="P45">
            <v>0.94833068362480177</v>
          </cell>
          <cell r="Q45">
            <v>283.10001979816076</v>
          </cell>
        </row>
        <row r="47">
          <cell r="E47" t="str">
            <v>TODAS LAS CANTERAS</v>
          </cell>
          <cell r="G47" t="str">
            <v>TODOS LOS MATERIALES</v>
          </cell>
          <cell r="J47">
            <v>499175.20800000004</v>
          </cell>
          <cell r="K47">
            <v>214.99022371319381</v>
          </cell>
          <cell r="M47">
            <v>215.18523589820137</v>
          </cell>
          <cell r="N47" t="str">
            <v>N.D</v>
          </cell>
          <cell r="O47" t="str">
            <v>N.D</v>
          </cell>
          <cell r="P47" t="str">
            <v>N.D.</v>
          </cell>
          <cell r="Q47">
            <v>215.4805772236011</v>
          </cell>
        </row>
      </sheetData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ZICP-MARZO"/>
      <sheetName val="ZMIF-MARZO"/>
      <sheetName val="ZICP_ABRIL"/>
      <sheetName val="CONSOLIDADO_ABRIL"/>
      <sheetName val="ZMIF_ABRIL"/>
      <sheetName val="ZICF_ABRIL"/>
      <sheetName val="ZICP_MAYO"/>
      <sheetName val="ZMIF-MAYO"/>
      <sheetName val="ZICF_MAYO"/>
      <sheetName val="CONSOLIDADO_MAYO"/>
    </sheetNames>
    <sheetDataSet>
      <sheetData sheetId="0">
        <row r="1">
          <cell r="B1" t="str">
            <v>Llave 2</v>
          </cell>
          <cell r="C1" t="str">
            <v xml:space="preserve">Origen </v>
          </cell>
          <cell r="D1" t="str">
            <v xml:space="preserve">Destino </v>
          </cell>
          <cell r="E1" t="str">
            <v>No. Material</v>
          </cell>
          <cell r="F1" t="str">
            <v xml:space="preserve">Nombre Material </v>
          </cell>
          <cell r="G1" t="str">
            <v>ZICP</v>
          </cell>
          <cell r="O1" t="str">
            <v>ZMIF</v>
          </cell>
          <cell r="P1" t="str">
            <v>INTEGRAL</v>
          </cell>
        </row>
        <row r="2">
          <cell r="B2" t="str">
            <v>D81310000252</v>
          </cell>
          <cell r="C2" t="str">
            <v>D813</v>
          </cell>
          <cell r="D2" t="str">
            <v>D073</v>
          </cell>
          <cell r="E2">
            <v>10000252</v>
          </cell>
          <cell r="F2" t="str">
            <v>Grava Triturada Andesita 10 mm - 3/8"</v>
          </cell>
          <cell r="G2">
            <v>65.37</v>
          </cell>
          <cell r="H2" t="str">
            <v>MXN</v>
          </cell>
          <cell r="I2">
            <v>1</v>
          </cell>
          <cell r="J2" t="str">
            <v>TN</v>
          </cell>
          <cell r="K2" t="str">
            <v>C</v>
          </cell>
          <cell r="M2" t="str">
            <v>01.01.2025</v>
          </cell>
          <cell r="N2" t="str">
            <v>31.03.2025</v>
          </cell>
          <cell r="O2">
            <v>49.56</v>
          </cell>
          <cell r="P2">
            <v>114.93</v>
          </cell>
        </row>
        <row r="3">
          <cell r="B3" t="str">
            <v>D81310000253</v>
          </cell>
          <cell r="C3" t="str">
            <v>D813</v>
          </cell>
          <cell r="D3" t="str">
            <v>D073</v>
          </cell>
          <cell r="E3">
            <v>10000253</v>
          </cell>
          <cell r="F3" t="str">
            <v>Grava Triturada Andesita 20 mm - 3/4"</v>
          </cell>
          <cell r="G3">
            <v>65.37</v>
          </cell>
          <cell r="H3" t="str">
            <v>MXN</v>
          </cell>
          <cell r="I3">
            <v>1</v>
          </cell>
          <cell r="J3" t="str">
            <v>TN</v>
          </cell>
          <cell r="K3" t="str">
            <v>C</v>
          </cell>
          <cell r="M3" t="str">
            <v>01.01.2025</v>
          </cell>
          <cell r="N3" t="str">
            <v>31.03.2025</v>
          </cell>
          <cell r="O3">
            <v>38.15</v>
          </cell>
          <cell r="P3">
            <v>103.52000000000001</v>
          </cell>
        </row>
        <row r="4">
          <cell r="B4" t="str">
            <v>D81310000255</v>
          </cell>
          <cell r="C4" t="str">
            <v>D813</v>
          </cell>
          <cell r="D4" t="str">
            <v>D073</v>
          </cell>
          <cell r="E4">
            <v>10000255</v>
          </cell>
          <cell r="F4" t="str">
            <v>Arena Triturada Andesita Malla 4</v>
          </cell>
          <cell r="G4">
            <v>64.63</v>
          </cell>
          <cell r="H4" t="str">
            <v>MXN</v>
          </cell>
          <cell r="I4">
            <v>1</v>
          </cell>
          <cell r="J4" t="str">
            <v>TN</v>
          </cell>
          <cell r="K4" t="str">
            <v>C</v>
          </cell>
          <cell r="M4" t="str">
            <v>01.01.2025</v>
          </cell>
          <cell r="N4" t="str">
            <v>31.03.2025</v>
          </cell>
          <cell r="O4">
            <v>39.44</v>
          </cell>
          <cell r="P4">
            <v>104.07</v>
          </cell>
        </row>
        <row r="5">
          <cell r="B5" t="str">
            <v>D81310001091</v>
          </cell>
          <cell r="C5" t="str">
            <v>D813</v>
          </cell>
          <cell r="D5" t="str">
            <v>D073</v>
          </cell>
          <cell r="E5">
            <v>10001091</v>
          </cell>
          <cell r="F5" t="str">
            <v>Balasto Triturado Andesita 150 mm - 6"</v>
          </cell>
          <cell r="G5">
            <v>42.73</v>
          </cell>
          <cell r="H5" t="str">
            <v>MXN</v>
          </cell>
          <cell r="I5">
            <v>1</v>
          </cell>
          <cell r="J5" t="str">
            <v>TN</v>
          </cell>
          <cell r="K5" t="str">
            <v>C</v>
          </cell>
          <cell r="M5" t="str">
            <v>01.01.2025</v>
          </cell>
          <cell r="N5" t="str">
            <v>31.03.2025</v>
          </cell>
          <cell r="O5">
            <v>2.74</v>
          </cell>
          <cell r="P5">
            <v>45.47</v>
          </cell>
        </row>
        <row r="6">
          <cell r="B6" t="str">
            <v>D81310002350</v>
          </cell>
          <cell r="C6" t="str">
            <v>D813</v>
          </cell>
          <cell r="D6" t="str">
            <v>D073</v>
          </cell>
          <cell r="E6">
            <v>10002350</v>
          </cell>
          <cell r="F6" t="str">
            <v>Grava Triturada Andesita 10mm-3/8"-Block</v>
          </cell>
          <cell r="G6">
            <v>65.37</v>
          </cell>
          <cell r="H6" t="str">
            <v>MXN</v>
          </cell>
          <cell r="I6">
            <v>1</v>
          </cell>
          <cell r="J6" t="str">
            <v>TN</v>
          </cell>
          <cell r="K6" t="str">
            <v>C</v>
          </cell>
          <cell r="M6" t="str">
            <v>01.01.2025</v>
          </cell>
          <cell r="N6" t="str">
            <v>31.03.2025</v>
          </cell>
          <cell r="O6">
            <v>55.12</v>
          </cell>
          <cell r="P6">
            <v>120.49000000000001</v>
          </cell>
        </row>
        <row r="7">
          <cell r="B7" t="str">
            <v>D81310000252</v>
          </cell>
          <cell r="C7" t="str">
            <v>D813</v>
          </cell>
          <cell r="D7" t="str">
            <v>D074</v>
          </cell>
          <cell r="E7">
            <v>10000252</v>
          </cell>
          <cell r="F7" t="str">
            <v>Grava Triturada Andesita 10 mm - 3/8"</v>
          </cell>
          <cell r="G7">
            <v>65.37</v>
          </cell>
          <cell r="H7" t="str">
            <v>MXN</v>
          </cell>
          <cell r="I7">
            <v>1</v>
          </cell>
          <cell r="J7" t="str">
            <v>TN</v>
          </cell>
          <cell r="K7" t="str">
            <v>C</v>
          </cell>
          <cell r="M7" t="str">
            <v>01.01.2025</v>
          </cell>
          <cell r="N7" t="str">
            <v>31.03.2025</v>
          </cell>
          <cell r="O7">
            <v>49.56</v>
          </cell>
          <cell r="P7">
            <v>114.93</v>
          </cell>
        </row>
        <row r="8">
          <cell r="B8" t="str">
            <v>D81310000253</v>
          </cell>
          <cell r="C8" t="str">
            <v>D813</v>
          </cell>
          <cell r="D8" t="str">
            <v>D074</v>
          </cell>
          <cell r="E8">
            <v>10000253</v>
          </cell>
          <cell r="F8" t="str">
            <v>Grava Triturada Andesita 20 mm - 3/4"</v>
          </cell>
          <cell r="G8">
            <v>65.37</v>
          </cell>
          <cell r="H8" t="str">
            <v>MXN</v>
          </cell>
          <cell r="I8">
            <v>1</v>
          </cell>
          <cell r="J8" t="str">
            <v>TN</v>
          </cell>
          <cell r="K8" t="str">
            <v>C</v>
          </cell>
          <cell r="M8" t="str">
            <v>01.01.2025</v>
          </cell>
          <cell r="N8" t="str">
            <v>31.03.2025</v>
          </cell>
          <cell r="O8">
            <v>38.15</v>
          </cell>
          <cell r="P8">
            <v>103.52000000000001</v>
          </cell>
        </row>
        <row r="9">
          <cell r="B9" t="str">
            <v>D81310000255</v>
          </cell>
          <cell r="C9" t="str">
            <v>D813</v>
          </cell>
          <cell r="D9" t="str">
            <v>D074</v>
          </cell>
          <cell r="E9">
            <v>10000255</v>
          </cell>
          <cell r="F9" t="str">
            <v>Arena Triturada Andesita Malla 4</v>
          </cell>
          <cell r="G9">
            <v>64.63</v>
          </cell>
          <cell r="H9" t="str">
            <v>MXN</v>
          </cell>
          <cell r="I9">
            <v>1</v>
          </cell>
          <cell r="J9" t="str">
            <v>TN</v>
          </cell>
          <cell r="K9" t="str">
            <v>C</v>
          </cell>
          <cell r="M9" t="str">
            <v>01.01.2025</v>
          </cell>
          <cell r="N9" t="str">
            <v>31.03.2025</v>
          </cell>
          <cell r="O9">
            <v>39.44</v>
          </cell>
          <cell r="P9">
            <v>104.07</v>
          </cell>
        </row>
        <row r="10">
          <cell r="B10" t="str">
            <v>D81310001091</v>
          </cell>
          <cell r="C10" t="str">
            <v>D813</v>
          </cell>
          <cell r="D10" t="str">
            <v>D074</v>
          </cell>
          <cell r="E10">
            <v>10001091</v>
          </cell>
          <cell r="F10" t="str">
            <v>Balasto Triturado Andesita 150 mm - 6"</v>
          </cell>
          <cell r="G10">
            <v>42.73</v>
          </cell>
          <cell r="H10" t="str">
            <v>MXN</v>
          </cell>
          <cell r="I10">
            <v>1</v>
          </cell>
          <cell r="J10" t="str">
            <v>TN</v>
          </cell>
          <cell r="K10" t="str">
            <v>C</v>
          </cell>
          <cell r="M10" t="str">
            <v>01.01.2025</v>
          </cell>
          <cell r="N10" t="str">
            <v>31.03.2025</v>
          </cell>
          <cell r="O10">
            <v>2.74</v>
          </cell>
          <cell r="P10">
            <v>45.47</v>
          </cell>
        </row>
        <row r="11">
          <cell r="B11" t="str">
            <v>D81310002350</v>
          </cell>
          <cell r="C11" t="str">
            <v>D813</v>
          </cell>
          <cell r="D11" t="str">
            <v>D074</v>
          </cell>
          <cell r="E11">
            <v>10002350</v>
          </cell>
          <cell r="F11" t="str">
            <v>Grava Triturada Andesita 10mm-3/8"-Block</v>
          </cell>
          <cell r="G11">
            <v>65.37</v>
          </cell>
          <cell r="H11" t="str">
            <v>MXN</v>
          </cell>
          <cell r="I11">
            <v>1</v>
          </cell>
          <cell r="J11" t="str">
            <v>TN</v>
          </cell>
          <cell r="K11" t="str">
            <v>C</v>
          </cell>
          <cell r="M11" t="str">
            <v>01.01.2025</v>
          </cell>
          <cell r="N11" t="str">
            <v>31.03.2025</v>
          </cell>
          <cell r="O11">
            <v>55.12</v>
          </cell>
          <cell r="P11">
            <v>120.49000000000001</v>
          </cell>
        </row>
        <row r="12">
          <cell r="B12" t="str">
            <v>D81310029946</v>
          </cell>
          <cell r="C12" t="str">
            <v>D813</v>
          </cell>
          <cell r="D12" t="str">
            <v>D074</v>
          </cell>
          <cell r="E12">
            <v>10029946</v>
          </cell>
          <cell r="F12" t="str">
            <v>Arena Triturada Andesita Malla 8</v>
          </cell>
          <cell r="G12">
            <v>64.63</v>
          </cell>
          <cell r="H12" t="str">
            <v>MXN</v>
          </cell>
          <cell r="I12">
            <v>1</v>
          </cell>
          <cell r="J12" t="str">
            <v>TN</v>
          </cell>
          <cell r="K12" t="str">
            <v>C</v>
          </cell>
          <cell r="M12" t="str">
            <v>01.01.2025</v>
          </cell>
          <cell r="N12" t="str">
            <v>31.03.2025</v>
          </cell>
          <cell r="O12">
            <v>42.5</v>
          </cell>
          <cell r="P12">
            <v>107.13</v>
          </cell>
        </row>
        <row r="13">
          <cell r="B13" t="str">
            <v>D81310032959</v>
          </cell>
          <cell r="C13" t="str">
            <v>D813</v>
          </cell>
          <cell r="D13" t="str">
            <v>D074</v>
          </cell>
          <cell r="E13">
            <v>10032959</v>
          </cell>
          <cell r="F13" t="str">
            <v>Grava Triturada Andesita 50 mm - 2</v>
          </cell>
          <cell r="G13">
            <v>65.37</v>
          </cell>
          <cell r="H13" t="str">
            <v>MXN</v>
          </cell>
          <cell r="I13">
            <v>1</v>
          </cell>
          <cell r="J13" t="str">
            <v>TN</v>
          </cell>
          <cell r="K13" t="str">
            <v>C</v>
          </cell>
          <cell r="M13" t="str">
            <v>01.01.2025</v>
          </cell>
          <cell r="N13" t="str">
            <v>31.03.2025</v>
          </cell>
          <cell r="O13">
            <v>7.27</v>
          </cell>
          <cell r="P13">
            <v>72.64</v>
          </cell>
        </row>
        <row r="14">
          <cell r="B14" t="str">
            <v>D81310000252</v>
          </cell>
          <cell r="C14" t="str">
            <v>D813</v>
          </cell>
          <cell r="D14" t="str">
            <v>D075</v>
          </cell>
          <cell r="E14">
            <v>10000252</v>
          </cell>
          <cell r="F14" t="str">
            <v>Grava Triturada Andesita 10 mm - 3/8"</v>
          </cell>
          <cell r="G14">
            <v>65.37</v>
          </cell>
          <cell r="H14" t="str">
            <v>MXN</v>
          </cell>
          <cell r="I14">
            <v>1</v>
          </cell>
          <cell r="J14" t="str">
            <v>TN</v>
          </cell>
          <cell r="K14" t="str">
            <v>C</v>
          </cell>
          <cell r="M14" t="str">
            <v>01.01.2025</v>
          </cell>
          <cell r="N14" t="str">
            <v>31.03.2025</v>
          </cell>
          <cell r="O14">
            <v>49.56</v>
          </cell>
          <cell r="P14">
            <v>114.93</v>
          </cell>
        </row>
        <row r="15">
          <cell r="B15" t="str">
            <v>D81310000253</v>
          </cell>
          <cell r="C15" t="str">
            <v>D813</v>
          </cell>
          <cell r="D15" t="str">
            <v>D075</v>
          </cell>
          <cell r="E15">
            <v>10000253</v>
          </cell>
          <cell r="F15" t="str">
            <v>Grava Triturada Andesita 20 mm - 3/4"</v>
          </cell>
          <cell r="G15">
            <v>65.37</v>
          </cell>
          <cell r="H15" t="str">
            <v>MXN</v>
          </cell>
          <cell r="I15">
            <v>1</v>
          </cell>
          <cell r="J15" t="str">
            <v>TN</v>
          </cell>
          <cell r="K15" t="str">
            <v>C</v>
          </cell>
          <cell r="M15" t="str">
            <v>01.01.2025</v>
          </cell>
          <cell r="N15" t="str">
            <v>31.03.2025</v>
          </cell>
          <cell r="O15">
            <v>38.15</v>
          </cell>
          <cell r="P15">
            <v>103.52000000000001</v>
          </cell>
        </row>
        <row r="16">
          <cell r="B16" t="str">
            <v>D81310000255</v>
          </cell>
          <cell r="C16" t="str">
            <v>D813</v>
          </cell>
          <cell r="D16" t="str">
            <v>D075</v>
          </cell>
          <cell r="E16">
            <v>10000255</v>
          </cell>
          <cell r="F16" t="str">
            <v>Arena Triturada Andesita Malla 4</v>
          </cell>
          <cell r="G16">
            <v>64.63</v>
          </cell>
          <cell r="H16" t="str">
            <v>MXN</v>
          </cell>
          <cell r="I16">
            <v>1</v>
          </cell>
          <cell r="J16" t="str">
            <v>TN</v>
          </cell>
          <cell r="K16" t="str">
            <v>C</v>
          </cell>
          <cell r="M16" t="str">
            <v>01.01.2025</v>
          </cell>
          <cell r="N16" t="str">
            <v>31.03.2025</v>
          </cell>
          <cell r="O16">
            <v>39.44</v>
          </cell>
          <cell r="P16">
            <v>104.07</v>
          </cell>
        </row>
        <row r="17">
          <cell r="B17" t="str">
            <v>D81310001091</v>
          </cell>
          <cell r="C17" t="str">
            <v>D813</v>
          </cell>
          <cell r="D17" t="str">
            <v>D075</v>
          </cell>
          <cell r="E17">
            <v>10001091</v>
          </cell>
          <cell r="F17" t="str">
            <v>Balasto Triturado Andesita 150 mm - 6"</v>
          </cell>
          <cell r="G17">
            <v>42.73</v>
          </cell>
          <cell r="H17" t="str">
            <v>MXN</v>
          </cell>
          <cell r="I17">
            <v>1</v>
          </cell>
          <cell r="J17" t="str">
            <v>TN</v>
          </cell>
          <cell r="K17" t="str">
            <v>C</v>
          </cell>
          <cell r="M17" t="str">
            <v>01.01.2025</v>
          </cell>
          <cell r="N17" t="str">
            <v>31.03.2025</v>
          </cell>
          <cell r="O17">
            <v>2.74</v>
          </cell>
          <cell r="P17">
            <v>45.47</v>
          </cell>
        </row>
        <row r="18">
          <cell r="B18" t="str">
            <v>D81310002350</v>
          </cell>
          <cell r="C18" t="str">
            <v>D813</v>
          </cell>
          <cell r="D18" t="str">
            <v>D075</v>
          </cell>
          <cell r="E18">
            <v>10002350</v>
          </cell>
          <cell r="F18" t="str">
            <v>Grava Triturada Andesita 10mm-3/8"-Block</v>
          </cell>
          <cell r="G18">
            <v>65.37</v>
          </cell>
          <cell r="H18" t="str">
            <v>MXN</v>
          </cell>
          <cell r="I18">
            <v>1</v>
          </cell>
          <cell r="J18" t="str">
            <v>TN</v>
          </cell>
          <cell r="K18" t="str">
            <v>C</v>
          </cell>
          <cell r="M18" t="str">
            <v>01.01.2025</v>
          </cell>
          <cell r="N18" t="str">
            <v>31.03.2025</v>
          </cell>
          <cell r="O18">
            <v>55.12</v>
          </cell>
          <cell r="P18">
            <v>120.49000000000001</v>
          </cell>
        </row>
        <row r="19">
          <cell r="B19" t="str">
            <v>D81310029946</v>
          </cell>
          <cell r="C19" t="str">
            <v>D813</v>
          </cell>
          <cell r="D19" t="str">
            <v>D075</v>
          </cell>
          <cell r="E19">
            <v>10029946</v>
          </cell>
          <cell r="F19" t="str">
            <v>Arena Triturada Andesita Malla 8</v>
          </cell>
          <cell r="G19">
            <v>64.63</v>
          </cell>
          <cell r="H19" t="str">
            <v>MXN</v>
          </cell>
          <cell r="I19">
            <v>1</v>
          </cell>
          <cell r="J19" t="str">
            <v>TN</v>
          </cell>
          <cell r="K19" t="str">
            <v>C</v>
          </cell>
          <cell r="M19" t="str">
            <v>01.01.2025</v>
          </cell>
          <cell r="N19" t="str">
            <v>31.03.2025</v>
          </cell>
          <cell r="O19">
            <v>42.5</v>
          </cell>
          <cell r="P19">
            <v>107.13</v>
          </cell>
        </row>
        <row r="20">
          <cell r="B20" t="str">
            <v>D81310032959</v>
          </cell>
          <cell r="C20" t="str">
            <v>D813</v>
          </cell>
          <cell r="D20" t="str">
            <v>D075</v>
          </cell>
          <cell r="E20">
            <v>10032959</v>
          </cell>
          <cell r="F20" t="str">
            <v>Grava Triturada Andesita 50 mm - 2</v>
          </cell>
          <cell r="G20">
            <v>65.37</v>
          </cell>
          <cell r="H20" t="str">
            <v>MXN</v>
          </cell>
          <cell r="I20">
            <v>1</v>
          </cell>
          <cell r="J20" t="str">
            <v>TN</v>
          </cell>
          <cell r="K20" t="str">
            <v>C</v>
          </cell>
          <cell r="M20" t="str">
            <v>01.01.2025</v>
          </cell>
          <cell r="N20" t="str">
            <v>31.03.2025</v>
          </cell>
          <cell r="O20">
            <v>7.27</v>
          </cell>
          <cell r="P20">
            <v>72.64</v>
          </cell>
        </row>
        <row r="21">
          <cell r="B21" t="str">
            <v>D81310000252</v>
          </cell>
          <cell r="C21" t="str">
            <v>D813</v>
          </cell>
          <cell r="D21" t="str">
            <v>D077</v>
          </cell>
          <cell r="E21">
            <v>10000252</v>
          </cell>
          <cell r="F21" t="str">
            <v>Grava Triturada Andesita 10 mm - 3/8"</v>
          </cell>
          <cell r="G21">
            <v>65.37</v>
          </cell>
          <cell r="H21" t="str">
            <v>MXN</v>
          </cell>
          <cell r="I21">
            <v>1</v>
          </cell>
          <cell r="J21" t="str">
            <v>TN</v>
          </cell>
          <cell r="K21" t="str">
            <v>C</v>
          </cell>
          <cell r="M21" t="str">
            <v>01.01.2025</v>
          </cell>
          <cell r="N21" t="str">
            <v>31.03.2025</v>
          </cell>
          <cell r="O21">
            <v>49.56</v>
          </cell>
          <cell r="P21">
            <v>114.93</v>
          </cell>
        </row>
        <row r="22">
          <cell r="B22" t="str">
            <v>D81310000253</v>
          </cell>
          <cell r="C22" t="str">
            <v>D813</v>
          </cell>
          <cell r="D22" t="str">
            <v>D077</v>
          </cell>
          <cell r="E22">
            <v>10000253</v>
          </cell>
          <cell r="F22" t="str">
            <v>Grava Triturada Andesita 20 mm - 3/4"</v>
          </cell>
          <cell r="G22">
            <v>65.37</v>
          </cell>
          <cell r="H22" t="str">
            <v>MXN</v>
          </cell>
          <cell r="I22">
            <v>1</v>
          </cell>
          <cell r="J22" t="str">
            <v>TN</v>
          </cell>
          <cell r="K22" t="str">
            <v>C</v>
          </cell>
          <cell r="M22" t="str">
            <v>01.01.2025</v>
          </cell>
          <cell r="N22" t="str">
            <v>31.03.2025</v>
          </cell>
          <cell r="O22">
            <v>38.15</v>
          </cell>
          <cell r="P22">
            <v>103.52000000000001</v>
          </cell>
        </row>
        <row r="23">
          <cell r="B23" t="str">
            <v>D81310000255</v>
          </cell>
          <cell r="C23" t="str">
            <v>D813</v>
          </cell>
          <cell r="D23" t="str">
            <v>D077</v>
          </cell>
          <cell r="E23">
            <v>10000255</v>
          </cell>
          <cell r="F23" t="str">
            <v>Arena Triturada Andesita Malla 4</v>
          </cell>
          <cell r="G23">
            <v>64.63</v>
          </cell>
          <cell r="H23" t="str">
            <v>MXN</v>
          </cell>
          <cell r="I23">
            <v>1</v>
          </cell>
          <cell r="J23" t="str">
            <v>TN</v>
          </cell>
          <cell r="K23" t="str">
            <v>C</v>
          </cell>
          <cell r="M23" t="str">
            <v>01.01.2025</v>
          </cell>
          <cell r="N23" t="str">
            <v>31.03.2025</v>
          </cell>
          <cell r="O23">
            <v>39.44</v>
          </cell>
          <cell r="P23">
            <v>104.07</v>
          </cell>
        </row>
        <row r="24">
          <cell r="B24" t="str">
            <v>D81310001091</v>
          </cell>
          <cell r="C24" t="str">
            <v>D813</v>
          </cell>
          <cell r="D24" t="str">
            <v>D077</v>
          </cell>
          <cell r="E24">
            <v>10001091</v>
          </cell>
          <cell r="F24" t="str">
            <v>Balasto Triturado Andesita 150 mm - 6"</v>
          </cell>
          <cell r="G24">
            <v>42.73</v>
          </cell>
          <cell r="H24" t="str">
            <v>MXN</v>
          </cell>
          <cell r="I24">
            <v>1</v>
          </cell>
          <cell r="J24" t="str">
            <v>TN</v>
          </cell>
          <cell r="K24" t="str">
            <v>C</v>
          </cell>
          <cell r="M24" t="str">
            <v>01.01.2025</v>
          </cell>
          <cell r="N24" t="str">
            <v>31.03.2025</v>
          </cell>
          <cell r="O24">
            <v>2.74</v>
          </cell>
          <cell r="P24">
            <v>45.47</v>
          </cell>
        </row>
        <row r="25">
          <cell r="B25" t="str">
            <v>D81310002350</v>
          </cell>
          <cell r="C25" t="str">
            <v>D813</v>
          </cell>
          <cell r="D25" t="str">
            <v>D077</v>
          </cell>
          <cell r="E25">
            <v>10002350</v>
          </cell>
          <cell r="F25" t="str">
            <v>Grava Triturada Andesita 10mm-3/8"-Block</v>
          </cell>
          <cell r="G25">
            <v>65.37</v>
          </cell>
          <cell r="H25" t="str">
            <v>MXN</v>
          </cell>
          <cell r="I25">
            <v>1</v>
          </cell>
          <cell r="J25" t="str">
            <v>TN</v>
          </cell>
          <cell r="K25" t="str">
            <v>C</v>
          </cell>
          <cell r="M25" t="str">
            <v>01.01.2025</v>
          </cell>
          <cell r="N25" t="str">
            <v>31.03.2025</v>
          </cell>
          <cell r="O25">
            <v>55.12</v>
          </cell>
          <cell r="P25">
            <v>120.49000000000001</v>
          </cell>
        </row>
        <row r="26">
          <cell r="B26" t="str">
            <v>D81310029946</v>
          </cell>
          <cell r="C26" t="str">
            <v>D813</v>
          </cell>
          <cell r="D26" t="str">
            <v>D077</v>
          </cell>
          <cell r="E26">
            <v>10029946</v>
          </cell>
          <cell r="F26" t="str">
            <v>Arena Triturada Andesita Malla 8</v>
          </cell>
          <cell r="G26">
            <v>64.63</v>
          </cell>
          <cell r="H26" t="str">
            <v>MXN</v>
          </cell>
          <cell r="I26">
            <v>1</v>
          </cell>
          <cell r="J26" t="str">
            <v>TN</v>
          </cell>
          <cell r="K26" t="str">
            <v>C</v>
          </cell>
          <cell r="M26" t="str">
            <v>01.01.2025</v>
          </cell>
          <cell r="N26" t="str">
            <v>31.03.2025</v>
          </cell>
          <cell r="O26">
            <v>42.5</v>
          </cell>
          <cell r="P26">
            <v>107.13</v>
          </cell>
        </row>
        <row r="27">
          <cell r="B27" t="str">
            <v>D81310032959</v>
          </cell>
          <cell r="C27" t="str">
            <v>D813</v>
          </cell>
          <cell r="D27" t="str">
            <v>D077</v>
          </cell>
          <cell r="E27">
            <v>10032959</v>
          </cell>
          <cell r="F27" t="str">
            <v>Grava Triturada Andesita 50 mm - 2</v>
          </cell>
          <cell r="G27">
            <v>65.37</v>
          </cell>
          <cell r="H27" t="str">
            <v>MXN</v>
          </cell>
          <cell r="I27">
            <v>1</v>
          </cell>
          <cell r="J27" t="str">
            <v>TN</v>
          </cell>
          <cell r="K27" t="str">
            <v>C</v>
          </cell>
          <cell r="M27" t="str">
            <v>01.01.2025</v>
          </cell>
          <cell r="N27" t="str">
            <v>31.03.2025</v>
          </cell>
          <cell r="O27">
            <v>7.27</v>
          </cell>
          <cell r="P27">
            <v>72.64</v>
          </cell>
        </row>
        <row r="28">
          <cell r="B28" t="str">
            <v>D81310000252</v>
          </cell>
          <cell r="C28" t="str">
            <v>D813</v>
          </cell>
          <cell r="D28" t="str">
            <v>D079</v>
          </cell>
          <cell r="E28">
            <v>10000252</v>
          </cell>
          <cell r="F28" t="str">
            <v>Grava Triturada Andesita 10 mm - 3/8"</v>
          </cell>
          <cell r="G28">
            <v>65.37</v>
          </cell>
          <cell r="H28" t="str">
            <v>MXN</v>
          </cell>
          <cell r="I28">
            <v>1</v>
          </cell>
          <cell r="J28" t="str">
            <v>TN</v>
          </cell>
          <cell r="K28" t="str">
            <v>C</v>
          </cell>
          <cell r="M28" t="str">
            <v>01.01.2025</v>
          </cell>
          <cell r="N28" t="str">
            <v>31.03.2025</v>
          </cell>
          <cell r="O28">
            <v>49.56</v>
          </cell>
          <cell r="P28">
            <v>114.93</v>
          </cell>
        </row>
        <row r="29">
          <cell r="B29" t="str">
            <v>D81310000253</v>
          </cell>
          <cell r="C29" t="str">
            <v>D813</v>
          </cell>
          <cell r="D29" t="str">
            <v>D079</v>
          </cell>
          <cell r="E29">
            <v>10000253</v>
          </cell>
          <cell r="F29" t="str">
            <v>Grava Triturada Andesita 20 mm - 3/4"</v>
          </cell>
          <cell r="G29">
            <v>65.37</v>
          </cell>
          <cell r="H29" t="str">
            <v>MXN</v>
          </cell>
          <cell r="I29">
            <v>1</v>
          </cell>
          <cell r="J29" t="str">
            <v>TN</v>
          </cell>
          <cell r="K29" t="str">
            <v>C</v>
          </cell>
          <cell r="M29" t="str">
            <v>01.01.2025</v>
          </cell>
          <cell r="N29" t="str">
            <v>31.03.2025</v>
          </cell>
          <cell r="O29">
            <v>38.15</v>
          </cell>
          <cell r="P29">
            <v>103.52000000000001</v>
          </cell>
        </row>
        <row r="30">
          <cell r="B30" t="str">
            <v>D81310000255</v>
          </cell>
          <cell r="C30" t="str">
            <v>D813</v>
          </cell>
          <cell r="D30" t="str">
            <v>D079</v>
          </cell>
          <cell r="E30">
            <v>10000255</v>
          </cell>
          <cell r="F30" t="str">
            <v>Arena Triturada Andesita Malla 4</v>
          </cell>
          <cell r="G30">
            <v>64.63</v>
          </cell>
          <cell r="H30" t="str">
            <v>MXN</v>
          </cell>
          <cell r="I30">
            <v>1</v>
          </cell>
          <cell r="J30" t="str">
            <v>TN</v>
          </cell>
          <cell r="K30" t="str">
            <v>C</v>
          </cell>
          <cell r="M30" t="str">
            <v>01.01.2025</v>
          </cell>
          <cell r="N30" t="str">
            <v>31.03.2025</v>
          </cell>
          <cell r="O30">
            <v>39.44</v>
          </cell>
          <cell r="P30">
            <v>104.07</v>
          </cell>
        </row>
        <row r="31">
          <cell r="B31" t="str">
            <v>D81310001091</v>
          </cell>
          <cell r="C31" t="str">
            <v>D813</v>
          </cell>
          <cell r="D31" t="str">
            <v>D079</v>
          </cell>
          <cell r="E31">
            <v>10001091</v>
          </cell>
          <cell r="F31" t="str">
            <v>Balasto Triturado Andesita 150 mm - 6"</v>
          </cell>
          <cell r="G31">
            <v>42.73</v>
          </cell>
          <cell r="H31" t="str">
            <v>MXN</v>
          </cell>
          <cell r="I31">
            <v>1</v>
          </cell>
          <cell r="J31" t="str">
            <v>TN</v>
          </cell>
          <cell r="K31" t="str">
            <v>C</v>
          </cell>
          <cell r="M31" t="str">
            <v>01.01.2025</v>
          </cell>
          <cell r="N31" t="str">
            <v>31.03.2025</v>
          </cell>
          <cell r="O31">
            <v>2.74</v>
          </cell>
          <cell r="P31">
            <v>45.47</v>
          </cell>
        </row>
        <row r="32">
          <cell r="B32" t="str">
            <v>D81310002350</v>
          </cell>
          <cell r="C32" t="str">
            <v>D813</v>
          </cell>
          <cell r="D32" t="str">
            <v>D079</v>
          </cell>
          <cell r="E32">
            <v>10002350</v>
          </cell>
          <cell r="F32" t="str">
            <v>Grava Triturada Andesita 10mm-3/8"-Block</v>
          </cell>
          <cell r="G32">
            <v>65.37</v>
          </cell>
          <cell r="H32" t="str">
            <v>MXN</v>
          </cell>
          <cell r="I32">
            <v>1</v>
          </cell>
          <cell r="J32" t="str">
            <v>TN</v>
          </cell>
          <cell r="K32" t="str">
            <v>C</v>
          </cell>
          <cell r="M32" t="str">
            <v>01.01.2025</v>
          </cell>
          <cell r="N32" t="str">
            <v>31.03.2025</v>
          </cell>
          <cell r="O32">
            <v>55.12</v>
          </cell>
          <cell r="P32">
            <v>120.49000000000001</v>
          </cell>
        </row>
        <row r="33">
          <cell r="B33" t="str">
            <v>D81310029946</v>
          </cell>
          <cell r="C33" t="str">
            <v>D813</v>
          </cell>
          <cell r="D33" t="str">
            <v>D079</v>
          </cell>
          <cell r="E33">
            <v>10029946</v>
          </cell>
          <cell r="F33" t="str">
            <v>Arena Triturada Andesita Malla 8</v>
          </cell>
          <cell r="G33">
            <v>64.63</v>
          </cell>
          <cell r="H33" t="str">
            <v>MXN</v>
          </cell>
          <cell r="I33">
            <v>1</v>
          </cell>
          <cell r="J33" t="str">
            <v>TN</v>
          </cell>
          <cell r="K33" t="str">
            <v>C</v>
          </cell>
          <cell r="M33" t="str">
            <v>01.01.2025</v>
          </cell>
          <cell r="N33" t="str">
            <v>31.03.2025</v>
          </cell>
          <cell r="O33">
            <v>42.5</v>
          </cell>
          <cell r="P33">
            <v>107.13</v>
          </cell>
        </row>
        <row r="34">
          <cell r="B34" t="str">
            <v>D81310032959</v>
          </cell>
          <cell r="C34" t="str">
            <v>D813</v>
          </cell>
          <cell r="D34" t="str">
            <v>D079</v>
          </cell>
          <cell r="E34">
            <v>10032959</v>
          </cell>
          <cell r="F34" t="str">
            <v>Grava Triturada Andesita 50 mm - 2</v>
          </cell>
          <cell r="G34">
            <v>65.37</v>
          </cell>
          <cell r="H34" t="str">
            <v>MXN</v>
          </cell>
          <cell r="I34">
            <v>1</v>
          </cell>
          <cell r="J34" t="str">
            <v>TN</v>
          </cell>
          <cell r="K34" t="str">
            <v>C</v>
          </cell>
          <cell r="M34" t="str">
            <v>01.01.2025</v>
          </cell>
          <cell r="N34" t="str">
            <v>31.03.2025</v>
          </cell>
          <cell r="O34">
            <v>7.27</v>
          </cell>
          <cell r="P34">
            <v>72.64</v>
          </cell>
        </row>
        <row r="35">
          <cell r="B35" t="str">
            <v>D81310000252</v>
          </cell>
          <cell r="C35" t="str">
            <v>D813</v>
          </cell>
          <cell r="D35" t="str">
            <v>D080</v>
          </cell>
          <cell r="E35">
            <v>10000252</v>
          </cell>
          <cell r="F35" t="str">
            <v>Grava Triturada Andesita 10 mm - 3/8"</v>
          </cell>
          <cell r="G35">
            <v>65.37</v>
          </cell>
          <cell r="H35" t="str">
            <v>MXN</v>
          </cell>
          <cell r="I35">
            <v>1</v>
          </cell>
          <cell r="J35" t="str">
            <v>TN</v>
          </cell>
          <cell r="K35" t="str">
            <v>C</v>
          </cell>
          <cell r="M35" t="str">
            <v>01.01.2025</v>
          </cell>
          <cell r="N35" t="str">
            <v>31.03.2025</v>
          </cell>
          <cell r="O35">
            <v>49.56</v>
          </cell>
          <cell r="P35">
            <v>114.93</v>
          </cell>
        </row>
        <row r="36">
          <cell r="B36" t="str">
            <v>D81310000253</v>
          </cell>
          <cell r="C36" t="str">
            <v>D813</v>
          </cell>
          <cell r="D36" t="str">
            <v>D080</v>
          </cell>
          <cell r="E36">
            <v>10000253</v>
          </cell>
          <cell r="F36" t="str">
            <v>Grava Triturada Andesita 20 mm - 3/4"</v>
          </cell>
          <cell r="G36">
            <v>65.37</v>
          </cell>
          <cell r="H36" t="str">
            <v>MXN</v>
          </cell>
          <cell r="I36">
            <v>1</v>
          </cell>
          <cell r="J36" t="str">
            <v>TN</v>
          </cell>
          <cell r="K36" t="str">
            <v>C</v>
          </cell>
          <cell r="M36" t="str">
            <v>01.01.2025</v>
          </cell>
          <cell r="N36" t="str">
            <v>31.03.2025</v>
          </cell>
          <cell r="O36">
            <v>38.15</v>
          </cell>
          <cell r="P36">
            <v>103.52000000000001</v>
          </cell>
        </row>
        <row r="37">
          <cell r="B37" t="str">
            <v>D81310000255</v>
          </cell>
          <cell r="C37" t="str">
            <v>D813</v>
          </cell>
          <cell r="D37" t="str">
            <v>D080</v>
          </cell>
          <cell r="E37">
            <v>10000255</v>
          </cell>
          <cell r="F37" t="str">
            <v>Arena Triturada Andesita Malla 4</v>
          </cell>
          <cell r="G37">
            <v>64.63</v>
          </cell>
          <cell r="H37" t="str">
            <v>MXN</v>
          </cell>
          <cell r="I37">
            <v>1</v>
          </cell>
          <cell r="J37" t="str">
            <v>TN</v>
          </cell>
          <cell r="K37" t="str">
            <v>C</v>
          </cell>
          <cell r="M37" t="str">
            <v>01.01.2025</v>
          </cell>
          <cell r="N37" t="str">
            <v>31.03.2025</v>
          </cell>
          <cell r="O37">
            <v>39.44</v>
          </cell>
          <cell r="P37">
            <v>104.07</v>
          </cell>
        </row>
        <row r="38">
          <cell r="B38" t="str">
            <v>D81310001091</v>
          </cell>
          <cell r="C38" t="str">
            <v>D813</v>
          </cell>
          <cell r="D38" t="str">
            <v>D080</v>
          </cell>
          <cell r="E38">
            <v>10001091</v>
          </cell>
          <cell r="F38" t="str">
            <v>Balasto Triturado Andesita 150 mm - 6"</v>
          </cell>
          <cell r="G38">
            <v>42.73</v>
          </cell>
          <cell r="H38" t="str">
            <v>MXN</v>
          </cell>
          <cell r="I38">
            <v>1</v>
          </cell>
          <cell r="J38" t="str">
            <v>TN</v>
          </cell>
          <cell r="K38" t="str">
            <v>C</v>
          </cell>
          <cell r="M38" t="str">
            <v>01.01.2025</v>
          </cell>
          <cell r="N38" t="str">
            <v>31.03.2025</v>
          </cell>
          <cell r="O38">
            <v>2.74</v>
          </cell>
          <cell r="P38">
            <v>45.47</v>
          </cell>
        </row>
        <row r="39">
          <cell r="B39" t="str">
            <v>D81310002350</v>
          </cell>
          <cell r="C39" t="str">
            <v>D813</v>
          </cell>
          <cell r="D39" t="str">
            <v>D080</v>
          </cell>
          <cell r="E39">
            <v>10002350</v>
          </cell>
          <cell r="F39" t="str">
            <v>Grava Triturada Andesita 10mm-3/8"-Block</v>
          </cell>
          <cell r="G39">
            <v>65.37</v>
          </cell>
          <cell r="H39" t="str">
            <v>MXN</v>
          </cell>
          <cell r="I39">
            <v>1</v>
          </cell>
          <cell r="J39" t="str">
            <v>TN</v>
          </cell>
          <cell r="K39" t="str">
            <v>C</v>
          </cell>
          <cell r="M39" t="str">
            <v>01.01.2025</v>
          </cell>
          <cell r="N39" t="str">
            <v>31.03.2025</v>
          </cell>
          <cell r="O39">
            <v>55.12</v>
          </cell>
          <cell r="P39">
            <v>120.49000000000001</v>
          </cell>
        </row>
        <row r="40">
          <cell r="B40" t="str">
            <v>D81310029946</v>
          </cell>
          <cell r="C40" t="str">
            <v>D813</v>
          </cell>
          <cell r="D40" t="str">
            <v>D080</v>
          </cell>
          <cell r="E40">
            <v>10029946</v>
          </cell>
          <cell r="F40" t="str">
            <v>Arena Triturada Andesita Malla 8</v>
          </cell>
          <cell r="G40">
            <v>64.63</v>
          </cell>
          <cell r="H40" t="str">
            <v>MXN</v>
          </cell>
          <cell r="I40">
            <v>1</v>
          </cell>
          <cell r="J40" t="str">
            <v>TN</v>
          </cell>
          <cell r="K40" t="str">
            <v>C</v>
          </cell>
          <cell r="M40" t="str">
            <v>01.01.2025</v>
          </cell>
          <cell r="N40" t="str">
            <v>31.03.2025</v>
          </cell>
          <cell r="O40">
            <v>42.5</v>
          </cell>
          <cell r="P40">
            <v>107.13</v>
          </cell>
        </row>
        <row r="41">
          <cell r="B41" t="str">
            <v>D81310032959</v>
          </cell>
          <cell r="C41" t="str">
            <v>D813</v>
          </cell>
          <cell r="D41" t="str">
            <v>D080</v>
          </cell>
          <cell r="E41">
            <v>10032959</v>
          </cell>
          <cell r="F41" t="str">
            <v>Grava Triturada Andesita 50 mm - 2</v>
          </cell>
          <cell r="G41">
            <v>65.37</v>
          </cell>
          <cell r="H41" t="str">
            <v>MXN</v>
          </cell>
          <cell r="I41">
            <v>1</v>
          </cell>
          <cell r="J41" t="str">
            <v>TN</v>
          </cell>
          <cell r="K41" t="str">
            <v>C</v>
          </cell>
          <cell r="M41" t="str">
            <v>01.01.2025</v>
          </cell>
          <cell r="N41" t="str">
            <v>31.03.2025</v>
          </cell>
          <cell r="O41">
            <v>7.27</v>
          </cell>
          <cell r="P41">
            <v>72.64</v>
          </cell>
        </row>
        <row r="42">
          <cell r="B42" t="str">
            <v>D81310000252</v>
          </cell>
          <cell r="C42" t="str">
            <v>D813</v>
          </cell>
          <cell r="D42" t="str">
            <v>D081</v>
          </cell>
          <cell r="E42">
            <v>10000252</v>
          </cell>
          <cell r="F42" t="str">
            <v>Grava Triturada Andesita 10 mm - 3/8"</v>
          </cell>
          <cell r="G42">
            <v>65.37</v>
          </cell>
          <cell r="H42" t="str">
            <v>MXN</v>
          </cell>
          <cell r="I42">
            <v>1</v>
          </cell>
          <cell r="J42" t="str">
            <v>TN</v>
          </cell>
          <cell r="K42" t="str">
            <v>C</v>
          </cell>
          <cell r="M42" t="str">
            <v>01.01.2025</v>
          </cell>
          <cell r="N42" t="str">
            <v>31.03.2025</v>
          </cell>
          <cell r="O42">
            <v>49.56</v>
          </cell>
          <cell r="P42">
            <v>114.93</v>
          </cell>
        </row>
        <row r="43">
          <cell r="B43" t="str">
            <v>D81310000253</v>
          </cell>
          <cell r="C43" t="str">
            <v>D813</v>
          </cell>
          <cell r="D43" t="str">
            <v>D081</v>
          </cell>
          <cell r="E43">
            <v>10000253</v>
          </cell>
          <cell r="F43" t="str">
            <v>Grava Triturada Andesita 20 mm - 3/4"</v>
          </cell>
          <cell r="G43">
            <v>65.37</v>
          </cell>
          <cell r="H43" t="str">
            <v>MXN</v>
          </cell>
          <cell r="I43">
            <v>1</v>
          </cell>
          <cell r="J43" t="str">
            <v>TN</v>
          </cell>
          <cell r="K43" t="str">
            <v>C</v>
          </cell>
          <cell r="M43" t="str">
            <v>01.01.2025</v>
          </cell>
          <cell r="N43" t="str">
            <v>31.03.2025</v>
          </cell>
          <cell r="O43">
            <v>38.15</v>
          </cell>
          <cell r="P43">
            <v>103.52000000000001</v>
          </cell>
        </row>
        <row r="44">
          <cell r="B44" t="str">
            <v>D81310000255</v>
          </cell>
          <cell r="C44" t="str">
            <v>D813</v>
          </cell>
          <cell r="D44" t="str">
            <v>D081</v>
          </cell>
          <cell r="E44">
            <v>10000255</v>
          </cell>
          <cell r="F44" t="str">
            <v>Arena Triturada Andesita Malla 4</v>
          </cell>
          <cell r="G44">
            <v>64.63</v>
          </cell>
          <cell r="H44" t="str">
            <v>MXN</v>
          </cell>
          <cell r="I44">
            <v>1</v>
          </cell>
          <cell r="J44" t="str">
            <v>TN</v>
          </cell>
          <cell r="K44" t="str">
            <v>C</v>
          </cell>
          <cell r="M44" t="str">
            <v>01.01.2025</v>
          </cell>
          <cell r="N44" t="str">
            <v>31.03.2025</v>
          </cell>
          <cell r="O44">
            <v>39.44</v>
          </cell>
          <cell r="P44">
            <v>104.07</v>
          </cell>
        </row>
        <row r="45">
          <cell r="B45" t="str">
            <v>D81310001091</v>
          </cell>
          <cell r="C45" t="str">
            <v>D813</v>
          </cell>
          <cell r="D45" t="str">
            <v>D081</v>
          </cell>
          <cell r="E45">
            <v>10001091</v>
          </cell>
          <cell r="F45" t="str">
            <v>Balasto Triturado Andesita 150 mm - 6"</v>
          </cell>
          <cell r="G45">
            <v>42.73</v>
          </cell>
          <cell r="H45" t="str">
            <v>MXN</v>
          </cell>
          <cell r="I45">
            <v>1</v>
          </cell>
          <cell r="J45" t="str">
            <v>TN</v>
          </cell>
          <cell r="K45" t="str">
            <v>C</v>
          </cell>
          <cell r="M45" t="str">
            <v>01.01.2025</v>
          </cell>
          <cell r="N45" t="str">
            <v>31.03.2025</v>
          </cell>
          <cell r="O45">
            <v>2.74</v>
          </cell>
          <cell r="P45">
            <v>45.47</v>
          </cell>
        </row>
        <row r="46">
          <cell r="B46" t="str">
            <v>D81310002350</v>
          </cell>
          <cell r="C46" t="str">
            <v>D813</v>
          </cell>
          <cell r="D46" t="str">
            <v>D081</v>
          </cell>
          <cell r="E46">
            <v>10002350</v>
          </cell>
          <cell r="F46" t="str">
            <v>Grava Triturada Andesita 10mm-3/8"-Block</v>
          </cell>
          <cell r="G46">
            <v>65.37</v>
          </cell>
          <cell r="H46" t="str">
            <v>MXN</v>
          </cell>
          <cell r="I46">
            <v>1</v>
          </cell>
          <cell r="J46" t="str">
            <v>TN</v>
          </cell>
          <cell r="K46" t="str">
            <v>C</v>
          </cell>
          <cell r="M46" t="str">
            <v>01.01.2025</v>
          </cell>
          <cell r="N46" t="str">
            <v>31.03.2025</v>
          </cell>
          <cell r="O46">
            <v>55.12</v>
          </cell>
          <cell r="P46">
            <v>120.49000000000001</v>
          </cell>
        </row>
        <row r="47">
          <cell r="B47" t="str">
            <v>D81310029946</v>
          </cell>
          <cell r="C47" t="str">
            <v>D813</v>
          </cell>
          <cell r="D47" t="str">
            <v>D081</v>
          </cell>
          <cell r="E47">
            <v>10029946</v>
          </cell>
          <cell r="F47" t="str">
            <v>Arena Triturada Andesita Malla 8</v>
          </cell>
          <cell r="G47">
            <v>64.63</v>
          </cell>
          <cell r="H47" t="str">
            <v>MXN</v>
          </cell>
          <cell r="I47">
            <v>1</v>
          </cell>
          <cell r="J47" t="str">
            <v>TN</v>
          </cell>
          <cell r="K47" t="str">
            <v>C</v>
          </cell>
          <cell r="M47" t="str">
            <v>01.01.2025</v>
          </cell>
          <cell r="N47" t="str">
            <v>31.03.2025</v>
          </cell>
          <cell r="O47">
            <v>42.5</v>
          </cell>
          <cell r="P47">
            <v>107.13</v>
          </cell>
        </row>
        <row r="48">
          <cell r="B48" t="str">
            <v>D81310032959</v>
          </cell>
          <cell r="C48" t="str">
            <v>D813</v>
          </cell>
          <cell r="D48" t="str">
            <v>D081</v>
          </cell>
          <cell r="E48">
            <v>10032959</v>
          </cell>
          <cell r="F48" t="str">
            <v>Grava Triturada Andesita 50 mm - 2</v>
          </cell>
          <cell r="G48">
            <v>65.37</v>
          </cell>
          <cell r="H48" t="str">
            <v>MXN</v>
          </cell>
          <cell r="I48">
            <v>1</v>
          </cell>
          <cell r="J48" t="str">
            <v>TN</v>
          </cell>
          <cell r="K48" t="str">
            <v>C</v>
          </cell>
          <cell r="M48" t="str">
            <v>01.01.2025</v>
          </cell>
          <cell r="N48" t="str">
            <v>31.03.2025</v>
          </cell>
          <cell r="O48">
            <v>7.27</v>
          </cell>
          <cell r="P48">
            <v>72.64</v>
          </cell>
        </row>
        <row r="49">
          <cell r="B49" t="str">
            <v>D81310000252</v>
          </cell>
          <cell r="C49" t="str">
            <v>D813</v>
          </cell>
          <cell r="D49" t="str">
            <v>D083</v>
          </cell>
          <cell r="E49">
            <v>10000252</v>
          </cell>
          <cell r="F49" t="str">
            <v>Grava Triturada Andesita 10 mm - 3/8"</v>
          </cell>
          <cell r="G49">
            <v>65.37</v>
          </cell>
          <cell r="H49" t="str">
            <v>MXN</v>
          </cell>
          <cell r="I49">
            <v>1</v>
          </cell>
          <cell r="J49" t="str">
            <v>TN</v>
          </cell>
          <cell r="K49" t="str">
            <v>C</v>
          </cell>
          <cell r="M49" t="str">
            <v>01.01.2025</v>
          </cell>
          <cell r="N49" t="str">
            <v>31.03.2025</v>
          </cell>
          <cell r="O49">
            <v>49.56</v>
          </cell>
          <cell r="P49">
            <v>114.93</v>
          </cell>
        </row>
        <row r="50">
          <cell r="B50" t="str">
            <v>D81310000253</v>
          </cell>
          <cell r="C50" t="str">
            <v>D813</v>
          </cell>
          <cell r="D50" t="str">
            <v>D083</v>
          </cell>
          <cell r="E50">
            <v>10000253</v>
          </cell>
          <cell r="F50" t="str">
            <v>Grava Triturada Andesita 20 mm - 3/4"</v>
          </cell>
          <cell r="G50">
            <v>65.37</v>
          </cell>
          <cell r="H50" t="str">
            <v>MXN</v>
          </cell>
          <cell r="I50">
            <v>1</v>
          </cell>
          <cell r="J50" t="str">
            <v>TN</v>
          </cell>
          <cell r="K50" t="str">
            <v>C</v>
          </cell>
          <cell r="M50" t="str">
            <v>01.01.2025</v>
          </cell>
          <cell r="N50" t="str">
            <v>31.03.2025</v>
          </cell>
          <cell r="O50">
            <v>38.15</v>
          </cell>
          <cell r="P50">
            <v>103.52000000000001</v>
          </cell>
        </row>
        <row r="51">
          <cell r="B51" t="str">
            <v>D81310000255</v>
          </cell>
          <cell r="C51" t="str">
            <v>D813</v>
          </cell>
          <cell r="D51" t="str">
            <v>D083</v>
          </cell>
          <cell r="E51">
            <v>10000255</v>
          </cell>
          <cell r="F51" t="str">
            <v>Arena Triturada Andesita Malla 4</v>
          </cell>
          <cell r="G51">
            <v>64.63</v>
          </cell>
          <cell r="H51" t="str">
            <v>MXN</v>
          </cell>
          <cell r="I51">
            <v>1</v>
          </cell>
          <cell r="J51" t="str">
            <v>TN</v>
          </cell>
          <cell r="K51" t="str">
            <v>C</v>
          </cell>
          <cell r="M51" t="str">
            <v>01.01.2025</v>
          </cell>
          <cell r="N51" t="str">
            <v>31.03.2025</v>
          </cell>
          <cell r="O51">
            <v>39.44</v>
          </cell>
          <cell r="P51">
            <v>104.07</v>
          </cell>
        </row>
        <row r="52">
          <cell r="B52" t="str">
            <v>D81310001091</v>
          </cell>
          <cell r="C52" t="str">
            <v>D813</v>
          </cell>
          <cell r="D52" t="str">
            <v>D083</v>
          </cell>
          <cell r="E52">
            <v>10001091</v>
          </cell>
          <cell r="F52" t="str">
            <v>Balasto Triturado Andesita 150 mm - 6"</v>
          </cell>
          <cell r="G52">
            <v>42.73</v>
          </cell>
          <cell r="H52" t="str">
            <v>MXN</v>
          </cell>
          <cell r="I52">
            <v>1</v>
          </cell>
          <cell r="J52" t="str">
            <v>TN</v>
          </cell>
          <cell r="K52" t="str">
            <v>C</v>
          </cell>
          <cell r="M52" t="str">
            <v>01.01.2025</v>
          </cell>
          <cell r="N52" t="str">
            <v>31.03.2025</v>
          </cell>
          <cell r="O52">
            <v>2.74</v>
          </cell>
          <cell r="P52">
            <v>45.47</v>
          </cell>
        </row>
        <row r="53">
          <cell r="B53" t="str">
            <v>D81310002350</v>
          </cell>
          <cell r="C53" t="str">
            <v>D813</v>
          </cell>
          <cell r="D53" t="str">
            <v>D083</v>
          </cell>
          <cell r="E53">
            <v>10002350</v>
          </cell>
          <cell r="F53" t="str">
            <v>Grava Triturada Andesita 10mm-3/8"-Block</v>
          </cell>
          <cell r="G53">
            <v>65.37</v>
          </cell>
          <cell r="H53" t="str">
            <v>MXN</v>
          </cell>
          <cell r="I53">
            <v>1</v>
          </cell>
          <cell r="J53" t="str">
            <v>TN</v>
          </cell>
          <cell r="K53" t="str">
            <v>C</v>
          </cell>
          <cell r="M53" t="str">
            <v>01.01.2025</v>
          </cell>
          <cell r="N53" t="str">
            <v>31.03.2025</v>
          </cell>
          <cell r="O53">
            <v>55.12</v>
          </cell>
          <cell r="P53">
            <v>120.49000000000001</v>
          </cell>
        </row>
        <row r="54">
          <cell r="B54" t="str">
            <v>D81310029946</v>
          </cell>
          <cell r="C54" t="str">
            <v>D813</v>
          </cell>
          <cell r="D54" t="str">
            <v>D083</v>
          </cell>
          <cell r="E54">
            <v>10029946</v>
          </cell>
          <cell r="F54" t="str">
            <v>Arena Triturada Andesita Malla 8</v>
          </cell>
          <cell r="G54">
            <v>64.63</v>
          </cell>
          <cell r="H54" t="str">
            <v>MXN</v>
          </cell>
          <cell r="I54">
            <v>1</v>
          </cell>
          <cell r="J54" t="str">
            <v>TN</v>
          </cell>
          <cell r="K54" t="str">
            <v>C</v>
          </cell>
          <cell r="M54" t="str">
            <v>01.01.2025</v>
          </cell>
          <cell r="N54" t="str">
            <v>31.03.2025</v>
          </cell>
          <cell r="O54">
            <v>42.5</v>
          </cell>
          <cell r="P54">
            <v>107.13</v>
          </cell>
        </row>
        <row r="55">
          <cell r="B55" t="str">
            <v>D81310032959</v>
          </cell>
          <cell r="C55" t="str">
            <v>D813</v>
          </cell>
          <cell r="D55" t="str">
            <v>D083</v>
          </cell>
          <cell r="E55">
            <v>10032959</v>
          </cell>
          <cell r="F55" t="str">
            <v>Grava Triturada Andesita 50 mm - 2</v>
          </cell>
          <cell r="G55">
            <v>65.37</v>
          </cell>
          <cell r="H55" t="str">
            <v>MXN</v>
          </cell>
          <cell r="I55">
            <v>1</v>
          </cell>
          <cell r="J55" t="str">
            <v>TN</v>
          </cell>
          <cell r="K55" t="str">
            <v>C</v>
          </cell>
          <cell r="M55" t="str">
            <v>01.01.2025</v>
          </cell>
          <cell r="N55" t="str">
            <v>31.03.2025</v>
          </cell>
          <cell r="O55">
            <v>7.27</v>
          </cell>
          <cell r="P55">
            <v>72.64</v>
          </cell>
        </row>
        <row r="56">
          <cell r="B56" t="str">
            <v>D81310000252</v>
          </cell>
          <cell r="C56" t="str">
            <v>D813</v>
          </cell>
          <cell r="D56" t="str">
            <v>D084</v>
          </cell>
          <cell r="E56">
            <v>10000252</v>
          </cell>
          <cell r="F56" t="str">
            <v>Grava Triturada Andesita 10 mm - 3/8"</v>
          </cell>
          <cell r="G56">
            <v>65.37</v>
          </cell>
          <cell r="H56" t="str">
            <v>MXN</v>
          </cell>
          <cell r="I56">
            <v>1</v>
          </cell>
          <cell r="J56" t="str">
            <v>TN</v>
          </cell>
          <cell r="K56" t="str">
            <v>C</v>
          </cell>
          <cell r="M56" t="str">
            <v>01.01.2025</v>
          </cell>
          <cell r="N56" t="str">
            <v>31.03.2025</v>
          </cell>
          <cell r="O56">
            <v>49.56</v>
          </cell>
          <cell r="P56">
            <v>114.93</v>
          </cell>
        </row>
        <row r="57">
          <cell r="B57" t="str">
            <v>D81310000253</v>
          </cell>
          <cell r="C57" t="str">
            <v>D813</v>
          </cell>
          <cell r="D57" t="str">
            <v>D084</v>
          </cell>
          <cell r="E57">
            <v>10000253</v>
          </cell>
          <cell r="F57" t="str">
            <v>Grava Triturada Andesita 20 mm - 3/4"</v>
          </cell>
          <cell r="G57">
            <v>65.37</v>
          </cell>
          <cell r="H57" t="str">
            <v>MXN</v>
          </cell>
          <cell r="I57">
            <v>1</v>
          </cell>
          <cell r="J57" t="str">
            <v>TN</v>
          </cell>
          <cell r="K57" t="str">
            <v>C</v>
          </cell>
          <cell r="M57" t="str">
            <v>01.01.2025</v>
          </cell>
          <cell r="N57" t="str">
            <v>31.03.2025</v>
          </cell>
          <cell r="O57">
            <v>38.15</v>
          </cell>
          <cell r="P57">
            <v>103.52000000000001</v>
          </cell>
        </row>
        <row r="58">
          <cell r="B58" t="str">
            <v>D81310000255</v>
          </cell>
          <cell r="C58" t="str">
            <v>D813</v>
          </cell>
          <cell r="D58" t="str">
            <v>D084</v>
          </cell>
          <cell r="E58">
            <v>10000255</v>
          </cell>
          <cell r="F58" t="str">
            <v>Arena Triturada Andesita Malla 4</v>
          </cell>
          <cell r="G58">
            <v>64.63</v>
          </cell>
          <cell r="H58" t="str">
            <v>MXN</v>
          </cell>
          <cell r="I58">
            <v>1</v>
          </cell>
          <cell r="J58" t="str">
            <v>TN</v>
          </cell>
          <cell r="K58" t="str">
            <v>C</v>
          </cell>
          <cell r="M58" t="str">
            <v>01.01.2025</v>
          </cell>
          <cell r="N58" t="str">
            <v>31.03.2025</v>
          </cell>
          <cell r="O58">
            <v>39.44</v>
          </cell>
          <cell r="P58">
            <v>104.07</v>
          </cell>
        </row>
        <row r="59">
          <cell r="B59" t="str">
            <v>D81310001091</v>
          </cell>
          <cell r="C59" t="str">
            <v>D813</v>
          </cell>
          <cell r="D59" t="str">
            <v>D084</v>
          </cell>
          <cell r="E59">
            <v>10001091</v>
          </cell>
          <cell r="F59" t="str">
            <v>Balasto Triturado Andesita 150 mm - 6"</v>
          </cell>
          <cell r="G59">
            <v>42.73</v>
          </cell>
          <cell r="H59" t="str">
            <v>MXN</v>
          </cell>
          <cell r="I59">
            <v>1</v>
          </cell>
          <cell r="J59" t="str">
            <v>TN</v>
          </cell>
          <cell r="K59" t="str">
            <v>C</v>
          </cell>
          <cell r="M59" t="str">
            <v>01.01.2025</v>
          </cell>
          <cell r="N59" t="str">
            <v>31.03.2025</v>
          </cell>
          <cell r="O59">
            <v>2.74</v>
          </cell>
          <cell r="P59">
            <v>45.47</v>
          </cell>
        </row>
        <row r="60">
          <cell r="B60" t="str">
            <v>D81310002350</v>
          </cell>
          <cell r="C60" t="str">
            <v>D813</v>
          </cell>
          <cell r="D60" t="str">
            <v>D084</v>
          </cell>
          <cell r="E60">
            <v>10002350</v>
          </cell>
          <cell r="F60" t="str">
            <v>Grava Triturada Andesita 10mm-3/8"-Block</v>
          </cell>
          <cell r="G60">
            <v>65.37</v>
          </cell>
          <cell r="H60" t="str">
            <v>MXN</v>
          </cell>
          <cell r="I60">
            <v>1</v>
          </cell>
          <cell r="J60" t="str">
            <v>TN</v>
          </cell>
          <cell r="K60" t="str">
            <v>C</v>
          </cell>
          <cell r="M60" t="str">
            <v>01.01.2025</v>
          </cell>
          <cell r="N60" t="str">
            <v>31.03.2025</v>
          </cell>
          <cell r="O60">
            <v>55.12</v>
          </cell>
          <cell r="P60">
            <v>120.49000000000001</v>
          </cell>
        </row>
        <row r="61">
          <cell r="B61" t="str">
            <v>D81310029946</v>
          </cell>
          <cell r="C61" t="str">
            <v>D813</v>
          </cell>
          <cell r="D61" t="str">
            <v>D084</v>
          </cell>
          <cell r="E61">
            <v>10029946</v>
          </cell>
          <cell r="F61" t="str">
            <v>Arena Triturada Andesita Malla 8</v>
          </cell>
          <cell r="G61">
            <v>64.63</v>
          </cell>
          <cell r="H61" t="str">
            <v>MXN</v>
          </cell>
          <cell r="I61">
            <v>1</v>
          </cell>
          <cell r="J61" t="str">
            <v>TN</v>
          </cell>
          <cell r="K61" t="str">
            <v>C</v>
          </cell>
          <cell r="M61" t="str">
            <v>01.01.2025</v>
          </cell>
          <cell r="N61" t="str">
            <v>31.03.2025</v>
          </cell>
          <cell r="O61">
            <v>42.5</v>
          </cell>
          <cell r="P61">
            <v>107.13</v>
          </cell>
        </row>
        <row r="62">
          <cell r="B62" t="str">
            <v>D81310032959</v>
          </cell>
          <cell r="C62" t="str">
            <v>D813</v>
          </cell>
          <cell r="D62" t="str">
            <v>D084</v>
          </cell>
          <cell r="E62">
            <v>10032959</v>
          </cell>
          <cell r="F62" t="str">
            <v>Grava Triturada Andesita 50 mm - 2</v>
          </cell>
          <cell r="G62">
            <v>65.37</v>
          </cell>
          <cell r="H62" t="str">
            <v>MXN</v>
          </cell>
          <cell r="I62">
            <v>1</v>
          </cell>
          <cell r="J62" t="str">
            <v>TN</v>
          </cell>
          <cell r="K62" t="str">
            <v>C</v>
          </cell>
          <cell r="M62" t="str">
            <v>01.01.2025</v>
          </cell>
          <cell r="N62" t="str">
            <v>31.03.2025</v>
          </cell>
          <cell r="O62">
            <v>7.27</v>
          </cell>
          <cell r="P62">
            <v>72.64</v>
          </cell>
        </row>
        <row r="63">
          <cell r="B63" t="str">
            <v>D81310000252</v>
          </cell>
          <cell r="C63" t="str">
            <v>D813</v>
          </cell>
          <cell r="D63" t="str">
            <v>D085</v>
          </cell>
          <cell r="E63">
            <v>10000252</v>
          </cell>
          <cell r="F63" t="str">
            <v>Grava Triturada Andesita 10 mm - 3/8"</v>
          </cell>
          <cell r="G63">
            <v>65.37</v>
          </cell>
          <cell r="H63" t="str">
            <v>MXN</v>
          </cell>
          <cell r="I63">
            <v>1</v>
          </cell>
          <cell r="J63" t="str">
            <v>TN</v>
          </cell>
          <cell r="K63" t="str">
            <v>C</v>
          </cell>
          <cell r="M63" t="str">
            <v>01.01.2025</v>
          </cell>
          <cell r="N63" t="str">
            <v>31.03.2025</v>
          </cell>
          <cell r="O63">
            <v>49.56</v>
          </cell>
          <cell r="P63">
            <v>114.93</v>
          </cell>
        </row>
        <row r="64">
          <cell r="B64" t="str">
            <v>D81310000253</v>
          </cell>
          <cell r="C64" t="str">
            <v>D813</v>
          </cell>
          <cell r="D64" t="str">
            <v>D085</v>
          </cell>
          <cell r="E64">
            <v>10000253</v>
          </cell>
          <cell r="F64" t="str">
            <v>Grava Triturada Andesita 20 mm - 3/4"</v>
          </cell>
          <cell r="G64">
            <v>65.37</v>
          </cell>
          <cell r="H64" t="str">
            <v>MXN</v>
          </cell>
          <cell r="I64">
            <v>1</v>
          </cell>
          <cell r="J64" t="str">
            <v>TN</v>
          </cell>
          <cell r="K64" t="str">
            <v>C</v>
          </cell>
          <cell r="M64" t="str">
            <v>01.01.2025</v>
          </cell>
          <cell r="N64" t="str">
            <v>31.03.2025</v>
          </cell>
          <cell r="O64">
            <v>38.15</v>
          </cell>
          <cell r="P64">
            <v>103.52000000000001</v>
          </cell>
        </row>
        <row r="65">
          <cell r="B65" t="str">
            <v>D81310000255</v>
          </cell>
          <cell r="C65" t="str">
            <v>D813</v>
          </cell>
          <cell r="D65" t="str">
            <v>D085</v>
          </cell>
          <cell r="E65">
            <v>10000255</v>
          </cell>
          <cell r="F65" t="str">
            <v>Arena Triturada Andesita Malla 4</v>
          </cell>
          <cell r="G65">
            <v>64.63</v>
          </cell>
          <cell r="H65" t="str">
            <v>MXN</v>
          </cell>
          <cell r="I65">
            <v>1</v>
          </cell>
          <cell r="J65" t="str">
            <v>TN</v>
          </cell>
          <cell r="K65" t="str">
            <v>C</v>
          </cell>
          <cell r="M65" t="str">
            <v>01.01.2025</v>
          </cell>
          <cell r="N65" t="str">
            <v>31.03.2025</v>
          </cell>
          <cell r="O65">
            <v>39.44</v>
          </cell>
          <cell r="P65">
            <v>104.07</v>
          </cell>
        </row>
        <row r="66">
          <cell r="B66" t="str">
            <v>D81310001091</v>
          </cell>
          <cell r="C66" t="str">
            <v>D813</v>
          </cell>
          <cell r="D66" t="str">
            <v>D085</v>
          </cell>
          <cell r="E66">
            <v>10001091</v>
          </cell>
          <cell r="F66" t="str">
            <v>Balasto Triturado Andesita 150 mm - 6"</v>
          </cell>
          <cell r="G66">
            <v>42.73</v>
          </cell>
          <cell r="H66" t="str">
            <v>MXN</v>
          </cell>
          <cell r="I66">
            <v>1</v>
          </cell>
          <cell r="J66" t="str">
            <v>TN</v>
          </cell>
          <cell r="K66" t="str">
            <v>C</v>
          </cell>
          <cell r="M66" t="str">
            <v>01.01.2025</v>
          </cell>
          <cell r="N66" t="str">
            <v>31.03.2025</v>
          </cell>
          <cell r="O66">
            <v>2.74</v>
          </cell>
          <cell r="P66">
            <v>45.47</v>
          </cell>
        </row>
        <row r="67">
          <cell r="B67" t="str">
            <v>D81310002350</v>
          </cell>
          <cell r="C67" t="str">
            <v>D813</v>
          </cell>
          <cell r="D67" t="str">
            <v>D085</v>
          </cell>
          <cell r="E67">
            <v>10002350</v>
          </cell>
          <cell r="F67" t="str">
            <v>Grava Triturada Andesita 10mm-3/8"-Block</v>
          </cell>
          <cell r="G67">
            <v>65.37</v>
          </cell>
          <cell r="H67" t="str">
            <v>MXN</v>
          </cell>
          <cell r="I67">
            <v>1</v>
          </cell>
          <cell r="J67" t="str">
            <v>TN</v>
          </cell>
          <cell r="K67" t="str">
            <v>C</v>
          </cell>
          <cell r="M67" t="str">
            <v>01.01.2025</v>
          </cell>
          <cell r="N67" t="str">
            <v>31.03.2025</v>
          </cell>
          <cell r="O67">
            <v>55.12</v>
          </cell>
          <cell r="P67">
            <v>120.49000000000001</v>
          </cell>
        </row>
        <row r="68">
          <cell r="B68" t="str">
            <v>D81310029946</v>
          </cell>
          <cell r="C68" t="str">
            <v>D813</v>
          </cell>
          <cell r="D68" t="str">
            <v>D085</v>
          </cell>
          <cell r="E68">
            <v>10029946</v>
          </cell>
          <cell r="F68" t="str">
            <v>Arena Triturada Andesita Malla 8</v>
          </cell>
          <cell r="G68">
            <v>64.63</v>
          </cell>
          <cell r="H68" t="str">
            <v>MXN</v>
          </cell>
          <cell r="I68">
            <v>1</v>
          </cell>
          <cell r="J68" t="str">
            <v>TN</v>
          </cell>
          <cell r="K68" t="str">
            <v>C</v>
          </cell>
          <cell r="M68" t="str">
            <v>01.01.2025</v>
          </cell>
          <cell r="N68" t="str">
            <v>31.03.2025</v>
          </cell>
          <cell r="O68">
            <v>42.5</v>
          </cell>
          <cell r="P68">
            <v>107.13</v>
          </cell>
        </row>
        <row r="69">
          <cell r="B69" t="str">
            <v>D81310032959</v>
          </cell>
          <cell r="C69" t="str">
            <v>D813</v>
          </cell>
          <cell r="D69" t="str">
            <v>D085</v>
          </cell>
          <cell r="E69">
            <v>10032959</v>
          </cell>
          <cell r="F69" t="str">
            <v>Grava Triturada Andesita 50 mm - 2</v>
          </cell>
          <cell r="G69">
            <v>65.37</v>
          </cell>
          <cell r="H69" t="str">
            <v>MXN</v>
          </cell>
          <cell r="I69">
            <v>1</v>
          </cell>
          <cell r="J69" t="str">
            <v>TN</v>
          </cell>
          <cell r="K69" t="str">
            <v>C</v>
          </cell>
          <cell r="M69" t="str">
            <v>01.01.2025</v>
          </cell>
          <cell r="N69" t="str">
            <v>31.03.2025</v>
          </cell>
          <cell r="O69">
            <v>7.27</v>
          </cell>
          <cell r="P69">
            <v>72.64</v>
          </cell>
        </row>
        <row r="70">
          <cell r="B70" t="str">
            <v>D81310000252</v>
          </cell>
          <cell r="C70" t="str">
            <v>D813</v>
          </cell>
          <cell r="D70" t="str">
            <v>D086</v>
          </cell>
          <cell r="E70">
            <v>10000252</v>
          </cell>
          <cell r="F70" t="str">
            <v>Grava Triturada Andesita 10 mm - 3/8"</v>
          </cell>
          <cell r="G70">
            <v>65.37</v>
          </cell>
          <cell r="H70" t="str">
            <v>MXN</v>
          </cell>
          <cell r="I70">
            <v>1</v>
          </cell>
          <cell r="J70" t="str">
            <v>TN</v>
          </cell>
          <cell r="K70" t="str">
            <v>C</v>
          </cell>
          <cell r="M70" t="str">
            <v>01.01.2025</v>
          </cell>
          <cell r="N70" t="str">
            <v>31.03.2025</v>
          </cell>
          <cell r="O70">
            <v>49.56</v>
          </cell>
          <cell r="P70">
            <v>114.93</v>
          </cell>
        </row>
        <row r="71">
          <cell r="B71" t="str">
            <v>D81310000253</v>
          </cell>
          <cell r="C71" t="str">
            <v>D813</v>
          </cell>
          <cell r="D71" t="str">
            <v>D086</v>
          </cell>
          <cell r="E71">
            <v>10000253</v>
          </cell>
          <cell r="F71" t="str">
            <v>Grava Triturada Andesita 20 mm - 3/4"</v>
          </cell>
          <cell r="G71">
            <v>65.37</v>
          </cell>
          <cell r="H71" t="str">
            <v>MXN</v>
          </cell>
          <cell r="I71">
            <v>1</v>
          </cell>
          <cell r="J71" t="str">
            <v>TN</v>
          </cell>
          <cell r="K71" t="str">
            <v>C</v>
          </cell>
          <cell r="M71" t="str">
            <v>01.01.2025</v>
          </cell>
          <cell r="N71" t="str">
            <v>31.03.2025</v>
          </cell>
          <cell r="O71">
            <v>38.15</v>
          </cell>
          <cell r="P71">
            <v>103.52000000000001</v>
          </cell>
        </row>
        <row r="72">
          <cell r="B72" t="str">
            <v>D81310000255</v>
          </cell>
          <cell r="C72" t="str">
            <v>D813</v>
          </cell>
          <cell r="D72" t="str">
            <v>D086</v>
          </cell>
          <cell r="E72">
            <v>10000255</v>
          </cell>
          <cell r="F72" t="str">
            <v>Arena Triturada Andesita Malla 4</v>
          </cell>
          <cell r="G72">
            <v>64.63</v>
          </cell>
          <cell r="H72" t="str">
            <v>MXN</v>
          </cell>
          <cell r="I72">
            <v>1</v>
          </cell>
          <cell r="J72" t="str">
            <v>TN</v>
          </cell>
          <cell r="K72" t="str">
            <v>C</v>
          </cell>
          <cell r="M72" t="str">
            <v>01.01.2025</v>
          </cell>
          <cell r="N72" t="str">
            <v>31.03.2025</v>
          </cell>
          <cell r="O72">
            <v>39.44</v>
          </cell>
          <cell r="P72">
            <v>104.07</v>
          </cell>
        </row>
        <row r="73">
          <cell r="B73" t="str">
            <v>D81310001091</v>
          </cell>
          <cell r="C73" t="str">
            <v>D813</v>
          </cell>
          <cell r="D73" t="str">
            <v>D086</v>
          </cell>
          <cell r="E73">
            <v>10001091</v>
          </cell>
          <cell r="F73" t="str">
            <v>Balasto Triturado Andesita 150 mm - 6"</v>
          </cell>
          <cell r="G73">
            <v>42.73</v>
          </cell>
          <cell r="H73" t="str">
            <v>MXN</v>
          </cell>
          <cell r="I73">
            <v>1</v>
          </cell>
          <cell r="J73" t="str">
            <v>TN</v>
          </cell>
          <cell r="K73" t="str">
            <v>C</v>
          </cell>
          <cell r="M73" t="str">
            <v>01.01.2025</v>
          </cell>
          <cell r="N73" t="str">
            <v>31.03.2025</v>
          </cell>
          <cell r="O73">
            <v>2.74</v>
          </cell>
          <cell r="P73">
            <v>45.47</v>
          </cell>
        </row>
        <row r="74">
          <cell r="B74" t="str">
            <v>D81310002350</v>
          </cell>
          <cell r="C74" t="str">
            <v>D813</v>
          </cell>
          <cell r="D74" t="str">
            <v>D086</v>
          </cell>
          <cell r="E74">
            <v>10002350</v>
          </cell>
          <cell r="F74" t="str">
            <v>Grava Triturada Andesita 10mm-3/8"-Block</v>
          </cell>
          <cell r="G74">
            <v>65.37</v>
          </cell>
          <cell r="H74" t="str">
            <v>MXN</v>
          </cell>
          <cell r="I74">
            <v>1</v>
          </cell>
          <cell r="J74" t="str">
            <v>TN</v>
          </cell>
          <cell r="K74" t="str">
            <v>C</v>
          </cell>
          <cell r="M74" t="str">
            <v>01.01.2025</v>
          </cell>
          <cell r="N74" t="str">
            <v>31.03.2025</v>
          </cell>
          <cell r="O74">
            <v>55.12</v>
          </cell>
          <cell r="P74">
            <v>120.49000000000001</v>
          </cell>
        </row>
        <row r="75">
          <cell r="B75" t="str">
            <v>D81310029946</v>
          </cell>
          <cell r="C75" t="str">
            <v>D813</v>
          </cell>
          <cell r="D75" t="str">
            <v>D086</v>
          </cell>
          <cell r="E75">
            <v>10029946</v>
          </cell>
          <cell r="F75" t="str">
            <v>Arena Triturada Andesita Malla 8</v>
          </cell>
          <cell r="G75">
            <v>64.63</v>
          </cell>
          <cell r="H75" t="str">
            <v>MXN</v>
          </cell>
          <cell r="I75">
            <v>1</v>
          </cell>
          <cell r="J75" t="str">
            <v>TN</v>
          </cell>
          <cell r="K75" t="str">
            <v>C</v>
          </cell>
          <cell r="M75" t="str">
            <v>01.01.2025</v>
          </cell>
          <cell r="N75" t="str">
            <v>31.03.2025</v>
          </cell>
          <cell r="O75">
            <v>42.5</v>
          </cell>
          <cell r="P75">
            <v>107.13</v>
          </cell>
        </row>
        <row r="76">
          <cell r="B76" t="str">
            <v>D81310032959</v>
          </cell>
          <cell r="C76" t="str">
            <v>D813</v>
          </cell>
          <cell r="D76" t="str">
            <v>D086</v>
          </cell>
          <cell r="E76">
            <v>10032959</v>
          </cell>
          <cell r="F76" t="str">
            <v>Grava Triturada Andesita 50 mm - 2</v>
          </cell>
          <cell r="G76">
            <v>65.37</v>
          </cell>
          <cell r="H76" t="str">
            <v>MXN</v>
          </cell>
          <cell r="I76">
            <v>1</v>
          </cell>
          <cell r="J76" t="str">
            <v>TN</v>
          </cell>
          <cell r="K76" t="str">
            <v>C</v>
          </cell>
          <cell r="M76" t="str">
            <v>01.01.2025</v>
          </cell>
          <cell r="N76" t="str">
            <v>31.03.2025</v>
          </cell>
          <cell r="O76">
            <v>7.27</v>
          </cell>
          <cell r="P76">
            <v>72.64</v>
          </cell>
        </row>
        <row r="77">
          <cell r="B77" t="str">
            <v>D81310000252</v>
          </cell>
          <cell r="C77" t="str">
            <v>D813</v>
          </cell>
          <cell r="D77" t="str">
            <v>D087</v>
          </cell>
          <cell r="E77">
            <v>10000252</v>
          </cell>
          <cell r="F77" t="str">
            <v>Grava Triturada Andesita 10 mm - 3/8"</v>
          </cell>
          <cell r="G77">
            <v>65.37</v>
          </cell>
          <cell r="H77" t="str">
            <v>MXN</v>
          </cell>
          <cell r="I77">
            <v>1</v>
          </cell>
          <cell r="J77" t="str">
            <v>TN</v>
          </cell>
          <cell r="K77" t="str">
            <v>C</v>
          </cell>
          <cell r="M77" t="str">
            <v>01.01.2025</v>
          </cell>
          <cell r="N77" t="str">
            <v>31.03.2025</v>
          </cell>
          <cell r="O77">
            <v>49.56</v>
          </cell>
          <cell r="P77">
            <v>114.93</v>
          </cell>
        </row>
        <row r="78">
          <cell r="B78" t="str">
            <v>D81310000253</v>
          </cell>
          <cell r="C78" t="str">
            <v>D813</v>
          </cell>
          <cell r="D78" t="str">
            <v>D087</v>
          </cell>
          <cell r="E78">
            <v>10000253</v>
          </cell>
          <cell r="F78" t="str">
            <v>Grava Triturada Andesita 20 mm - 3/4"</v>
          </cell>
          <cell r="G78">
            <v>65.37</v>
          </cell>
          <cell r="H78" t="str">
            <v>MXN</v>
          </cell>
          <cell r="I78">
            <v>1</v>
          </cell>
          <cell r="J78" t="str">
            <v>TN</v>
          </cell>
          <cell r="K78" t="str">
            <v>C</v>
          </cell>
          <cell r="M78" t="str">
            <v>01.01.2025</v>
          </cell>
          <cell r="N78" t="str">
            <v>31.03.2025</v>
          </cell>
          <cell r="O78">
            <v>38.15</v>
          </cell>
          <cell r="P78">
            <v>103.52000000000001</v>
          </cell>
        </row>
        <row r="79">
          <cell r="B79" t="str">
            <v>D81310000255</v>
          </cell>
          <cell r="C79" t="str">
            <v>D813</v>
          </cell>
          <cell r="D79" t="str">
            <v>D087</v>
          </cell>
          <cell r="E79">
            <v>10000255</v>
          </cell>
          <cell r="F79" t="str">
            <v>Arena Triturada Andesita Malla 4</v>
          </cell>
          <cell r="G79">
            <v>64.63</v>
          </cell>
          <cell r="H79" t="str">
            <v>MXN</v>
          </cell>
          <cell r="I79">
            <v>1</v>
          </cell>
          <cell r="J79" t="str">
            <v>TN</v>
          </cell>
          <cell r="K79" t="str">
            <v>C</v>
          </cell>
          <cell r="M79" t="str">
            <v>01.01.2025</v>
          </cell>
          <cell r="N79" t="str">
            <v>31.03.2025</v>
          </cell>
          <cell r="O79">
            <v>39.44</v>
          </cell>
          <cell r="P79">
            <v>104.07</v>
          </cell>
        </row>
        <row r="80">
          <cell r="B80" t="str">
            <v>D81310001091</v>
          </cell>
          <cell r="C80" t="str">
            <v>D813</v>
          </cell>
          <cell r="D80" t="str">
            <v>D087</v>
          </cell>
          <cell r="E80">
            <v>10001091</v>
          </cell>
          <cell r="F80" t="str">
            <v>Balasto Triturado Andesita 150 mm - 6"</v>
          </cell>
          <cell r="G80">
            <v>42.73</v>
          </cell>
          <cell r="H80" t="str">
            <v>MXN</v>
          </cell>
          <cell r="I80">
            <v>1</v>
          </cell>
          <cell r="J80" t="str">
            <v>TN</v>
          </cell>
          <cell r="K80" t="str">
            <v>C</v>
          </cell>
          <cell r="M80" t="str">
            <v>01.01.2025</v>
          </cell>
          <cell r="N80" t="str">
            <v>31.03.2025</v>
          </cell>
          <cell r="O80">
            <v>2.74</v>
          </cell>
          <cell r="P80">
            <v>45.47</v>
          </cell>
        </row>
        <row r="81">
          <cell r="B81" t="str">
            <v>D81310002350</v>
          </cell>
          <cell r="C81" t="str">
            <v>D813</v>
          </cell>
          <cell r="D81" t="str">
            <v>D087</v>
          </cell>
          <cell r="E81">
            <v>10002350</v>
          </cell>
          <cell r="F81" t="str">
            <v>Grava Triturada Andesita 10mm-3/8"-Block</v>
          </cell>
          <cell r="G81">
            <v>65.37</v>
          </cell>
          <cell r="H81" t="str">
            <v>MXN</v>
          </cell>
          <cell r="I81">
            <v>1</v>
          </cell>
          <cell r="J81" t="str">
            <v>TN</v>
          </cell>
          <cell r="K81" t="str">
            <v>C</v>
          </cell>
          <cell r="M81" t="str">
            <v>01.01.2025</v>
          </cell>
          <cell r="N81" t="str">
            <v>31.03.2025</v>
          </cell>
          <cell r="O81">
            <v>55.12</v>
          </cell>
          <cell r="P81">
            <v>120.49000000000001</v>
          </cell>
        </row>
        <row r="82">
          <cell r="B82" t="str">
            <v>D81310000252</v>
          </cell>
          <cell r="C82" t="str">
            <v>D813</v>
          </cell>
          <cell r="D82" t="str">
            <v>D088</v>
          </cell>
          <cell r="E82">
            <v>10000252</v>
          </cell>
          <cell r="F82" t="str">
            <v>Grava Triturada Andesita 10 mm - 3/8"</v>
          </cell>
          <cell r="G82">
            <v>65.37</v>
          </cell>
          <cell r="H82" t="str">
            <v>MXN</v>
          </cell>
          <cell r="I82">
            <v>1</v>
          </cell>
          <cell r="J82" t="str">
            <v>TN</v>
          </cell>
          <cell r="K82" t="str">
            <v>C</v>
          </cell>
          <cell r="M82" t="str">
            <v>01.01.2025</v>
          </cell>
          <cell r="N82" t="str">
            <v>31.03.2025</v>
          </cell>
          <cell r="O82">
            <v>49.56</v>
          </cell>
          <cell r="P82">
            <v>114.93</v>
          </cell>
        </row>
        <row r="83">
          <cell r="B83" t="str">
            <v>D81310000253</v>
          </cell>
          <cell r="C83" t="str">
            <v>D813</v>
          </cell>
          <cell r="D83" t="str">
            <v>D088</v>
          </cell>
          <cell r="E83">
            <v>10000253</v>
          </cell>
          <cell r="F83" t="str">
            <v>Grava Triturada Andesita 20 mm - 3/4"</v>
          </cell>
          <cell r="G83">
            <v>65.37</v>
          </cell>
          <cell r="H83" t="str">
            <v>MXN</v>
          </cell>
          <cell r="I83">
            <v>1</v>
          </cell>
          <cell r="J83" t="str">
            <v>TN</v>
          </cell>
          <cell r="K83" t="str">
            <v>C</v>
          </cell>
          <cell r="M83" t="str">
            <v>01.01.2025</v>
          </cell>
          <cell r="N83" t="str">
            <v>31.03.2025</v>
          </cell>
          <cell r="O83">
            <v>38.15</v>
          </cell>
          <cell r="P83">
            <v>103.52000000000001</v>
          </cell>
        </row>
        <row r="84">
          <cell r="B84" t="str">
            <v>D81310000255</v>
          </cell>
          <cell r="C84" t="str">
            <v>D813</v>
          </cell>
          <cell r="D84" t="str">
            <v>D088</v>
          </cell>
          <cell r="E84">
            <v>10000255</v>
          </cell>
          <cell r="F84" t="str">
            <v>Arena Triturada Andesita Malla 4</v>
          </cell>
          <cell r="G84">
            <v>64.63</v>
          </cell>
          <cell r="H84" t="str">
            <v>MXN</v>
          </cell>
          <cell r="I84">
            <v>1</v>
          </cell>
          <cell r="J84" t="str">
            <v>TN</v>
          </cell>
          <cell r="K84" t="str">
            <v>C</v>
          </cell>
          <cell r="M84" t="str">
            <v>01.01.2025</v>
          </cell>
          <cell r="N84" t="str">
            <v>31.03.2025</v>
          </cell>
          <cell r="O84">
            <v>39.44</v>
          </cell>
          <cell r="P84">
            <v>104.07</v>
          </cell>
        </row>
        <row r="85">
          <cell r="B85" t="str">
            <v>D81310001091</v>
          </cell>
          <cell r="C85" t="str">
            <v>D813</v>
          </cell>
          <cell r="D85" t="str">
            <v>D088</v>
          </cell>
          <cell r="E85">
            <v>10001091</v>
          </cell>
          <cell r="F85" t="str">
            <v>Balasto Triturado Andesita 150 mm - 6"</v>
          </cell>
          <cell r="G85">
            <v>42.73</v>
          </cell>
          <cell r="H85" t="str">
            <v>MXN</v>
          </cell>
          <cell r="I85">
            <v>1</v>
          </cell>
          <cell r="J85" t="str">
            <v>TN</v>
          </cell>
          <cell r="K85" t="str">
            <v>C</v>
          </cell>
          <cell r="M85" t="str">
            <v>01.01.2025</v>
          </cell>
          <cell r="N85" t="str">
            <v>31.03.2025</v>
          </cell>
          <cell r="O85">
            <v>2.74</v>
          </cell>
          <cell r="P85">
            <v>45.47</v>
          </cell>
        </row>
        <row r="86">
          <cell r="B86" t="str">
            <v>D81310002350</v>
          </cell>
          <cell r="C86" t="str">
            <v>D813</v>
          </cell>
          <cell r="D86" t="str">
            <v>D088</v>
          </cell>
          <cell r="E86">
            <v>10002350</v>
          </cell>
          <cell r="F86" t="str">
            <v>Grava Triturada Andesita 10mm-3/8"-Block</v>
          </cell>
          <cell r="G86">
            <v>65.37</v>
          </cell>
          <cell r="H86" t="str">
            <v>MXN</v>
          </cell>
          <cell r="I86">
            <v>1</v>
          </cell>
          <cell r="J86" t="str">
            <v>TN</v>
          </cell>
          <cell r="K86" t="str">
            <v>C</v>
          </cell>
          <cell r="M86" t="str">
            <v>01.01.2025</v>
          </cell>
          <cell r="N86" t="str">
            <v>31.03.2025</v>
          </cell>
          <cell r="O86">
            <v>55.12</v>
          </cell>
          <cell r="P86">
            <v>120.49000000000001</v>
          </cell>
        </row>
        <row r="87">
          <cell r="B87" t="str">
            <v>D81310029946</v>
          </cell>
          <cell r="C87" t="str">
            <v>D813</v>
          </cell>
          <cell r="D87" t="str">
            <v>D088</v>
          </cell>
          <cell r="E87">
            <v>10029946</v>
          </cell>
          <cell r="F87" t="str">
            <v>Arena Triturada Andesita Malla 8</v>
          </cell>
          <cell r="G87">
            <v>64.63</v>
          </cell>
          <cell r="H87" t="str">
            <v>MXN</v>
          </cell>
          <cell r="I87">
            <v>1</v>
          </cell>
          <cell r="J87" t="str">
            <v>TN</v>
          </cell>
          <cell r="K87" t="str">
            <v>C</v>
          </cell>
          <cell r="M87" t="str">
            <v>01.01.2025</v>
          </cell>
          <cell r="N87" t="str">
            <v>31.03.2025</v>
          </cell>
          <cell r="O87">
            <v>42.5</v>
          </cell>
          <cell r="P87">
            <v>107.13</v>
          </cell>
        </row>
        <row r="88">
          <cell r="B88" t="str">
            <v>D81310032959</v>
          </cell>
          <cell r="C88" t="str">
            <v>D813</v>
          </cell>
          <cell r="D88" t="str">
            <v>D088</v>
          </cell>
          <cell r="E88">
            <v>10032959</v>
          </cell>
          <cell r="F88" t="str">
            <v>Grava Triturada Andesita 50 mm - 2</v>
          </cell>
          <cell r="G88">
            <v>65.37</v>
          </cell>
          <cell r="H88" t="str">
            <v>MXN</v>
          </cell>
          <cell r="I88">
            <v>1</v>
          </cell>
          <cell r="J88" t="str">
            <v>TN</v>
          </cell>
          <cell r="K88" t="str">
            <v>C</v>
          </cell>
          <cell r="M88" t="str">
            <v>01.01.2025</v>
          </cell>
          <cell r="N88" t="str">
            <v>31.03.2025</v>
          </cell>
          <cell r="O88">
            <v>7.27</v>
          </cell>
          <cell r="P88">
            <v>72.64</v>
          </cell>
        </row>
        <row r="89">
          <cell r="B89" t="str">
            <v>D81310000253</v>
          </cell>
          <cell r="C89" t="str">
            <v>D813</v>
          </cell>
          <cell r="D89" t="str">
            <v>D089</v>
          </cell>
          <cell r="E89">
            <v>10000253</v>
          </cell>
          <cell r="F89" t="str">
            <v>Grava Triturada Andesita 20 mm - 3/4"</v>
          </cell>
          <cell r="G89">
            <v>65.37</v>
          </cell>
          <cell r="H89" t="str">
            <v>MXN</v>
          </cell>
          <cell r="I89">
            <v>1</v>
          </cell>
          <cell r="J89" t="str">
            <v>TN</v>
          </cell>
          <cell r="K89" t="str">
            <v>C</v>
          </cell>
          <cell r="M89" t="str">
            <v>01.01.2025</v>
          </cell>
          <cell r="N89" t="str">
            <v>31.03.2025</v>
          </cell>
          <cell r="O89">
            <v>38.15</v>
          </cell>
          <cell r="P89">
            <v>103.52000000000001</v>
          </cell>
        </row>
        <row r="90">
          <cell r="B90" t="str">
            <v>D81310000255</v>
          </cell>
          <cell r="C90" t="str">
            <v>D813</v>
          </cell>
          <cell r="D90" t="str">
            <v>D089</v>
          </cell>
          <cell r="E90">
            <v>10000255</v>
          </cell>
          <cell r="F90" t="str">
            <v>Arena Triturada Andesita Malla 4</v>
          </cell>
          <cell r="G90">
            <v>64.63</v>
          </cell>
          <cell r="H90" t="str">
            <v>MXN</v>
          </cell>
          <cell r="I90">
            <v>1</v>
          </cell>
          <cell r="J90" t="str">
            <v>TN</v>
          </cell>
          <cell r="K90" t="str">
            <v>C</v>
          </cell>
          <cell r="M90" t="str">
            <v>01.01.2025</v>
          </cell>
          <cell r="N90" t="str">
            <v>31.03.2025</v>
          </cell>
          <cell r="O90">
            <v>39.44</v>
          </cell>
          <cell r="P90">
            <v>104.07</v>
          </cell>
        </row>
        <row r="91">
          <cell r="B91" t="str">
            <v>D81310002350</v>
          </cell>
          <cell r="C91" t="str">
            <v>D813</v>
          </cell>
          <cell r="D91" t="str">
            <v>D089</v>
          </cell>
          <cell r="E91">
            <v>10002350</v>
          </cell>
          <cell r="F91" t="str">
            <v>Grava Triturada Andesita 10mm-3/8"-Block</v>
          </cell>
          <cell r="G91">
            <v>65.37</v>
          </cell>
          <cell r="H91" t="str">
            <v>MXN</v>
          </cell>
          <cell r="I91">
            <v>1</v>
          </cell>
          <cell r="J91" t="str">
            <v>TN</v>
          </cell>
          <cell r="K91" t="str">
            <v>C</v>
          </cell>
          <cell r="M91" t="str">
            <v>01.01.2025</v>
          </cell>
          <cell r="N91" t="str">
            <v>31.03.2025</v>
          </cell>
          <cell r="O91">
            <v>55.12</v>
          </cell>
          <cell r="P91">
            <v>120.49000000000001</v>
          </cell>
        </row>
        <row r="92">
          <cell r="B92" t="str">
            <v>D81310029946</v>
          </cell>
          <cell r="C92" t="str">
            <v>D813</v>
          </cell>
          <cell r="D92" t="str">
            <v>D089</v>
          </cell>
          <cell r="E92">
            <v>10029946</v>
          </cell>
          <cell r="F92" t="str">
            <v>Arena Triturada Andesita Malla 8</v>
          </cell>
          <cell r="G92">
            <v>64.63</v>
          </cell>
          <cell r="H92" t="str">
            <v>MXN</v>
          </cell>
          <cell r="I92">
            <v>1</v>
          </cell>
          <cell r="J92" t="str">
            <v>TN</v>
          </cell>
          <cell r="K92" t="str">
            <v>C</v>
          </cell>
          <cell r="M92" t="str">
            <v>01.01.2025</v>
          </cell>
          <cell r="N92" t="str">
            <v>31.03.2025</v>
          </cell>
          <cell r="O92">
            <v>42.5</v>
          </cell>
          <cell r="P92">
            <v>107.13</v>
          </cell>
        </row>
        <row r="93">
          <cell r="B93" t="str">
            <v>D81310000253</v>
          </cell>
          <cell r="C93" t="str">
            <v>D813</v>
          </cell>
          <cell r="D93" t="str">
            <v>D093</v>
          </cell>
          <cell r="E93">
            <v>10000253</v>
          </cell>
          <cell r="F93" t="str">
            <v>Grava Triturada Andesita 20 mm - 3/4"</v>
          </cell>
          <cell r="G93">
            <v>65.37</v>
          </cell>
          <cell r="H93" t="str">
            <v>MXN</v>
          </cell>
          <cell r="I93">
            <v>1</v>
          </cell>
          <cell r="J93" t="str">
            <v>TN</v>
          </cell>
          <cell r="K93" t="str">
            <v>C</v>
          </cell>
          <cell r="M93" t="str">
            <v>01.01.2025</v>
          </cell>
          <cell r="N93" t="str">
            <v>31.03.2025</v>
          </cell>
          <cell r="O93">
            <v>38.15</v>
          </cell>
          <cell r="P93">
            <v>103.52000000000001</v>
          </cell>
        </row>
        <row r="94">
          <cell r="B94" t="str">
            <v>D81310000255</v>
          </cell>
          <cell r="C94" t="str">
            <v>D813</v>
          </cell>
          <cell r="D94" t="str">
            <v>D093</v>
          </cell>
          <cell r="E94">
            <v>10000255</v>
          </cell>
          <cell r="F94" t="str">
            <v>Arena Triturada Andesita Malla 4</v>
          </cell>
          <cell r="G94">
            <v>64.63</v>
          </cell>
          <cell r="H94" t="str">
            <v>MXN</v>
          </cell>
          <cell r="I94">
            <v>1</v>
          </cell>
          <cell r="J94" t="str">
            <v>TN</v>
          </cell>
          <cell r="K94" t="str">
            <v>C</v>
          </cell>
          <cell r="M94" t="str">
            <v>01.01.2025</v>
          </cell>
          <cell r="N94" t="str">
            <v>31.03.2025</v>
          </cell>
          <cell r="O94">
            <v>39.44</v>
          </cell>
          <cell r="P94">
            <v>104.07</v>
          </cell>
        </row>
        <row r="95">
          <cell r="B95" t="str">
            <v>D81310001091</v>
          </cell>
          <cell r="C95" t="str">
            <v>D813</v>
          </cell>
          <cell r="D95" t="str">
            <v>D093</v>
          </cell>
          <cell r="E95">
            <v>10001091</v>
          </cell>
          <cell r="F95" t="str">
            <v>Balasto Triturado Andesita 150 mm - 6"</v>
          </cell>
          <cell r="G95">
            <v>42.73</v>
          </cell>
          <cell r="H95" t="str">
            <v>MXN</v>
          </cell>
          <cell r="I95">
            <v>1</v>
          </cell>
          <cell r="J95" t="str">
            <v>TN</v>
          </cell>
          <cell r="K95" t="str">
            <v>C</v>
          </cell>
          <cell r="M95" t="str">
            <v>01.01.2025</v>
          </cell>
          <cell r="N95" t="str">
            <v>31.03.2025</v>
          </cell>
          <cell r="O95">
            <v>2.74</v>
          </cell>
          <cell r="P95">
            <v>45.47</v>
          </cell>
        </row>
        <row r="96">
          <cell r="B96" t="str">
            <v>D81310002350</v>
          </cell>
          <cell r="C96" t="str">
            <v>D813</v>
          </cell>
          <cell r="D96" t="str">
            <v>D093</v>
          </cell>
          <cell r="E96">
            <v>10002350</v>
          </cell>
          <cell r="F96" t="str">
            <v>Grava Triturada Andesita 10mm-3/8"-Block</v>
          </cell>
          <cell r="G96">
            <v>65.37</v>
          </cell>
          <cell r="H96" t="str">
            <v>MXN</v>
          </cell>
          <cell r="I96">
            <v>1</v>
          </cell>
          <cell r="J96" t="str">
            <v>TN</v>
          </cell>
          <cell r="K96" t="str">
            <v>C</v>
          </cell>
          <cell r="M96" t="str">
            <v>01.01.2025</v>
          </cell>
          <cell r="N96" t="str">
            <v>31.03.2025</v>
          </cell>
          <cell r="O96">
            <v>55.12</v>
          </cell>
          <cell r="P96">
            <v>120.49000000000001</v>
          </cell>
        </row>
        <row r="97">
          <cell r="B97" t="str">
            <v>D81310029946</v>
          </cell>
          <cell r="C97" t="str">
            <v>D813</v>
          </cell>
          <cell r="D97" t="str">
            <v>D093</v>
          </cell>
          <cell r="E97">
            <v>10029946</v>
          </cell>
          <cell r="F97" t="str">
            <v>Arena Triturada Andesita Malla 8</v>
          </cell>
          <cell r="G97">
            <v>64.63</v>
          </cell>
          <cell r="H97" t="str">
            <v>MXN</v>
          </cell>
          <cell r="I97">
            <v>1</v>
          </cell>
          <cell r="J97" t="str">
            <v>TN</v>
          </cell>
          <cell r="K97" t="str">
            <v>C</v>
          </cell>
          <cell r="M97" t="str">
            <v>01.01.2025</v>
          </cell>
          <cell r="N97" t="str">
            <v>31.03.2025</v>
          </cell>
          <cell r="O97">
            <v>42.5</v>
          </cell>
          <cell r="P97">
            <v>107.13</v>
          </cell>
        </row>
        <row r="98">
          <cell r="B98" t="str">
            <v>D81310032959</v>
          </cell>
          <cell r="C98" t="str">
            <v>D813</v>
          </cell>
          <cell r="D98" t="str">
            <v>D093</v>
          </cell>
          <cell r="E98">
            <v>10032959</v>
          </cell>
          <cell r="F98" t="str">
            <v>Grava Triturada Andesita 50 mm - 2</v>
          </cell>
          <cell r="G98">
            <v>65.37</v>
          </cell>
          <cell r="H98" t="str">
            <v>MXN</v>
          </cell>
          <cell r="I98">
            <v>1</v>
          </cell>
          <cell r="J98" t="str">
            <v>TN</v>
          </cell>
          <cell r="K98" t="str">
            <v>C</v>
          </cell>
          <cell r="M98" t="str">
            <v>01.01.2025</v>
          </cell>
          <cell r="N98" t="str">
            <v>31.03.2025</v>
          </cell>
          <cell r="O98">
            <v>7.27</v>
          </cell>
          <cell r="P98">
            <v>72.64</v>
          </cell>
        </row>
        <row r="99">
          <cell r="B99" t="str">
            <v>D81310029946</v>
          </cell>
          <cell r="C99" t="str">
            <v>D813</v>
          </cell>
          <cell r="D99" t="str">
            <v>D095</v>
          </cell>
          <cell r="E99">
            <v>10029946</v>
          </cell>
          <cell r="F99" t="str">
            <v>Arena Triturada Andesita Malla 8</v>
          </cell>
          <cell r="G99">
            <v>64.63</v>
          </cell>
          <cell r="H99" t="str">
            <v>MXN</v>
          </cell>
          <cell r="I99">
            <v>1</v>
          </cell>
          <cell r="J99" t="str">
            <v>TN</v>
          </cell>
          <cell r="K99" t="str">
            <v>C</v>
          </cell>
          <cell r="M99" t="str">
            <v>01.01.2025</v>
          </cell>
          <cell r="N99" t="str">
            <v>31.03.2025</v>
          </cell>
          <cell r="O99">
            <v>42.5</v>
          </cell>
          <cell r="P99">
            <v>107.13</v>
          </cell>
        </row>
        <row r="100">
          <cell r="B100" t="str">
            <v>D81310000252</v>
          </cell>
          <cell r="C100" t="str">
            <v>D813</v>
          </cell>
          <cell r="D100" t="str">
            <v>D098</v>
          </cell>
          <cell r="E100">
            <v>10000252</v>
          </cell>
          <cell r="F100" t="str">
            <v>Grava Triturada Andesita 10 mm - 3/8"</v>
          </cell>
          <cell r="G100">
            <v>65.37</v>
          </cell>
          <cell r="H100" t="str">
            <v>MXN</v>
          </cell>
          <cell r="I100">
            <v>1</v>
          </cell>
          <cell r="J100" t="str">
            <v>TN</v>
          </cell>
          <cell r="K100" t="str">
            <v>C</v>
          </cell>
          <cell r="M100" t="str">
            <v>01.01.2025</v>
          </cell>
          <cell r="N100" t="str">
            <v>31.03.2025</v>
          </cell>
          <cell r="O100">
            <v>49.56</v>
          </cell>
          <cell r="P100">
            <v>114.93</v>
          </cell>
        </row>
        <row r="101">
          <cell r="B101" t="str">
            <v>D81310000253</v>
          </cell>
          <cell r="C101" t="str">
            <v>D813</v>
          </cell>
          <cell r="D101" t="str">
            <v>D098</v>
          </cell>
          <cell r="E101">
            <v>10000253</v>
          </cell>
          <cell r="F101" t="str">
            <v>Grava Triturada Andesita 20 mm - 3/4"</v>
          </cell>
          <cell r="G101">
            <v>65.37</v>
          </cell>
          <cell r="H101" t="str">
            <v>MXN</v>
          </cell>
          <cell r="I101">
            <v>1</v>
          </cell>
          <cell r="J101" t="str">
            <v>TN</v>
          </cell>
          <cell r="K101" t="str">
            <v>C</v>
          </cell>
          <cell r="M101" t="str">
            <v>01.01.2025</v>
          </cell>
          <cell r="N101" t="str">
            <v>31.03.2025</v>
          </cell>
          <cell r="O101">
            <v>38.15</v>
          </cell>
          <cell r="P101">
            <v>103.52000000000001</v>
          </cell>
        </row>
        <row r="102">
          <cell r="B102" t="str">
            <v>D81310000255</v>
          </cell>
          <cell r="C102" t="str">
            <v>D813</v>
          </cell>
          <cell r="D102" t="str">
            <v>D098</v>
          </cell>
          <cell r="E102">
            <v>10000255</v>
          </cell>
          <cell r="F102" t="str">
            <v>Arena Triturada Andesita Malla 4</v>
          </cell>
          <cell r="G102">
            <v>64.63</v>
          </cell>
          <cell r="H102" t="str">
            <v>MXN</v>
          </cell>
          <cell r="I102">
            <v>1</v>
          </cell>
          <cell r="J102" t="str">
            <v>TN</v>
          </cell>
          <cell r="K102" t="str">
            <v>C</v>
          </cell>
          <cell r="M102" t="str">
            <v>01.01.2025</v>
          </cell>
          <cell r="N102" t="str">
            <v>31.03.2025</v>
          </cell>
          <cell r="O102">
            <v>39.44</v>
          </cell>
          <cell r="P102">
            <v>104.07</v>
          </cell>
        </row>
        <row r="103">
          <cell r="B103" t="str">
            <v>D81310001091</v>
          </cell>
          <cell r="C103" t="str">
            <v>D813</v>
          </cell>
          <cell r="D103" t="str">
            <v>D098</v>
          </cell>
          <cell r="E103">
            <v>10001091</v>
          </cell>
          <cell r="F103" t="str">
            <v>Balasto Triturado Andesita 150 mm - 6"</v>
          </cell>
          <cell r="G103">
            <v>42.73</v>
          </cell>
          <cell r="H103" t="str">
            <v>MXN</v>
          </cell>
          <cell r="I103">
            <v>1</v>
          </cell>
          <cell r="J103" t="str">
            <v>TN</v>
          </cell>
          <cell r="K103" t="str">
            <v>C</v>
          </cell>
          <cell r="M103" t="str">
            <v>01.01.2025</v>
          </cell>
          <cell r="N103" t="str">
            <v>31.03.2025</v>
          </cell>
          <cell r="O103">
            <v>2.74</v>
          </cell>
          <cell r="P103">
            <v>45.47</v>
          </cell>
        </row>
        <row r="104">
          <cell r="B104" t="str">
            <v>D81310002350</v>
          </cell>
          <cell r="C104" t="str">
            <v>D813</v>
          </cell>
          <cell r="D104" t="str">
            <v>D098</v>
          </cell>
          <cell r="E104">
            <v>10002350</v>
          </cell>
          <cell r="F104" t="str">
            <v>Grava Triturada Andesita 10mm-3/8"-Block</v>
          </cell>
          <cell r="G104">
            <v>65.37</v>
          </cell>
          <cell r="H104" t="str">
            <v>MXN</v>
          </cell>
          <cell r="I104">
            <v>1</v>
          </cell>
          <cell r="J104" t="str">
            <v>TN</v>
          </cell>
          <cell r="K104" t="str">
            <v>C</v>
          </cell>
          <cell r="M104" t="str">
            <v>01.01.2025</v>
          </cell>
          <cell r="N104" t="str">
            <v>31.03.2025</v>
          </cell>
          <cell r="O104">
            <v>55.12</v>
          </cell>
          <cell r="P104">
            <v>120.49000000000001</v>
          </cell>
        </row>
        <row r="105">
          <cell r="B105" t="str">
            <v>D81310029946</v>
          </cell>
          <cell r="C105" t="str">
            <v>D813</v>
          </cell>
          <cell r="D105" t="str">
            <v>D098</v>
          </cell>
          <cell r="E105">
            <v>10029946</v>
          </cell>
          <cell r="F105" t="str">
            <v>Arena Triturada Andesita Malla 8</v>
          </cell>
          <cell r="G105">
            <v>64.63</v>
          </cell>
          <cell r="H105" t="str">
            <v>MXN</v>
          </cell>
          <cell r="I105">
            <v>1</v>
          </cell>
          <cell r="J105" t="str">
            <v>TN</v>
          </cell>
          <cell r="K105" t="str">
            <v>C</v>
          </cell>
          <cell r="M105" t="str">
            <v>01.01.2025</v>
          </cell>
          <cell r="N105" t="str">
            <v>31.03.2025</v>
          </cell>
          <cell r="O105">
            <v>42.5</v>
          </cell>
          <cell r="P105">
            <v>107.13</v>
          </cell>
        </row>
        <row r="106">
          <cell r="B106" t="str">
            <v>D81310032959</v>
          </cell>
          <cell r="C106" t="str">
            <v>D813</v>
          </cell>
          <cell r="D106" t="str">
            <v>D098</v>
          </cell>
          <cell r="E106">
            <v>10032959</v>
          </cell>
          <cell r="F106" t="str">
            <v>Grava Triturada Andesita 50 mm - 2</v>
          </cell>
          <cell r="G106">
            <v>65.37</v>
          </cell>
          <cell r="H106" t="str">
            <v>MXN</v>
          </cell>
          <cell r="I106">
            <v>1</v>
          </cell>
          <cell r="J106" t="str">
            <v>TN</v>
          </cell>
          <cell r="K106" t="str">
            <v>C</v>
          </cell>
          <cell r="M106" t="str">
            <v>01.01.2025</v>
          </cell>
          <cell r="N106" t="str">
            <v>31.03.2025</v>
          </cell>
          <cell r="O106">
            <v>7.27</v>
          </cell>
          <cell r="P106">
            <v>72.64</v>
          </cell>
        </row>
        <row r="107">
          <cell r="B107" t="str">
            <v>D81310000252</v>
          </cell>
          <cell r="C107" t="str">
            <v>D813</v>
          </cell>
          <cell r="D107" t="str">
            <v>D104</v>
          </cell>
          <cell r="E107">
            <v>10000252</v>
          </cell>
          <cell r="F107" t="str">
            <v>Grava Triturada Andesita 10 mm - 3/8"</v>
          </cell>
          <cell r="G107">
            <v>65.37</v>
          </cell>
          <cell r="H107" t="str">
            <v>MXN</v>
          </cell>
          <cell r="I107">
            <v>1</v>
          </cell>
          <cell r="J107" t="str">
            <v>TN</v>
          </cell>
          <cell r="K107" t="str">
            <v>C</v>
          </cell>
          <cell r="M107" t="str">
            <v>01.01.2025</v>
          </cell>
          <cell r="N107" t="str">
            <v>31.03.2025</v>
          </cell>
          <cell r="O107">
            <v>49.56</v>
          </cell>
          <cell r="P107">
            <v>114.93</v>
          </cell>
        </row>
        <row r="108">
          <cell r="B108" t="str">
            <v>D81310000253</v>
          </cell>
          <cell r="C108" t="str">
            <v>D813</v>
          </cell>
          <cell r="D108" t="str">
            <v>D104</v>
          </cell>
          <cell r="E108">
            <v>10000253</v>
          </cell>
          <cell r="F108" t="str">
            <v>Grava Triturada Andesita 20 mm - 3/4"</v>
          </cell>
          <cell r="G108">
            <v>65.37</v>
          </cell>
          <cell r="H108" t="str">
            <v>MXN</v>
          </cell>
          <cell r="I108">
            <v>1</v>
          </cell>
          <cell r="J108" t="str">
            <v>TN</v>
          </cell>
          <cell r="K108" t="str">
            <v>C</v>
          </cell>
          <cell r="M108" t="str">
            <v>01.01.2025</v>
          </cell>
          <cell r="N108" t="str">
            <v>31.03.2025</v>
          </cell>
          <cell r="O108">
            <v>38.15</v>
          </cell>
          <cell r="P108">
            <v>103.52000000000001</v>
          </cell>
        </row>
        <row r="109">
          <cell r="B109" t="str">
            <v>D81310000255</v>
          </cell>
          <cell r="C109" t="str">
            <v>D813</v>
          </cell>
          <cell r="D109" t="str">
            <v>D104</v>
          </cell>
          <cell r="E109">
            <v>10000255</v>
          </cell>
          <cell r="F109" t="str">
            <v>Arena Triturada Andesita Malla 4</v>
          </cell>
          <cell r="G109">
            <v>64.63</v>
          </cell>
          <cell r="H109" t="str">
            <v>MXN</v>
          </cell>
          <cell r="I109">
            <v>1</v>
          </cell>
          <cell r="J109" t="str">
            <v>TN</v>
          </cell>
          <cell r="K109" t="str">
            <v>C</v>
          </cell>
          <cell r="M109" t="str">
            <v>01.01.2025</v>
          </cell>
          <cell r="N109" t="str">
            <v>31.03.2025</v>
          </cell>
          <cell r="O109">
            <v>39.44</v>
          </cell>
          <cell r="P109">
            <v>104.07</v>
          </cell>
        </row>
        <row r="110">
          <cell r="B110" t="str">
            <v>D81310001091</v>
          </cell>
          <cell r="C110" t="str">
            <v>D813</v>
          </cell>
          <cell r="D110" t="str">
            <v>D104</v>
          </cell>
          <cell r="E110">
            <v>10001091</v>
          </cell>
          <cell r="F110" t="str">
            <v>Balasto Triturado Andesita 150 mm - 6"</v>
          </cell>
          <cell r="G110">
            <v>42.73</v>
          </cell>
          <cell r="H110" t="str">
            <v>MXN</v>
          </cell>
          <cell r="I110">
            <v>1</v>
          </cell>
          <cell r="J110" t="str">
            <v>TN</v>
          </cell>
          <cell r="K110" t="str">
            <v>C</v>
          </cell>
          <cell r="M110" t="str">
            <v>01.01.2025</v>
          </cell>
          <cell r="N110" t="str">
            <v>31.03.2025</v>
          </cell>
          <cell r="O110">
            <v>2.74</v>
          </cell>
          <cell r="P110">
            <v>45.47</v>
          </cell>
        </row>
        <row r="111">
          <cell r="B111" t="str">
            <v>D81310029946</v>
          </cell>
          <cell r="C111" t="str">
            <v>D813</v>
          </cell>
          <cell r="D111" t="str">
            <v>D104</v>
          </cell>
          <cell r="E111">
            <v>10029946</v>
          </cell>
          <cell r="F111" t="str">
            <v>Arena Triturada Andesita Malla 8</v>
          </cell>
          <cell r="G111">
            <v>64.63</v>
          </cell>
          <cell r="H111" t="str">
            <v>MXN</v>
          </cell>
          <cell r="I111">
            <v>1</v>
          </cell>
          <cell r="J111" t="str">
            <v>TN</v>
          </cell>
          <cell r="K111" t="str">
            <v>C</v>
          </cell>
          <cell r="M111" t="str">
            <v>01.01.2025</v>
          </cell>
          <cell r="N111" t="str">
            <v>31.03.2025</v>
          </cell>
          <cell r="O111">
            <v>42.5</v>
          </cell>
          <cell r="P111">
            <v>107.13</v>
          </cell>
        </row>
        <row r="112">
          <cell r="B112" t="str">
            <v>D81310000252</v>
          </cell>
          <cell r="C112" t="str">
            <v>D813</v>
          </cell>
          <cell r="D112" t="str">
            <v>D105</v>
          </cell>
          <cell r="E112">
            <v>10000252</v>
          </cell>
          <cell r="F112" t="str">
            <v>Grava Triturada Andesita 10 mm - 3/8"</v>
          </cell>
          <cell r="G112">
            <v>65.37</v>
          </cell>
          <cell r="H112" t="str">
            <v>MXN</v>
          </cell>
          <cell r="I112">
            <v>1</v>
          </cell>
          <cell r="J112" t="str">
            <v>TN</v>
          </cell>
          <cell r="K112" t="str">
            <v>C</v>
          </cell>
          <cell r="M112" t="str">
            <v>01.01.2025</v>
          </cell>
          <cell r="N112" t="str">
            <v>31.03.2025</v>
          </cell>
          <cell r="O112">
            <v>49.56</v>
          </cell>
          <cell r="P112">
            <v>114.93</v>
          </cell>
        </row>
        <row r="113">
          <cell r="B113" t="str">
            <v>D81310000253</v>
          </cell>
          <cell r="C113" t="str">
            <v>D813</v>
          </cell>
          <cell r="D113" t="str">
            <v>D105</v>
          </cell>
          <cell r="E113">
            <v>10000253</v>
          </cell>
          <cell r="F113" t="str">
            <v>Grava Triturada Andesita 20 mm - 3/4"</v>
          </cell>
          <cell r="G113">
            <v>65.37</v>
          </cell>
          <cell r="H113" t="str">
            <v>MXN</v>
          </cell>
          <cell r="I113">
            <v>1</v>
          </cell>
          <cell r="J113" t="str">
            <v>TN</v>
          </cell>
          <cell r="K113" t="str">
            <v>C</v>
          </cell>
          <cell r="M113" t="str">
            <v>01.01.2025</v>
          </cell>
          <cell r="N113" t="str">
            <v>31.03.2025</v>
          </cell>
          <cell r="O113">
            <v>38.15</v>
          </cell>
          <cell r="P113">
            <v>103.52000000000001</v>
          </cell>
        </row>
        <row r="114">
          <cell r="B114" t="str">
            <v>D81310000255</v>
          </cell>
          <cell r="C114" t="str">
            <v>D813</v>
          </cell>
          <cell r="D114" t="str">
            <v>D105</v>
          </cell>
          <cell r="E114">
            <v>10000255</v>
          </cell>
          <cell r="F114" t="str">
            <v>Arena Triturada Andesita Malla 4</v>
          </cell>
          <cell r="G114">
            <v>64.63</v>
          </cell>
          <cell r="H114" t="str">
            <v>MXN</v>
          </cell>
          <cell r="I114">
            <v>1</v>
          </cell>
          <cell r="J114" t="str">
            <v>TN</v>
          </cell>
          <cell r="K114" t="str">
            <v>C</v>
          </cell>
          <cell r="M114" t="str">
            <v>01.01.2025</v>
          </cell>
          <cell r="N114" t="str">
            <v>31.03.2025</v>
          </cell>
          <cell r="O114">
            <v>39.44</v>
          </cell>
          <cell r="P114">
            <v>104.07</v>
          </cell>
        </row>
        <row r="115">
          <cell r="B115" t="str">
            <v>D81310001091</v>
          </cell>
          <cell r="C115" t="str">
            <v>D813</v>
          </cell>
          <cell r="D115" t="str">
            <v>D105</v>
          </cell>
          <cell r="E115">
            <v>10001091</v>
          </cell>
          <cell r="F115" t="str">
            <v>Balasto Triturado Andesita 150 mm - 6"</v>
          </cell>
          <cell r="G115">
            <v>42.73</v>
          </cell>
          <cell r="H115" t="str">
            <v>MXN</v>
          </cell>
          <cell r="I115">
            <v>1</v>
          </cell>
          <cell r="J115" t="str">
            <v>TN</v>
          </cell>
          <cell r="K115" t="str">
            <v>C</v>
          </cell>
          <cell r="M115" t="str">
            <v>01.01.2025</v>
          </cell>
          <cell r="N115" t="str">
            <v>31.03.2025</v>
          </cell>
          <cell r="O115">
            <v>2.74</v>
          </cell>
          <cell r="P115">
            <v>45.47</v>
          </cell>
        </row>
        <row r="116">
          <cell r="B116" t="str">
            <v>D81310002350</v>
          </cell>
          <cell r="C116" t="str">
            <v>D813</v>
          </cell>
          <cell r="D116" t="str">
            <v>D105</v>
          </cell>
          <cell r="E116">
            <v>10002350</v>
          </cell>
          <cell r="F116" t="str">
            <v>Grava Triturada Andesita 10mm-3/8"-Block</v>
          </cell>
          <cell r="G116">
            <v>65.37</v>
          </cell>
          <cell r="H116" t="str">
            <v>MXN</v>
          </cell>
          <cell r="I116">
            <v>1</v>
          </cell>
          <cell r="J116" t="str">
            <v>TN</v>
          </cell>
          <cell r="K116" t="str">
            <v>C</v>
          </cell>
          <cell r="M116" t="str">
            <v>01.01.2025</v>
          </cell>
          <cell r="N116" t="str">
            <v>31.03.2025</v>
          </cell>
          <cell r="O116">
            <v>55.12</v>
          </cell>
          <cell r="P116">
            <v>120.49000000000001</v>
          </cell>
        </row>
        <row r="117">
          <cell r="B117" t="str">
            <v>D81310029946</v>
          </cell>
          <cell r="C117" t="str">
            <v>D813</v>
          </cell>
          <cell r="D117" t="str">
            <v>D105</v>
          </cell>
          <cell r="E117">
            <v>10029946</v>
          </cell>
          <cell r="F117" t="str">
            <v>Arena Triturada Andesita Malla 8</v>
          </cell>
          <cell r="G117">
            <v>64.63</v>
          </cell>
          <cell r="H117" t="str">
            <v>MXN</v>
          </cell>
          <cell r="I117">
            <v>1</v>
          </cell>
          <cell r="J117" t="str">
            <v>TN</v>
          </cell>
          <cell r="K117" t="str">
            <v>C</v>
          </cell>
          <cell r="M117" t="str">
            <v>01.01.2025</v>
          </cell>
          <cell r="N117" t="str">
            <v>31.03.2025</v>
          </cell>
          <cell r="O117">
            <v>42.5</v>
          </cell>
          <cell r="P117">
            <v>107.13</v>
          </cell>
        </row>
        <row r="118">
          <cell r="B118" t="str">
            <v>D81310032959</v>
          </cell>
          <cell r="C118" t="str">
            <v>D813</v>
          </cell>
          <cell r="D118" t="str">
            <v>D105</v>
          </cell>
          <cell r="E118">
            <v>10032959</v>
          </cell>
          <cell r="F118" t="str">
            <v>Grava Triturada Andesita 50 mm - 2</v>
          </cell>
          <cell r="G118">
            <v>65.37</v>
          </cell>
          <cell r="H118" t="str">
            <v>MXN</v>
          </cell>
          <cell r="I118">
            <v>1</v>
          </cell>
          <cell r="J118" t="str">
            <v>TN</v>
          </cell>
          <cell r="K118" t="str">
            <v>C</v>
          </cell>
          <cell r="M118" t="str">
            <v>01.01.2025</v>
          </cell>
          <cell r="N118" t="str">
            <v>31.03.2025</v>
          </cell>
          <cell r="O118">
            <v>7.27</v>
          </cell>
          <cell r="P118">
            <v>72.64</v>
          </cell>
        </row>
        <row r="119">
          <cell r="B119" t="str">
            <v>D81310000305</v>
          </cell>
          <cell r="C119" t="str">
            <v>D813</v>
          </cell>
          <cell r="D119" t="str">
            <v>D110</v>
          </cell>
          <cell r="E119">
            <v>10000305</v>
          </cell>
          <cell r="F119" t="str">
            <v>Tepetate Clasificado Tierra</v>
          </cell>
          <cell r="G119">
            <v>1</v>
          </cell>
          <cell r="H119" t="str">
            <v>MXN</v>
          </cell>
          <cell r="I119">
            <v>1</v>
          </cell>
          <cell r="J119" t="str">
            <v>TN</v>
          </cell>
          <cell r="K119" t="str">
            <v>C</v>
          </cell>
          <cell r="M119" t="str">
            <v>01.01.2025</v>
          </cell>
          <cell r="N119" t="str">
            <v>31.03.2025</v>
          </cell>
          <cell r="O119">
            <v>23.38</v>
          </cell>
          <cell r="P119">
            <v>24.38</v>
          </cell>
        </row>
        <row r="120">
          <cell r="B120" t="str">
            <v>D81310001091</v>
          </cell>
          <cell r="C120" t="str">
            <v>D813</v>
          </cell>
          <cell r="D120" t="str">
            <v>D110</v>
          </cell>
          <cell r="E120">
            <v>10001091</v>
          </cell>
          <cell r="F120" t="str">
            <v>Balasto Triturado Andesita 150 mm - 6"</v>
          </cell>
          <cell r="G120">
            <v>42.73</v>
          </cell>
          <cell r="H120" t="str">
            <v>MXN</v>
          </cell>
          <cell r="I120">
            <v>1</v>
          </cell>
          <cell r="J120" t="str">
            <v>TN</v>
          </cell>
          <cell r="K120" t="str">
            <v>C</v>
          </cell>
          <cell r="M120" t="str">
            <v>01.01.2025</v>
          </cell>
          <cell r="N120" t="str">
            <v>31.03.2025</v>
          </cell>
          <cell r="O120">
            <v>2.74</v>
          </cell>
          <cell r="P120">
            <v>45.47</v>
          </cell>
        </row>
        <row r="121">
          <cell r="B121" t="str">
            <v>D81310002350</v>
          </cell>
          <cell r="C121" t="str">
            <v>D813</v>
          </cell>
          <cell r="D121" t="str">
            <v>D110</v>
          </cell>
          <cell r="E121">
            <v>10002350</v>
          </cell>
          <cell r="F121" t="str">
            <v>Grava Triturada Andesita 10mm-3/8"-Block</v>
          </cell>
          <cell r="G121">
            <v>65.37</v>
          </cell>
          <cell r="H121" t="str">
            <v>MXN</v>
          </cell>
          <cell r="I121">
            <v>1</v>
          </cell>
          <cell r="J121" t="str">
            <v>TN</v>
          </cell>
          <cell r="K121" t="str">
            <v>C</v>
          </cell>
          <cell r="M121" t="str">
            <v>01.01.2025</v>
          </cell>
          <cell r="N121" t="str">
            <v>31.03.2025</v>
          </cell>
          <cell r="O121">
            <v>55.12</v>
          </cell>
          <cell r="P121">
            <v>120.49000000000001</v>
          </cell>
        </row>
        <row r="122">
          <cell r="B122" t="str">
            <v>D81310029946</v>
          </cell>
          <cell r="C122" t="str">
            <v>D813</v>
          </cell>
          <cell r="D122" t="str">
            <v>D110</v>
          </cell>
          <cell r="E122">
            <v>10029946</v>
          </cell>
          <cell r="F122" t="str">
            <v>Arena Triturada Andesita Malla 8</v>
          </cell>
          <cell r="G122">
            <v>64.63</v>
          </cell>
          <cell r="H122" t="str">
            <v>MXN</v>
          </cell>
          <cell r="I122">
            <v>1</v>
          </cell>
          <cell r="J122" t="str">
            <v>TN</v>
          </cell>
          <cell r="K122" t="str">
            <v>C</v>
          </cell>
          <cell r="M122" t="str">
            <v>01.01.2025</v>
          </cell>
          <cell r="N122" t="str">
            <v>31.03.2025</v>
          </cell>
          <cell r="O122">
            <v>42.5</v>
          </cell>
          <cell r="P122">
            <v>107.13</v>
          </cell>
        </row>
        <row r="123">
          <cell r="B123" t="str">
            <v>D81310032959</v>
          </cell>
          <cell r="C123" t="str">
            <v>D813</v>
          </cell>
          <cell r="D123" t="str">
            <v>D110</v>
          </cell>
          <cell r="E123">
            <v>10032959</v>
          </cell>
          <cell r="F123" t="str">
            <v>Grava Triturada Andesita 50 mm - 2</v>
          </cell>
          <cell r="G123">
            <v>65.37</v>
          </cell>
          <cell r="H123" t="str">
            <v>MXN</v>
          </cell>
          <cell r="I123">
            <v>1</v>
          </cell>
          <cell r="J123" t="str">
            <v>TN</v>
          </cell>
          <cell r="K123" t="str">
            <v>C</v>
          </cell>
          <cell r="M123" t="str">
            <v>01.01.2025</v>
          </cell>
          <cell r="N123" t="str">
            <v>31.03.2025</v>
          </cell>
          <cell r="O123">
            <v>7.27</v>
          </cell>
          <cell r="P123">
            <v>72.64</v>
          </cell>
        </row>
        <row r="124">
          <cell r="B124" t="str">
            <v>D81310000253</v>
          </cell>
          <cell r="C124" t="str">
            <v>D813</v>
          </cell>
          <cell r="D124" t="str">
            <v>D111</v>
          </cell>
          <cell r="E124">
            <v>10000253</v>
          </cell>
          <cell r="F124" t="str">
            <v>Grava Triturada Andesita 20 mm - 3/4"</v>
          </cell>
          <cell r="G124">
            <v>65.37</v>
          </cell>
          <cell r="H124" t="str">
            <v>MXN</v>
          </cell>
          <cell r="I124">
            <v>1</v>
          </cell>
          <cell r="J124" t="str">
            <v>TN</v>
          </cell>
          <cell r="K124" t="str">
            <v>C</v>
          </cell>
          <cell r="M124" t="str">
            <v>01.01.2025</v>
          </cell>
          <cell r="N124" t="str">
            <v>31.03.2025</v>
          </cell>
          <cell r="O124">
            <v>38.15</v>
          </cell>
          <cell r="P124">
            <v>103.52000000000001</v>
          </cell>
        </row>
        <row r="125">
          <cell r="B125" t="str">
            <v>D81310000255</v>
          </cell>
          <cell r="C125" t="str">
            <v>D813</v>
          </cell>
          <cell r="D125" t="str">
            <v>D111</v>
          </cell>
          <cell r="E125">
            <v>10000255</v>
          </cell>
          <cell r="F125" t="str">
            <v>Arena Triturada Andesita Malla 4</v>
          </cell>
          <cell r="G125">
            <v>64.63</v>
          </cell>
          <cell r="H125" t="str">
            <v>MXN</v>
          </cell>
          <cell r="I125">
            <v>1</v>
          </cell>
          <cell r="J125" t="str">
            <v>TN</v>
          </cell>
          <cell r="K125" t="str">
            <v>C</v>
          </cell>
          <cell r="M125" t="str">
            <v>01.01.2025</v>
          </cell>
          <cell r="N125" t="str">
            <v>31.03.2025</v>
          </cell>
          <cell r="O125">
            <v>39.44</v>
          </cell>
          <cell r="P125">
            <v>104.07</v>
          </cell>
        </row>
        <row r="126">
          <cell r="B126" t="str">
            <v>D81310002350</v>
          </cell>
          <cell r="C126" t="str">
            <v>D813</v>
          </cell>
          <cell r="D126" t="str">
            <v>D111</v>
          </cell>
          <cell r="E126">
            <v>10002350</v>
          </cell>
          <cell r="F126" t="str">
            <v>Grava Triturada Andesita 10mm-3/8"-Block</v>
          </cell>
          <cell r="G126">
            <v>65.37</v>
          </cell>
          <cell r="H126" t="str">
            <v>MXN</v>
          </cell>
          <cell r="I126">
            <v>1</v>
          </cell>
          <cell r="J126" t="str">
            <v>TN</v>
          </cell>
          <cell r="K126" t="str">
            <v>C</v>
          </cell>
          <cell r="M126" t="str">
            <v>01.01.2025</v>
          </cell>
          <cell r="N126" t="str">
            <v>31.03.2025</v>
          </cell>
          <cell r="O126">
            <v>55.12</v>
          </cell>
          <cell r="P126">
            <v>120.49000000000001</v>
          </cell>
        </row>
        <row r="127">
          <cell r="B127" t="str">
            <v>D81310029946</v>
          </cell>
          <cell r="C127" t="str">
            <v>D813</v>
          </cell>
          <cell r="D127" t="str">
            <v>D111</v>
          </cell>
          <cell r="E127">
            <v>10029946</v>
          </cell>
          <cell r="F127" t="str">
            <v>Arena Triturada Andesita Malla 8</v>
          </cell>
          <cell r="G127">
            <v>64.63</v>
          </cell>
          <cell r="H127" t="str">
            <v>MXN</v>
          </cell>
          <cell r="I127">
            <v>1</v>
          </cell>
          <cell r="J127" t="str">
            <v>TN</v>
          </cell>
          <cell r="K127" t="str">
            <v>C</v>
          </cell>
          <cell r="M127" t="str">
            <v>01.01.2025</v>
          </cell>
          <cell r="N127" t="str">
            <v>31.03.2025</v>
          </cell>
          <cell r="O127">
            <v>42.5</v>
          </cell>
          <cell r="P127">
            <v>107.13</v>
          </cell>
        </row>
        <row r="128">
          <cell r="B128" t="str">
            <v>D81310029946</v>
          </cell>
          <cell r="C128" t="str">
            <v>D813</v>
          </cell>
          <cell r="D128" t="str">
            <v>D117</v>
          </cell>
          <cell r="E128">
            <v>10029946</v>
          </cell>
          <cell r="F128" t="str">
            <v>Arena Triturada Andesita Malla 8</v>
          </cell>
          <cell r="G128">
            <v>64.63</v>
          </cell>
          <cell r="H128" t="str">
            <v>MXN</v>
          </cell>
          <cell r="I128">
            <v>1</v>
          </cell>
          <cell r="J128" t="str">
            <v>TN</v>
          </cell>
          <cell r="K128" t="str">
            <v>C</v>
          </cell>
          <cell r="M128" t="str">
            <v>01.01.2025</v>
          </cell>
          <cell r="N128" t="str">
            <v>31.03.2025</v>
          </cell>
          <cell r="O128">
            <v>42.5</v>
          </cell>
          <cell r="P128">
            <v>107.13</v>
          </cell>
        </row>
        <row r="129">
          <cell r="B129" t="str">
            <v>D81310000252</v>
          </cell>
          <cell r="C129" t="str">
            <v>D813</v>
          </cell>
          <cell r="D129" t="str">
            <v>D132</v>
          </cell>
          <cell r="E129">
            <v>10000252</v>
          </cell>
          <cell r="F129" t="str">
            <v>Grava Triturada Andesita 10 mm - 3/8"</v>
          </cell>
          <cell r="G129">
            <v>65.37</v>
          </cell>
          <cell r="H129" t="str">
            <v>MXN</v>
          </cell>
          <cell r="I129">
            <v>1</v>
          </cell>
          <cell r="J129" t="str">
            <v>TN</v>
          </cell>
          <cell r="K129" t="str">
            <v>C</v>
          </cell>
          <cell r="M129" t="str">
            <v>01.01.2025</v>
          </cell>
          <cell r="N129" t="str">
            <v>31.03.2025</v>
          </cell>
          <cell r="O129">
            <v>49.56</v>
          </cell>
          <cell r="P129">
            <v>114.93</v>
          </cell>
        </row>
        <row r="130">
          <cell r="B130" t="str">
            <v>D81310000253</v>
          </cell>
          <cell r="C130" t="str">
            <v>D813</v>
          </cell>
          <cell r="D130" t="str">
            <v>D132</v>
          </cell>
          <cell r="E130">
            <v>10000253</v>
          </cell>
          <cell r="F130" t="str">
            <v>Grava Triturada Andesita 20 mm - 3/4"</v>
          </cell>
          <cell r="G130">
            <v>65.37</v>
          </cell>
          <cell r="H130" t="str">
            <v>MXN</v>
          </cell>
          <cell r="I130">
            <v>1</v>
          </cell>
          <cell r="J130" t="str">
            <v>TN</v>
          </cell>
          <cell r="K130" t="str">
            <v>C</v>
          </cell>
          <cell r="M130" t="str">
            <v>01.01.2025</v>
          </cell>
          <cell r="N130" t="str">
            <v>31.03.2025</v>
          </cell>
          <cell r="O130">
            <v>38.15</v>
          </cell>
          <cell r="P130">
            <v>103.52000000000001</v>
          </cell>
        </row>
        <row r="131">
          <cell r="B131" t="str">
            <v>D81310000255</v>
          </cell>
          <cell r="C131" t="str">
            <v>D813</v>
          </cell>
          <cell r="D131" t="str">
            <v>D132</v>
          </cell>
          <cell r="E131">
            <v>10000255</v>
          </cell>
          <cell r="F131" t="str">
            <v>Arena Triturada Andesita Malla 4</v>
          </cell>
          <cell r="G131">
            <v>64.63</v>
          </cell>
          <cell r="H131" t="str">
            <v>MXN</v>
          </cell>
          <cell r="I131">
            <v>1</v>
          </cell>
          <cell r="J131" t="str">
            <v>TN</v>
          </cell>
          <cell r="K131" t="str">
            <v>C</v>
          </cell>
          <cell r="M131" t="str">
            <v>01.01.2025</v>
          </cell>
          <cell r="N131" t="str">
            <v>31.03.2025</v>
          </cell>
          <cell r="O131">
            <v>39.44</v>
          </cell>
          <cell r="P131">
            <v>104.07</v>
          </cell>
        </row>
        <row r="132">
          <cell r="B132" t="str">
            <v>D81310001091</v>
          </cell>
          <cell r="C132" t="str">
            <v>D813</v>
          </cell>
          <cell r="D132" t="str">
            <v>D132</v>
          </cell>
          <cell r="E132">
            <v>10001091</v>
          </cell>
          <cell r="F132" t="str">
            <v>Balasto Triturado Andesita 150 mm - 6"</v>
          </cell>
          <cell r="G132">
            <v>42.73</v>
          </cell>
          <cell r="H132" t="str">
            <v>MXN</v>
          </cell>
          <cell r="I132">
            <v>1</v>
          </cell>
          <cell r="J132" t="str">
            <v>TN</v>
          </cell>
          <cell r="K132" t="str">
            <v>C</v>
          </cell>
          <cell r="M132" t="str">
            <v>01.01.2025</v>
          </cell>
          <cell r="N132" t="str">
            <v>31.03.2025</v>
          </cell>
          <cell r="O132">
            <v>2.74</v>
          </cell>
          <cell r="P132">
            <v>45.47</v>
          </cell>
        </row>
        <row r="133">
          <cell r="B133" t="str">
            <v>D81310000253</v>
          </cell>
          <cell r="C133" t="str">
            <v>D813</v>
          </cell>
          <cell r="D133" t="str">
            <v>D134</v>
          </cell>
          <cell r="E133">
            <v>10000253</v>
          </cell>
          <cell r="F133" t="str">
            <v>Grava Triturada Andesita 20 mm - 3/4"</v>
          </cell>
          <cell r="G133">
            <v>65.37</v>
          </cell>
          <cell r="H133" t="str">
            <v>MXN</v>
          </cell>
          <cell r="I133">
            <v>1</v>
          </cell>
          <cell r="J133" t="str">
            <v>TN</v>
          </cell>
          <cell r="K133" t="str">
            <v>C</v>
          </cell>
          <cell r="M133" t="str">
            <v>01.01.2025</v>
          </cell>
          <cell r="N133" t="str">
            <v>31.03.2025</v>
          </cell>
          <cell r="O133">
            <v>38.15</v>
          </cell>
          <cell r="P133">
            <v>103.52000000000001</v>
          </cell>
        </row>
        <row r="134">
          <cell r="B134" t="str">
            <v>D81310000255</v>
          </cell>
          <cell r="C134" t="str">
            <v>D813</v>
          </cell>
          <cell r="D134" t="str">
            <v>D134</v>
          </cell>
          <cell r="E134">
            <v>10000255</v>
          </cell>
          <cell r="F134" t="str">
            <v>Arena Triturada Andesita Malla 4</v>
          </cell>
          <cell r="G134">
            <v>64.63</v>
          </cell>
          <cell r="H134" t="str">
            <v>MXN</v>
          </cell>
          <cell r="I134">
            <v>1</v>
          </cell>
          <cell r="J134" t="str">
            <v>TN</v>
          </cell>
          <cell r="K134" t="str">
            <v>C</v>
          </cell>
          <cell r="M134" t="str">
            <v>01.01.2025</v>
          </cell>
          <cell r="N134" t="str">
            <v>31.03.2025</v>
          </cell>
          <cell r="O134">
            <v>39.44</v>
          </cell>
          <cell r="P134">
            <v>104.07</v>
          </cell>
        </row>
        <row r="135">
          <cell r="B135" t="str">
            <v>D81310001091</v>
          </cell>
          <cell r="C135" t="str">
            <v>D813</v>
          </cell>
          <cell r="D135" t="str">
            <v>D134</v>
          </cell>
          <cell r="E135">
            <v>10001091</v>
          </cell>
          <cell r="F135" t="str">
            <v>Balasto Triturado Andesita 150 mm - 6"</v>
          </cell>
          <cell r="G135">
            <v>42.73</v>
          </cell>
          <cell r="H135" t="str">
            <v>MXN</v>
          </cell>
          <cell r="I135">
            <v>1</v>
          </cell>
          <cell r="J135" t="str">
            <v>TN</v>
          </cell>
          <cell r="K135" t="str">
            <v>C</v>
          </cell>
          <cell r="M135" t="str">
            <v>01.01.2025</v>
          </cell>
          <cell r="N135" t="str">
            <v>31.03.2025</v>
          </cell>
          <cell r="O135">
            <v>2.74</v>
          </cell>
          <cell r="P135">
            <v>45.47</v>
          </cell>
        </row>
        <row r="136">
          <cell r="B136" t="str">
            <v>D81310000252</v>
          </cell>
          <cell r="C136" t="str">
            <v>D813</v>
          </cell>
          <cell r="D136" t="str">
            <v>D136</v>
          </cell>
          <cell r="E136">
            <v>10000252</v>
          </cell>
          <cell r="F136" t="str">
            <v>Grava Triturada Andesita 10 mm - 3/8"</v>
          </cell>
          <cell r="G136">
            <v>65.37</v>
          </cell>
          <cell r="H136" t="str">
            <v>MXN</v>
          </cell>
          <cell r="I136">
            <v>1</v>
          </cell>
          <cell r="J136" t="str">
            <v>TN</v>
          </cell>
          <cell r="K136" t="str">
            <v>C</v>
          </cell>
          <cell r="M136" t="str">
            <v>01.01.2025</v>
          </cell>
          <cell r="N136" t="str">
            <v>31.03.2025</v>
          </cell>
          <cell r="O136">
            <v>49.56</v>
          </cell>
          <cell r="P136">
            <v>114.93</v>
          </cell>
        </row>
        <row r="137">
          <cell r="B137" t="str">
            <v>D81310000253</v>
          </cell>
          <cell r="C137" t="str">
            <v>D813</v>
          </cell>
          <cell r="D137" t="str">
            <v>D136</v>
          </cell>
          <cell r="E137">
            <v>10000253</v>
          </cell>
          <cell r="F137" t="str">
            <v>Grava Triturada Andesita 20 mm - 3/4"</v>
          </cell>
          <cell r="G137">
            <v>65.37</v>
          </cell>
          <cell r="H137" t="str">
            <v>MXN</v>
          </cell>
          <cell r="I137">
            <v>1</v>
          </cell>
          <cell r="J137" t="str">
            <v>TN</v>
          </cell>
          <cell r="K137" t="str">
            <v>C</v>
          </cell>
          <cell r="M137" t="str">
            <v>01.01.2025</v>
          </cell>
          <cell r="N137" t="str">
            <v>31.03.2025</v>
          </cell>
          <cell r="O137">
            <v>38.15</v>
          </cell>
          <cell r="P137">
            <v>103.52000000000001</v>
          </cell>
        </row>
        <row r="138">
          <cell r="B138" t="str">
            <v>D81310000255</v>
          </cell>
          <cell r="C138" t="str">
            <v>D813</v>
          </cell>
          <cell r="D138" t="str">
            <v>D136</v>
          </cell>
          <cell r="E138">
            <v>10000255</v>
          </cell>
          <cell r="F138" t="str">
            <v>Arena Triturada Andesita Malla 4</v>
          </cell>
          <cell r="G138">
            <v>64.63</v>
          </cell>
          <cell r="H138" t="str">
            <v>MXN</v>
          </cell>
          <cell r="I138">
            <v>1</v>
          </cell>
          <cell r="J138" t="str">
            <v>TN</v>
          </cell>
          <cell r="K138" t="str">
            <v>C</v>
          </cell>
          <cell r="M138" t="str">
            <v>01.01.2025</v>
          </cell>
          <cell r="N138" t="str">
            <v>31.03.2025</v>
          </cell>
          <cell r="O138">
            <v>39.44</v>
          </cell>
          <cell r="P138">
            <v>104.07</v>
          </cell>
        </row>
        <row r="139">
          <cell r="B139" t="str">
            <v>D81310001091</v>
          </cell>
          <cell r="C139" t="str">
            <v>D813</v>
          </cell>
          <cell r="D139" t="str">
            <v>D136</v>
          </cell>
          <cell r="E139">
            <v>10001091</v>
          </cell>
          <cell r="F139" t="str">
            <v>Balasto Triturado Andesita 150 mm - 6"</v>
          </cell>
          <cell r="G139">
            <v>42.73</v>
          </cell>
          <cell r="H139" t="str">
            <v>MXN</v>
          </cell>
          <cell r="I139">
            <v>1</v>
          </cell>
          <cell r="J139" t="str">
            <v>TN</v>
          </cell>
          <cell r="K139" t="str">
            <v>C</v>
          </cell>
          <cell r="M139" t="str">
            <v>01.01.2025</v>
          </cell>
          <cell r="N139" t="str">
            <v>31.03.2025</v>
          </cell>
          <cell r="O139">
            <v>2.74</v>
          </cell>
          <cell r="P139">
            <v>45.47</v>
          </cell>
        </row>
        <row r="140">
          <cell r="B140" t="str">
            <v>D81310002350</v>
          </cell>
          <cell r="C140" t="str">
            <v>D813</v>
          </cell>
          <cell r="D140" t="str">
            <v>D136</v>
          </cell>
          <cell r="E140">
            <v>10002350</v>
          </cell>
          <cell r="F140" t="str">
            <v>Grava Triturada Andesita 10mm-3/8"-Block</v>
          </cell>
          <cell r="G140">
            <v>65.37</v>
          </cell>
          <cell r="H140" t="str">
            <v>MXN</v>
          </cell>
          <cell r="I140">
            <v>1</v>
          </cell>
          <cell r="J140" t="str">
            <v>TN</v>
          </cell>
          <cell r="K140" t="str">
            <v>C</v>
          </cell>
          <cell r="M140" t="str">
            <v>01.01.2025</v>
          </cell>
          <cell r="N140" t="str">
            <v>31.03.2025</v>
          </cell>
          <cell r="O140">
            <v>55.12</v>
          </cell>
          <cell r="P140">
            <v>120.49000000000001</v>
          </cell>
        </row>
        <row r="141">
          <cell r="B141" t="str">
            <v>D81310029946</v>
          </cell>
          <cell r="C141" t="str">
            <v>D813</v>
          </cell>
          <cell r="D141" t="str">
            <v>D136</v>
          </cell>
          <cell r="E141">
            <v>10029946</v>
          </cell>
          <cell r="F141" t="str">
            <v>Arena Triturada Andesita Malla 8</v>
          </cell>
          <cell r="G141">
            <v>64.63</v>
          </cell>
          <cell r="H141" t="str">
            <v>MXN</v>
          </cell>
          <cell r="I141">
            <v>1</v>
          </cell>
          <cell r="J141" t="str">
            <v>TN</v>
          </cell>
          <cell r="K141" t="str">
            <v>C</v>
          </cell>
          <cell r="M141" t="str">
            <v>01.01.2025</v>
          </cell>
          <cell r="N141" t="str">
            <v>31.03.2025</v>
          </cell>
          <cell r="O141">
            <v>42.5</v>
          </cell>
          <cell r="P141">
            <v>107.13</v>
          </cell>
        </row>
        <row r="142">
          <cell r="B142" t="str">
            <v>D81310032959</v>
          </cell>
          <cell r="C142" t="str">
            <v>D813</v>
          </cell>
          <cell r="D142" t="str">
            <v>D136</v>
          </cell>
          <cell r="E142">
            <v>10032959</v>
          </cell>
          <cell r="F142" t="str">
            <v>Grava Triturada Andesita 50 mm - 2</v>
          </cell>
          <cell r="G142">
            <v>65.37</v>
          </cell>
          <cell r="H142" t="str">
            <v>MXN</v>
          </cell>
          <cell r="I142">
            <v>1</v>
          </cell>
          <cell r="J142" t="str">
            <v>TN</v>
          </cell>
          <cell r="K142" t="str">
            <v>C</v>
          </cell>
          <cell r="M142" t="str">
            <v>01.01.2025</v>
          </cell>
          <cell r="N142" t="str">
            <v>31.03.2025</v>
          </cell>
          <cell r="O142">
            <v>7.27</v>
          </cell>
          <cell r="P142">
            <v>72.64</v>
          </cell>
        </row>
        <row r="143">
          <cell r="B143" t="str">
            <v>D81310000253</v>
          </cell>
          <cell r="C143" t="str">
            <v>D813</v>
          </cell>
          <cell r="D143" t="str">
            <v>D137</v>
          </cell>
          <cell r="E143">
            <v>10000253</v>
          </cell>
          <cell r="F143" t="str">
            <v>Grava Triturada Andesita 20 mm - 3/4"</v>
          </cell>
          <cell r="G143">
            <v>65.37</v>
          </cell>
          <cell r="H143" t="str">
            <v>MXN</v>
          </cell>
          <cell r="I143">
            <v>1</v>
          </cell>
          <cell r="J143" t="str">
            <v>TN</v>
          </cell>
          <cell r="K143" t="str">
            <v>C</v>
          </cell>
          <cell r="M143" t="str">
            <v>01.01.2025</v>
          </cell>
          <cell r="N143" t="str">
            <v>31.03.2025</v>
          </cell>
          <cell r="O143">
            <v>38.15</v>
          </cell>
          <cell r="P143">
            <v>103.52000000000001</v>
          </cell>
        </row>
        <row r="144">
          <cell r="B144" t="str">
            <v>D81310000255</v>
          </cell>
          <cell r="C144" t="str">
            <v>D813</v>
          </cell>
          <cell r="D144" t="str">
            <v>D137</v>
          </cell>
          <cell r="E144">
            <v>10000255</v>
          </cell>
          <cell r="F144" t="str">
            <v>Arena Triturada Andesita Malla 4</v>
          </cell>
          <cell r="G144">
            <v>64.63</v>
          </cell>
          <cell r="H144" t="str">
            <v>MXN</v>
          </cell>
          <cell r="I144">
            <v>1</v>
          </cell>
          <cell r="J144" t="str">
            <v>TN</v>
          </cell>
          <cell r="K144" t="str">
            <v>C</v>
          </cell>
          <cell r="M144" t="str">
            <v>01.01.2025</v>
          </cell>
          <cell r="N144" t="str">
            <v>31.03.2025</v>
          </cell>
          <cell r="O144">
            <v>39.44</v>
          </cell>
          <cell r="P144">
            <v>104.07</v>
          </cell>
        </row>
        <row r="145">
          <cell r="B145" t="str">
            <v>D81310002350</v>
          </cell>
          <cell r="C145" t="str">
            <v>D813</v>
          </cell>
          <cell r="D145" t="str">
            <v>D137</v>
          </cell>
          <cell r="E145">
            <v>10002350</v>
          </cell>
          <cell r="F145" t="str">
            <v>Grava Triturada Andesita 10mm-3/8"-Block</v>
          </cell>
          <cell r="G145">
            <v>65.37</v>
          </cell>
          <cell r="H145" t="str">
            <v>MXN</v>
          </cell>
          <cell r="I145">
            <v>1</v>
          </cell>
          <cell r="J145" t="str">
            <v>TN</v>
          </cell>
          <cell r="K145" t="str">
            <v>C</v>
          </cell>
          <cell r="M145" t="str">
            <v>01.01.2025</v>
          </cell>
          <cell r="N145" t="str">
            <v>31.03.2025</v>
          </cell>
          <cell r="O145">
            <v>55.12</v>
          </cell>
          <cell r="P145">
            <v>120.49000000000001</v>
          </cell>
        </row>
        <row r="146">
          <cell r="B146" t="str">
            <v>D81310000252</v>
          </cell>
          <cell r="C146" t="str">
            <v>D813</v>
          </cell>
          <cell r="D146" t="str">
            <v>D140</v>
          </cell>
          <cell r="E146">
            <v>10000252</v>
          </cell>
          <cell r="F146" t="str">
            <v>Grava Triturada Andesita 10 mm - 3/8"</v>
          </cell>
          <cell r="G146">
            <v>65.37</v>
          </cell>
          <cell r="H146" t="str">
            <v>MXN</v>
          </cell>
          <cell r="I146">
            <v>1</v>
          </cell>
          <cell r="J146" t="str">
            <v>TN</v>
          </cell>
          <cell r="K146" t="str">
            <v>C</v>
          </cell>
          <cell r="M146" t="str">
            <v>01.01.2025</v>
          </cell>
          <cell r="N146" t="str">
            <v>31.03.2025</v>
          </cell>
          <cell r="O146">
            <v>49.56</v>
          </cell>
          <cell r="P146">
            <v>114.93</v>
          </cell>
        </row>
        <row r="147">
          <cell r="B147" t="str">
            <v>D81310000253</v>
          </cell>
          <cell r="C147" t="str">
            <v>D813</v>
          </cell>
          <cell r="D147" t="str">
            <v>D140</v>
          </cell>
          <cell r="E147">
            <v>10000253</v>
          </cell>
          <cell r="F147" t="str">
            <v>Grava Triturada Andesita 20 mm - 3/4"</v>
          </cell>
          <cell r="G147">
            <v>65.37</v>
          </cell>
          <cell r="H147" t="str">
            <v>MXN</v>
          </cell>
          <cell r="I147">
            <v>1</v>
          </cell>
          <cell r="J147" t="str">
            <v>TN</v>
          </cell>
          <cell r="K147" t="str">
            <v>C</v>
          </cell>
          <cell r="M147" t="str">
            <v>01.01.2025</v>
          </cell>
          <cell r="N147" t="str">
            <v>31.03.2025</v>
          </cell>
          <cell r="O147">
            <v>38.15</v>
          </cell>
          <cell r="P147">
            <v>103.52000000000001</v>
          </cell>
        </row>
        <row r="148">
          <cell r="B148" t="str">
            <v>D81310000255</v>
          </cell>
          <cell r="C148" t="str">
            <v>D813</v>
          </cell>
          <cell r="D148" t="str">
            <v>D140</v>
          </cell>
          <cell r="E148">
            <v>10000255</v>
          </cell>
          <cell r="F148" t="str">
            <v>Arena Triturada Andesita Malla 4</v>
          </cell>
          <cell r="G148">
            <v>64.63</v>
          </cell>
          <cell r="H148" t="str">
            <v>MXN</v>
          </cell>
          <cell r="I148">
            <v>1</v>
          </cell>
          <cell r="J148" t="str">
            <v>TN</v>
          </cell>
          <cell r="K148" t="str">
            <v>C</v>
          </cell>
          <cell r="M148" t="str">
            <v>01.01.2025</v>
          </cell>
          <cell r="N148" t="str">
            <v>31.03.2025</v>
          </cell>
          <cell r="O148">
            <v>39.44</v>
          </cell>
          <cell r="P148">
            <v>104.07</v>
          </cell>
        </row>
        <row r="149">
          <cell r="B149" t="str">
            <v>D81310001091</v>
          </cell>
          <cell r="C149" t="str">
            <v>D813</v>
          </cell>
          <cell r="D149" t="str">
            <v>D140</v>
          </cell>
          <cell r="E149">
            <v>10001091</v>
          </cell>
          <cell r="F149" t="str">
            <v>Balasto Triturado Andesita 150 mm - 6"</v>
          </cell>
          <cell r="G149">
            <v>42.73</v>
          </cell>
          <cell r="H149" t="str">
            <v>MXN</v>
          </cell>
          <cell r="I149">
            <v>1</v>
          </cell>
          <cell r="J149" t="str">
            <v>TN</v>
          </cell>
          <cell r="K149" t="str">
            <v>C</v>
          </cell>
          <cell r="M149" t="str">
            <v>01.01.2025</v>
          </cell>
          <cell r="N149" t="str">
            <v>31.03.2025</v>
          </cell>
          <cell r="O149">
            <v>2.74</v>
          </cell>
          <cell r="P149">
            <v>45.47</v>
          </cell>
        </row>
        <row r="150">
          <cell r="B150" t="str">
            <v>D81310002350</v>
          </cell>
          <cell r="C150" t="str">
            <v>D813</v>
          </cell>
          <cell r="D150" t="str">
            <v>D140</v>
          </cell>
          <cell r="E150">
            <v>10002350</v>
          </cell>
          <cell r="F150" t="str">
            <v>Grava Triturada Andesita 10mm-3/8"-Block</v>
          </cell>
          <cell r="G150">
            <v>65.37</v>
          </cell>
          <cell r="H150" t="str">
            <v>MXN</v>
          </cell>
          <cell r="I150">
            <v>1</v>
          </cell>
          <cell r="J150" t="str">
            <v>TN</v>
          </cell>
          <cell r="K150" t="str">
            <v>C</v>
          </cell>
          <cell r="M150" t="str">
            <v>01.01.2025</v>
          </cell>
          <cell r="N150" t="str">
            <v>31.03.2025</v>
          </cell>
          <cell r="O150">
            <v>55.12</v>
          </cell>
          <cell r="P150">
            <v>120.49000000000001</v>
          </cell>
        </row>
        <row r="151">
          <cell r="B151" t="str">
            <v>D81310000252</v>
          </cell>
          <cell r="C151" t="str">
            <v>D813</v>
          </cell>
          <cell r="D151" t="str">
            <v>D145</v>
          </cell>
          <cell r="E151">
            <v>10000252</v>
          </cell>
          <cell r="F151" t="str">
            <v>Grava Triturada Andesita 10 mm - 3/8"</v>
          </cell>
          <cell r="G151">
            <v>65.37</v>
          </cell>
          <cell r="H151" t="str">
            <v>MXN</v>
          </cell>
          <cell r="I151">
            <v>1</v>
          </cell>
          <cell r="J151" t="str">
            <v>TN</v>
          </cell>
          <cell r="K151" t="str">
            <v>C</v>
          </cell>
          <cell r="M151" t="str">
            <v>01.01.2025</v>
          </cell>
          <cell r="N151" t="str">
            <v>31.03.2025</v>
          </cell>
          <cell r="O151">
            <v>49.56</v>
          </cell>
          <cell r="P151">
            <v>114.93</v>
          </cell>
        </row>
        <row r="152">
          <cell r="B152" t="str">
            <v>D81310000253</v>
          </cell>
          <cell r="C152" t="str">
            <v>D813</v>
          </cell>
          <cell r="D152" t="str">
            <v>D145</v>
          </cell>
          <cell r="E152">
            <v>10000253</v>
          </cell>
          <cell r="F152" t="str">
            <v>Grava Triturada Andesita 20 mm - 3/4"</v>
          </cell>
          <cell r="G152">
            <v>65.37</v>
          </cell>
          <cell r="H152" t="str">
            <v>MXN</v>
          </cell>
          <cell r="I152">
            <v>1</v>
          </cell>
          <cell r="J152" t="str">
            <v>TN</v>
          </cell>
          <cell r="K152" t="str">
            <v>C</v>
          </cell>
          <cell r="M152" t="str">
            <v>01.01.2025</v>
          </cell>
          <cell r="N152" t="str">
            <v>31.03.2025</v>
          </cell>
          <cell r="O152">
            <v>38.15</v>
          </cell>
          <cell r="P152">
            <v>103.52000000000001</v>
          </cell>
        </row>
        <row r="153">
          <cell r="B153" t="str">
            <v>D81310000255</v>
          </cell>
          <cell r="C153" t="str">
            <v>D813</v>
          </cell>
          <cell r="D153" t="str">
            <v>D145</v>
          </cell>
          <cell r="E153">
            <v>10000255</v>
          </cell>
          <cell r="F153" t="str">
            <v>Arena Triturada Andesita Malla 4</v>
          </cell>
          <cell r="G153">
            <v>64.63</v>
          </cell>
          <cell r="H153" t="str">
            <v>MXN</v>
          </cell>
          <cell r="I153">
            <v>1</v>
          </cell>
          <cell r="J153" t="str">
            <v>TN</v>
          </cell>
          <cell r="K153" t="str">
            <v>C</v>
          </cell>
          <cell r="M153" t="str">
            <v>01.01.2025</v>
          </cell>
          <cell r="N153" t="str">
            <v>31.03.2025</v>
          </cell>
          <cell r="O153">
            <v>39.44</v>
          </cell>
          <cell r="P153">
            <v>104.07</v>
          </cell>
        </row>
        <row r="154">
          <cell r="B154" t="str">
            <v>D81310001091</v>
          </cell>
          <cell r="C154" t="str">
            <v>D813</v>
          </cell>
          <cell r="D154" t="str">
            <v>D145</v>
          </cell>
          <cell r="E154">
            <v>10001091</v>
          </cell>
          <cell r="F154" t="str">
            <v>Balasto Triturado Andesita 150 mm - 6"</v>
          </cell>
          <cell r="G154">
            <v>42.73</v>
          </cell>
          <cell r="H154" t="str">
            <v>MXN</v>
          </cell>
          <cell r="I154">
            <v>1</v>
          </cell>
          <cell r="J154" t="str">
            <v>TN</v>
          </cell>
          <cell r="K154" t="str">
            <v>C</v>
          </cell>
          <cell r="M154" t="str">
            <v>01.01.2025</v>
          </cell>
          <cell r="N154" t="str">
            <v>31.03.2025</v>
          </cell>
          <cell r="O154">
            <v>2.74</v>
          </cell>
          <cell r="P154">
            <v>45.47</v>
          </cell>
        </row>
        <row r="155">
          <cell r="B155" t="str">
            <v>D81310002350</v>
          </cell>
          <cell r="C155" t="str">
            <v>D813</v>
          </cell>
          <cell r="D155" t="str">
            <v>D145</v>
          </cell>
          <cell r="E155">
            <v>10002350</v>
          </cell>
          <cell r="F155" t="str">
            <v>Grava Triturada Andesita 10mm-3/8"-Block</v>
          </cell>
          <cell r="G155">
            <v>65.37</v>
          </cell>
          <cell r="H155" t="str">
            <v>MXN</v>
          </cell>
          <cell r="I155">
            <v>1</v>
          </cell>
          <cell r="J155" t="str">
            <v>TN</v>
          </cell>
          <cell r="K155" t="str">
            <v>C</v>
          </cell>
          <cell r="M155" t="str">
            <v>01.01.2025</v>
          </cell>
          <cell r="N155" t="str">
            <v>31.03.2025</v>
          </cell>
          <cell r="O155">
            <v>55.12</v>
          </cell>
          <cell r="P155">
            <v>120.49000000000001</v>
          </cell>
        </row>
        <row r="156">
          <cell r="B156" t="str">
            <v>D81310029946</v>
          </cell>
          <cell r="C156" t="str">
            <v>D813</v>
          </cell>
          <cell r="D156" t="str">
            <v>D145</v>
          </cell>
          <cell r="E156">
            <v>10029946</v>
          </cell>
          <cell r="F156" t="str">
            <v>Arena Triturada Andesita Malla 8</v>
          </cell>
          <cell r="G156">
            <v>64.63</v>
          </cell>
          <cell r="H156" t="str">
            <v>MXN</v>
          </cell>
          <cell r="I156">
            <v>1</v>
          </cell>
          <cell r="J156" t="str">
            <v>TN</v>
          </cell>
          <cell r="K156" t="str">
            <v>C</v>
          </cell>
          <cell r="M156" t="str">
            <v>01.01.2025</v>
          </cell>
          <cell r="N156" t="str">
            <v>31.03.2025</v>
          </cell>
          <cell r="O156">
            <v>42.5</v>
          </cell>
          <cell r="P156">
            <v>107.13</v>
          </cell>
        </row>
        <row r="157">
          <cell r="B157" t="str">
            <v>D81310032959</v>
          </cell>
          <cell r="C157" t="str">
            <v>D813</v>
          </cell>
          <cell r="D157" t="str">
            <v>D145</v>
          </cell>
          <cell r="E157">
            <v>10032959</v>
          </cell>
          <cell r="F157" t="str">
            <v>Grava Triturada Andesita 50 mm - 2</v>
          </cell>
          <cell r="G157">
            <v>65.37</v>
          </cell>
          <cell r="H157" t="str">
            <v>MXN</v>
          </cell>
          <cell r="I157">
            <v>1</v>
          </cell>
          <cell r="J157" t="str">
            <v>TN</v>
          </cell>
          <cell r="K157" t="str">
            <v>C</v>
          </cell>
          <cell r="M157" t="str">
            <v>01.01.2025</v>
          </cell>
          <cell r="N157" t="str">
            <v>31.03.2025</v>
          </cell>
          <cell r="O157">
            <v>7.27</v>
          </cell>
          <cell r="P157">
            <v>72.64</v>
          </cell>
        </row>
        <row r="158">
          <cell r="B158" t="str">
            <v>D81310000253</v>
          </cell>
          <cell r="C158" t="str">
            <v>D813</v>
          </cell>
          <cell r="D158" t="str">
            <v>D681</v>
          </cell>
          <cell r="E158">
            <v>10000253</v>
          </cell>
          <cell r="F158" t="str">
            <v>Grava Triturada Andesita 20 mm - 3/4"</v>
          </cell>
          <cell r="G158">
            <v>65.37</v>
          </cell>
          <cell r="H158" t="str">
            <v>MXN</v>
          </cell>
          <cell r="I158">
            <v>1</v>
          </cell>
          <cell r="J158" t="str">
            <v>TN</v>
          </cell>
          <cell r="K158" t="str">
            <v>C</v>
          </cell>
          <cell r="M158" t="str">
            <v>01.01.2025</v>
          </cell>
          <cell r="N158" t="str">
            <v>31.03.2025</v>
          </cell>
          <cell r="O158">
            <v>38.15</v>
          </cell>
          <cell r="P158">
            <v>103.52000000000001</v>
          </cell>
        </row>
        <row r="159">
          <cell r="B159" t="str">
            <v>D81310000255</v>
          </cell>
          <cell r="C159" t="str">
            <v>D813</v>
          </cell>
          <cell r="D159" t="str">
            <v>D681</v>
          </cell>
          <cell r="E159">
            <v>10000255</v>
          </cell>
          <cell r="F159" t="str">
            <v>Arena Triturada Andesita Malla 4</v>
          </cell>
          <cell r="G159">
            <v>64.63</v>
          </cell>
          <cell r="H159" t="str">
            <v>MXN</v>
          </cell>
          <cell r="I159">
            <v>1</v>
          </cell>
          <cell r="J159" t="str">
            <v>TN</v>
          </cell>
          <cell r="K159" t="str">
            <v>C</v>
          </cell>
          <cell r="M159" t="str">
            <v>01.01.2025</v>
          </cell>
          <cell r="N159" t="str">
            <v>31.03.2025</v>
          </cell>
          <cell r="O159">
            <v>39.44</v>
          </cell>
          <cell r="P159">
            <v>104.07</v>
          </cell>
        </row>
        <row r="160">
          <cell r="B160" t="str">
            <v>D81310002350</v>
          </cell>
          <cell r="C160" t="str">
            <v>D813</v>
          </cell>
          <cell r="D160" t="str">
            <v>D681</v>
          </cell>
          <cell r="E160">
            <v>10002350</v>
          </cell>
          <cell r="F160" t="str">
            <v>Grava Triturada Andesita 10mm-3/8"-Block</v>
          </cell>
          <cell r="G160">
            <v>65.37</v>
          </cell>
          <cell r="H160" t="str">
            <v>MXN</v>
          </cell>
          <cell r="I160">
            <v>1</v>
          </cell>
          <cell r="J160" t="str">
            <v>TN</v>
          </cell>
          <cell r="K160" t="str">
            <v>C</v>
          </cell>
          <cell r="M160" t="str">
            <v>01.01.2025</v>
          </cell>
          <cell r="N160" t="str">
            <v>31.03.2025</v>
          </cell>
          <cell r="O160">
            <v>55.12</v>
          </cell>
          <cell r="P160">
            <v>120.49000000000001</v>
          </cell>
        </row>
        <row r="161">
          <cell r="B161" t="str">
            <v>D81310000253</v>
          </cell>
          <cell r="C161" t="str">
            <v>D813</v>
          </cell>
          <cell r="D161" t="str">
            <v>E673</v>
          </cell>
          <cell r="E161">
            <v>10000253</v>
          </cell>
          <cell r="F161" t="str">
            <v>Grava Triturada Andesita 20 mm - 3/4"</v>
          </cell>
          <cell r="G161">
            <v>86.72</v>
          </cell>
          <cell r="H161" t="str">
            <v>MXN</v>
          </cell>
          <cell r="I161">
            <v>1</v>
          </cell>
          <cell r="J161" t="str">
            <v>TN</v>
          </cell>
          <cell r="K161" t="str">
            <v>C</v>
          </cell>
          <cell r="M161" t="str">
            <v>19.01.2022</v>
          </cell>
          <cell r="N161" t="str">
            <v>31.03.2025</v>
          </cell>
          <cell r="O161" t="e">
            <v>#N/A</v>
          </cell>
          <cell r="P161" t="e">
            <v>#N/A</v>
          </cell>
        </row>
        <row r="162">
          <cell r="B162" t="str">
            <v>D81310000255</v>
          </cell>
          <cell r="C162" t="str">
            <v>D813</v>
          </cell>
          <cell r="D162" t="str">
            <v>E673</v>
          </cell>
          <cell r="E162">
            <v>10000255</v>
          </cell>
          <cell r="F162" t="str">
            <v>Arena Triturada Andesita Malla 4</v>
          </cell>
          <cell r="G162">
            <v>69.540000000000006</v>
          </cell>
          <cell r="H162" t="str">
            <v>MXN</v>
          </cell>
          <cell r="I162">
            <v>1</v>
          </cell>
          <cell r="J162" t="str">
            <v>TN</v>
          </cell>
          <cell r="K162" t="str">
            <v>C</v>
          </cell>
          <cell r="M162" t="str">
            <v>19.01.2022</v>
          </cell>
          <cell r="N162" t="str">
            <v>31.03.2025</v>
          </cell>
          <cell r="O162" t="e">
            <v>#N/A</v>
          </cell>
          <cell r="P162" t="e">
            <v>#N/A</v>
          </cell>
        </row>
        <row r="163">
          <cell r="B163" t="str">
            <v>D81310000252</v>
          </cell>
          <cell r="C163" t="str">
            <v>D813</v>
          </cell>
          <cell r="D163" t="str">
            <v>EQ75</v>
          </cell>
          <cell r="E163">
            <v>10000252</v>
          </cell>
          <cell r="F163" t="str">
            <v>Grava Triturada Andesita 10 mm - 3/8"</v>
          </cell>
          <cell r="G163">
            <v>82.2</v>
          </cell>
          <cell r="H163" t="str">
            <v>MXN</v>
          </cell>
          <cell r="I163">
            <v>1</v>
          </cell>
          <cell r="J163" t="str">
            <v>TN</v>
          </cell>
          <cell r="K163" t="str">
            <v>C</v>
          </cell>
          <cell r="M163" t="str">
            <v>19.01.2022</v>
          </cell>
          <cell r="N163" t="str">
            <v>31.03.2025</v>
          </cell>
          <cell r="O163" t="e">
            <v>#N/A</v>
          </cell>
          <cell r="P163" t="e">
            <v>#N/A</v>
          </cell>
        </row>
        <row r="164">
          <cell r="B164" t="str">
            <v>D81310000253</v>
          </cell>
          <cell r="C164" t="str">
            <v>D813</v>
          </cell>
          <cell r="D164" t="str">
            <v>EQ75</v>
          </cell>
          <cell r="E164">
            <v>10000253</v>
          </cell>
          <cell r="F164" t="str">
            <v>Grava Triturada Andesita 20 mm - 3/4"</v>
          </cell>
          <cell r="G164">
            <v>68.430000000000007</v>
          </cell>
          <cell r="H164" t="str">
            <v>MXN</v>
          </cell>
          <cell r="I164">
            <v>1</v>
          </cell>
          <cell r="J164" t="str">
            <v>TN</v>
          </cell>
          <cell r="K164" t="str">
            <v>C</v>
          </cell>
          <cell r="M164" t="str">
            <v>19.01.2022</v>
          </cell>
          <cell r="N164" t="str">
            <v>31.03.2025</v>
          </cell>
          <cell r="O164" t="e">
            <v>#N/A</v>
          </cell>
          <cell r="P164" t="e">
            <v>#N/A</v>
          </cell>
        </row>
        <row r="165">
          <cell r="B165" t="str">
            <v>D81310000255</v>
          </cell>
          <cell r="C165" t="str">
            <v>D813</v>
          </cell>
          <cell r="D165" t="str">
            <v>EQ75</v>
          </cell>
          <cell r="E165">
            <v>10000255</v>
          </cell>
          <cell r="F165" t="str">
            <v>Arena Triturada Andesita Malla 4</v>
          </cell>
          <cell r="G165">
            <v>66</v>
          </cell>
          <cell r="H165" t="str">
            <v>MXN</v>
          </cell>
          <cell r="I165">
            <v>1</v>
          </cell>
          <cell r="J165" t="str">
            <v>TN</v>
          </cell>
          <cell r="K165" t="str">
            <v>C</v>
          </cell>
          <cell r="M165" t="str">
            <v>19.01.2022</v>
          </cell>
          <cell r="N165" t="str">
            <v>31.03.2025</v>
          </cell>
          <cell r="O165" t="e">
            <v>#N/A</v>
          </cell>
          <cell r="P165" t="e">
            <v>#N/A</v>
          </cell>
        </row>
        <row r="166">
          <cell r="B166" t="str">
            <v>D86110000229</v>
          </cell>
          <cell r="C166" t="str">
            <v>D861</v>
          </cell>
          <cell r="D166" t="str">
            <v>D059</v>
          </cell>
          <cell r="E166">
            <v>10000229</v>
          </cell>
          <cell r="F166" t="str">
            <v>Grava Triturada Basalto  10 mm - 3/8"</v>
          </cell>
          <cell r="G166">
            <v>123.47</v>
          </cell>
          <cell r="H166" t="str">
            <v>MXN</v>
          </cell>
          <cell r="I166">
            <v>1</v>
          </cell>
          <cell r="J166" t="str">
            <v>TN</v>
          </cell>
          <cell r="K166" t="str">
            <v>C</v>
          </cell>
          <cell r="M166" t="str">
            <v>01.01.2025</v>
          </cell>
          <cell r="N166" t="str">
            <v>31.03.2025</v>
          </cell>
          <cell r="O166">
            <v>101.67</v>
          </cell>
          <cell r="P166">
            <v>225.14</v>
          </cell>
        </row>
        <row r="167">
          <cell r="B167" t="str">
            <v>D86110000231</v>
          </cell>
          <cell r="C167" t="str">
            <v>D861</v>
          </cell>
          <cell r="D167" t="str">
            <v>D059</v>
          </cell>
          <cell r="E167">
            <v>10000231</v>
          </cell>
          <cell r="F167" t="str">
            <v>Grava Triturada Basalto 20 mm - 3/4"</v>
          </cell>
          <cell r="G167">
            <v>123.47</v>
          </cell>
          <cell r="H167" t="str">
            <v>MXN</v>
          </cell>
          <cell r="I167">
            <v>1</v>
          </cell>
          <cell r="J167" t="str">
            <v>TN</v>
          </cell>
          <cell r="K167" t="str">
            <v>C</v>
          </cell>
          <cell r="M167" t="str">
            <v>01.01.2025</v>
          </cell>
          <cell r="N167" t="str">
            <v>31.03.2025</v>
          </cell>
          <cell r="O167">
            <v>82.24</v>
          </cell>
          <cell r="P167">
            <v>205.70999999999998</v>
          </cell>
        </row>
        <row r="168">
          <cell r="B168" t="str">
            <v>D86110000233</v>
          </cell>
          <cell r="C168" t="str">
            <v>D861</v>
          </cell>
          <cell r="D168" t="str">
            <v>D059</v>
          </cell>
          <cell r="E168">
            <v>10000233</v>
          </cell>
          <cell r="F168" t="str">
            <v>Grava Triturada Basalto  40 mm - 1 1/2"</v>
          </cell>
          <cell r="G168">
            <v>123.47</v>
          </cell>
          <cell r="H168" t="str">
            <v>MXN</v>
          </cell>
          <cell r="I168">
            <v>1</v>
          </cell>
          <cell r="J168" t="str">
            <v>TN</v>
          </cell>
          <cell r="K168" t="str">
            <v>C</v>
          </cell>
          <cell r="M168" t="str">
            <v>01.01.2025</v>
          </cell>
          <cell r="N168" t="str">
            <v>31.03.2025</v>
          </cell>
          <cell r="O168">
            <v>84.78</v>
          </cell>
          <cell r="P168">
            <v>208.25</v>
          </cell>
        </row>
        <row r="169">
          <cell r="B169" t="str">
            <v>D86110000311</v>
          </cell>
          <cell r="C169" t="str">
            <v>D861</v>
          </cell>
          <cell r="D169" t="str">
            <v>D059</v>
          </cell>
          <cell r="E169">
            <v>10000311</v>
          </cell>
          <cell r="F169" t="str">
            <v>Arena Triturada Basalto  Malla 4</v>
          </cell>
          <cell r="G169">
            <v>125.08</v>
          </cell>
          <cell r="H169" t="str">
            <v>MXN</v>
          </cell>
          <cell r="I169">
            <v>1</v>
          </cell>
          <cell r="J169" t="str">
            <v>TN</v>
          </cell>
          <cell r="K169" t="str">
            <v>C</v>
          </cell>
          <cell r="M169" t="str">
            <v>01.01.2025</v>
          </cell>
          <cell r="N169" t="str">
            <v>31.03.2025</v>
          </cell>
          <cell r="O169">
            <v>46.11</v>
          </cell>
          <cell r="P169">
            <v>171.19</v>
          </cell>
        </row>
        <row r="170">
          <cell r="B170" t="str">
            <v>D86110000229</v>
          </cell>
          <cell r="C170" t="str">
            <v>D861</v>
          </cell>
          <cell r="D170" t="str">
            <v>D074</v>
          </cell>
          <cell r="E170">
            <v>10000229</v>
          </cell>
          <cell r="F170" t="str">
            <v>Grava Triturada Basalto  10 mm - 3/8"</v>
          </cell>
          <cell r="G170">
            <v>123.47</v>
          </cell>
          <cell r="H170" t="str">
            <v>MXN</v>
          </cell>
          <cell r="I170">
            <v>1</v>
          </cell>
          <cell r="J170" t="str">
            <v>TN</v>
          </cell>
          <cell r="K170" t="str">
            <v>C</v>
          </cell>
          <cell r="M170" t="str">
            <v>01.01.2025</v>
          </cell>
          <cell r="N170" t="str">
            <v>31.03.2025</v>
          </cell>
          <cell r="O170">
            <v>101.67</v>
          </cell>
          <cell r="P170">
            <v>225.14</v>
          </cell>
        </row>
        <row r="171">
          <cell r="B171" t="str">
            <v>D86110000231</v>
          </cell>
          <cell r="C171" t="str">
            <v>D861</v>
          </cell>
          <cell r="D171" t="str">
            <v>D074</v>
          </cell>
          <cell r="E171">
            <v>10000231</v>
          </cell>
          <cell r="F171" t="str">
            <v>Grava Triturada Basalto 20 mm - 3/4"</v>
          </cell>
          <cell r="G171">
            <v>123.47</v>
          </cell>
          <cell r="H171" t="str">
            <v>MXN</v>
          </cell>
          <cell r="I171">
            <v>1</v>
          </cell>
          <cell r="J171" t="str">
            <v>TN</v>
          </cell>
          <cell r="K171" t="str">
            <v>C</v>
          </cell>
          <cell r="M171" t="str">
            <v>01.01.2025</v>
          </cell>
          <cell r="N171" t="str">
            <v>31.03.2025</v>
          </cell>
          <cell r="O171">
            <v>82.24</v>
          </cell>
          <cell r="P171">
            <v>205.70999999999998</v>
          </cell>
        </row>
        <row r="172">
          <cell r="B172" t="str">
            <v>D86110000233</v>
          </cell>
          <cell r="C172" t="str">
            <v>D861</v>
          </cell>
          <cell r="D172" t="str">
            <v>D074</v>
          </cell>
          <cell r="E172">
            <v>10000233</v>
          </cell>
          <cell r="F172" t="str">
            <v>Grava Triturada Basalto  40 mm - 1 1/2"</v>
          </cell>
          <cell r="G172">
            <v>123.47</v>
          </cell>
          <cell r="H172" t="str">
            <v>MXN</v>
          </cell>
          <cell r="I172">
            <v>1</v>
          </cell>
          <cell r="J172" t="str">
            <v>TN</v>
          </cell>
          <cell r="K172" t="str">
            <v>C</v>
          </cell>
          <cell r="M172" t="str">
            <v>01.01.2025</v>
          </cell>
          <cell r="N172" t="str">
            <v>31.03.2025</v>
          </cell>
          <cell r="O172">
            <v>84.78</v>
          </cell>
          <cell r="P172">
            <v>208.25</v>
          </cell>
        </row>
        <row r="173">
          <cell r="B173" t="str">
            <v>D86110000231</v>
          </cell>
          <cell r="C173" t="str">
            <v>D861</v>
          </cell>
          <cell r="D173" t="str">
            <v>D077</v>
          </cell>
          <cell r="E173">
            <v>10000231</v>
          </cell>
          <cell r="F173" t="str">
            <v>Grava Triturada Basalto 20 mm - 3/4"</v>
          </cell>
          <cell r="G173">
            <v>123.47</v>
          </cell>
          <cell r="H173" t="str">
            <v>MXN</v>
          </cell>
          <cell r="I173">
            <v>1</v>
          </cell>
          <cell r="J173" t="str">
            <v>TN</v>
          </cell>
          <cell r="K173" t="str">
            <v>C</v>
          </cell>
          <cell r="M173" t="str">
            <v>01.01.2025</v>
          </cell>
          <cell r="N173" t="str">
            <v>31.03.2025</v>
          </cell>
          <cell r="O173">
            <v>82.24</v>
          </cell>
          <cell r="P173">
            <v>205.70999999999998</v>
          </cell>
        </row>
        <row r="174">
          <cell r="B174" t="str">
            <v>D86110000229</v>
          </cell>
          <cell r="C174" t="str">
            <v>D861</v>
          </cell>
          <cell r="D174" t="str">
            <v>D079</v>
          </cell>
          <cell r="E174">
            <v>10000229</v>
          </cell>
          <cell r="F174" t="str">
            <v>Grava Triturada Basalto  10 mm - 3/8"</v>
          </cell>
          <cell r="G174">
            <v>123.47</v>
          </cell>
          <cell r="H174" t="str">
            <v>MXN</v>
          </cell>
          <cell r="I174">
            <v>1</v>
          </cell>
          <cell r="J174" t="str">
            <v>TN</v>
          </cell>
          <cell r="K174" t="str">
            <v>C</v>
          </cell>
          <cell r="M174" t="str">
            <v>01.01.2025</v>
          </cell>
          <cell r="N174" t="str">
            <v>31.03.2025</v>
          </cell>
          <cell r="O174">
            <v>101.67</v>
          </cell>
          <cell r="P174">
            <v>225.14</v>
          </cell>
        </row>
        <row r="175">
          <cell r="B175" t="str">
            <v>D86110000231</v>
          </cell>
          <cell r="C175" t="str">
            <v>D861</v>
          </cell>
          <cell r="D175" t="str">
            <v>D079</v>
          </cell>
          <cell r="E175">
            <v>10000231</v>
          </cell>
          <cell r="F175" t="str">
            <v>Grava Triturada Basalto 20 mm - 3/4"</v>
          </cell>
          <cell r="G175">
            <v>123.47</v>
          </cell>
          <cell r="H175" t="str">
            <v>MXN</v>
          </cell>
          <cell r="I175">
            <v>1</v>
          </cell>
          <cell r="J175" t="str">
            <v>TN</v>
          </cell>
          <cell r="K175" t="str">
            <v>C</v>
          </cell>
          <cell r="M175" t="str">
            <v>01.01.2025</v>
          </cell>
          <cell r="N175" t="str">
            <v>31.03.2025</v>
          </cell>
          <cell r="O175">
            <v>82.24</v>
          </cell>
          <cell r="P175">
            <v>205.70999999999998</v>
          </cell>
        </row>
        <row r="176">
          <cell r="B176" t="str">
            <v>D86110000233</v>
          </cell>
          <cell r="C176" t="str">
            <v>D861</v>
          </cell>
          <cell r="D176" t="str">
            <v>D079</v>
          </cell>
          <cell r="E176">
            <v>10000233</v>
          </cell>
          <cell r="F176" t="str">
            <v>Grava Triturada Basalto  40 mm - 1 1/2"</v>
          </cell>
          <cell r="G176">
            <v>123.47</v>
          </cell>
          <cell r="H176" t="str">
            <v>MXN</v>
          </cell>
          <cell r="I176">
            <v>1</v>
          </cell>
          <cell r="J176" t="str">
            <v>TN</v>
          </cell>
          <cell r="K176" t="str">
            <v>C</v>
          </cell>
          <cell r="M176" t="str">
            <v>01.01.2025</v>
          </cell>
          <cell r="N176" t="str">
            <v>31.03.2025</v>
          </cell>
          <cell r="O176">
            <v>84.78</v>
          </cell>
          <cell r="P176">
            <v>208.25</v>
          </cell>
        </row>
        <row r="177">
          <cell r="B177" t="str">
            <v>D86110000229</v>
          </cell>
          <cell r="C177" t="str">
            <v>D861</v>
          </cell>
          <cell r="D177" t="str">
            <v>D080</v>
          </cell>
          <cell r="E177">
            <v>10000229</v>
          </cell>
          <cell r="F177" t="str">
            <v>Grava Triturada Basalto  10 mm - 3/8"</v>
          </cell>
          <cell r="G177">
            <v>123.47</v>
          </cell>
          <cell r="H177" t="str">
            <v>MXN</v>
          </cell>
          <cell r="I177">
            <v>1</v>
          </cell>
          <cell r="J177" t="str">
            <v>TN</v>
          </cell>
          <cell r="K177" t="str">
            <v>C</v>
          </cell>
          <cell r="M177" t="str">
            <v>01.01.2025</v>
          </cell>
          <cell r="N177" t="str">
            <v>31.03.2025</v>
          </cell>
          <cell r="O177">
            <v>101.67</v>
          </cell>
          <cell r="P177">
            <v>225.14</v>
          </cell>
        </row>
        <row r="178">
          <cell r="B178" t="str">
            <v>D86110000231</v>
          </cell>
          <cell r="C178" t="str">
            <v>D861</v>
          </cell>
          <cell r="D178" t="str">
            <v>D080</v>
          </cell>
          <cell r="E178">
            <v>10000231</v>
          </cell>
          <cell r="F178" t="str">
            <v>Grava Triturada Basalto 20 mm - 3/4"</v>
          </cell>
          <cell r="G178">
            <v>123.47</v>
          </cell>
          <cell r="H178" t="str">
            <v>MXN</v>
          </cell>
          <cell r="I178">
            <v>1</v>
          </cell>
          <cell r="J178" t="str">
            <v>TN</v>
          </cell>
          <cell r="K178" t="str">
            <v>C</v>
          </cell>
          <cell r="M178" t="str">
            <v>01.01.2025</v>
          </cell>
          <cell r="N178" t="str">
            <v>31.03.2025</v>
          </cell>
          <cell r="O178">
            <v>82.24</v>
          </cell>
          <cell r="P178">
            <v>205.70999999999998</v>
          </cell>
        </row>
        <row r="179">
          <cell r="B179" t="str">
            <v>D86110000233</v>
          </cell>
          <cell r="C179" t="str">
            <v>D861</v>
          </cell>
          <cell r="D179" t="str">
            <v>D080</v>
          </cell>
          <cell r="E179">
            <v>10000233</v>
          </cell>
          <cell r="F179" t="str">
            <v>Grava Triturada Basalto  40 mm - 1 1/2"</v>
          </cell>
          <cell r="G179">
            <v>123.47</v>
          </cell>
          <cell r="H179" t="str">
            <v>MXN</v>
          </cell>
          <cell r="I179">
            <v>1</v>
          </cell>
          <cell r="J179" t="str">
            <v>TN</v>
          </cell>
          <cell r="K179" t="str">
            <v>C</v>
          </cell>
          <cell r="M179" t="str">
            <v>01.01.2025</v>
          </cell>
          <cell r="N179" t="str">
            <v>31.03.2025</v>
          </cell>
          <cell r="O179">
            <v>84.78</v>
          </cell>
          <cell r="P179">
            <v>208.25</v>
          </cell>
        </row>
        <row r="180">
          <cell r="B180" t="str">
            <v>D86110000311</v>
          </cell>
          <cell r="C180" t="str">
            <v>D861</v>
          </cell>
          <cell r="D180" t="str">
            <v>D080</v>
          </cell>
          <cell r="E180">
            <v>10000311</v>
          </cell>
          <cell r="F180" t="str">
            <v>Arena Triturada Basalto  Malla 4</v>
          </cell>
          <cell r="G180">
            <v>125.08</v>
          </cell>
          <cell r="H180" t="str">
            <v>MXN</v>
          </cell>
          <cell r="I180">
            <v>1</v>
          </cell>
          <cell r="J180" t="str">
            <v>TN</v>
          </cell>
          <cell r="K180" t="str">
            <v>C</v>
          </cell>
          <cell r="M180" t="str">
            <v>01.01.2025</v>
          </cell>
          <cell r="N180" t="str">
            <v>31.03.2025</v>
          </cell>
          <cell r="O180">
            <v>46.11</v>
          </cell>
          <cell r="P180">
            <v>171.19</v>
          </cell>
        </row>
        <row r="181">
          <cell r="B181" t="str">
            <v>D86110000229</v>
          </cell>
          <cell r="C181" t="str">
            <v>D861</v>
          </cell>
          <cell r="D181" t="str">
            <v>D081</v>
          </cell>
          <cell r="E181">
            <v>10000229</v>
          </cell>
          <cell r="F181" t="str">
            <v>Grava Triturada Basalto  10 mm - 3/8"</v>
          </cell>
          <cell r="G181">
            <v>123.47</v>
          </cell>
          <cell r="H181" t="str">
            <v>MXN</v>
          </cell>
          <cell r="I181">
            <v>1</v>
          </cell>
          <cell r="J181" t="str">
            <v>TN</v>
          </cell>
          <cell r="K181" t="str">
            <v>C</v>
          </cell>
          <cell r="M181" t="str">
            <v>01.01.2025</v>
          </cell>
          <cell r="N181" t="str">
            <v>31.03.2025</v>
          </cell>
          <cell r="O181">
            <v>101.67</v>
          </cell>
          <cell r="P181">
            <v>225.14</v>
          </cell>
        </row>
        <row r="182">
          <cell r="B182" t="str">
            <v>D86110000231</v>
          </cell>
          <cell r="C182" t="str">
            <v>D861</v>
          </cell>
          <cell r="D182" t="str">
            <v>D081</v>
          </cell>
          <cell r="E182">
            <v>10000231</v>
          </cell>
          <cell r="F182" t="str">
            <v>Grava Triturada Basalto 20 mm - 3/4"</v>
          </cell>
          <cell r="G182">
            <v>123.47</v>
          </cell>
          <cell r="H182" t="str">
            <v>MXN</v>
          </cell>
          <cell r="I182">
            <v>1</v>
          </cell>
          <cell r="J182" t="str">
            <v>TN</v>
          </cell>
          <cell r="K182" t="str">
            <v>C</v>
          </cell>
          <cell r="M182" t="str">
            <v>01.01.2025</v>
          </cell>
          <cell r="N182" t="str">
            <v>31.03.2025</v>
          </cell>
          <cell r="O182">
            <v>82.24</v>
          </cell>
          <cell r="P182">
            <v>205.70999999999998</v>
          </cell>
        </row>
        <row r="183">
          <cell r="B183" t="str">
            <v>D86110000233</v>
          </cell>
          <cell r="C183" t="str">
            <v>D861</v>
          </cell>
          <cell r="D183" t="str">
            <v>D081</v>
          </cell>
          <cell r="E183">
            <v>10000233</v>
          </cell>
          <cell r="F183" t="str">
            <v>Grava Triturada Basalto  40 mm - 1 1/2"</v>
          </cell>
          <cell r="G183">
            <v>123.47</v>
          </cell>
          <cell r="H183" t="str">
            <v>MXN</v>
          </cell>
          <cell r="I183">
            <v>1</v>
          </cell>
          <cell r="J183" t="str">
            <v>TN</v>
          </cell>
          <cell r="K183" t="str">
            <v>C</v>
          </cell>
          <cell r="M183" t="str">
            <v>01.01.2025</v>
          </cell>
          <cell r="N183" t="str">
            <v>31.03.2025</v>
          </cell>
          <cell r="O183">
            <v>84.78</v>
          </cell>
          <cell r="P183">
            <v>208.25</v>
          </cell>
        </row>
        <row r="184">
          <cell r="B184" t="str">
            <v>D86110000311</v>
          </cell>
          <cell r="C184" t="str">
            <v>D861</v>
          </cell>
          <cell r="D184" t="str">
            <v>D081</v>
          </cell>
          <cell r="E184">
            <v>10000311</v>
          </cell>
          <cell r="F184" t="str">
            <v>Arena Triturada Basalto  Malla 4</v>
          </cell>
          <cell r="G184">
            <v>125.08</v>
          </cell>
          <cell r="H184" t="str">
            <v>MXN</v>
          </cell>
          <cell r="I184">
            <v>1</v>
          </cell>
          <cell r="J184" t="str">
            <v>TN</v>
          </cell>
          <cell r="K184" t="str">
            <v>C</v>
          </cell>
          <cell r="M184" t="str">
            <v>01.01.2025</v>
          </cell>
          <cell r="N184" t="str">
            <v>31.03.2025</v>
          </cell>
          <cell r="O184">
            <v>46.11</v>
          </cell>
          <cell r="P184">
            <v>171.19</v>
          </cell>
        </row>
        <row r="185">
          <cell r="B185" t="str">
            <v>D86110000229</v>
          </cell>
          <cell r="C185" t="str">
            <v>D861</v>
          </cell>
          <cell r="D185" t="str">
            <v>D083</v>
          </cell>
          <cell r="E185">
            <v>10000229</v>
          </cell>
          <cell r="F185" t="str">
            <v>Grava Triturada Basalto  10 mm - 3/8"</v>
          </cell>
          <cell r="G185">
            <v>123.47</v>
          </cell>
          <cell r="H185" t="str">
            <v>MXN</v>
          </cell>
          <cell r="I185">
            <v>1</v>
          </cell>
          <cell r="J185" t="str">
            <v>TN</v>
          </cell>
          <cell r="K185" t="str">
            <v>C</v>
          </cell>
          <cell r="M185" t="str">
            <v>01.01.2025</v>
          </cell>
          <cell r="N185" t="str">
            <v>31.03.2025</v>
          </cell>
          <cell r="O185">
            <v>101.67</v>
          </cell>
          <cell r="P185">
            <v>225.14</v>
          </cell>
        </row>
        <row r="186">
          <cell r="B186" t="str">
            <v>D86110000231</v>
          </cell>
          <cell r="C186" t="str">
            <v>D861</v>
          </cell>
          <cell r="D186" t="str">
            <v>D083</v>
          </cell>
          <cell r="E186">
            <v>10000231</v>
          </cell>
          <cell r="F186" t="str">
            <v>Grava Triturada Basalto 20 mm - 3/4"</v>
          </cell>
          <cell r="G186">
            <v>123.47</v>
          </cell>
          <cell r="H186" t="str">
            <v>MXN</v>
          </cell>
          <cell r="I186">
            <v>1</v>
          </cell>
          <cell r="J186" t="str">
            <v>TN</v>
          </cell>
          <cell r="K186" t="str">
            <v>C</v>
          </cell>
          <cell r="M186" t="str">
            <v>01.01.2025</v>
          </cell>
          <cell r="N186" t="str">
            <v>31.03.2025</v>
          </cell>
          <cell r="O186">
            <v>82.24</v>
          </cell>
          <cell r="P186">
            <v>205.70999999999998</v>
          </cell>
        </row>
        <row r="187">
          <cell r="B187" t="str">
            <v>D86110000233</v>
          </cell>
          <cell r="C187" t="str">
            <v>D861</v>
          </cell>
          <cell r="D187" t="str">
            <v>D083</v>
          </cell>
          <cell r="E187">
            <v>10000233</v>
          </cell>
          <cell r="F187" t="str">
            <v>Grava Triturada Basalto  40 mm - 1 1/2"</v>
          </cell>
          <cell r="G187">
            <v>123.47</v>
          </cell>
          <cell r="H187" t="str">
            <v>MXN</v>
          </cell>
          <cell r="I187">
            <v>1</v>
          </cell>
          <cell r="J187" t="str">
            <v>TN</v>
          </cell>
          <cell r="K187" t="str">
            <v>C</v>
          </cell>
          <cell r="M187" t="str">
            <v>01.01.2025</v>
          </cell>
          <cell r="N187" t="str">
            <v>31.03.2025</v>
          </cell>
          <cell r="O187">
            <v>84.78</v>
          </cell>
          <cell r="P187">
            <v>208.25</v>
          </cell>
        </row>
        <row r="188">
          <cell r="B188" t="str">
            <v>D86110000311</v>
          </cell>
          <cell r="C188" t="str">
            <v>D861</v>
          </cell>
          <cell r="D188" t="str">
            <v>D083</v>
          </cell>
          <cell r="E188">
            <v>10000311</v>
          </cell>
          <cell r="F188" t="str">
            <v>Arena Triturada Basalto  Malla 4</v>
          </cell>
          <cell r="G188">
            <v>125.08</v>
          </cell>
          <cell r="H188" t="str">
            <v>MXN</v>
          </cell>
          <cell r="I188">
            <v>1</v>
          </cell>
          <cell r="J188" t="str">
            <v>TN</v>
          </cell>
          <cell r="K188" t="str">
            <v>C</v>
          </cell>
          <cell r="M188" t="str">
            <v>01.01.2025</v>
          </cell>
          <cell r="N188" t="str">
            <v>31.03.2025</v>
          </cell>
          <cell r="O188">
            <v>46.11</v>
          </cell>
          <cell r="P188">
            <v>171.19</v>
          </cell>
        </row>
        <row r="189">
          <cell r="B189" t="str">
            <v>D86110003153</v>
          </cell>
          <cell r="C189" t="str">
            <v>D861</v>
          </cell>
          <cell r="D189" t="str">
            <v>D083</v>
          </cell>
          <cell r="E189">
            <v>10003153</v>
          </cell>
          <cell r="F189" t="str">
            <v>Grava Triturada Basalto 13 mm - 1/2"</v>
          </cell>
          <cell r="G189">
            <v>123.47</v>
          </cell>
          <cell r="H189" t="str">
            <v>MXN</v>
          </cell>
          <cell r="I189">
            <v>1</v>
          </cell>
          <cell r="J189" t="str">
            <v>TN</v>
          </cell>
          <cell r="K189" t="str">
            <v>C</v>
          </cell>
          <cell r="M189" t="str">
            <v>01.01.2025</v>
          </cell>
          <cell r="N189" t="str">
            <v>31.03.2025</v>
          </cell>
          <cell r="O189" t="str">
            <v>10.43-</v>
          </cell>
          <cell r="P189" t="e">
            <v>#VALUE!</v>
          </cell>
        </row>
        <row r="190">
          <cell r="B190" t="str">
            <v>D86110000311</v>
          </cell>
          <cell r="C190" t="str">
            <v>D861</v>
          </cell>
          <cell r="D190" t="str">
            <v>D084</v>
          </cell>
          <cell r="E190">
            <v>10000311</v>
          </cell>
          <cell r="F190" t="str">
            <v>Arena Triturada Basalto  Malla 4</v>
          </cell>
          <cell r="G190">
            <v>125.08</v>
          </cell>
          <cell r="H190" t="str">
            <v>MXN</v>
          </cell>
          <cell r="I190">
            <v>1</v>
          </cell>
          <cell r="J190" t="str">
            <v>TN</v>
          </cell>
          <cell r="K190" t="str">
            <v>C</v>
          </cell>
          <cell r="M190" t="str">
            <v>01.01.2025</v>
          </cell>
          <cell r="N190" t="str">
            <v>31.03.2025</v>
          </cell>
          <cell r="O190">
            <v>46.11</v>
          </cell>
          <cell r="P190">
            <v>171.19</v>
          </cell>
        </row>
        <row r="191">
          <cell r="B191" t="str">
            <v>D86110000229</v>
          </cell>
          <cell r="C191" t="str">
            <v>D861</v>
          </cell>
          <cell r="D191" t="str">
            <v>D085</v>
          </cell>
          <cell r="E191">
            <v>10000229</v>
          </cell>
          <cell r="F191" t="str">
            <v>Grava Triturada Basalto  10 mm - 3/8"</v>
          </cell>
          <cell r="G191">
            <v>123.47</v>
          </cell>
          <cell r="H191" t="str">
            <v>MXN</v>
          </cell>
          <cell r="I191">
            <v>1</v>
          </cell>
          <cell r="J191" t="str">
            <v>TN</v>
          </cell>
          <cell r="K191" t="str">
            <v>C</v>
          </cell>
          <cell r="M191" t="str">
            <v>01.01.2025</v>
          </cell>
          <cell r="N191" t="str">
            <v>31.03.2025</v>
          </cell>
          <cell r="O191">
            <v>101.67</v>
          </cell>
          <cell r="P191">
            <v>225.14</v>
          </cell>
        </row>
        <row r="192">
          <cell r="B192" t="str">
            <v>D86110000231</v>
          </cell>
          <cell r="C192" t="str">
            <v>D861</v>
          </cell>
          <cell r="D192" t="str">
            <v>D085</v>
          </cell>
          <cell r="E192">
            <v>10000231</v>
          </cell>
          <cell r="F192" t="str">
            <v>Grava Triturada Basalto 20 mm - 3/4"</v>
          </cell>
          <cell r="G192">
            <v>123.47</v>
          </cell>
          <cell r="H192" t="str">
            <v>MXN</v>
          </cell>
          <cell r="I192">
            <v>1</v>
          </cell>
          <cell r="J192" t="str">
            <v>TN</v>
          </cell>
          <cell r="K192" t="str">
            <v>C</v>
          </cell>
          <cell r="M192" t="str">
            <v>01.01.2025</v>
          </cell>
          <cell r="N192" t="str">
            <v>31.03.2025</v>
          </cell>
          <cell r="O192">
            <v>82.24</v>
          </cell>
          <cell r="P192">
            <v>205.70999999999998</v>
          </cell>
        </row>
        <row r="193">
          <cell r="B193" t="str">
            <v>D86110000233</v>
          </cell>
          <cell r="C193" t="str">
            <v>D861</v>
          </cell>
          <cell r="D193" t="str">
            <v>D085</v>
          </cell>
          <cell r="E193">
            <v>10000233</v>
          </cell>
          <cell r="F193" t="str">
            <v>Grava Triturada Basalto  40 mm - 1 1/2"</v>
          </cell>
          <cell r="G193">
            <v>123.47</v>
          </cell>
          <cell r="H193" t="str">
            <v>MXN</v>
          </cell>
          <cell r="I193">
            <v>1</v>
          </cell>
          <cell r="J193" t="str">
            <v>TN</v>
          </cell>
          <cell r="K193" t="str">
            <v>C</v>
          </cell>
          <cell r="M193" t="str">
            <v>01.01.2025</v>
          </cell>
          <cell r="N193" t="str">
            <v>31.03.2025</v>
          </cell>
          <cell r="O193">
            <v>84.78</v>
          </cell>
          <cell r="P193">
            <v>208.25</v>
          </cell>
        </row>
        <row r="194">
          <cell r="B194" t="str">
            <v>D86110000229</v>
          </cell>
          <cell r="C194" t="str">
            <v>D861</v>
          </cell>
          <cell r="D194" t="str">
            <v>D086</v>
          </cell>
          <cell r="E194">
            <v>10000229</v>
          </cell>
          <cell r="F194" t="str">
            <v>Grava Triturada Basalto  10 mm - 3/8"</v>
          </cell>
          <cell r="G194">
            <v>123.47</v>
          </cell>
          <cell r="H194" t="str">
            <v>MXN</v>
          </cell>
          <cell r="I194">
            <v>1</v>
          </cell>
          <cell r="J194" t="str">
            <v>TN</v>
          </cell>
          <cell r="K194" t="str">
            <v>C</v>
          </cell>
          <cell r="M194" t="str">
            <v>01.01.2025</v>
          </cell>
          <cell r="N194" t="str">
            <v>31.03.2025</v>
          </cell>
          <cell r="O194">
            <v>101.67</v>
          </cell>
          <cell r="P194">
            <v>225.14</v>
          </cell>
        </row>
        <row r="195">
          <cell r="B195" t="str">
            <v>D86110000231</v>
          </cell>
          <cell r="C195" t="str">
            <v>D861</v>
          </cell>
          <cell r="D195" t="str">
            <v>D086</v>
          </cell>
          <cell r="E195">
            <v>10000231</v>
          </cell>
          <cell r="F195" t="str">
            <v>Grava Triturada Basalto 20 mm - 3/4"</v>
          </cell>
          <cell r="G195">
            <v>123.47</v>
          </cell>
          <cell r="H195" t="str">
            <v>MXN</v>
          </cell>
          <cell r="I195">
            <v>1</v>
          </cell>
          <cell r="J195" t="str">
            <v>TN</v>
          </cell>
          <cell r="K195" t="str">
            <v>C</v>
          </cell>
          <cell r="M195" t="str">
            <v>01.01.2025</v>
          </cell>
          <cell r="N195" t="str">
            <v>31.03.2025</v>
          </cell>
          <cell r="O195">
            <v>82.24</v>
          </cell>
          <cell r="P195">
            <v>205.70999999999998</v>
          </cell>
        </row>
        <row r="196">
          <cell r="B196" t="str">
            <v>D86110000233</v>
          </cell>
          <cell r="C196" t="str">
            <v>D861</v>
          </cell>
          <cell r="D196" t="str">
            <v>D086</v>
          </cell>
          <cell r="E196">
            <v>10000233</v>
          </cell>
          <cell r="F196" t="str">
            <v>Grava Triturada Basalto  40 mm - 1 1/2"</v>
          </cell>
          <cell r="G196">
            <v>123.47</v>
          </cell>
          <cell r="H196" t="str">
            <v>MXN</v>
          </cell>
          <cell r="I196">
            <v>1</v>
          </cell>
          <cell r="J196" t="str">
            <v>TN</v>
          </cell>
          <cell r="K196" t="str">
            <v>C</v>
          </cell>
          <cell r="M196" t="str">
            <v>01.01.2025</v>
          </cell>
          <cell r="N196" t="str">
            <v>31.03.2025</v>
          </cell>
          <cell r="O196">
            <v>84.78</v>
          </cell>
          <cell r="P196">
            <v>208.25</v>
          </cell>
        </row>
        <row r="197">
          <cell r="B197" t="str">
            <v>D86110000229</v>
          </cell>
          <cell r="C197" t="str">
            <v>D861</v>
          </cell>
          <cell r="D197" t="str">
            <v>D087</v>
          </cell>
          <cell r="E197">
            <v>10000229</v>
          </cell>
          <cell r="F197" t="str">
            <v>Grava Triturada Basalto  10 mm - 3/8"</v>
          </cell>
          <cell r="G197">
            <v>123.47</v>
          </cell>
          <cell r="H197" t="str">
            <v>MXN</v>
          </cell>
          <cell r="I197">
            <v>1</v>
          </cell>
          <cell r="J197" t="str">
            <v>TN</v>
          </cell>
          <cell r="K197" t="str">
            <v>C</v>
          </cell>
          <cell r="M197" t="str">
            <v>01.01.2025</v>
          </cell>
          <cell r="N197" t="str">
            <v>31.03.2025</v>
          </cell>
          <cell r="O197">
            <v>101.67</v>
          </cell>
          <cell r="P197">
            <v>225.14</v>
          </cell>
        </row>
        <row r="198">
          <cell r="B198" t="str">
            <v>D86110000231</v>
          </cell>
          <cell r="C198" t="str">
            <v>D861</v>
          </cell>
          <cell r="D198" t="str">
            <v>D087</v>
          </cell>
          <cell r="E198">
            <v>10000231</v>
          </cell>
          <cell r="F198" t="str">
            <v>Grava Triturada Basalto 20 mm - 3/4"</v>
          </cell>
          <cell r="G198">
            <v>123.47</v>
          </cell>
          <cell r="H198" t="str">
            <v>MXN</v>
          </cell>
          <cell r="I198">
            <v>1</v>
          </cell>
          <cell r="J198" t="str">
            <v>TN</v>
          </cell>
          <cell r="K198" t="str">
            <v>C</v>
          </cell>
          <cell r="M198" t="str">
            <v>01.01.2025</v>
          </cell>
          <cell r="N198" t="str">
            <v>31.03.2025</v>
          </cell>
          <cell r="O198">
            <v>82.24</v>
          </cell>
          <cell r="P198">
            <v>205.70999999999998</v>
          </cell>
        </row>
        <row r="199">
          <cell r="B199" t="str">
            <v>D86110000233</v>
          </cell>
          <cell r="C199" t="str">
            <v>D861</v>
          </cell>
          <cell r="D199" t="str">
            <v>D087</v>
          </cell>
          <cell r="E199">
            <v>10000233</v>
          </cell>
          <cell r="F199" t="str">
            <v>Grava Triturada Basalto  40 mm - 1 1/2"</v>
          </cell>
          <cell r="G199">
            <v>123.47</v>
          </cell>
          <cell r="H199" t="str">
            <v>MXN</v>
          </cell>
          <cell r="I199">
            <v>1</v>
          </cell>
          <cell r="J199" t="str">
            <v>TN</v>
          </cell>
          <cell r="K199" t="str">
            <v>C</v>
          </cell>
          <cell r="M199" t="str">
            <v>01.01.2025</v>
          </cell>
          <cell r="N199" t="str">
            <v>31.03.2025</v>
          </cell>
          <cell r="O199">
            <v>84.78</v>
          </cell>
          <cell r="P199">
            <v>208.25</v>
          </cell>
        </row>
        <row r="200">
          <cell r="B200" t="str">
            <v>D86110000290</v>
          </cell>
          <cell r="C200" t="str">
            <v>D861</v>
          </cell>
          <cell r="D200" t="str">
            <v>D087</v>
          </cell>
          <cell r="E200">
            <v>10000290</v>
          </cell>
          <cell r="F200" t="str">
            <v>Polvos Triturado Basalto 3/4" a Finos</v>
          </cell>
          <cell r="G200">
            <v>1</v>
          </cell>
          <cell r="H200" t="str">
            <v>MXN</v>
          </cell>
          <cell r="I200">
            <v>1</v>
          </cell>
          <cell r="J200" t="str">
            <v>TN</v>
          </cell>
          <cell r="K200" t="str">
            <v>C</v>
          </cell>
          <cell r="M200" t="str">
            <v>01.01.2025</v>
          </cell>
          <cell r="N200" t="str">
            <v>31.03.2025</v>
          </cell>
          <cell r="O200">
            <v>32.200000000000003</v>
          </cell>
          <cell r="P200">
            <v>33.200000000000003</v>
          </cell>
        </row>
        <row r="201">
          <cell r="B201" t="str">
            <v>D86110000311</v>
          </cell>
          <cell r="C201" t="str">
            <v>D861</v>
          </cell>
          <cell r="D201" t="str">
            <v>D087</v>
          </cell>
          <cell r="E201">
            <v>10000311</v>
          </cell>
          <cell r="F201" t="str">
            <v>Arena Triturada Basalto  Malla 4</v>
          </cell>
          <cell r="G201">
            <v>125.08</v>
          </cell>
          <cell r="H201" t="str">
            <v>MXN</v>
          </cell>
          <cell r="I201">
            <v>1</v>
          </cell>
          <cell r="J201" t="str">
            <v>TN</v>
          </cell>
          <cell r="K201" t="str">
            <v>C</v>
          </cell>
          <cell r="M201" t="str">
            <v>01.01.2025</v>
          </cell>
          <cell r="N201" t="str">
            <v>31.03.2025</v>
          </cell>
          <cell r="O201">
            <v>46.11</v>
          </cell>
          <cell r="P201">
            <v>171.19</v>
          </cell>
        </row>
        <row r="202">
          <cell r="B202" t="str">
            <v>D86110155483</v>
          </cell>
          <cell r="C202" t="str">
            <v>D861</v>
          </cell>
          <cell r="D202" t="str">
            <v>D087</v>
          </cell>
          <cell r="E202">
            <v>10155483</v>
          </cell>
          <cell r="F202" t="str">
            <v>BALASTRO TRITURADO BASALTO</v>
          </cell>
          <cell r="G202">
            <v>24.5</v>
          </cell>
          <cell r="H202" t="str">
            <v>MXN</v>
          </cell>
          <cell r="I202">
            <v>1</v>
          </cell>
          <cell r="J202" t="str">
            <v>TN</v>
          </cell>
          <cell r="K202" t="str">
            <v>C</v>
          </cell>
          <cell r="M202" t="str">
            <v>01.01.2025</v>
          </cell>
          <cell r="N202" t="str">
            <v>31.03.2025</v>
          </cell>
          <cell r="O202">
            <v>78.290000000000006</v>
          </cell>
          <cell r="P202">
            <v>102.79</v>
          </cell>
        </row>
        <row r="203">
          <cell r="B203" t="str">
            <v>D86110000229</v>
          </cell>
          <cell r="C203" t="str">
            <v>D861</v>
          </cell>
          <cell r="D203" t="str">
            <v>D089</v>
          </cell>
          <cell r="E203">
            <v>10000229</v>
          </cell>
          <cell r="F203" t="str">
            <v>Grava Triturada Basalto  10 mm - 3/8"</v>
          </cell>
          <cell r="G203">
            <v>123.47</v>
          </cell>
          <cell r="H203" t="str">
            <v>MXN</v>
          </cell>
          <cell r="I203">
            <v>1</v>
          </cell>
          <cell r="J203" t="str">
            <v>TN</v>
          </cell>
          <cell r="K203" t="str">
            <v>C</v>
          </cell>
          <cell r="M203" t="str">
            <v>01.01.2025</v>
          </cell>
          <cell r="N203" t="str">
            <v>31.03.2025</v>
          </cell>
          <cell r="O203">
            <v>101.67</v>
          </cell>
          <cell r="P203">
            <v>225.14</v>
          </cell>
        </row>
        <row r="204">
          <cell r="B204" t="str">
            <v>D86110000231</v>
          </cell>
          <cell r="C204" t="str">
            <v>D861</v>
          </cell>
          <cell r="D204" t="str">
            <v>D089</v>
          </cell>
          <cell r="E204">
            <v>10000231</v>
          </cell>
          <cell r="F204" t="str">
            <v>Grava Triturada Basalto 20 mm - 3/4"</v>
          </cell>
          <cell r="G204">
            <v>123.47</v>
          </cell>
          <cell r="H204" t="str">
            <v>MXN</v>
          </cell>
          <cell r="I204">
            <v>1</v>
          </cell>
          <cell r="J204" t="str">
            <v>TN</v>
          </cell>
          <cell r="K204" t="str">
            <v>C</v>
          </cell>
          <cell r="M204" t="str">
            <v>01.01.2025</v>
          </cell>
          <cell r="N204" t="str">
            <v>31.03.2025</v>
          </cell>
          <cell r="O204">
            <v>82.24</v>
          </cell>
          <cell r="P204">
            <v>205.70999999999998</v>
          </cell>
        </row>
        <row r="205">
          <cell r="B205" t="str">
            <v>D86110000233</v>
          </cell>
          <cell r="C205" t="str">
            <v>D861</v>
          </cell>
          <cell r="D205" t="str">
            <v>D089</v>
          </cell>
          <cell r="E205">
            <v>10000233</v>
          </cell>
          <cell r="F205" t="str">
            <v>Grava Triturada Basalto  40 mm - 1 1/2"</v>
          </cell>
          <cell r="G205">
            <v>123.47</v>
          </cell>
          <cell r="H205" t="str">
            <v>MXN</v>
          </cell>
          <cell r="I205">
            <v>1</v>
          </cell>
          <cell r="J205" t="str">
            <v>TN</v>
          </cell>
          <cell r="K205" t="str">
            <v>C</v>
          </cell>
          <cell r="M205" t="str">
            <v>01.01.2025</v>
          </cell>
          <cell r="N205" t="str">
            <v>31.03.2025</v>
          </cell>
          <cell r="O205">
            <v>84.78</v>
          </cell>
          <cell r="P205">
            <v>208.25</v>
          </cell>
        </row>
        <row r="206">
          <cell r="B206" t="str">
            <v>D86110000311</v>
          </cell>
          <cell r="C206" t="str">
            <v>D861</v>
          </cell>
          <cell r="D206" t="str">
            <v>D089</v>
          </cell>
          <cell r="E206">
            <v>10000311</v>
          </cell>
          <cell r="F206" t="str">
            <v>Arena Triturada Basalto  Malla 4</v>
          </cell>
          <cell r="G206">
            <v>125.08</v>
          </cell>
          <cell r="H206" t="str">
            <v>MXN</v>
          </cell>
          <cell r="I206">
            <v>1</v>
          </cell>
          <cell r="J206" t="str">
            <v>TN</v>
          </cell>
          <cell r="K206" t="str">
            <v>C</v>
          </cell>
          <cell r="M206" t="str">
            <v>01.01.2025</v>
          </cell>
          <cell r="N206" t="str">
            <v>31.03.2025</v>
          </cell>
          <cell r="O206">
            <v>46.11</v>
          </cell>
          <cell r="P206">
            <v>171.19</v>
          </cell>
        </row>
        <row r="207">
          <cell r="B207" t="str">
            <v>D86110000231</v>
          </cell>
          <cell r="C207" t="str">
            <v>D861</v>
          </cell>
          <cell r="D207" t="str">
            <v>D094</v>
          </cell>
          <cell r="E207">
            <v>10000231</v>
          </cell>
          <cell r="F207" t="str">
            <v>Grava Triturada Basalto 20 mm - 3/4"</v>
          </cell>
          <cell r="G207">
            <v>123.47</v>
          </cell>
          <cell r="H207" t="str">
            <v>MXN</v>
          </cell>
          <cell r="I207">
            <v>1</v>
          </cell>
          <cell r="J207" t="str">
            <v>TN</v>
          </cell>
          <cell r="K207" t="str">
            <v>C</v>
          </cell>
          <cell r="M207" t="str">
            <v>01.01.2025</v>
          </cell>
          <cell r="N207" t="str">
            <v>31.03.2025</v>
          </cell>
          <cell r="O207">
            <v>82.24</v>
          </cell>
          <cell r="P207">
            <v>205.70999999999998</v>
          </cell>
        </row>
        <row r="208">
          <cell r="B208" t="str">
            <v>D86110000233</v>
          </cell>
          <cell r="C208" t="str">
            <v>D861</v>
          </cell>
          <cell r="D208" t="str">
            <v>D094</v>
          </cell>
          <cell r="E208">
            <v>10000233</v>
          </cell>
          <cell r="F208" t="str">
            <v>Grava Triturada Basalto  40 mm - 1 1/2"</v>
          </cell>
          <cell r="G208">
            <v>123.47</v>
          </cell>
          <cell r="H208" t="str">
            <v>MXN</v>
          </cell>
          <cell r="I208">
            <v>1</v>
          </cell>
          <cell r="J208" t="str">
            <v>TN</v>
          </cell>
          <cell r="K208" t="str">
            <v>C</v>
          </cell>
          <cell r="M208" t="str">
            <v>01.01.2025</v>
          </cell>
          <cell r="N208" t="str">
            <v>31.03.2025</v>
          </cell>
          <cell r="O208">
            <v>84.78</v>
          </cell>
          <cell r="P208">
            <v>208.25</v>
          </cell>
        </row>
        <row r="209">
          <cell r="B209" t="str">
            <v>D86110000290</v>
          </cell>
          <cell r="C209" t="str">
            <v>D861</v>
          </cell>
          <cell r="D209" t="str">
            <v>D094</v>
          </cell>
          <cell r="E209">
            <v>10000290</v>
          </cell>
          <cell r="F209" t="str">
            <v>Polvos Triturado Basalto 3/4" a Finos</v>
          </cell>
          <cell r="G209">
            <v>1</v>
          </cell>
          <cell r="H209" t="str">
            <v>MXN</v>
          </cell>
          <cell r="I209">
            <v>1</v>
          </cell>
          <cell r="J209" t="str">
            <v>TN</v>
          </cell>
          <cell r="K209" t="str">
            <v>C</v>
          </cell>
          <cell r="M209" t="str">
            <v>01.01.2025</v>
          </cell>
          <cell r="N209" t="str">
            <v>31.03.2025</v>
          </cell>
          <cell r="O209">
            <v>4</v>
          </cell>
          <cell r="P209">
            <v>5</v>
          </cell>
        </row>
        <row r="210">
          <cell r="B210" t="str">
            <v>D86110000229</v>
          </cell>
          <cell r="C210" t="str">
            <v>D861</v>
          </cell>
          <cell r="D210" t="str">
            <v>D098</v>
          </cell>
          <cell r="E210">
            <v>10000229</v>
          </cell>
          <cell r="F210" t="str">
            <v>Grava Triturada Basalto  10 mm - 3/8"</v>
          </cell>
          <cell r="G210">
            <v>123.47</v>
          </cell>
          <cell r="H210" t="str">
            <v>MXN</v>
          </cell>
          <cell r="I210">
            <v>1</v>
          </cell>
          <cell r="J210" t="str">
            <v>TN</v>
          </cell>
          <cell r="K210" t="str">
            <v>C</v>
          </cell>
          <cell r="M210" t="str">
            <v>01.01.2025</v>
          </cell>
          <cell r="N210" t="str">
            <v>31.03.2025</v>
          </cell>
          <cell r="O210">
            <v>101.67</v>
          </cell>
          <cell r="P210">
            <v>225.14</v>
          </cell>
        </row>
        <row r="211">
          <cell r="B211" t="str">
            <v>D86110000231</v>
          </cell>
          <cell r="C211" t="str">
            <v>D861</v>
          </cell>
          <cell r="D211" t="str">
            <v>D098</v>
          </cell>
          <cell r="E211">
            <v>10000231</v>
          </cell>
          <cell r="F211" t="str">
            <v>Grava Triturada Basalto 20 mm - 3/4"</v>
          </cell>
          <cell r="G211">
            <v>123.47</v>
          </cell>
          <cell r="H211" t="str">
            <v>MXN</v>
          </cell>
          <cell r="I211">
            <v>1</v>
          </cell>
          <cell r="J211" t="str">
            <v>TN</v>
          </cell>
          <cell r="K211" t="str">
            <v>C</v>
          </cell>
          <cell r="M211" t="str">
            <v>01.01.2025</v>
          </cell>
          <cell r="N211" t="str">
            <v>31.03.2025</v>
          </cell>
          <cell r="O211">
            <v>82.24</v>
          </cell>
          <cell r="P211">
            <v>205.70999999999998</v>
          </cell>
        </row>
        <row r="212">
          <cell r="B212" t="str">
            <v>D86110000233</v>
          </cell>
          <cell r="C212" t="str">
            <v>D861</v>
          </cell>
          <cell r="D212" t="str">
            <v>D098</v>
          </cell>
          <cell r="E212">
            <v>10000233</v>
          </cell>
          <cell r="F212" t="str">
            <v>Grava Triturada Basalto  40 mm - 1 1/2"</v>
          </cell>
          <cell r="G212">
            <v>123.47</v>
          </cell>
          <cell r="H212" t="str">
            <v>MXN</v>
          </cell>
          <cell r="I212">
            <v>1</v>
          </cell>
          <cell r="J212" t="str">
            <v>TN</v>
          </cell>
          <cell r="K212" t="str">
            <v>C</v>
          </cell>
          <cell r="M212" t="str">
            <v>01.01.2025</v>
          </cell>
          <cell r="N212" t="str">
            <v>31.03.2025</v>
          </cell>
          <cell r="O212">
            <v>84.78</v>
          </cell>
          <cell r="P212">
            <v>208.25</v>
          </cell>
        </row>
        <row r="213">
          <cell r="B213" t="str">
            <v>D86110000229</v>
          </cell>
          <cell r="C213" t="str">
            <v>D861</v>
          </cell>
          <cell r="D213" t="str">
            <v>D103</v>
          </cell>
          <cell r="E213">
            <v>10000229</v>
          </cell>
          <cell r="F213" t="str">
            <v>Grava Triturada Basalto  10 mm - 3/8"</v>
          </cell>
          <cell r="G213">
            <v>123.47</v>
          </cell>
          <cell r="H213" t="str">
            <v>MXN</v>
          </cell>
          <cell r="I213">
            <v>1</v>
          </cell>
          <cell r="J213" t="str">
            <v>TN</v>
          </cell>
          <cell r="K213" t="str">
            <v>C</v>
          </cell>
          <cell r="M213" t="str">
            <v>01.01.2025</v>
          </cell>
          <cell r="N213" t="str">
            <v>31.03.2025</v>
          </cell>
          <cell r="O213">
            <v>101.67</v>
          </cell>
          <cell r="P213">
            <v>225.14</v>
          </cell>
        </row>
        <row r="214">
          <cell r="B214" t="str">
            <v>D86110000231</v>
          </cell>
          <cell r="C214" t="str">
            <v>D861</v>
          </cell>
          <cell r="D214" t="str">
            <v>D103</v>
          </cell>
          <cell r="E214">
            <v>10000231</v>
          </cell>
          <cell r="F214" t="str">
            <v>Grava Triturada Basalto 20 mm - 3/4"</v>
          </cell>
          <cell r="G214">
            <v>123.47</v>
          </cell>
          <cell r="H214" t="str">
            <v>MXN</v>
          </cell>
          <cell r="I214">
            <v>1</v>
          </cell>
          <cell r="J214" t="str">
            <v>TN</v>
          </cell>
          <cell r="K214" t="str">
            <v>C</v>
          </cell>
          <cell r="M214" t="str">
            <v>01.01.2025</v>
          </cell>
          <cell r="N214" t="str">
            <v>31.03.2025</v>
          </cell>
          <cell r="O214">
            <v>82.24</v>
          </cell>
          <cell r="P214">
            <v>205.70999999999998</v>
          </cell>
        </row>
        <row r="215">
          <cell r="B215" t="str">
            <v>D86110000233</v>
          </cell>
          <cell r="C215" t="str">
            <v>D861</v>
          </cell>
          <cell r="D215" t="str">
            <v>D103</v>
          </cell>
          <cell r="E215">
            <v>10000233</v>
          </cell>
          <cell r="F215" t="str">
            <v>Grava Triturada Basalto  40 mm - 1 1/2"</v>
          </cell>
          <cell r="G215">
            <v>123.47</v>
          </cell>
          <cell r="H215" t="str">
            <v>MXN</v>
          </cell>
          <cell r="I215">
            <v>1</v>
          </cell>
          <cell r="J215" t="str">
            <v>TN</v>
          </cell>
          <cell r="K215" t="str">
            <v>C</v>
          </cell>
          <cell r="M215" t="str">
            <v>01.01.2025</v>
          </cell>
          <cell r="N215" t="str">
            <v>31.03.2025</v>
          </cell>
          <cell r="O215">
            <v>84.78</v>
          </cell>
          <cell r="P215">
            <v>208.25</v>
          </cell>
        </row>
        <row r="216">
          <cell r="B216" t="str">
            <v>D86110000311</v>
          </cell>
          <cell r="C216" t="str">
            <v>D861</v>
          </cell>
          <cell r="D216" t="str">
            <v>D103</v>
          </cell>
          <cell r="E216">
            <v>10000311</v>
          </cell>
          <cell r="F216" t="str">
            <v>Arena Triturada Basalto  Malla 4</v>
          </cell>
          <cell r="G216">
            <v>125.08</v>
          </cell>
          <cell r="H216" t="str">
            <v>MXN</v>
          </cell>
          <cell r="I216">
            <v>1</v>
          </cell>
          <cell r="J216" t="str">
            <v>TN</v>
          </cell>
          <cell r="K216" t="str">
            <v>C</v>
          </cell>
          <cell r="M216" t="str">
            <v>01.01.2025</v>
          </cell>
          <cell r="N216" t="str">
            <v>31.03.2025</v>
          </cell>
          <cell r="O216">
            <v>46.11</v>
          </cell>
          <cell r="P216">
            <v>171.19</v>
          </cell>
        </row>
        <row r="217">
          <cell r="B217" t="str">
            <v>D86110000229</v>
          </cell>
          <cell r="C217" t="str">
            <v>D861</v>
          </cell>
          <cell r="D217" t="str">
            <v>D105</v>
          </cell>
          <cell r="E217">
            <v>10000229</v>
          </cell>
          <cell r="F217" t="str">
            <v>Grava Triturada Basalto  10 mm - 3/8"</v>
          </cell>
          <cell r="G217">
            <v>123.47</v>
          </cell>
          <cell r="H217" t="str">
            <v>MXN</v>
          </cell>
          <cell r="I217">
            <v>1</v>
          </cell>
          <cell r="J217" t="str">
            <v>TN</v>
          </cell>
          <cell r="K217" t="str">
            <v>C</v>
          </cell>
          <cell r="M217" t="str">
            <v>01.01.2025</v>
          </cell>
          <cell r="N217" t="str">
            <v>31.03.2025</v>
          </cell>
          <cell r="O217">
            <v>101.67</v>
          </cell>
          <cell r="P217">
            <v>225.14</v>
          </cell>
        </row>
        <row r="218">
          <cell r="B218" t="str">
            <v>D86110000231</v>
          </cell>
          <cell r="C218" t="str">
            <v>D861</v>
          </cell>
          <cell r="D218" t="str">
            <v>D105</v>
          </cell>
          <cell r="E218">
            <v>10000231</v>
          </cell>
          <cell r="F218" t="str">
            <v>Grava Triturada Basalto 20 mm - 3/4"</v>
          </cell>
          <cell r="G218">
            <v>123.47</v>
          </cell>
          <cell r="H218" t="str">
            <v>MXN</v>
          </cell>
          <cell r="I218">
            <v>1</v>
          </cell>
          <cell r="J218" t="str">
            <v>TN</v>
          </cell>
          <cell r="K218" t="str">
            <v>C</v>
          </cell>
          <cell r="M218" t="str">
            <v>01.01.2025</v>
          </cell>
          <cell r="N218" t="str">
            <v>31.03.2025</v>
          </cell>
          <cell r="O218">
            <v>82.24</v>
          </cell>
          <cell r="P218">
            <v>205.70999999999998</v>
          </cell>
        </row>
        <row r="219">
          <cell r="B219" t="str">
            <v>D86110000233</v>
          </cell>
          <cell r="C219" t="str">
            <v>D861</v>
          </cell>
          <cell r="D219" t="str">
            <v>D105</v>
          </cell>
          <cell r="E219">
            <v>10000233</v>
          </cell>
          <cell r="F219" t="str">
            <v>Grava Triturada Basalto  40 mm - 1 1/2"</v>
          </cell>
          <cell r="G219">
            <v>123.47</v>
          </cell>
          <cell r="H219" t="str">
            <v>MXN</v>
          </cell>
          <cell r="I219">
            <v>1</v>
          </cell>
          <cell r="J219" t="str">
            <v>TN</v>
          </cell>
          <cell r="K219" t="str">
            <v>C</v>
          </cell>
          <cell r="M219" t="str">
            <v>01.01.2025</v>
          </cell>
          <cell r="N219" t="str">
            <v>31.03.2025</v>
          </cell>
          <cell r="O219">
            <v>84.78</v>
          </cell>
          <cell r="P219">
            <v>208.25</v>
          </cell>
        </row>
        <row r="220">
          <cell r="B220" t="str">
            <v>D86110000229</v>
          </cell>
          <cell r="C220" t="str">
            <v>D861</v>
          </cell>
          <cell r="D220" t="str">
            <v>D106</v>
          </cell>
          <cell r="E220">
            <v>10000229</v>
          </cell>
          <cell r="F220" t="str">
            <v>Grava Triturada Basalto  10 mm - 3/8"</v>
          </cell>
          <cell r="G220">
            <v>123.47</v>
          </cell>
          <cell r="H220" t="str">
            <v>MXN</v>
          </cell>
          <cell r="I220">
            <v>1</v>
          </cell>
          <cell r="J220" t="str">
            <v>TN</v>
          </cell>
          <cell r="K220" t="str">
            <v>C</v>
          </cell>
          <cell r="M220" t="str">
            <v>01.01.2025</v>
          </cell>
          <cell r="N220" t="str">
            <v>31.03.2025</v>
          </cell>
          <cell r="O220">
            <v>101.67</v>
          </cell>
          <cell r="P220">
            <v>225.14</v>
          </cell>
        </row>
        <row r="221">
          <cell r="B221" t="str">
            <v>D86110000231</v>
          </cell>
          <cell r="C221" t="str">
            <v>D861</v>
          </cell>
          <cell r="D221" t="str">
            <v>D106</v>
          </cell>
          <cell r="E221">
            <v>10000231</v>
          </cell>
          <cell r="F221" t="str">
            <v>Grava Triturada Basalto 20 mm - 3/4"</v>
          </cell>
          <cell r="G221">
            <v>123.47</v>
          </cell>
          <cell r="H221" t="str">
            <v>MXN</v>
          </cell>
          <cell r="I221">
            <v>1</v>
          </cell>
          <cell r="J221" t="str">
            <v>TN</v>
          </cell>
          <cell r="K221" t="str">
            <v>C</v>
          </cell>
          <cell r="M221" t="str">
            <v>01.01.2025</v>
          </cell>
          <cell r="N221" t="str">
            <v>31.03.2025</v>
          </cell>
          <cell r="O221">
            <v>82.24</v>
          </cell>
          <cell r="P221">
            <v>205.70999999999998</v>
          </cell>
        </row>
        <row r="222">
          <cell r="B222" t="str">
            <v>D86110000233</v>
          </cell>
          <cell r="C222" t="str">
            <v>D861</v>
          </cell>
          <cell r="D222" t="str">
            <v>D106</v>
          </cell>
          <cell r="E222">
            <v>10000233</v>
          </cell>
          <cell r="F222" t="str">
            <v>Grava Triturada Basalto  40 mm - 1 1/2"</v>
          </cell>
          <cell r="G222">
            <v>123.47</v>
          </cell>
          <cell r="H222" t="str">
            <v>MXN</v>
          </cell>
          <cell r="I222">
            <v>1</v>
          </cell>
          <cell r="J222" t="str">
            <v>TN</v>
          </cell>
          <cell r="K222" t="str">
            <v>C</v>
          </cell>
          <cell r="M222" t="str">
            <v>01.01.2025</v>
          </cell>
          <cell r="N222" t="str">
            <v>31.03.2025</v>
          </cell>
          <cell r="O222">
            <v>84.78</v>
          </cell>
          <cell r="P222">
            <v>208.25</v>
          </cell>
        </row>
        <row r="223">
          <cell r="B223" t="str">
            <v>D86110000290</v>
          </cell>
          <cell r="C223" t="str">
            <v>D861</v>
          </cell>
          <cell r="D223" t="str">
            <v>D106</v>
          </cell>
          <cell r="E223">
            <v>10000290</v>
          </cell>
          <cell r="F223" t="str">
            <v>Polvos Triturado Basalto 3/4" a Finos</v>
          </cell>
          <cell r="G223">
            <v>1</v>
          </cell>
          <cell r="H223" t="str">
            <v>MXN</v>
          </cell>
          <cell r="I223">
            <v>1</v>
          </cell>
          <cell r="J223" t="str">
            <v>TN</v>
          </cell>
          <cell r="K223" t="str">
            <v>C</v>
          </cell>
          <cell r="M223" t="str">
            <v>01.01.2025</v>
          </cell>
          <cell r="N223" t="str">
            <v>31.03.2025</v>
          </cell>
          <cell r="O223">
            <v>22.73</v>
          </cell>
          <cell r="P223">
            <v>23.73</v>
          </cell>
        </row>
        <row r="224">
          <cell r="B224" t="str">
            <v>D86110000311</v>
          </cell>
          <cell r="C224" t="str">
            <v>D861</v>
          </cell>
          <cell r="D224" t="str">
            <v>D106</v>
          </cell>
          <cell r="E224">
            <v>10000311</v>
          </cell>
          <cell r="F224" t="str">
            <v>Arena Triturada Basalto  Malla 4</v>
          </cell>
          <cell r="G224">
            <v>125.08</v>
          </cell>
          <cell r="H224" t="str">
            <v>MXN</v>
          </cell>
          <cell r="I224">
            <v>1</v>
          </cell>
          <cell r="J224" t="str">
            <v>TN</v>
          </cell>
          <cell r="K224" t="str">
            <v>C</v>
          </cell>
          <cell r="M224" t="str">
            <v>01.01.2025</v>
          </cell>
          <cell r="N224" t="str">
            <v>31.03.2025</v>
          </cell>
          <cell r="O224">
            <v>46.11</v>
          </cell>
          <cell r="P224">
            <v>171.19</v>
          </cell>
        </row>
        <row r="225">
          <cell r="B225" t="str">
            <v>D86110003153</v>
          </cell>
          <cell r="C225" t="str">
            <v>D861</v>
          </cell>
          <cell r="D225" t="str">
            <v>D106</v>
          </cell>
          <cell r="E225">
            <v>10003153</v>
          </cell>
          <cell r="F225" t="str">
            <v>Grava Triturada Basalto 13 mm - 1/2"</v>
          </cell>
          <cell r="G225">
            <v>123.47</v>
          </cell>
          <cell r="H225" t="str">
            <v>MXN</v>
          </cell>
          <cell r="I225">
            <v>1</v>
          </cell>
          <cell r="J225" t="str">
            <v>TN</v>
          </cell>
          <cell r="K225" t="str">
            <v>C</v>
          </cell>
          <cell r="M225" t="str">
            <v>01.01.2025</v>
          </cell>
          <cell r="N225" t="str">
            <v>31.03.2025</v>
          </cell>
          <cell r="O225" t="str">
            <v>10.43-</v>
          </cell>
          <cell r="P225" t="e">
            <v>#VALUE!</v>
          </cell>
        </row>
        <row r="226">
          <cell r="B226" t="str">
            <v>D86110000229</v>
          </cell>
          <cell r="C226" t="str">
            <v>D861</v>
          </cell>
          <cell r="D226" t="str">
            <v>D107</v>
          </cell>
          <cell r="E226">
            <v>10000229</v>
          </cell>
          <cell r="F226" t="str">
            <v>Grava Triturada Basalto  10 mm - 3/8"</v>
          </cell>
          <cell r="G226">
            <v>123.47</v>
          </cell>
          <cell r="H226" t="str">
            <v>MXN</v>
          </cell>
          <cell r="I226">
            <v>1</v>
          </cell>
          <cell r="J226" t="str">
            <v>TN</v>
          </cell>
          <cell r="K226" t="str">
            <v>C</v>
          </cell>
          <cell r="M226" t="str">
            <v>01.01.2025</v>
          </cell>
          <cell r="N226" t="str">
            <v>31.03.2025</v>
          </cell>
          <cell r="O226">
            <v>101.67</v>
          </cell>
          <cell r="P226">
            <v>225.14</v>
          </cell>
        </row>
        <row r="227">
          <cell r="B227" t="str">
            <v>D86110000231</v>
          </cell>
          <cell r="C227" t="str">
            <v>D861</v>
          </cell>
          <cell r="D227" t="str">
            <v>D107</v>
          </cell>
          <cell r="E227">
            <v>10000231</v>
          </cell>
          <cell r="F227" t="str">
            <v>Grava Triturada Basalto 20 mm - 3/4"</v>
          </cell>
          <cell r="G227">
            <v>123.47</v>
          </cell>
          <cell r="H227" t="str">
            <v>MXN</v>
          </cell>
          <cell r="I227">
            <v>1</v>
          </cell>
          <cell r="J227" t="str">
            <v>TN</v>
          </cell>
          <cell r="K227" t="str">
            <v>C</v>
          </cell>
          <cell r="M227" t="str">
            <v>01.01.2025</v>
          </cell>
          <cell r="N227" t="str">
            <v>31.03.2025</v>
          </cell>
          <cell r="O227">
            <v>82.24</v>
          </cell>
          <cell r="P227">
            <v>205.70999999999998</v>
          </cell>
        </row>
        <row r="228">
          <cell r="B228" t="str">
            <v>D86110000233</v>
          </cell>
          <cell r="C228" t="str">
            <v>D861</v>
          </cell>
          <cell r="D228" t="str">
            <v>D107</v>
          </cell>
          <cell r="E228">
            <v>10000233</v>
          </cell>
          <cell r="F228" t="str">
            <v>Grava Triturada Basalto  40 mm - 1 1/2"</v>
          </cell>
          <cell r="G228">
            <v>123.47</v>
          </cell>
          <cell r="H228" t="str">
            <v>MXN</v>
          </cell>
          <cell r="I228">
            <v>1</v>
          </cell>
          <cell r="J228" t="str">
            <v>TN</v>
          </cell>
          <cell r="K228" t="str">
            <v>C</v>
          </cell>
          <cell r="M228" t="str">
            <v>01.01.2025</v>
          </cell>
          <cell r="N228" t="str">
            <v>31.03.2025</v>
          </cell>
          <cell r="O228">
            <v>84.78</v>
          </cell>
          <cell r="P228">
            <v>208.25</v>
          </cell>
        </row>
        <row r="229">
          <cell r="B229" t="str">
            <v>D86110000311</v>
          </cell>
          <cell r="C229" t="str">
            <v>D861</v>
          </cell>
          <cell r="D229" t="str">
            <v>D107</v>
          </cell>
          <cell r="E229">
            <v>10000311</v>
          </cell>
          <cell r="F229" t="str">
            <v>Arena Triturada Basalto  Malla 4</v>
          </cell>
          <cell r="G229">
            <v>125.08</v>
          </cell>
          <cell r="H229" t="str">
            <v>MXN</v>
          </cell>
          <cell r="I229">
            <v>1</v>
          </cell>
          <cell r="J229" t="str">
            <v>TN</v>
          </cell>
          <cell r="K229" t="str">
            <v>C</v>
          </cell>
          <cell r="M229" t="str">
            <v>01.01.2025</v>
          </cell>
          <cell r="N229" t="str">
            <v>31.03.2025</v>
          </cell>
          <cell r="O229">
            <v>46.11</v>
          </cell>
          <cell r="P229">
            <v>171.19</v>
          </cell>
        </row>
        <row r="230">
          <cell r="B230" t="str">
            <v>D86110000229</v>
          </cell>
          <cell r="C230" t="str">
            <v>D861</v>
          </cell>
          <cell r="D230" t="str">
            <v>D115</v>
          </cell>
          <cell r="E230">
            <v>10000229</v>
          </cell>
          <cell r="F230" t="str">
            <v>Grava Triturada Basalto  10 mm - 3/8"</v>
          </cell>
          <cell r="G230">
            <v>123.47</v>
          </cell>
          <cell r="H230" t="str">
            <v>MXN</v>
          </cell>
          <cell r="I230">
            <v>1</v>
          </cell>
          <cell r="J230" t="str">
            <v>TN</v>
          </cell>
          <cell r="K230" t="str">
            <v>C</v>
          </cell>
          <cell r="M230" t="str">
            <v>01.01.2025</v>
          </cell>
          <cell r="N230" t="str">
            <v>31.03.2025</v>
          </cell>
          <cell r="O230">
            <v>101.67</v>
          </cell>
          <cell r="P230">
            <v>225.14</v>
          </cell>
        </row>
        <row r="231">
          <cell r="B231" t="str">
            <v>D86110000231</v>
          </cell>
          <cell r="C231" t="str">
            <v>D861</v>
          </cell>
          <cell r="D231" t="str">
            <v>D115</v>
          </cell>
          <cell r="E231">
            <v>10000231</v>
          </cell>
          <cell r="F231" t="str">
            <v>Grava Triturada Basalto 20 mm - 3/4"</v>
          </cell>
          <cell r="G231">
            <v>123.47</v>
          </cell>
          <cell r="H231" t="str">
            <v>MXN</v>
          </cell>
          <cell r="I231">
            <v>1</v>
          </cell>
          <cell r="J231" t="str">
            <v>TN</v>
          </cell>
          <cell r="K231" t="str">
            <v>C</v>
          </cell>
          <cell r="M231" t="str">
            <v>01.01.2025</v>
          </cell>
          <cell r="N231" t="str">
            <v>31.03.2025</v>
          </cell>
          <cell r="O231">
            <v>82.24</v>
          </cell>
          <cell r="P231">
            <v>205.70999999999998</v>
          </cell>
        </row>
        <row r="232">
          <cell r="B232" t="str">
            <v>D86110000233</v>
          </cell>
          <cell r="C232" t="str">
            <v>D861</v>
          </cell>
          <cell r="D232" t="str">
            <v>D115</v>
          </cell>
          <cell r="E232">
            <v>10000233</v>
          </cell>
          <cell r="F232" t="str">
            <v>Grava Triturada Basalto  40 mm - 1 1/2"</v>
          </cell>
          <cell r="G232">
            <v>123.47</v>
          </cell>
          <cell r="H232" t="str">
            <v>MXN</v>
          </cell>
          <cell r="I232">
            <v>1</v>
          </cell>
          <cell r="J232" t="str">
            <v>TN</v>
          </cell>
          <cell r="K232" t="str">
            <v>C</v>
          </cell>
          <cell r="M232" t="str">
            <v>01.01.2025</v>
          </cell>
          <cell r="N232" t="str">
            <v>31.03.2025</v>
          </cell>
          <cell r="O232">
            <v>84.78</v>
          </cell>
          <cell r="P232">
            <v>208.25</v>
          </cell>
        </row>
        <row r="233">
          <cell r="B233" t="str">
            <v>D86110000311</v>
          </cell>
          <cell r="C233" t="str">
            <v>D861</v>
          </cell>
          <cell r="D233" t="str">
            <v>D115</v>
          </cell>
          <cell r="E233">
            <v>10000311</v>
          </cell>
          <cell r="F233" t="str">
            <v>Arena Triturada Basalto  Malla 4</v>
          </cell>
          <cell r="G233">
            <v>125.08</v>
          </cell>
          <cell r="H233" t="str">
            <v>MXN</v>
          </cell>
          <cell r="I233">
            <v>1</v>
          </cell>
          <cell r="J233" t="str">
            <v>TN</v>
          </cell>
          <cell r="K233" t="str">
            <v>C</v>
          </cell>
          <cell r="M233" t="str">
            <v>01.01.2025</v>
          </cell>
          <cell r="N233" t="str">
            <v>31.03.2025</v>
          </cell>
          <cell r="O233">
            <v>46.11</v>
          </cell>
          <cell r="P233">
            <v>171.19</v>
          </cell>
        </row>
        <row r="234">
          <cell r="B234" t="str">
            <v>D86110066861</v>
          </cell>
          <cell r="C234" t="str">
            <v>D861</v>
          </cell>
          <cell r="D234" t="str">
            <v>D115</v>
          </cell>
          <cell r="E234">
            <v>10066861</v>
          </cell>
          <cell r="F234" t="str">
            <v>GRAVA TRITURADA BASALTO DE 40 A 4 MM</v>
          </cell>
          <cell r="G234">
            <v>123.47</v>
          </cell>
          <cell r="H234" t="str">
            <v>MXN</v>
          </cell>
          <cell r="I234">
            <v>1</v>
          </cell>
          <cell r="J234" t="str">
            <v>TN</v>
          </cell>
          <cell r="K234" t="str">
            <v>C</v>
          </cell>
          <cell r="M234" t="str">
            <v>01.01.2025</v>
          </cell>
          <cell r="N234" t="str">
            <v>31.03.2025</v>
          </cell>
          <cell r="O234">
            <v>84.78</v>
          </cell>
          <cell r="P234">
            <v>208.25</v>
          </cell>
        </row>
        <row r="235">
          <cell r="B235" t="str">
            <v>D86110000229</v>
          </cell>
          <cell r="C235" t="str">
            <v>D861</v>
          </cell>
          <cell r="D235" t="str">
            <v>D117</v>
          </cell>
          <cell r="E235">
            <v>10000229</v>
          </cell>
          <cell r="F235" t="str">
            <v>Grava Triturada Basalto  10 mm - 3/8"</v>
          </cell>
          <cell r="G235">
            <v>123.47</v>
          </cell>
          <cell r="H235" t="str">
            <v>MXN</v>
          </cell>
          <cell r="I235">
            <v>1</v>
          </cell>
          <cell r="J235" t="str">
            <v>TN</v>
          </cell>
          <cell r="K235" t="str">
            <v>C</v>
          </cell>
          <cell r="M235" t="str">
            <v>01.01.2025</v>
          </cell>
          <cell r="N235" t="str">
            <v>31.03.2025</v>
          </cell>
          <cell r="O235">
            <v>101.67</v>
          </cell>
          <cell r="P235">
            <v>225.14</v>
          </cell>
        </row>
        <row r="236">
          <cell r="B236" t="str">
            <v>D86110000231</v>
          </cell>
          <cell r="C236" t="str">
            <v>D861</v>
          </cell>
          <cell r="D236" t="str">
            <v>D117</v>
          </cell>
          <cell r="E236">
            <v>10000231</v>
          </cell>
          <cell r="F236" t="str">
            <v>Grava Triturada Basalto 20 mm - 3/4"</v>
          </cell>
          <cell r="G236">
            <v>123.47</v>
          </cell>
          <cell r="H236" t="str">
            <v>MXN</v>
          </cell>
          <cell r="I236">
            <v>1</v>
          </cell>
          <cell r="J236" t="str">
            <v>TN</v>
          </cell>
          <cell r="K236" t="str">
            <v>C</v>
          </cell>
          <cell r="M236" t="str">
            <v>01.01.2025</v>
          </cell>
          <cell r="N236" t="str">
            <v>31.03.2025</v>
          </cell>
          <cell r="O236">
            <v>82.24</v>
          </cell>
          <cell r="P236">
            <v>205.70999999999998</v>
          </cell>
        </row>
        <row r="237">
          <cell r="B237" t="str">
            <v>D86110000233</v>
          </cell>
          <cell r="C237" t="str">
            <v>D861</v>
          </cell>
          <cell r="D237" t="str">
            <v>D117</v>
          </cell>
          <cell r="E237">
            <v>10000233</v>
          </cell>
          <cell r="F237" t="str">
            <v>Grava Triturada Basalto  40 mm - 1 1/2"</v>
          </cell>
          <cell r="G237">
            <v>123.47</v>
          </cell>
          <cell r="H237" t="str">
            <v>MXN</v>
          </cell>
          <cell r="I237">
            <v>1</v>
          </cell>
          <cell r="J237" t="str">
            <v>TN</v>
          </cell>
          <cell r="K237" t="str">
            <v>C</v>
          </cell>
          <cell r="M237" t="str">
            <v>01.01.2025</v>
          </cell>
          <cell r="N237" t="str">
            <v>31.03.2025</v>
          </cell>
          <cell r="O237">
            <v>84.78</v>
          </cell>
          <cell r="P237">
            <v>208.25</v>
          </cell>
        </row>
        <row r="238">
          <cell r="B238" t="str">
            <v>D86110000229</v>
          </cell>
          <cell r="C238" t="str">
            <v>D861</v>
          </cell>
          <cell r="D238" t="str">
            <v>D134</v>
          </cell>
          <cell r="E238">
            <v>10000229</v>
          </cell>
          <cell r="F238" t="str">
            <v>Grava Triturada Basalto  10 mm - 3/8"</v>
          </cell>
          <cell r="G238">
            <v>123.47</v>
          </cell>
          <cell r="H238" t="str">
            <v>MXN</v>
          </cell>
          <cell r="I238">
            <v>1</v>
          </cell>
          <cell r="J238" t="str">
            <v>TN</v>
          </cell>
          <cell r="K238" t="str">
            <v>C</v>
          </cell>
          <cell r="M238" t="str">
            <v>01.01.2025</v>
          </cell>
          <cell r="N238" t="str">
            <v>31.03.2025</v>
          </cell>
          <cell r="O238">
            <v>101.67</v>
          </cell>
          <cell r="P238">
            <v>225.14</v>
          </cell>
        </row>
        <row r="239">
          <cell r="B239" t="str">
            <v>D86110000231</v>
          </cell>
          <cell r="C239" t="str">
            <v>D861</v>
          </cell>
          <cell r="D239" t="str">
            <v>D134</v>
          </cell>
          <cell r="E239">
            <v>10000231</v>
          </cell>
          <cell r="F239" t="str">
            <v>Grava Triturada Basalto 20 mm - 3/4"</v>
          </cell>
          <cell r="G239">
            <v>123.47</v>
          </cell>
          <cell r="H239" t="str">
            <v>MXN</v>
          </cell>
          <cell r="I239">
            <v>1</v>
          </cell>
          <cell r="J239" t="str">
            <v>TN</v>
          </cell>
          <cell r="K239" t="str">
            <v>C</v>
          </cell>
          <cell r="M239" t="str">
            <v>01.01.2025</v>
          </cell>
          <cell r="N239" t="str">
            <v>31.03.2025</v>
          </cell>
          <cell r="O239">
            <v>82.24</v>
          </cell>
          <cell r="P239">
            <v>205.70999999999998</v>
          </cell>
        </row>
        <row r="240">
          <cell r="B240" t="str">
            <v>D86110000233</v>
          </cell>
          <cell r="C240" t="str">
            <v>D861</v>
          </cell>
          <cell r="D240" t="str">
            <v>D134</v>
          </cell>
          <cell r="E240">
            <v>10000233</v>
          </cell>
          <cell r="F240" t="str">
            <v>Grava Triturada Basalto  40 mm - 1 1/2"</v>
          </cell>
          <cell r="G240">
            <v>123.47</v>
          </cell>
          <cell r="H240" t="str">
            <v>MXN</v>
          </cell>
          <cell r="I240">
            <v>1</v>
          </cell>
          <cell r="J240" t="str">
            <v>TN</v>
          </cell>
          <cell r="K240" t="str">
            <v>C</v>
          </cell>
          <cell r="M240" t="str">
            <v>01.01.2025</v>
          </cell>
          <cell r="N240" t="str">
            <v>31.03.2025</v>
          </cell>
          <cell r="O240">
            <v>84.78</v>
          </cell>
          <cell r="P240">
            <v>208.25</v>
          </cell>
        </row>
        <row r="241">
          <cell r="B241" t="str">
            <v>D86110000290</v>
          </cell>
          <cell r="C241" t="str">
            <v>D861</v>
          </cell>
          <cell r="D241" t="str">
            <v>D134</v>
          </cell>
          <cell r="E241">
            <v>10000290</v>
          </cell>
          <cell r="F241" t="str">
            <v>Polvos Triturado Basalto 3/4" a Finos</v>
          </cell>
          <cell r="G241">
            <v>1</v>
          </cell>
          <cell r="H241" t="str">
            <v>MXN</v>
          </cell>
          <cell r="I241">
            <v>1</v>
          </cell>
          <cell r="J241" t="str">
            <v>TN</v>
          </cell>
          <cell r="K241" t="str">
            <v>C</v>
          </cell>
          <cell r="M241" t="str">
            <v>01.01.2025</v>
          </cell>
          <cell r="N241" t="str">
            <v>31.03.2025</v>
          </cell>
          <cell r="O241">
            <v>22.73</v>
          </cell>
          <cell r="P241">
            <v>23.73</v>
          </cell>
        </row>
        <row r="242">
          <cell r="B242" t="str">
            <v>D86110000311</v>
          </cell>
          <cell r="C242" t="str">
            <v>D861</v>
          </cell>
          <cell r="D242" t="str">
            <v>D134</v>
          </cell>
          <cell r="E242">
            <v>10000311</v>
          </cell>
          <cell r="F242" t="str">
            <v>Arena Triturada Basalto  Malla 4</v>
          </cell>
          <cell r="G242">
            <v>125.08</v>
          </cell>
          <cell r="H242" t="str">
            <v>MXN</v>
          </cell>
          <cell r="I242">
            <v>1</v>
          </cell>
          <cell r="J242" t="str">
            <v>TN</v>
          </cell>
          <cell r="K242" t="str">
            <v>C</v>
          </cell>
          <cell r="M242" t="str">
            <v>01.01.2025</v>
          </cell>
          <cell r="N242" t="str">
            <v>31.03.2025</v>
          </cell>
          <cell r="O242">
            <v>46.11</v>
          </cell>
          <cell r="P242">
            <v>171.19</v>
          </cell>
        </row>
        <row r="243">
          <cell r="B243" t="str">
            <v>D86110003153</v>
          </cell>
          <cell r="C243" t="str">
            <v>D861</v>
          </cell>
          <cell r="D243" t="str">
            <v>D134</v>
          </cell>
          <cell r="E243">
            <v>10003153</v>
          </cell>
          <cell r="F243" t="str">
            <v>Grava Triturada Basalto 13 mm - 1/2"</v>
          </cell>
          <cell r="G243">
            <v>123.47</v>
          </cell>
          <cell r="H243" t="str">
            <v>MXN</v>
          </cell>
          <cell r="I243">
            <v>1</v>
          </cell>
          <cell r="J243" t="str">
            <v>TN</v>
          </cell>
          <cell r="K243" t="str">
            <v>C</v>
          </cell>
          <cell r="M243" t="str">
            <v>01.01.2025</v>
          </cell>
          <cell r="N243" t="str">
            <v>31.03.2025</v>
          </cell>
          <cell r="O243" t="str">
            <v>10.43-</v>
          </cell>
          <cell r="P243" t="e">
            <v>#VALUE!</v>
          </cell>
        </row>
        <row r="244">
          <cell r="B244" t="str">
            <v>D86110000229</v>
          </cell>
          <cell r="C244" t="str">
            <v>D861</v>
          </cell>
          <cell r="D244" t="str">
            <v>D136</v>
          </cell>
          <cell r="E244">
            <v>10000229</v>
          </cell>
          <cell r="F244" t="str">
            <v>Grava Triturada Basalto  10 mm - 3/8"</v>
          </cell>
          <cell r="G244">
            <v>123.47</v>
          </cell>
          <cell r="H244" t="str">
            <v>MXN</v>
          </cell>
          <cell r="I244">
            <v>1</v>
          </cell>
          <cell r="J244" t="str">
            <v>TN</v>
          </cell>
          <cell r="K244" t="str">
            <v>C</v>
          </cell>
          <cell r="M244" t="str">
            <v>01.01.2025</v>
          </cell>
          <cell r="N244" t="str">
            <v>31.03.2025</v>
          </cell>
          <cell r="O244">
            <v>101.67</v>
          </cell>
          <cell r="P244">
            <v>225.14</v>
          </cell>
        </row>
        <row r="245">
          <cell r="B245" t="str">
            <v>D86110000231</v>
          </cell>
          <cell r="C245" t="str">
            <v>D861</v>
          </cell>
          <cell r="D245" t="str">
            <v>D136</v>
          </cell>
          <cell r="E245">
            <v>10000231</v>
          </cell>
          <cell r="F245" t="str">
            <v>Grava Triturada Basalto 20 mm - 3/4"</v>
          </cell>
          <cell r="G245">
            <v>123.47</v>
          </cell>
          <cell r="H245" t="str">
            <v>MXN</v>
          </cell>
          <cell r="I245">
            <v>1</v>
          </cell>
          <cell r="J245" t="str">
            <v>TN</v>
          </cell>
          <cell r="K245" t="str">
            <v>C</v>
          </cell>
          <cell r="M245" t="str">
            <v>01.01.2025</v>
          </cell>
          <cell r="N245" t="str">
            <v>31.03.2025</v>
          </cell>
          <cell r="O245">
            <v>82.24</v>
          </cell>
          <cell r="P245">
            <v>205.70999999999998</v>
          </cell>
        </row>
        <row r="246">
          <cell r="B246" t="str">
            <v>D86110000233</v>
          </cell>
          <cell r="C246" t="str">
            <v>D861</v>
          </cell>
          <cell r="D246" t="str">
            <v>D136</v>
          </cell>
          <cell r="E246">
            <v>10000233</v>
          </cell>
          <cell r="F246" t="str">
            <v>Grava Triturada Basalto  40 mm - 1 1/2"</v>
          </cell>
          <cell r="G246">
            <v>123.47</v>
          </cell>
          <cell r="H246" t="str">
            <v>MXN</v>
          </cell>
          <cell r="I246">
            <v>1</v>
          </cell>
          <cell r="J246" t="str">
            <v>TN</v>
          </cell>
          <cell r="K246" t="str">
            <v>C</v>
          </cell>
          <cell r="M246" t="str">
            <v>01.01.2025</v>
          </cell>
          <cell r="N246" t="str">
            <v>31.03.2025</v>
          </cell>
          <cell r="O246">
            <v>84.78</v>
          </cell>
          <cell r="P246">
            <v>208.25</v>
          </cell>
        </row>
        <row r="247">
          <cell r="B247" t="str">
            <v>D86110000229</v>
          </cell>
          <cell r="C247" t="str">
            <v>D861</v>
          </cell>
          <cell r="D247" t="str">
            <v>D140</v>
          </cell>
          <cell r="E247">
            <v>10000229</v>
          </cell>
          <cell r="F247" t="str">
            <v>Grava Triturada Basalto  10 mm - 3/8"</v>
          </cell>
          <cell r="G247">
            <v>123.47</v>
          </cell>
          <cell r="H247" t="str">
            <v>MXN</v>
          </cell>
          <cell r="I247">
            <v>1</v>
          </cell>
          <cell r="J247" t="str">
            <v>TN</v>
          </cell>
          <cell r="K247" t="str">
            <v>C</v>
          </cell>
          <cell r="M247" t="str">
            <v>01.01.2025</v>
          </cell>
          <cell r="N247" t="str">
            <v>31.03.2025</v>
          </cell>
          <cell r="O247">
            <v>101.67</v>
          </cell>
          <cell r="P247">
            <v>225.14</v>
          </cell>
        </row>
        <row r="248">
          <cell r="B248" t="str">
            <v>D86110000231</v>
          </cell>
          <cell r="C248" t="str">
            <v>D861</v>
          </cell>
          <cell r="D248" t="str">
            <v>D140</v>
          </cell>
          <cell r="E248">
            <v>10000231</v>
          </cell>
          <cell r="F248" t="str">
            <v>Grava Triturada Basalto 20 mm - 3/4"</v>
          </cell>
          <cell r="G248">
            <v>123.47</v>
          </cell>
          <cell r="H248" t="str">
            <v>MXN</v>
          </cell>
          <cell r="I248">
            <v>1</v>
          </cell>
          <cell r="J248" t="str">
            <v>TN</v>
          </cell>
          <cell r="K248" t="str">
            <v>C</v>
          </cell>
          <cell r="M248" t="str">
            <v>01.01.2025</v>
          </cell>
          <cell r="N248" t="str">
            <v>31.03.2025</v>
          </cell>
          <cell r="O248">
            <v>82.24</v>
          </cell>
          <cell r="P248">
            <v>205.70999999999998</v>
          </cell>
        </row>
        <row r="249">
          <cell r="B249" t="str">
            <v>D86110000233</v>
          </cell>
          <cell r="C249" t="str">
            <v>D861</v>
          </cell>
          <cell r="D249" t="str">
            <v>D140</v>
          </cell>
          <cell r="E249">
            <v>10000233</v>
          </cell>
          <cell r="F249" t="str">
            <v>Grava Triturada Basalto  40 mm - 1 1/2"</v>
          </cell>
          <cell r="G249">
            <v>123.47</v>
          </cell>
          <cell r="H249" t="str">
            <v>MXN</v>
          </cell>
          <cell r="I249">
            <v>1</v>
          </cell>
          <cell r="J249" t="str">
            <v>TN</v>
          </cell>
          <cell r="K249" t="str">
            <v>C</v>
          </cell>
          <cell r="M249" t="str">
            <v>01.01.2025</v>
          </cell>
          <cell r="N249" t="str">
            <v>31.03.2025</v>
          </cell>
          <cell r="O249">
            <v>84.78</v>
          </cell>
          <cell r="P249">
            <v>208.25</v>
          </cell>
        </row>
        <row r="250">
          <cell r="B250" t="str">
            <v>D86110000290</v>
          </cell>
          <cell r="C250" t="str">
            <v>D861</v>
          </cell>
          <cell r="D250" t="str">
            <v>D140</v>
          </cell>
          <cell r="E250">
            <v>10000290</v>
          </cell>
          <cell r="F250" t="str">
            <v>Polvos Triturado Basalto 3/4" a Finos</v>
          </cell>
          <cell r="G250">
            <v>1</v>
          </cell>
          <cell r="H250" t="str">
            <v>MXN</v>
          </cell>
          <cell r="I250">
            <v>1</v>
          </cell>
          <cell r="J250" t="str">
            <v>TN</v>
          </cell>
          <cell r="K250" t="str">
            <v>C</v>
          </cell>
          <cell r="M250" t="str">
            <v>01.01.2025</v>
          </cell>
          <cell r="N250" t="str">
            <v>31.03.2025</v>
          </cell>
          <cell r="O250">
            <v>22.73</v>
          </cell>
          <cell r="P250">
            <v>23.73</v>
          </cell>
        </row>
        <row r="251">
          <cell r="B251" t="str">
            <v>D86110000311</v>
          </cell>
          <cell r="C251" t="str">
            <v>D861</v>
          </cell>
          <cell r="D251" t="str">
            <v>D140</v>
          </cell>
          <cell r="E251">
            <v>10000311</v>
          </cell>
          <cell r="F251" t="str">
            <v>Arena Triturada Basalto  Malla 4</v>
          </cell>
          <cell r="G251">
            <v>125.08</v>
          </cell>
          <cell r="H251" t="str">
            <v>MXN</v>
          </cell>
          <cell r="I251">
            <v>1</v>
          </cell>
          <cell r="J251" t="str">
            <v>TN</v>
          </cell>
          <cell r="K251" t="str">
            <v>C</v>
          </cell>
          <cell r="M251" t="str">
            <v>01.01.2025</v>
          </cell>
          <cell r="N251" t="str">
            <v>31.03.2025</v>
          </cell>
          <cell r="O251">
            <v>46.11</v>
          </cell>
          <cell r="P251">
            <v>171.19</v>
          </cell>
        </row>
        <row r="252">
          <cell r="B252" t="str">
            <v>D86110000231</v>
          </cell>
          <cell r="C252" t="str">
            <v>D861</v>
          </cell>
          <cell r="D252" t="str">
            <v>D145</v>
          </cell>
          <cell r="E252">
            <v>10000231</v>
          </cell>
          <cell r="F252" t="str">
            <v>Grava Triturada Basalto 20 mm - 3/4"</v>
          </cell>
          <cell r="G252">
            <v>123.47</v>
          </cell>
          <cell r="H252" t="str">
            <v>MXN</v>
          </cell>
          <cell r="I252">
            <v>1</v>
          </cell>
          <cell r="J252" t="str">
            <v>TN</v>
          </cell>
          <cell r="K252" t="str">
            <v>C</v>
          </cell>
          <cell r="M252" t="str">
            <v>01.01.2025</v>
          </cell>
          <cell r="N252" t="str">
            <v>31.03.2025</v>
          </cell>
          <cell r="O252">
            <v>82.24</v>
          </cell>
          <cell r="P252">
            <v>205.70999999999998</v>
          </cell>
        </row>
        <row r="253">
          <cell r="B253" t="str">
            <v>D86110000233</v>
          </cell>
          <cell r="C253" t="str">
            <v>D861</v>
          </cell>
          <cell r="D253" t="str">
            <v>D145</v>
          </cell>
          <cell r="E253">
            <v>10000233</v>
          </cell>
          <cell r="F253" t="str">
            <v>Grava Triturada Basalto  40 mm - 1 1/2"</v>
          </cell>
          <cell r="G253">
            <v>123.47</v>
          </cell>
          <cell r="H253" t="str">
            <v>MXN</v>
          </cell>
          <cell r="I253">
            <v>1</v>
          </cell>
          <cell r="J253" t="str">
            <v>TN</v>
          </cell>
          <cell r="K253" t="str">
            <v>C</v>
          </cell>
          <cell r="M253" t="str">
            <v>01.01.2025</v>
          </cell>
          <cell r="N253" t="str">
            <v>31.03.2025</v>
          </cell>
          <cell r="O253">
            <v>84.78</v>
          </cell>
          <cell r="P253">
            <v>208.25</v>
          </cell>
        </row>
        <row r="254">
          <cell r="B254" t="str">
            <v>D86110000229</v>
          </cell>
          <cell r="C254" t="str">
            <v>D861</v>
          </cell>
          <cell r="D254" t="str">
            <v>D206</v>
          </cell>
          <cell r="E254">
            <v>10000229</v>
          </cell>
          <cell r="F254" t="str">
            <v>Grava Triturada Basalto  10 mm - 3/8"</v>
          </cell>
          <cell r="G254">
            <v>123.47</v>
          </cell>
          <cell r="H254" t="str">
            <v>MXN</v>
          </cell>
          <cell r="I254">
            <v>1</v>
          </cell>
          <cell r="J254" t="str">
            <v>TN</v>
          </cell>
          <cell r="K254" t="str">
            <v>C</v>
          </cell>
          <cell r="M254" t="str">
            <v>01.01.2025</v>
          </cell>
          <cell r="N254" t="str">
            <v>31.03.2025</v>
          </cell>
          <cell r="O254">
            <v>101.67</v>
          </cell>
          <cell r="P254">
            <v>225.14</v>
          </cell>
        </row>
        <row r="255">
          <cell r="B255" t="str">
            <v>D86110000231</v>
          </cell>
          <cell r="C255" t="str">
            <v>D861</v>
          </cell>
          <cell r="D255" t="str">
            <v>D206</v>
          </cell>
          <cell r="E255">
            <v>10000231</v>
          </cell>
          <cell r="F255" t="str">
            <v>Grava Triturada Basalto 20 mm - 3/4"</v>
          </cell>
          <cell r="G255">
            <v>123.47</v>
          </cell>
          <cell r="H255" t="str">
            <v>MXN</v>
          </cell>
          <cell r="I255">
            <v>1</v>
          </cell>
          <cell r="J255" t="str">
            <v>TN</v>
          </cell>
          <cell r="K255" t="str">
            <v>C</v>
          </cell>
          <cell r="M255" t="str">
            <v>01.01.2025</v>
          </cell>
          <cell r="N255" t="str">
            <v>31.03.2025</v>
          </cell>
          <cell r="O255">
            <v>82.24</v>
          </cell>
          <cell r="P255">
            <v>205.70999999999998</v>
          </cell>
        </row>
        <row r="256">
          <cell r="B256" t="str">
            <v>D86110000233</v>
          </cell>
          <cell r="C256" t="str">
            <v>D861</v>
          </cell>
          <cell r="D256" t="str">
            <v>D206</v>
          </cell>
          <cell r="E256">
            <v>10000233</v>
          </cell>
          <cell r="F256" t="str">
            <v>Grava Triturada Basalto  40 mm - 1 1/2"</v>
          </cell>
          <cell r="G256">
            <v>123.47</v>
          </cell>
          <cell r="H256" t="str">
            <v>MXN</v>
          </cell>
          <cell r="I256">
            <v>1</v>
          </cell>
          <cell r="J256" t="str">
            <v>TN</v>
          </cell>
          <cell r="K256" t="str">
            <v>C</v>
          </cell>
          <cell r="M256" t="str">
            <v>01.01.2025</v>
          </cell>
          <cell r="N256" t="str">
            <v>31.03.2025</v>
          </cell>
          <cell r="O256">
            <v>84.78</v>
          </cell>
          <cell r="P256">
            <v>208.25</v>
          </cell>
        </row>
        <row r="257">
          <cell r="B257" t="str">
            <v>D86110000311</v>
          </cell>
          <cell r="C257" t="str">
            <v>D861</v>
          </cell>
          <cell r="D257" t="str">
            <v>D206</v>
          </cell>
          <cell r="E257">
            <v>10000311</v>
          </cell>
          <cell r="F257" t="str">
            <v>Arena Triturada Basalto  Malla 4</v>
          </cell>
          <cell r="G257">
            <v>125.08</v>
          </cell>
          <cell r="H257" t="str">
            <v>MXN</v>
          </cell>
          <cell r="I257">
            <v>1</v>
          </cell>
          <cell r="J257" t="str">
            <v>TN</v>
          </cell>
          <cell r="K257" t="str">
            <v>C</v>
          </cell>
          <cell r="M257" t="str">
            <v>01.01.2025</v>
          </cell>
          <cell r="N257" t="str">
            <v>31.03.2025</v>
          </cell>
          <cell r="O257">
            <v>46.11</v>
          </cell>
          <cell r="P257">
            <v>171.19</v>
          </cell>
        </row>
        <row r="258">
          <cell r="B258" t="str">
            <v>D86110000229</v>
          </cell>
          <cell r="C258" t="str">
            <v>D861</v>
          </cell>
          <cell r="D258" t="str">
            <v>D259</v>
          </cell>
          <cell r="E258">
            <v>10000229</v>
          </cell>
          <cell r="F258" t="str">
            <v>Grava Triturada Basalto  10 mm - 3/8"</v>
          </cell>
          <cell r="G258">
            <v>123.47</v>
          </cell>
          <cell r="H258" t="str">
            <v>MXN</v>
          </cell>
          <cell r="I258">
            <v>1</v>
          </cell>
          <cell r="J258" t="str">
            <v>TN</v>
          </cell>
          <cell r="K258" t="str">
            <v>C</v>
          </cell>
          <cell r="M258" t="str">
            <v>01.01.2025</v>
          </cell>
          <cell r="N258" t="str">
            <v>31.03.2025</v>
          </cell>
          <cell r="O258">
            <v>101.67</v>
          </cell>
          <cell r="P258">
            <v>225.14</v>
          </cell>
        </row>
        <row r="259">
          <cell r="B259" t="str">
            <v>D86110000231</v>
          </cell>
          <cell r="C259" t="str">
            <v>D861</v>
          </cell>
          <cell r="D259" t="str">
            <v>D259</v>
          </cell>
          <cell r="E259">
            <v>10000231</v>
          </cell>
          <cell r="F259" t="str">
            <v>Grava Triturada Basalto 20 mm - 3/4"</v>
          </cell>
          <cell r="G259">
            <v>123.47</v>
          </cell>
          <cell r="H259" t="str">
            <v>MXN</v>
          </cell>
          <cell r="I259">
            <v>1</v>
          </cell>
          <cell r="J259" t="str">
            <v>TN</v>
          </cell>
          <cell r="K259" t="str">
            <v>C</v>
          </cell>
          <cell r="M259" t="str">
            <v>01.01.2025</v>
          </cell>
          <cell r="N259" t="str">
            <v>31.03.2025</v>
          </cell>
          <cell r="O259">
            <v>82.24</v>
          </cell>
          <cell r="P259">
            <v>205.70999999999998</v>
          </cell>
        </row>
        <row r="260">
          <cell r="B260" t="str">
            <v>D86110000233</v>
          </cell>
          <cell r="C260" t="str">
            <v>D861</v>
          </cell>
          <cell r="D260" t="str">
            <v>D259</v>
          </cell>
          <cell r="E260">
            <v>10000233</v>
          </cell>
          <cell r="F260" t="str">
            <v>Grava Triturada Basalto  40 mm - 1 1/2"</v>
          </cell>
          <cell r="G260">
            <v>123.47</v>
          </cell>
          <cell r="H260" t="str">
            <v>MXN</v>
          </cell>
          <cell r="I260">
            <v>1</v>
          </cell>
          <cell r="J260" t="str">
            <v>TN</v>
          </cell>
          <cell r="K260" t="str">
            <v>C</v>
          </cell>
          <cell r="M260" t="str">
            <v>01.01.2025</v>
          </cell>
          <cell r="N260" t="str">
            <v>31.03.2025</v>
          </cell>
          <cell r="O260">
            <v>84.78</v>
          </cell>
          <cell r="P260">
            <v>208.25</v>
          </cell>
        </row>
        <row r="261">
          <cell r="B261" t="str">
            <v>D86110000311</v>
          </cell>
          <cell r="C261" t="str">
            <v>D861</v>
          </cell>
          <cell r="D261" t="str">
            <v>D259</v>
          </cell>
          <cell r="E261">
            <v>10000311</v>
          </cell>
          <cell r="F261" t="str">
            <v>Arena Triturada Basalto  Malla 4</v>
          </cell>
          <cell r="G261">
            <v>125.08</v>
          </cell>
          <cell r="H261" t="str">
            <v>MXN</v>
          </cell>
          <cell r="I261">
            <v>1</v>
          </cell>
          <cell r="J261" t="str">
            <v>TN</v>
          </cell>
          <cell r="K261" t="str">
            <v>C</v>
          </cell>
          <cell r="M261" t="str">
            <v>01.01.2025</v>
          </cell>
          <cell r="N261" t="str">
            <v>31.03.2025</v>
          </cell>
          <cell r="O261">
            <v>46.11</v>
          </cell>
          <cell r="P261">
            <v>171.19</v>
          </cell>
        </row>
        <row r="262">
          <cell r="B262" t="str">
            <v>D86110000229</v>
          </cell>
          <cell r="C262" t="str">
            <v>D861</v>
          </cell>
          <cell r="D262" t="str">
            <v>D690</v>
          </cell>
          <cell r="E262">
            <v>10000229</v>
          </cell>
          <cell r="F262" t="str">
            <v>Grava Triturada Basalto  10 mm - 3/8"</v>
          </cell>
          <cell r="G262">
            <v>123.47</v>
          </cell>
          <cell r="H262" t="str">
            <v>MXN</v>
          </cell>
          <cell r="I262">
            <v>1</v>
          </cell>
          <cell r="J262" t="str">
            <v>TN</v>
          </cell>
          <cell r="K262" t="str">
            <v>C</v>
          </cell>
          <cell r="M262" t="str">
            <v>01.01.2025</v>
          </cell>
          <cell r="N262" t="str">
            <v>31.03.2025</v>
          </cell>
          <cell r="O262">
            <v>101.67</v>
          </cell>
          <cell r="P262">
            <v>225.14</v>
          </cell>
        </row>
        <row r="263">
          <cell r="B263" t="str">
            <v>D86110000231</v>
          </cell>
          <cell r="C263" t="str">
            <v>D861</v>
          </cell>
          <cell r="D263" t="str">
            <v>D690</v>
          </cell>
          <cell r="E263">
            <v>10000231</v>
          </cell>
          <cell r="F263" t="str">
            <v>Grava Triturada Basalto 20 mm - 3/4"</v>
          </cell>
          <cell r="G263">
            <v>123.47</v>
          </cell>
          <cell r="H263" t="str">
            <v>MXN</v>
          </cell>
          <cell r="I263">
            <v>1</v>
          </cell>
          <cell r="J263" t="str">
            <v>TN</v>
          </cell>
          <cell r="K263" t="str">
            <v>C</v>
          </cell>
          <cell r="M263" t="str">
            <v>01.01.2025</v>
          </cell>
          <cell r="N263" t="str">
            <v>31.03.2025</v>
          </cell>
          <cell r="O263">
            <v>82.24</v>
          </cell>
          <cell r="P263">
            <v>205.70999999999998</v>
          </cell>
        </row>
        <row r="264">
          <cell r="B264" t="str">
            <v>D86110000233</v>
          </cell>
          <cell r="C264" t="str">
            <v>D861</v>
          </cell>
          <cell r="D264" t="str">
            <v>D690</v>
          </cell>
          <cell r="E264">
            <v>10000233</v>
          </cell>
          <cell r="F264" t="str">
            <v>Grava Triturada Basalto  40 mm - 1 1/2"</v>
          </cell>
          <cell r="G264">
            <v>123.47</v>
          </cell>
          <cell r="H264" t="str">
            <v>MXN</v>
          </cell>
          <cell r="I264">
            <v>1</v>
          </cell>
          <cell r="J264" t="str">
            <v>TN</v>
          </cell>
          <cell r="K264" t="str">
            <v>C</v>
          </cell>
          <cell r="M264" t="str">
            <v>01.01.2025</v>
          </cell>
          <cell r="N264" t="str">
            <v>31.03.2025</v>
          </cell>
          <cell r="O264">
            <v>84.78</v>
          </cell>
          <cell r="P264">
            <v>208.25</v>
          </cell>
        </row>
        <row r="265">
          <cell r="B265" t="str">
            <v>D86110000311</v>
          </cell>
          <cell r="C265" t="str">
            <v>D861</v>
          </cell>
          <cell r="D265" t="str">
            <v>D690</v>
          </cell>
          <cell r="E265">
            <v>10000311</v>
          </cell>
          <cell r="F265" t="str">
            <v>Arena Triturada Basalto  Malla 4</v>
          </cell>
          <cell r="G265">
            <v>125.08</v>
          </cell>
          <cell r="H265" t="str">
            <v>MXN</v>
          </cell>
          <cell r="I265">
            <v>1</v>
          </cell>
          <cell r="J265" t="str">
            <v>TN</v>
          </cell>
          <cell r="K265" t="str">
            <v>C</v>
          </cell>
          <cell r="M265" t="str">
            <v>01.01.2025</v>
          </cell>
          <cell r="N265" t="str">
            <v>31.03.2025</v>
          </cell>
          <cell r="O265">
            <v>46.11</v>
          </cell>
          <cell r="P265">
            <v>171.19</v>
          </cell>
        </row>
        <row r="266">
          <cell r="B266" t="str">
            <v>D86110000229</v>
          </cell>
          <cell r="C266" t="str">
            <v>D861</v>
          </cell>
          <cell r="D266" t="str">
            <v>DA03</v>
          </cell>
          <cell r="E266">
            <v>10000229</v>
          </cell>
          <cell r="F266" t="str">
            <v>Grava Triturada Basalto  10 mm - 3/8"</v>
          </cell>
          <cell r="G266">
            <v>123.47</v>
          </cell>
          <cell r="H266" t="str">
            <v>MXN</v>
          </cell>
          <cell r="I266">
            <v>1</v>
          </cell>
          <cell r="J266" t="str">
            <v>TN</v>
          </cell>
          <cell r="K266" t="str">
            <v>C</v>
          </cell>
          <cell r="M266" t="str">
            <v>01.01.2025</v>
          </cell>
          <cell r="N266" t="str">
            <v>31.03.2025</v>
          </cell>
          <cell r="O266">
            <v>101.67</v>
          </cell>
          <cell r="P266">
            <v>225.14</v>
          </cell>
        </row>
        <row r="267">
          <cell r="B267" t="str">
            <v>D86110000231</v>
          </cell>
          <cell r="C267" t="str">
            <v>D861</v>
          </cell>
          <cell r="D267" t="str">
            <v>DA03</v>
          </cell>
          <cell r="E267">
            <v>10000231</v>
          </cell>
          <cell r="F267" t="str">
            <v>Grava Triturada Basalto 20 mm - 3/4"</v>
          </cell>
          <cell r="G267">
            <v>123.47</v>
          </cell>
          <cell r="H267" t="str">
            <v>MXN</v>
          </cell>
          <cell r="I267">
            <v>1</v>
          </cell>
          <cell r="J267" t="str">
            <v>TN</v>
          </cell>
          <cell r="K267" t="str">
            <v>C</v>
          </cell>
          <cell r="M267" t="str">
            <v>01.01.2025</v>
          </cell>
          <cell r="N267" t="str">
            <v>31.03.2025</v>
          </cell>
          <cell r="O267">
            <v>82.24</v>
          </cell>
          <cell r="P267">
            <v>205.70999999999998</v>
          </cell>
        </row>
        <row r="268">
          <cell r="B268" t="str">
            <v>D86110000233</v>
          </cell>
          <cell r="C268" t="str">
            <v>D861</v>
          </cell>
          <cell r="D268" t="str">
            <v>DA03</v>
          </cell>
          <cell r="E268">
            <v>10000233</v>
          </cell>
          <cell r="F268" t="str">
            <v>Grava Triturada Basalto  40 mm - 1 1/2"</v>
          </cell>
          <cell r="G268">
            <v>123.47</v>
          </cell>
          <cell r="H268" t="str">
            <v>MXN</v>
          </cell>
          <cell r="I268">
            <v>1</v>
          </cell>
          <cell r="J268" t="str">
            <v>TN</v>
          </cell>
          <cell r="K268" t="str">
            <v>C</v>
          </cell>
          <cell r="M268" t="str">
            <v>01.01.2025</v>
          </cell>
          <cell r="N268" t="str">
            <v>31.03.2025</v>
          </cell>
          <cell r="O268">
            <v>84.78</v>
          </cell>
          <cell r="P268">
            <v>208.25</v>
          </cell>
        </row>
        <row r="269">
          <cell r="B269" t="str">
            <v>D86110000231</v>
          </cell>
          <cell r="C269" t="str">
            <v>D861</v>
          </cell>
          <cell r="D269" t="str">
            <v>E671</v>
          </cell>
          <cell r="E269">
            <v>10000231</v>
          </cell>
          <cell r="F269" t="str">
            <v>Grava Triturada Basalto 20 mm - 3/4"</v>
          </cell>
          <cell r="G269">
            <v>115</v>
          </cell>
          <cell r="H269" t="str">
            <v>MXN</v>
          </cell>
          <cell r="I269">
            <v>1</v>
          </cell>
          <cell r="J269" t="str">
            <v>TN</v>
          </cell>
          <cell r="K269" t="str">
            <v>C</v>
          </cell>
          <cell r="M269" t="str">
            <v>19.01.2022</v>
          </cell>
          <cell r="N269" t="str">
            <v>31.03.2025</v>
          </cell>
          <cell r="O269" t="e">
            <v>#N/A</v>
          </cell>
          <cell r="P269" t="e">
            <v>#N/A</v>
          </cell>
        </row>
        <row r="270">
          <cell r="B270" t="str">
            <v>D86110000233</v>
          </cell>
          <cell r="C270" t="str">
            <v>D861</v>
          </cell>
          <cell r="D270" t="str">
            <v>E671</v>
          </cell>
          <cell r="E270">
            <v>10000233</v>
          </cell>
          <cell r="F270" t="str">
            <v>Grava Triturada Basalto  40 mm - 1 1/2"</v>
          </cell>
          <cell r="G270">
            <v>115</v>
          </cell>
          <cell r="H270" t="str">
            <v>MXN</v>
          </cell>
          <cell r="I270">
            <v>1</v>
          </cell>
          <cell r="J270" t="str">
            <v>TN</v>
          </cell>
          <cell r="K270" t="str">
            <v>C</v>
          </cell>
          <cell r="M270" t="str">
            <v>19.01.2022</v>
          </cell>
          <cell r="N270" t="str">
            <v>31.03.2025</v>
          </cell>
          <cell r="O270" t="e">
            <v>#N/A</v>
          </cell>
          <cell r="P270" t="e">
            <v>#N/A</v>
          </cell>
        </row>
        <row r="271">
          <cell r="B271" t="str">
            <v>D86110000290</v>
          </cell>
          <cell r="C271" t="str">
            <v>D861</v>
          </cell>
          <cell r="D271" t="str">
            <v>E671</v>
          </cell>
          <cell r="E271">
            <v>10000290</v>
          </cell>
          <cell r="F271" t="str">
            <v>Polvos Triturado Basalto 3/4" a Finos</v>
          </cell>
          <cell r="G271">
            <v>10.37</v>
          </cell>
          <cell r="H271" t="str">
            <v>MXN</v>
          </cell>
          <cell r="I271">
            <v>1</v>
          </cell>
          <cell r="J271" t="str">
            <v>TN</v>
          </cell>
          <cell r="K271" t="str">
            <v>C</v>
          </cell>
          <cell r="M271" t="str">
            <v>19.01.2022</v>
          </cell>
          <cell r="N271" t="str">
            <v>31.03.2025</v>
          </cell>
          <cell r="O271" t="e">
            <v>#N/A</v>
          </cell>
          <cell r="P271" t="e">
            <v>#N/A</v>
          </cell>
        </row>
        <row r="272">
          <cell r="B272" t="str">
            <v>D86110000311</v>
          </cell>
          <cell r="C272" t="str">
            <v>D861</v>
          </cell>
          <cell r="D272" t="str">
            <v>E671</v>
          </cell>
          <cell r="E272">
            <v>10000311</v>
          </cell>
          <cell r="F272" t="str">
            <v>Arena Triturada Basalto  Malla 4</v>
          </cell>
          <cell r="G272">
            <v>100</v>
          </cell>
          <cell r="H272" t="str">
            <v>MXN</v>
          </cell>
          <cell r="I272">
            <v>1</v>
          </cell>
          <cell r="J272" t="str">
            <v>TN</v>
          </cell>
          <cell r="K272" t="str">
            <v>C</v>
          </cell>
          <cell r="M272" t="str">
            <v>19.01.2022</v>
          </cell>
          <cell r="N272" t="str">
            <v>31.03.2025</v>
          </cell>
          <cell r="O272" t="e">
            <v>#N/A</v>
          </cell>
          <cell r="P272" t="e">
            <v>#N/A</v>
          </cell>
        </row>
        <row r="273">
          <cell r="B273" t="str">
            <v>D86110001450</v>
          </cell>
          <cell r="C273" t="str">
            <v>D861</v>
          </cell>
          <cell r="D273" t="str">
            <v>E671</v>
          </cell>
          <cell r="E273">
            <v>10001450</v>
          </cell>
          <cell r="F273" t="str">
            <v>Base Hidraúlica Basalto de 1 1/2 a finos</v>
          </cell>
          <cell r="G273">
            <v>80</v>
          </cell>
          <cell r="H273" t="str">
            <v>MXN</v>
          </cell>
          <cell r="I273">
            <v>1</v>
          </cell>
          <cell r="J273" t="str">
            <v>TN</v>
          </cell>
          <cell r="K273" t="str">
            <v>C</v>
          </cell>
          <cell r="M273" t="str">
            <v>19.01.2022</v>
          </cell>
          <cell r="N273" t="str">
            <v>31.03.2025</v>
          </cell>
          <cell r="O273" t="e">
            <v>#N/A</v>
          </cell>
          <cell r="P273" t="e">
            <v>#N/A</v>
          </cell>
        </row>
        <row r="274">
          <cell r="B274" t="str">
            <v>D86110065192</v>
          </cell>
          <cell r="C274" t="str">
            <v>D861</v>
          </cell>
          <cell r="D274" t="str">
            <v>E671</v>
          </cell>
          <cell r="E274">
            <v>10065192</v>
          </cell>
          <cell r="F274" t="str">
            <v>BASALTO SELECCIONADO</v>
          </cell>
          <cell r="G274">
            <v>70.37</v>
          </cell>
          <cell r="H274" t="str">
            <v>MXN</v>
          </cell>
          <cell r="I274">
            <v>1</v>
          </cell>
          <cell r="J274" t="str">
            <v>TN</v>
          </cell>
          <cell r="K274" t="str">
            <v>C</v>
          </cell>
          <cell r="M274" t="str">
            <v>19.01.2022</v>
          </cell>
          <cell r="N274" t="str">
            <v>31.03.2025</v>
          </cell>
          <cell r="O274" t="e">
            <v>#N/A</v>
          </cell>
          <cell r="P274" t="e">
            <v>#N/A</v>
          </cell>
        </row>
        <row r="275">
          <cell r="B275" t="str">
            <v>D86110066861</v>
          </cell>
          <cell r="C275" t="str">
            <v>D861</v>
          </cell>
          <cell r="D275" t="str">
            <v>E671</v>
          </cell>
          <cell r="E275">
            <v>10066861</v>
          </cell>
          <cell r="F275" t="str">
            <v>GRAVA TRITURADA BASALTO DE 40 A 4 MM</v>
          </cell>
          <cell r="G275">
            <v>100</v>
          </cell>
          <cell r="H275" t="str">
            <v>MXN</v>
          </cell>
          <cell r="I275">
            <v>1</v>
          </cell>
          <cell r="J275" t="str">
            <v>TN</v>
          </cell>
          <cell r="K275" t="str">
            <v>C</v>
          </cell>
          <cell r="M275" t="str">
            <v>19.01.2022</v>
          </cell>
          <cell r="N275" t="str">
            <v>31.03.2025</v>
          </cell>
          <cell r="O275" t="e">
            <v>#N/A</v>
          </cell>
          <cell r="P275" t="e">
            <v>#N/A</v>
          </cell>
        </row>
        <row r="276">
          <cell r="B276" t="str">
            <v>D86110000311</v>
          </cell>
          <cell r="C276" t="str">
            <v>D861</v>
          </cell>
          <cell r="D276" t="str">
            <v>ENL0</v>
          </cell>
          <cell r="E276">
            <v>10000311</v>
          </cell>
          <cell r="F276" t="str">
            <v>Arena Triturada Basalto  Malla 4</v>
          </cell>
          <cell r="G276">
            <v>190</v>
          </cell>
          <cell r="H276" t="str">
            <v>MXN</v>
          </cell>
          <cell r="I276">
            <v>1</v>
          </cell>
          <cell r="J276" t="str">
            <v>TN</v>
          </cell>
          <cell r="K276" t="str">
            <v>C</v>
          </cell>
          <cell r="M276" t="str">
            <v>26.11.2024</v>
          </cell>
          <cell r="N276" t="str">
            <v>30.06.2025</v>
          </cell>
          <cell r="O276" t="e">
            <v>#N/A</v>
          </cell>
          <cell r="P276" t="e">
            <v>#N/A</v>
          </cell>
        </row>
        <row r="277">
          <cell r="B277" t="str">
            <v>D86110066861</v>
          </cell>
          <cell r="C277" t="str">
            <v>D861</v>
          </cell>
          <cell r="D277" t="str">
            <v>ENL0</v>
          </cell>
          <cell r="E277">
            <v>10066861</v>
          </cell>
          <cell r="F277" t="str">
            <v>GRAVA TRITURADA BASALTO DE 40 A 4 MM</v>
          </cell>
          <cell r="G277">
            <v>190</v>
          </cell>
          <cell r="H277" t="str">
            <v>MXN</v>
          </cell>
          <cell r="I277">
            <v>1</v>
          </cell>
          <cell r="J277" t="str">
            <v>TN</v>
          </cell>
          <cell r="K277" t="str">
            <v>C</v>
          </cell>
          <cell r="M277" t="str">
            <v>26.11.2024</v>
          </cell>
          <cell r="N277" t="str">
            <v>30.06.2025</v>
          </cell>
          <cell r="O277" t="e">
            <v>#N/A</v>
          </cell>
          <cell r="P277" t="e">
            <v>#N/A</v>
          </cell>
        </row>
        <row r="278">
          <cell r="B278" t="str">
            <v>D86110066861</v>
          </cell>
          <cell r="C278" t="str">
            <v>D861</v>
          </cell>
          <cell r="D278" t="str">
            <v>ENL1</v>
          </cell>
          <cell r="E278">
            <v>10066861</v>
          </cell>
          <cell r="F278" t="str">
            <v>GRAVA TRITURADA BASALTO DE 40 A 4 MM</v>
          </cell>
          <cell r="G278">
            <v>170</v>
          </cell>
          <cell r="H278" t="str">
            <v>MXN</v>
          </cell>
          <cell r="I278">
            <v>1</v>
          </cell>
          <cell r="J278" t="str">
            <v>TN</v>
          </cell>
          <cell r="K278" t="str">
            <v>C</v>
          </cell>
          <cell r="M278" t="str">
            <v>06.03.2025</v>
          </cell>
          <cell r="N278" t="str">
            <v>31.12.9999</v>
          </cell>
          <cell r="O278" t="e">
            <v>#N/A</v>
          </cell>
          <cell r="P278" t="e">
            <v>#N/A</v>
          </cell>
        </row>
        <row r="279">
          <cell r="B279" t="str">
            <v>D86110000229</v>
          </cell>
          <cell r="C279" t="str">
            <v>D861</v>
          </cell>
          <cell r="D279" t="str">
            <v>EQ75</v>
          </cell>
          <cell r="E279">
            <v>10000229</v>
          </cell>
          <cell r="F279" t="str">
            <v>Grava Triturada Basalto  10 mm - 3/8"</v>
          </cell>
          <cell r="G279">
            <v>106.95</v>
          </cell>
          <cell r="H279" t="str">
            <v>MXN</v>
          </cell>
          <cell r="I279">
            <v>1</v>
          </cell>
          <cell r="J279" t="str">
            <v>TN</v>
          </cell>
          <cell r="K279" t="str">
            <v>C</v>
          </cell>
          <cell r="M279" t="str">
            <v>19.01.2022</v>
          </cell>
          <cell r="N279" t="str">
            <v>31.03.2025</v>
          </cell>
          <cell r="O279" t="e">
            <v>#N/A</v>
          </cell>
          <cell r="P279" t="e">
            <v>#N/A</v>
          </cell>
        </row>
        <row r="280">
          <cell r="B280" t="str">
            <v>D86110000231</v>
          </cell>
          <cell r="C280" t="str">
            <v>D861</v>
          </cell>
          <cell r="D280" t="str">
            <v>EQ75</v>
          </cell>
          <cell r="E280">
            <v>10000231</v>
          </cell>
          <cell r="F280" t="str">
            <v>Grava Triturada Basalto 20 mm - 3/4"</v>
          </cell>
          <cell r="G280">
            <v>106.95</v>
          </cell>
          <cell r="H280" t="str">
            <v>MXN</v>
          </cell>
          <cell r="I280">
            <v>1</v>
          </cell>
          <cell r="J280" t="str">
            <v>TN</v>
          </cell>
          <cell r="K280" t="str">
            <v>C</v>
          </cell>
          <cell r="M280" t="str">
            <v>19.01.2022</v>
          </cell>
          <cell r="N280" t="str">
            <v>31.03.2025</v>
          </cell>
          <cell r="O280" t="e">
            <v>#N/A</v>
          </cell>
          <cell r="P280" t="e">
            <v>#N/A</v>
          </cell>
        </row>
        <row r="281">
          <cell r="B281" t="str">
            <v>D86110000233</v>
          </cell>
          <cell r="C281" t="str">
            <v>D861</v>
          </cell>
          <cell r="D281" t="str">
            <v>EQ75</v>
          </cell>
          <cell r="E281">
            <v>10000233</v>
          </cell>
          <cell r="F281" t="str">
            <v>Grava Triturada Basalto  40 mm - 1 1/2"</v>
          </cell>
          <cell r="G281">
            <v>106.95</v>
          </cell>
          <cell r="H281" t="str">
            <v>MXN</v>
          </cell>
          <cell r="I281">
            <v>1</v>
          </cell>
          <cell r="J281" t="str">
            <v>TN</v>
          </cell>
          <cell r="K281" t="str">
            <v>C</v>
          </cell>
          <cell r="M281" t="str">
            <v>19.01.2022</v>
          </cell>
          <cell r="N281" t="str">
            <v>31.03.2025</v>
          </cell>
          <cell r="O281" t="e">
            <v>#N/A</v>
          </cell>
          <cell r="P281" t="e">
            <v>#N/A</v>
          </cell>
        </row>
        <row r="282">
          <cell r="B282" t="str">
            <v>D86110000290</v>
          </cell>
          <cell r="C282" t="str">
            <v>D861</v>
          </cell>
          <cell r="D282" t="str">
            <v>EQ75</v>
          </cell>
          <cell r="E282">
            <v>10000290</v>
          </cell>
          <cell r="F282" t="str">
            <v>Polvos Triturado Basalto 3/4" a Finos</v>
          </cell>
          <cell r="G282">
            <v>1.1499999999999999</v>
          </cell>
          <cell r="H282" t="str">
            <v>MXN</v>
          </cell>
          <cell r="I282">
            <v>1</v>
          </cell>
          <cell r="J282" t="str">
            <v>TN</v>
          </cell>
          <cell r="K282" t="str">
            <v>C</v>
          </cell>
          <cell r="M282" t="str">
            <v>19.01.2022</v>
          </cell>
          <cell r="N282" t="str">
            <v>31.03.2025</v>
          </cell>
          <cell r="O282" t="e">
            <v>#N/A</v>
          </cell>
          <cell r="P282" t="e">
            <v>#N/A</v>
          </cell>
        </row>
        <row r="283">
          <cell r="B283" t="str">
            <v>D86110066861</v>
          </cell>
          <cell r="C283" t="str">
            <v>D861</v>
          </cell>
          <cell r="D283" t="str">
            <v>EQ75</v>
          </cell>
          <cell r="E283">
            <v>10066861</v>
          </cell>
          <cell r="F283" t="str">
            <v>GRAVA TRITURADA BASALTO DE 40 A 4 MM</v>
          </cell>
          <cell r="G283">
            <v>110.4</v>
          </cell>
          <cell r="H283" t="str">
            <v>MXN</v>
          </cell>
          <cell r="I283">
            <v>1</v>
          </cell>
          <cell r="J283" t="str">
            <v>TN</v>
          </cell>
          <cell r="K283" t="str">
            <v>C</v>
          </cell>
          <cell r="M283" t="str">
            <v>19.01.2022</v>
          </cell>
          <cell r="N283" t="str">
            <v>31.03.2025</v>
          </cell>
          <cell r="O283" t="e">
            <v>#N/A</v>
          </cell>
          <cell r="P283" t="e">
            <v>#N/A</v>
          </cell>
        </row>
        <row r="284">
          <cell r="B284" t="str">
            <v>D86110087722</v>
          </cell>
          <cell r="C284" t="str">
            <v>D861</v>
          </cell>
          <cell r="D284" t="str">
            <v>EQ75</v>
          </cell>
          <cell r="E284">
            <v>10087722</v>
          </cell>
          <cell r="F284" t="str">
            <v>POLVO DE TRITURACIÓN BASALTO MALLA #4 DI</v>
          </cell>
          <cell r="G284">
            <v>57.5</v>
          </cell>
          <cell r="H284" t="str">
            <v>MXN</v>
          </cell>
          <cell r="I284">
            <v>1</v>
          </cell>
          <cell r="J284" t="str">
            <v>TN</v>
          </cell>
          <cell r="K284" t="str">
            <v>C</v>
          </cell>
          <cell r="M284" t="str">
            <v>19.01.2022</v>
          </cell>
          <cell r="N284" t="str">
            <v>31.03.2025</v>
          </cell>
          <cell r="O284" t="e">
            <v>#N/A</v>
          </cell>
          <cell r="P284" t="e">
            <v>#N/A</v>
          </cell>
        </row>
        <row r="285">
          <cell r="B285" t="str">
            <v>D86110000229</v>
          </cell>
          <cell r="C285" t="str">
            <v>D861</v>
          </cell>
          <cell r="D285" t="str">
            <v>ER23</v>
          </cell>
          <cell r="E285">
            <v>10000229</v>
          </cell>
          <cell r="F285" t="str">
            <v>Grava Triturada Basalto  10 mm - 3/8"</v>
          </cell>
          <cell r="G285">
            <v>161</v>
          </cell>
          <cell r="H285" t="str">
            <v>MXN</v>
          </cell>
          <cell r="I285">
            <v>1</v>
          </cell>
          <cell r="J285" t="str">
            <v>TN</v>
          </cell>
          <cell r="K285" t="str">
            <v>C</v>
          </cell>
          <cell r="M285" t="str">
            <v>23.02.2023</v>
          </cell>
          <cell r="N285" t="str">
            <v>31.03.2025</v>
          </cell>
          <cell r="O285" t="e">
            <v>#N/A</v>
          </cell>
          <cell r="P285" t="e">
            <v>#N/A</v>
          </cell>
        </row>
        <row r="286">
          <cell r="B286" t="str">
            <v>D86110000311</v>
          </cell>
          <cell r="C286" t="str">
            <v>D861</v>
          </cell>
          <cell r="D286" t="str">
            <v>ER23</v>
          </cell>
          <cell r="E286">
            <v>10000311</v>
          </cell>
          <cell r="F286" t="str">
            <v>Arena Triturada Basalto  Malla 4</v>
          </cell>
          <cell r="G286">
            <v>156</v>
          </cell>
          <cell r="H286" t="str">
            <v>MXN</v>
          </cell>
          <cell r="I286">
            <v>1</v>
          </cell>
          <cell r="J286" t="str">
            <v>TN</v>
          </cell>
          <cell r="K286" t="str">
            <v>C</v>
          </cell>
          <cell r="M286" t="str">
            <v>01.03.2023</v>
          </cell>
          <cell r="N286" t="str">
            <v>31.03.2025</v>
          </cell>
          <cell r="O286" t="e">
            <v>#N/A</v>
          </cell>
          <cell r="P286" t="e">
            <v>#N/A</v>
          </cell>
        </row>
        <row r="287">
          <cell r="B287" t="str">
            <v>D86110066861</v>
          </cell>
          <cell r="C287" t="str">
            <v>D861</v>
          </cell>
          <cell r="D287" t="str">
            <v>ER23</v>
          </cell>
          <cell r="E287">
            <v>10066861</v>
          </cell>
          <cell r="F287" t="str">
            <v>GRAVA TRITURADA BASALTO DE 40 A 4 MM</v>
          </cell>
          <cell r="G287">
            <v>161</v>
          </cell>
          <cell r="H287" t="str">
            <v>MXN</v>
          </cell>
          <cell r="I287">
            <v>1</v>
          </cell>
          <cell r="J287" t="str">
            <v>TN</v>
          </cell>
          <cell r="K287" t="str">
            <v>C</v>
          </cell>
          <cell r="M287" t="str">
            <v>16.12.2022</v>
          </cell>
          <cell r="N287" t="str">
            <v>31.03.2025</v>
          </cell>
          <cell r="O287" t="e">
            <v>#N/A</v>
          </cell>
          <cell r="P287" t="e">
            <v>#N/A</v>
          </cell>
        </row>
        <row r="288">
          <cell r="B288" t="str">
            <v>D86410000240</v>
          </cell>
          <cell r="C288" t="str">
            <v>D864</v>
          </cell>
          <cell r="D288" t="str">
            <v>D072</v>
          </cell>
          <cell r="E288">
            <v>10000240</v>
          </cell>
          <cell r="F288" t="str">
            <v>Grava Triturada Caliza 20 mm - 3/4"</v>
          </cell>
          <cell r="G288">
            <v>81.790000000000006</v>
          </cell>
          <cell r="H288" t="str">
            <v>MXN</v>
          </cell>
          <cell r="I288">
            <v>1</v>
          </cell>
          <cell r="J288" t="str">
            <v>TN</v>
          </cell>
          <cell r="K288" t="str">
            <v>C</v>
          </cell>
          <cell r="M288" t="str">
            <v>01.01.2025</v>
          </cell>
          <cell r="N288" t="str">
            <v>31.03.2025</v>
          </cell>
          <cell r="O288">
            <v>68.61</v>
          </cell>
          <cell r="P288">
            <v>150.4</v>
          </cell>
        </row>
        <row r="289">
          <cell r="B289" t="str">
            <v>D86410000269</v>
          </cell>
          <cell r="C289" t="str">
            <v>D864</v>
          </cell>
          <cell r="D289" t="str">
            <v>D072</v>
          </cell>
          <cell r="E289">
            <v>10000269</v>
          </cell>
          <cell r="F289" t="str">
            <v>Grava Triturada Caliza 13 mm - 1/2"</v>
          </cell>
          <cell r="G289">
            <v>81.790000000000006</v>
          </cell>
          <cell r="H289" t="str">
            <v>MXN</v>
          </cell>
          <cell r="I289">
            <v>1</v>
          </cell>
          <cell r="J289" t="str">
            <v>TN</v>
          </cell>
          <cell r="K289" t="str">
            <v>C</v>
          </cell>
          <cell r="M289" t="str">
            <v>01.01.2025</v>
          </cell>
          <cell r="N289" t="str">
            <v>31.03.2025</v>
          </cell>
          <cell r="O289">
            <v>70.010000000000005</v>
          </cell>
          <cell r="P289">
            <v>151.80000000000001</v>
          </cell>
        </row>
        <row r="290">
          <cell r="B290" t="str">
            <v>D86410001073</v>
          </cell>
          <cell r="C290" t="str">
            <v>D864</v>
          </cell>
          <cell r="D290" t="str">
            <v>D072</v>
          </cell>
          <cell r="E290">
            <v>10001073</v>
          </cell>
          <cell r="F290" t="str">
            <v>Arena Triturada Caliza Malla 4</v>
          </cell>
          <cell r="G290">
            <v>82.25</v>
          </cell>
          <cell r="H290" t="str">
            <v>MXN</v>
          </cell>
          <cell r="I290">
            <v>1</v>
          </cell>
          <cell r="J290" t="str">
            <v>TN</v>
          </cell>
          <cell r="K290" t="str">
            <v>C</v>
          </cell>
          <cell r="M290" t="str">
            <v>01.01.2025</v>
          </cell>
          <cell r="N290" t="str">
            <v>31.03.2025</v>
          </cell>
          <cell r="O290">
            <v>9.23</v>
          </cell>
          <cell r="P290">
            <v>91.48</v>
          </cell>
        </row>
        <row r="291">
          <cell r="B291" t="str">
            <v>D86410001074</v>
          </cell>
          <cell r="C291" t="str">
            <v>D864</v>
          </cell>
          <cell r="D291" t="str">
            <v>D072</v>
          </cell>
          <cell r="E291">
            <v>10001074</v>
          </cell>
          <cell r="F291" t="str">
            <v>Grava Triturada Caliza 40 mm - 1 1/2"</v>
          </cell>
          <cell r="G291">
            <v>81.790000000000006</v>
          </cell>
          <cell r="H291" t="str">
            <v>MXN</v>
          </cell>
          <cell r="I291">
            <v>1</v>
          </cell>
          <cell r="J291" t="str">
            <v>TN</v>
          </cell>
          <cell r="K291" t="str">
            <v>C</v>
          </cell>
          <cell r="M291" t="str">
            <v>01.01.2025</v>
          </cell>
          <cell r="N291" t="str">
            <v>31.03.2025</v>
          </cell>
          <cell r="O291">
            <v>95.96</v>
          </cell>
          <cell r="P291">
            <v>177.75</v>
          </cell>
        </row>
        <row r="292">
          <cell r="B292" t="str">
            <v>D86410000236</v>
          </cell>
          <cell r="C292" t="str">
            <v>D864</v>
          </cell>
          <cell r="D292" t="str">
            <v>D073</v>
          </cell>
          <cell r="E292">
            <v>10000236</v>
          </cell>
          <cell r="F292" t="str">
            <v>Grava Triturada Caliza 10 mm - 3/8"</v>
          </cell>
          <cell r="G292">
            <v>81.790000000000006</v>
          </cell>
          <cell r="H292" t="str">
            <v>MXN</v>
          </cell>
          <cell r="I292">
            <v>1</v>
          </cell>
          <cell r="J292" t="str">
            <v>TN</v>
          </cell>
          <cell r="K292" t="str">
            <v>C</v>
          </cell>
          <cell r="M292" t="str">
            <v>01.01.2025</v>
          </cell>
          <cell r="N292" t="str">
            <v>31.03.2025</v>
          </cell>
          <cell r="O292">
            <v>62.17</v>
          </cell>
          <cell r="P292">
            <v>143.96</v>
          </cell>
        </row>
        <row r="293">
          <cell r="B293" t="str">
            <v>D86410000240</v>
          </cell>
          <cell r="C293" t="str">
            <v>D864</v>
          </cell>
          <cell r="D293" t="str">
            <v>D073</v>
          </cell>
          <cell r="E293">
            <v>10000240</v>
          </cell>
          <cell r="F293" t="str">
            <v>Grava Triturada Caliza 20 mm - 3/4"</v>
          </cell>
          <cell r="G293">
            <v>81.790000000000006</v>
          </cell>
          <cell r="H293" t="str">
            <v>MXN</v>
          </cell>
          <cell r="I293">
            <v>1</v>
          </cell>
          <cell r="J293" t="str">
            <v>TN</v>
          </cell>
          <cell r="K293" t="str">
            <v>C</v>
          </cell>
          <cell r="M293" t="str">
            <v>01.01.2025</v>
          </cell>
          <cell r="N293" t="str">
            <v>31.03.2025</v>
          </cell>
          <cell r="O293">
            <v>68.61</v>
          </cell>
          <cell r="P293">
            <v>150.4</v>
          </cell>
        </row>
        <row r="294">
          <cell r="B294" t="str">
            <v>D86410000269</v>
          </cell>
          <cell r="C294" t="str">
            <v>D864</v>
          </cell>
          <cell r="D294" t="str">
            <v>D073</v>
          </cell>
          <cell r="E294">
            <v>10000269</v>
          </cell>
          <cell r="F294" t="str">
            <v>Grava Triturada Caliza 13 mm - 1/2"</v>
          </cell>
          <cell r="G294">
            <v>81.790000000000006</v>
          </cell>
          <cell r="H294" t="str">
            <v>MXN</v>
          </cell>
          <cell r="I294">
            <v>1</v>
          </cell>
          <cell r="J294" t="str">
            <v>TN</v>
          </cell>
          <cell r="K294" t="str">
            <v>C</v>
          </cell>
          <cell r="M294" t="str">
            <v>01.01.2025</v>
          </cell>
          <cell r="N294" t="str">
            <v>31.03.2025</v>
          </cell>
          <cell r="O294">
            <v>70.010000000000005</v>
          </cell>
          <cell r="P294">
            <v>151.80000000000001</v>
          </cell>
        </row>
        <row r="295">
          <cell r="B295" t="str">
            <v>D86410001073</v>
          </cell>
          <cell r="C295" t="str">
            <v>D864</v>
          </cell>
          <cell r="D295" t="str">
            <v>D073</v>
          </cell>
          <cell r="E295">
            <v>10001073</v>
          </cell>
          <cell r="F295" t="str">
            <v>Arena Triturada Caliza Malla 4</v>
          </cell>
          <cell r="G295">
            <v>82.25</v>
          </cell>
          <cell r="H295" t="str">
            <v>MXN</v>
          </cell>
          <cell r="I295">
            <v>1</v>
          </cell>
          <cell r="J295" t="str">
            <v>TN</v>
          </cell>
          <cell r="K295" t="str">
            <v>C</v>
          </cell>
          <cell r="M295" t="str">
            <v>01.01.2025</v>
          </cell>
          <cell r="N295" t="str">
            <v>31.03.2025</v>
          </cell>
          <cell r="O295">
            <v>9.23</v>
          </cell>
          <cell r="P295">
            <v>91.48</v>
          </cell>
        </row>
        <row r="296">
          <cell r="B296" t="str">
            <v>D86410001074</v>
          </cell>
          <cell r="C296" t="str">
            <v>D864</v>
          </cell>
          <cell r="D296" t="str">
            <v>D073</v>
          </cell>
          <cell r="E296">
            <v>10001074</v>
          </cell>
          <cell r="F296" t="str">
            <v>Grava Triturada Caliza 40 mm - 1 1/2"</v>
          </cell>
          <cell r="G296">
            <v>81.790000000000006</v>
          </cell>
          <cell r="H296" t="str">
            <v>MXN</v>
          </cell>
          <cell r="I296">
            <v>1</v>
          </cell>
          <cell r="J296" t="str">
            <v>TN</v>
          </cell>
          <cell r="K296" t="str">
            <v>C</v>
          </cell>
          <cell r="M296" t="str">
            <v>01.01.2025</v>
          </cell>
          <cell r="N296" t="str">
            <v>31.03.2025</v>
          </cell>
          <cell r="O296">
            <v>95.96</v>
          </cell>
          <cell r="P296">
            <v>177.75</v>
          </cell>
        </row>
        <row r="297">
          <cell r="B297" t="str">
            <v>D86410001203</v>
          </cell>
          <cell r="C297" t="str">
            <v>D864</v>
          </cell>
          <cell r="D297" t="str">
            <v>D073</v>
          </cell>
          <cell r="E297">
            <v>10001203</v>
          </cell>
          <cell r="F297" t="str">
            <v>Desperdicio Triturado Caliza</v>
          </cell>
          <cell r="G297">
            <v>1</v>
          </cell>
          <cell r="H297" t="str">
            <v>MXN</v>
          </cell>
          <cell r="I297">
            <v>1</v>
          </cell>
          <cell r="J297" t="str">
            <v>TN</v>
          </cell>
          <cell r="K297" t="str">
            <v>C</v>
          </cell>
          <cell r="M297" t="str">
            <v>01.01.2025</v>
          </cell>
          <cell r="N297" t="str">
            <v>31.03.2025</v>
          </cell>
          <cell r="O297">
            <v>21.56</v>
          </cell>
          <cell r="P297">
            <v>22.56</v>
          </cell>
        </row>
        <row r="298">
          <cell r="B298" t="str">
            <v>D86410000236</v>
          </cell>
          <cell r="C298" t="str">
            <v>D864</v>
          </cell>
          <cell r="D298" t="str">
            <v>D074</v>
          </cell>
          <cell r="E298">
            <v>10000236</v>
          </cell>
          <cell r="F298" t="str">
            <v>Grava Triturada Caliza 10 mm - 3/8"</v>
          </cell>
          <cell r="G298">
            <v>81.790000000000006</v>
          </cell>
          <cell r="H298" t="str">
            <v>MXN</v>
          </cell>
          <cell r="I298">
            <v>1</v>
          </cell>
          <cell r="J298" t="str">
            <v>TN</v>
          </cell>
          <cell r="K298" t="str">
            <v>C</v>
          </cell>
          <cell r="M298" t="str">
            <v>01.01.2025</v>
          </cell>
          <cell r="N298" t="str">
            <v>31.03.2025</v>
          </cell>
          <cell r="O298">
            <v>62.17</v>
          </cell>
          <cell r="P298">
            <v>143.96</v>
          </cell>
        </row>
        <row r="299">
          <cell r="B299" t="str">
            <v>D86410000240</v>
          </cell>
          <cell r="C299" t="str">
            <v>D864</v>
          </cell>
          <cell r="D299" t="str">
            <v>D074</v>
          </cell>
          <cell r="E299">
            <v>10000240</v>
          </cell>
          <cell r="F299" t="str">
            <v>Grava Triturada Caliza 20 mm - 3/4"</v>
          </cell>
          <cell r="G299">
            <v>81.790000000000006</v>
          </cell>
          <cell r="H299" t="str">
            <v>MXN</v>
          </cell>
          <cell r="I299">
            <v>1</v>
          </cell>
          <cell r="J299" t="str">
            <v>TN</v>
          </cell>
          <cell r="K299" t="str">
            <v>C</v>
          </cell>
          <cell r="M299" t="str">
            <v>01.01.2025</v>
          </cell>
          <cell r="N299" t="str">
            <v>31.03.2025</v>
          </cell>
          <cell r="O299">
            <v>68.61</v>
          </cell>
          <cell r="P299">
            <v>150.4</v>
          </cell>
        </row>
        <row r="300">
          <cell r="B300" t="str">
            <v>D86410000269</v>
          </cell>
          <cell r="C300" t="str">
            <v>D864</v>
          </cell>
          <cell r="D300" t="str">
            <v>D074</v>
          </cell>
          <cell r="E300">
            <v>10000269</v>
          </cell>
          <cell r="F300" t="str">
            <v>Grava Triturada Caliza 13 mm - 1/2"</v>
          </cell>
          <cell r="G300">
            <v>81.790000000000006</v>
          </cell>
          <cell r="H300" t="str">
            <v>MXN</v>
          </cell>
          <cell r="I300">
            <v>1</v>
          </cell>
          <cell r="J300" t="str">
            <v>TN</v>
          </cell>
          <cell r="K300" t="str">
            <v>C</v>
          </cell>
          <cell r="M300" t="str">
            <v>01.01.2025</v>
          </cell>
          <cell r="N300" t="str">
            <v>31.03.2025</v>
          </cell>
          <cell r="O300">
            <v>70.010000000000005</v>
          </cell>
          <cell r="P300">
            <v>151.80000000000001</v>
          </cell>
        </row>
        <row r="301">
          <cell r="B301" t="str">
            <v>D86410001073</v>
          </cell>
          <cell r="C301" t="str">
            <v>D864</v>
          </cell>
          <cell r="D301" t="str">
            <v>D074</v>
          </cell>
          <cell r="E301">
            <v>10001073</v>
          </cell>
          <cell r="F301" t="str">
            <v>Arena Triturada Caliza Malla 4</v>
          </cell>
          <cell r="G301">
            <v>82.25</v>
          </cell>
          <cell r="H301" t="str">
            <v>MXN</v>
          </cell>
          <cell r="I301">
            <v>1</v>
          </cell>
          <cell r="J301" t="str">
            <v>TN</v>
          </cell>
          <cell r="K301" t="str">
            <v>C</v>
          </cell>
          <cell r="M301" t="str">
            <v>01.01.2025</v>
          </cell>
          <cell r="N301" t="str">
            <v>31.03.2025</v>
          </cell>
          <cell r="O301">
            <v>9.23</v>
          </cell>
          <cell r="P301">
            <v>91.48</v>
          </cell>
        </row>
        <row r="302">
          <cell r="B302" t="str">
            <v>D86410001074</v>
          </cell>
          <cell r="C302" t="str">
            <v>D864</v>
          </cell>
          <cell r="D302" t="str">
            <v>D074</v>
          </cell>
          <cell r="E302">
            <v>10001074</v>
          </cell>
          <cell r="F302" t="str">
            <v>Grava Triturada Caliza 40 mm - 1 1/2"</v>
          </cell>
          <cell r="G302">
            <v>81.790000000000006</v>
          </cell>
          <cell r="H302" t="str">
            <v>MXN</v>
          </cell>
          <cell r="I302">
            <v>1</v>
          </cell>
          <cell r="J302" t="str">
            <v>TN</v>
          </cell>
          <cell r="K302" t="str">
            <v>C</v>
          </cell>
          <cell r="M302" t="str">
            <v>01.01.2025</v>
          </cell>
          <cell r="N302" t="str">
            <v>31.03.2025</v>
          </cell>
          <cell r="O302">
            <v>95.96</v>
          </cell>
          <cell r="P302">
            <v>177.75</v>
          </cell>
        </row>
        <row r="303">
          <cell r="B303" t="str">
            <v>D86410001203</v>
          </cell>
          <cell r="C303" t="str">
            <v>D864</v>
          </cell>
          <cell r="D303" t="str">
            <v>D074</v>
          </cell>
          <cell r="E303">
            <v>10001203</v>
          </cell>
          <cell r="F303" t="str">
            <v>Desperdicio Triturado Caliza</v>
          </cell>
          <cell r="G303">
            <v>1</v>
          </cell>
          <cell r="H303" t="str">
            <v>MXN</v>
          </cell>
          <cell r="I303">
            <v>1</v>
          </cell>
          <cell r="J303" t="str">
            <v>TN</v>
          </cell>
          <cell r="K303" t="str">
            <v>C</v>
          </cell>
          <cell r="M303" t="str">
            <v>01.01.2025</v>
          </cell>
          <cell r="N303" t="str">
            <v>31.03.2025</v>
          </cell>
          <cell r="O303">
            <v>21.56</v>
          </cell>
          <cell r="P303">
            <v>22.56</v>
          </cell>
        </row>
        <row r="304">
          <cell r="B304" t="str">
            <v>D86410000236</v>
          </cell>
          <cell r="C304" t="str">
            <v>D864</v>
          </cell>
          <cell r="D304" t="str">
            <v>D075</v>
          </cell>
          <cell r="E304">
            <v>10000236</v>
          </cell>
          <cell r="F304" t="str">
            <v>Grava Triturada Caliza 10 mm - 3/8"</v>
          </cell>
          <cell r="G304">
            <v>81.790000000000006</v>
          </cell>
          <cell r="H304" t="str">
            <v>MXN</v>
          </cell>
          <cell r="I304">
            <v>1</v>
          </cell>
          <cell r="J304" t="str">
            <v>TN</v>
          </cell>
          <cell r="K304" t="str">
            <v>C</v>
          </cell>
          <cell r="M304" t="str">
            <v>01.01.2025</v>
          </cell>
          <cell r="N304" t="str">
            <v>31.03.2025</v>
          </cell>
          <cell r="O304">
            <v>62.17</v>
          </cell>
          <cell r="P304">
            <v>143.96</v>
          </cell>
        </row>
        <row r="305">
          <cell r="B305" t="str">
            <v>D86410000240</v>
          </cell>
          <cell r="C305" t="str">
            <v>D864</v>
          </cell>
          <cell r="D305" t="str">
            <v>D075</v>
          </cell>
          <cell r="E305">
            <v>10000240</v>
          </cell>
          <cell r="F305" t="str">
            <v>Grava Triturada Caliza 20 mm - 3/4"</v>
          </cell>
          <cell r="G305">
            <v>81.790000000000006</v>
          </cell>
          <cell r="H305" t="str">
            <v>MXN</v>
          </cell>
          <cell r="I305">
            <v>1</v>
          </cell>
          <cell r="J305" t="str">
            <v>TN</v>
          </cell>
          <cell r="K305" t="str">
            <v>C</v>
          </cell>
          <cell r="M305" t="str">
            <v>01.01.2025</v>
          </cell>
          <cell r="N305" t="str">
            <v>31.03.2025</v>
          </cell>
          <cell r="O305">
            <v>68.61</v>
          </cell>
          <cell r="P305">
            <v>150.4</v>
          </cell>
        </row>
        <row r="306">
          <cell r="B306" t="str">
            <v>D86410000269</v>
          </cell>
          <cell r="C306" t="str">
            <v>D864</v>
          </cell>
          <cell r="D306" t="str">
            <v>D075</v>
          </cell>
          <cell r="E306">
            <v>10000269</v>
          </cell>
          <cell r="F306" t="str">
            <v>Grava Triturada Caliza 13 mm - 1/2"</v>
          </cell>
          <cell r="G306">
            <v>81.790000000000006</v>
          </cell>
          <cell r="H306" t="str">
            <v>MXN</v>
          </cell>
          <cell r="I306">
            <v>1</v>
          </cell>
          <cell r="J306" t="str">
            <v>TN</v>
          </cell>
          <cell r="K306" t="str">
            <v>C</v>
          </cell>
          <cell r="M306" t="str">
            <v>01.01.2025</v>
          </cell>
          <cell r="N306" t="str">
            <v>31.03.2025</v>
          </cell>
          <cell r="O306">
            <v>70.010000000000005</v>
          </cell>
          <cell r="P306">
            <v>151.80000000000001</v>
          </cell>
        </row>
        <row r="307">
          <cell r="B307" t="str">
            <v>D86410001073</v>
          </cell>
          <cell r="C307" t="str">
            <v>D864</v>
          </cell>
          <cell r="D307" t="str">
            <v>D075</v>
          </cell>
          <cell r="E307">
            <v>10001073</v>
          </cell>
          <cell r="F307" t="str">
            <v>Arena Triturada Caliza Malla 4</v>
          </cell>
          <cell r="G307">
            <v>82.25</v>
          </cell>
          <cell r="H307" t="str">
            <v>MXN</v>
          </cell>
          <cell r="I307">
            <v>1</v>
          </cell>
          <cell r="J307" t="str">
            <v>TN</v>
          </cell>
          <cell r="K307" t="str">
            <v>C</v>
          </cell>
          <cell r="M307" t="str">
            <v>01.01.2025</v>
          </cell>
          <cell r="N307" t="str">
            <v>31.03.2025</v>
          </cell>
          <cell r="O307">
            <v>9.23</v>
          </cell>
          <cell r="P307">
            <v>91.48</v>
          </cell>
        </row>
        <row r="308">
          <cell r="B308" t="str">
            <v>D86410001074</v>
          </cell>
          <cell r="C308" t="str">
            <v>D864</v>
          </cell>
          <cell r="D308" t="str">
            <v>D075</v>
          </cell>
          <cell r="E308">
            <v>10001074</v>
          </cell>
          <cell r="F308" t="str">
            <v>Grava Triturada Caliza 40 mm - 1 1/2"</v>
          </cell>
          <cell r="G308">
            <v>81.790000000000006</v>
          </cell>
          <cell r="H308" t="str">
            <v>MXN</v>
          </cell>
          <cell r="I308">
            <v>1</v>
          </cell>
          <cell r="J308" t="str">
            <v>TN</v>
          </cell>
          <cell r="K308" t="str">
            <v>C</v>
          </cell>
          <cell r="M308" t="str">
            <v>01.01.2025</v>
          </cell>
          <cell r="N308" t="str">
            <v>31.03.2025</v>
          </cell>
          <cell r="O308">
            <v>95.96</v>
          </cell>
          <cell r="P308">
            <v>177.75</v>
          </cell>
        </row>
        <row r="309">
          <cell r="B309" t="str">
            <v>D86410001203</v>
          </cell>
          <cell r="C309" t="str">
            <v>D864</v>
          </cell>
          <cell r="D309" t="str">
            <v>D075</v>
          </cell>
          <cell r="E309">
            <v>10001203</v>
          </cell>
          <cell r="F309" t="str">
            <v>Desperdicio Triturado Caliza</v>
          </cell>
          <cell r="G309">
            <v>1</v>
          </cell>
          <cell r="H309" t="str">
            <v>MXN</v>
          </cell>
          <cell r="I309">
            <v>1</v>
          </cell>
          <cell r="J309" t="str">
            <v>TN</v>
          </cell>
          <cell r="K309" t="str">
            <v>C</v>
          </cell>
          <cell r="M309" t="str">
            <v>01.01.2025</v>
          </cell>
          <cell r="N309" t="str">
            <v>31.03.2025</v>
          </cell>
          <cell r="O309">
            <v>21.56</v>
          </cell>
          <cell r="P309">
            <v>22.56</v>
          </cell>
        </row>
        <row r="310">
          <cell r="B310" t="str">
            <v>D86410000236</v>
          </cell>
          <cell r="C310" t="str">
            <v>D864</v>
          </cell>
          <cell r="D310" t="str">
            <v>D077</v>
          </cell>
          <cell r="E310">
            <v>10000236</v>
          </cell>
          <cell r="F310" t="str">
            <v>Grava Triturada Caliza 10 mm - 3/8"</v>
          </cell>
          <cell r="G310">
            <v>81.790000000000006</v>
          </cell>
          <cell r="H310" t="str">
            <v>MXN</v>
          </cell>
          <cell r="I310">
            <v>1</v>
          </cell>
          <cell r="J310" t="str">
            <v>TN</v>
          </cell>
          <cell r="K310" t="str">
            <v>C</v>
          </cell>
          <cell r="M310" t="str">
            <v>01.01.2025</v>
          </cell>
          <cell r="N310" t="str">
            <v>31.03.2025</v>
          </cell>
          <cell r="O310">
            <v>62.17</v>
          </cell>
          <cell r="P310">
            <v>143.96</v>
          </cell>
        </row>
        <row r="311">
          <cell r="B311" t="str">
            <v>D86410000240</v>
          </cell>
          <cell r="C311" t="str">
            <v>D864</v>
          </cell>
          <cell r="D311" t="str">
            <v>D077</v>
          </cell>
          <cell r="E311">
            <v>10000240</v>
          </cell>
          <cell r="F311" t="str">
            <v>Grava Triturada Caliza 20 mm - 3/4"</v>
          </cell>
          <cell r="G311">
            <v>81.790000000000006</v>
          </cell>
          <cell r="H311" t="str">
            <v>MXN</v>
          </cell>
          <cell r="I311">
            <v>1</v>
          </cell>
          <cell r="J311" t="str">
            <v>TN</v>
          </cell>
          <cell r="K311" t="str">
            <v>C</v>
          </cell>
          <cell r="M311" t="str">
            <v>01.01.2025</v>
          </cell>
          <cell r="N311" t="str">
            <v>31.03.2025</v>
          </cell>
          <cell r="O311">
            <v>68.61</v>
          </cell>
          <cell r="P311">
            <v>150.4</v>
          </cell>
        </row>
        <row r="312">
          <cell r="B312" t="str">
            <v>D86410000269</v>
          </cell>
          <cell r="C312" t="str">
            <v>D864</v>
          </cell>
          <cell r="D312" t="str">
            <v>D077</v>
          </cell>
          <cell r="E312">
            <v>10000269</v>
          </cell>
          <cell r="F312" t="str">
            <v>Grava Triturada Caliza 13 mm - 1/2"</v>
          </cell>
          <cell r="G312">
            <v>81.790000000000006</v>
          </cell>
          <cell r="H312" t="str">
            <v>MXN</v>
          </cell>
          <cell r="I312">
            <v>1</v>
          </cell>
          <cell r="J312" t="str">
            <v>TN</v>
          </cell>
          <cell r="K312" t="str">
            <v>C</v>
          </cell>
          <cell r="M312" t="str">
            <v>01.01.2025</v>
          </cell>
          <cell r="N312" t="str">
            <v>31.03.2025</v>
          </cell>
          <cell r="O312">
            <v>70.010000000000005</v>
          </cell>
          <cell r="P312">
            <v>151.80000000000001</v>
          </cell>
        </row>
        <row r="313">
          <cell r="B313" t="str">
            <v>D86410001073</v>
          </cell>
          <cell r="C313" t="str">
            <v>D864</v>
          </cell>
          <cell r="D313" t="str">
            <v>D077</v>
          </cell>
          <cell r="E313">
            <v>10001073</v>
          </cell>
          <cell r="F313" t="str">
            <v>Arena Triturada Caliza Malla 4</v>
          </cell>
          <cell r="G313">
            <v>82.25</v>
          </cell>
          <cell r="H313" t="str">
            <v>MXN</v>
          </cell>
          <cell r="I313">
            <v>1</v>
          </cell>
          <cell r="J313" t="str">
            <v>TN</v>
          </cell>
          <cell r="K313" t="str">
            <v>C</v>
          </cell>
          <cell r="M313" t="str">
            <v>01.01.2025</v>
          </cell>
          <cell r="N313" t="str">
            <v>31.03.2025</v>
          </cell>
          <cell r="O313">
            <v>9.23</v>
          </cell>
          <cell r="P313">
            <v>91.48</v>
          </cell>
        </row>
        <row r="314">
          <cell r="B314" t="str">
            <v>D86410001074</v>
          </cell>
          <cell r="C314" t="str">
            <v>D864</v>
          </cell>
          <cell r="D314" t="str">
            <v>D077</v>
          </cell>
          <cell r="E314">
            <v>10001074</v>
          </cell>
          <cell r="F314" t="str">
            <v>Grava Triturada Caliza 40 mm - 1 1/2"</v>
          </cell>
          <cell r="G314">
            <v>81.790000000000006</v>
          </cell>
          <cell r="H314" t="str">
            <v>MXN</v>
          </cell>
          <cell r="I314">
            <v>1</v>
          </cell>
          <cell r="J314" t="str">
            <v>TN</v>
          </cell>
          <cell r="K314" t="str">
            <v>C</v>
          </cell>
          <cell r="M314" t="str">
            <v>01.01.2025</v>
          </cell>
          <cell r="N314" t="str">
            <v>31.03.2025</v>
          </cell>
          <cell r="O314">
            <v>95.96</v>
          </cell>
          <cell r="P314">
            <v>177.75</v>
          </cell>
        </row>
        <row r="315">
          <cell r="B315" t="str">
            <v>D86410001203</v>
          </cell>
          <cell r="C315" t="str">
            <v>D864</v>
          </cell>
          <cell r="D315" t="str">
            <v>D077</v>
          </cell>
          <cell r="E315">
            <v>10001203</v>
          </cell>
          <cell r="F315" t="str">
            <v>Desperdicio Triturado Caliza</v>
          </cell>
          <cell r="G315">
            <v>1</v>
          </cell>
          <cell r="H315" t="str">
            <v>MXN</v>
          </cell>
          <cell r="I315">
            <v>1</v>
          </cell>
          <cell r="J315" t="str">
            <v>TN</v>
          </cell>
          <cell r="K315" t="str">
            <v>C</v>
          </cell>
          <cell r="M315" t="str">
            <v>01.01.2025</v>
          </cell>
          <cell r="N315" t="str">
            <v>31.03.2025</v>
          </cell>
          <cell r="O315">
            <v>21.56</v>
          </cell>
          <cell r="P315">
            <v>22.56</v>
          </cell>
        </row>
        <row r="316">
          <cell r="B316" t="str">
            <v>D86410000236</v>
          </cell>
          <cell r="C316" t="str">
            <v>D864</v>
          </cell>
          <cell r="D316" t="str">
            <v>D079</v>
          </cell>
          <cell r="E316">
            <v>10000236</v>
          </cell>
          <cell r="F316" t="str">
            <v>Grava Triturada Caliza 10 mm - 3/8"</v>
          </cell>
          <cell r="G316">
            <v>81.790000000000006</v>
          </cell>
          <cell r="H316" t="str">
            <v>MXN</v>
          </cell>
          <cell r="I316">
            <v>1</v>
          </cell>
          <cell r="J316" t="str">
            <v>TN</v>
          </cell>
          <cell r="K316" t="str">
            <v>C</v>
          </cell>
          <cell r="M316" t="str">
            <v>01.01.2025</v>
          </cell>
          <cell r="N316" t="str">
            <v>31.03.2025</v>
          </cell>
          <cell r="O316">
            <v>62.17</v>
          </cell>
          <cell r="P316">
            <v>143.96</v>
          </cell>
        </row>
        <row r="317">
          <cell r="B317" t="str">
            <v>D86410000240</v>
          </cell>
          <cell r="C317" t="str">
            <v>D864</v>
          </cell>
          <cell r="D317" t="str">
            <v>D079</v>
          </cell>
          <cell r="E317">
            <v>10000240</v>
          </cell>
          <cell r="F317" t="str">
            <v>Grava Triturada Caliza 20 mm - 3/4"</v>
          </cell>
          <cell r="G317">
            <v>81.790000000000006</v>
          </cell>
          <cell r="H317" t="str">
            <v>MXN</v>
          </cell>
          <cell r="I317">
            <v>1</v>
          </cell>
          <cell r="J317" t="str">
            <v>TN</v>
          </cell>
          <cell r="K317" t="str">
            <v>C</v>
          </cell>
          <cell r="M317" t="str">
            <v>01.01.2025</v>
          </cell>
          <cell r="N317" t="str">
            <v>31.03.2025</v>
          </cell>
          <cell r="O317">
            <v>68.61</v>
          </cell>
          <cell r="P317">
            <v>150.4</v>
          </cell>
        </row>
        <row r="318">
          <cell r="B318" t="str">
            <v>D86410000269</v>
          </cell>
          <cell r="C318" t="str">
            <v>D864</v>
          </cell>
          <cell r="D318" t="str">
            <v>D079</v>
          </cell>
          <cell r="E318">
            <v>10000269</v>
          </cell>
          <cell r="F318" t="str">
            <v>Grava Triturada Caliza 13 mm - 1/2"</v>
          </cell>
          <cell r="G318">
            <v>81.790000000000006</v>
          </cell>
          <cell r="H318" t="str">
            <v>MXN</v>
          </cell>
          <cell r="I318">
            <v>1</v>
          </cell>
          <cell r="J318" t="str">
            <v>TN</v>
          </cell>
          <cell r="K318" t="str">
            <v>C</v>
          </cell>
          <cell r="M318" t="str">
            <v>01.01.2025</v>
          </cell>
          <cell r="N318" t="str">
            <v>31.03.2025</v>
          </cell>
          <cell r="O318">
            <v>70.010000000000005</v>
          </cell>
          <cell r="P318">
            <v>151.80000000000001</v>
          </cell>
        </row>
        <row r="319">
          <cell r="B319" t="str">
            <v>D86410001073</v>
          </cell>
          <cell r="C319" t="str">
            <v>D864</v>
          </cell>
          <cell r="D319" t="str">
            <v>D079</v>
          </cell>
          <cell r="E319">
            <v>10001073</v>
          </cell>
          <cell r="F319" t="str">
            <v>Arena Triturada Caliza Malla 4</v>
          </cell>
          <cell r="G319">
            <v>82.25</v>
          </cell>
          <cell r="H319" t="str">
            <v>MXN</v>
          </cell>
          <cell r="I319">
            <v>1</v>
          </cell>
          <cell r="J319" t="str">
            <v>TN</v>
          </cell>
          <cell r="K319" t="str">
            <v>C</v>
          </cell>
          <cell r="M319" t="str">
            <v>01.01.2025</v>
          </cell>
          <cell r="N319" t="str">
            <v>31.03.2025</v>
          </cell>
          <cell r="O319">
            <v>9.23</v>
          </cell>
          <cell r="P319">
            <v>91.48</v>
          </cell>
        </row>
        <row r="320">
          <cell r="B320" t="str">
            <v>D86410001074</v>
          </cell>
          <cell r="C320" t="str">
            <v>D864</v>
          </cell>
          <cell r="D320" t="str">
            <v>D079</v>
          </cell>
          <cell r="E320">
            <v>10001074</v>
          </cell>
          <cell r="F320" t="str">
            <v>Grava Triturada Caliza 40 mm - 1 1/2"</v>
          </cell>
          <cell r="G320">
            <v>81.790000000000006</v>
          </cell>
          <cell r="H320" t="str">
            <v>MXN</v>
          </cell>
          <cell r="I320">
            <v>1</v>
          </cell>
          <cell r="J320" t="str">
            <v>TN</v>
          </cell>
          <cell r="K320" t="str">
            <v>C</v>
          </cell>
          <cell r="M320" t="str">
            <v>01.01.2025</v>
          </cell>
          <cell r="N320" t="str">
            <v>31.03.2025</v>
          </cell>
          <cell r="O320">
            <v>95.96</v>
          </cell>
          <cell r="P320">
            <v>177.75</v>
          </cell>
        </row>
        <row r="321">
          <cell r="B321" t="str">
            <v>D86410001203</v>
          </cell>
          <cell r="C321" t="str">
            <v>D864</v>
          </cell>
          <cell r="D321" t="str">
            <v>D079</v>
          </cell>
          <cell r="E321">
            <v>10001203</v>
          </cell>
          <cell r="F321" t="str">
            <v>Desperdicio Triturado Caliza</v>
          </cell>
          <cell r="G321">
            <v>1</v>
          </cell>
          <cell r="H321" t="str">
            <v>MXN</v>
          </cell>
          <cell r="I321">
            <v>1</v>
          </cell>
          <cell r="J321" t="str">
            <v>TN</v>
          </cell>
          <cell r="K321" t="str">
            <v>C</v>
          </cell>
          <cell r="M321" t="str">
            <v>01.01.2025</v>
          </cell>
          <cell r="N321" t="str">
            <v>31.03.2025</v>
          </cell>
          <cell r="O321">
            <v>21.56</v>
          </cell>
          <cell r="P321">
            <v>22.56</v>
          </cell>
        </row>
        <row r="322">
          <cell r="B322" t="str">
            <v>D86410000236</v>
          </cell>
          <cell r="C322" t="str">
            <v>D864</v>
          </cell>
          <cell r="D322" t="str">
            <v>D080</v>
          </cell>
          <cell r="E322">
            <v>10000236</v>
          </cell>
          <cell r="F322" t="str">
            <v>Grava Triturada Caliza 10 mm - 3/8"</v>
          </cell>
          <cell r="G322">
            <v>81.790000000000006</v>
          </cell>
          <cell r="H322" t="str">
            <v>MXN</v>
          </cell>
          <cell r="I322">
            <v>1</v>
          </cell>
          <cell r="J322" t="str">
            <v>TN</v>
          </cell>
          <cell r="K322" t="str">
            <v>C</v>
          </cell>
          <cell r="M322" t="str">
            <v>01.01.2025</v>
          </cell>
          <cell r="N322" t="str">
            <v>31.03.2025</v>
          </cell>
          <cell r="O322">
            <v>62.17</v>
          </cell>
          <cell r="P322">
            <v>143.96</v>
          </cell>
        </row>
        <row r="323">
          <cell r="B323" t="str">
            <v>D86410000240</v>
          </cell>
          <cell r="C323" t="str">
            <v>D864</v>
          </cell>
          <cell r="D323" t="str">
            <v>D080</v>
          </cell>
          <cell r="E323">
            <v>10000240</v>
          </cell>
          <cell r="F323" t="str">
            <v>Grava Triturada Caliza 20 mm - 3/4"</v>
          </cell>
          <cell r="G323">
            <v>81.790000000000006</v>
          </cell>
          <cell r="H323" t="str">
            <v>MXN</v>
          </cell>
          <cell r="I323">
            <v>1</v>
          </cell>
          <cell r="J323" t="str">
            <v>TN</v>
          </cell>
          <cell r="K323" t="str">
            <v>C</v>
          </cell>
          <cell r="M323" t="str">
            <v>01.01.2025</v>
          </cell>
          <cell r="N323" t="str">
            <v>31.03.2025</v>
          </cell>
          <cell r="O323">
            <v>68.61</v>
          </cell>
          <cell r="P323">
            <v>150.4</v>
          </cell>
        </row>
        <row r="324">
          <cell r="B324" t="str">
            <v>D86410000269</v>
          </cell>
          <cell r="C324" t="str">
            <v>D864</v>
          </cell>
          <cell r="D324" t="str">
            <v>D080</v>
          </cell>
          <cell r="E324">
            <v>10000269</v>
          </cell>
          <cell r="F324" t="str">
            <v>Grava Triturada Caliza 13 mm - 1/2"</v>
          </cell>
          <cell r="G324">
            <v>81.790000000000006</v>
          </cell>
          <cell r="H324" t="str">
            <v>MXN</v>
          </cell>
          <cell r="I324">
            <v>1</v>
          </cell>
          <cell r="J324" t="str">
            <v>TN</v>
          </cell>
          <cell r="K324" t="str">
            <v>C</v>
          </cell>
          <cell r="M324" t="str">
            <v>01.01.2025</v>
          </cell>
          <cell r="N324" t="str">
            <v>31.03.2025</v>
          </cell>
          <cell r="O324">
            <v>70.010000000000005</v>
          </cell>
          <cell r="P324">
            <v>151.80000000000001</v>
          </cell>
        </row>
        <row r="325">
          <cell r="B325" t="str">
            <v>D86410001073</v>
          </cell>
          <cell r="C325" t="str">
            <v>D864</v>
          </cell>
          <cell r="D325" t="str">
            <v>D080</v>
          </cell>
          <cell r="E325">
            <v>10001073</v>
          </cell>
          <cell r="F325" t="str">
            <v>Arena Triturada Caliza Malla 4</v>
          </cell>
          <cell r="G325">
            <v>82.25</v>
          </cell>
          <cell r="H325" t="str">
            <v>MXN</v>
          </cell>
          <cell r="I325">
            <v>1</v>
          </cell>
          <cell r="J325" t="str">
            <v>TN</v>
          </cell>
          <cell r="K325" t="str">
            <v>C</v>
          </cell>
          <cell r="M325" t="str">
            <v>01.01.2025</v>
          </cell>
          <cell r="N325" t="str">
            <v>31.03.2025</v>
          </cell>
          <cell r="O325">
            <v>9.23</v>
          </cell>
          <cell r="P325">
            <v>91.48</v>
          </cell>
        </row>
        <row r="326">
          <cell r="B326" t="str">
            <v>D86410001074</v>
          </cell>
          <cell r="C326" t="str">
            <v>D864</v>
          </cell>
          <cell r="D326" t="str">
            <v>D080</v>
          </cell>
          <cell r="E326">
            <v>10001074</v>
          </cell>
          <cell r="F326" t="str">
            <v>Grava Triturada Caliza 40 mm - 1 1/2"</v>
          </cell>
          <cell r="G326">
            <v>81.790000000000006</v>
          </cell>
          <cell r="H326" t="str">
            <v>MXN</v>
          </cell>
          <cell r="I326">
            <v>1</v>
          </cell>
          <cell r="J326" t="str">
            <v>TN</v>
          </cell>
          <cell r="K326" t="str">
            <v>C</v>
          </cell>
          <cell r="M326" t="str">
            <v>01.01.2025</v>
          </cell>
          <cell r="N326" t="str">
            <v>31.03.2025</v>
          </cell>
          <cell r="O326">
            <v>95.96</v>
          </cell>
          <cell r="P326">
            <v>177.75</v>
          </cell>
        </row>
        <row r="327">
          <cell r="B327" t="str">
            <v>D86410001203</v>
          </cell>
          <cell r="C327" t="str">
            <v>D864</v>
          </cell>
          <cell r="D327" t="str">
            <v>D080</v>
          </cell>
          <cell r="E327">
            <v>10001203</v>
          </cell>
          <cell r="F327" t="str">
            <v>Desperdicio Triturado Caliza</v>
          </cell>
          <cell r="G327">
            <v>1</v>
          </cell>
          <cell r="H327" t="str">
            <v>MXN</v>
          </cell>
          <cell r="I327">
            <v>1</v>
          </cell>
          <cell r="J327" t="str">
            <v>TN</v>
          </cell>
          <cell r="K327" t="str">
            <v>C</v>
          </cell>
          <cell r="M327" t="str">
            <v>01.01.2025</v>
          </cell>
          <cell r="N327" t="str">
            <v>31.03.2025</v>
          </cell>
          <cell r="O327">
            <v>21.56</v>
          </cell>
          <cell r="P327">
            <v>22.56</v>
          </cell>
        </row>
        <row r="328">
          <cell r="B328" t="str">
            <v>D86410000236</v>
          </cell>
          <cell r="C328" t="str">
            <v>D864</v>
          </cell>
          <cell r="D328" t="str">
            <v>D081</v>
          </cell>
          <cell r="E328">
            <v>10000236</v>
          </cell>
          <cell r="F328" t="str">
            <v>Grava Triturada Caliza 10 mm - 3/8"</v>
          </cell>
          <cell r="G328">
            <v>81.790000000000006</v>
          </cell>
          <cell r="H328" t="str">
            <v>MXN</v>
          </cell>
          <cell r="I328">
            <v>1</v>
          </cell>
          <cell r="J328" t="str">
            <v>TN</v>
          </cell>
          <cell r="K328" t="str">
            <v>C</v>
          </cell>
          <cell r="M328" t="str">
            <v>01.01.2025</v>
          </cell>
          <cell r="N328" t="str">
            <v>31.03.2025</v>
          </cell>
          <cell r="O328">
            <v>62.17</v>
          </cell>
          <cell r="P328">
            <v>143.96</v>
          </cell>
        </row>
        <row r="329">
          <cell r="B329" t="str">
            <v>D86410000240</v>
          </cell>
          <cell r="C329" t="str">
            <v>D864</v>
          </cell>
          <cell r="D329" t="str">
            <v>D081</v>
          </cell>
          <cell r="E329">
            <v>10000240</v>
          </cell>
          <cell r="F329" t="str">
            <v>Grava Triturada Caliza 20 mm - 3/4"</v>
          </cell>
          <cell r="G329">
            <v>81.790000000000006</v>
          </cell>
          <cell r="H329" t="str">
            <v>MXN</v>
          </cell>
          <cell r="I329">
            <v>1</v>
          </cell>
          <cell r="J329" t="str">
            <v>TN</v>
          </cell>
          <cell r="K329" t="str">
            <v>C</v>
          </cell>
          <cell r="M329" t="str">
            <v>01.01.2025</v>
          </cell>
          <cell r="N329" t="str">
            <v>31.03.2025</v>
          </cell>
          <cell r="O329">
            <v>68.61</v>
          </cell>
          <cell r="P329">
            <v>150.4</v>
          </cell>
        </row>
        <row r="330">
          <cell r="B330" t="str">
            <v>D86410000269</v>
          </cell>
          <cell r="C330" t="str">
            <v>D864</v>
          </cell>
          <cell r="D330" t="str">
            <v>D081</v>
          </cell>
          <cell r="E330">
            <v>10000269</v>
          </cell>
          <cell r="F330" t="str">
            <v>Grava Triturada Caliza 13 mm - 1/2"</v>
          </cell>
          <cell r="G330">
            <v>81.790000000000006</v>
          </cell>
          <cell r="H330" t="str">
            <v>MXN</v>
          </cell>
          <cell r="I330">
            <v>1</v>
          </cell>
          <cell r="J330" t="str">
            <v>TN</v>
          </cell>
          <cell r="K330" t="str">
            <v>C</v>
          </cell>
          <cell r="M330" t="str">
            <v>01.01.2025</v>
          </cell>
          <cell r="N330" t="str">
            <v>31.03.2025</v>
          </cell>
          <cell r="O330">
            <v>70.010000000000005</v>
          </cell>
          <cell r="P330">
            <v>151.80000000000001</v>
          </cell>
        </row>
        <row r="331">
          <cell r="B331" t="str">
            <v>D86410001073</v>
          </cell>
          <cell r="C331" t="str">
            <v>D864</v>
          </cell>
          <cell r="D331" t="str">
            <v>D081</v>
          </cell>
          <cell r="E331">
            <v>10001073</v>
          </cell>
          <cell r="F331" t="str">
            <v>Arena Triturada Caliza Malla 4</v>
          </cell>
          <cell r="G331">
            <v>82.25</v>
          </cell>
          <cell r="H331" t="str">
            <v>MXN</v>
          </cell>
          <cell r="I331">
            <v>1</v>
          </cell>
          <cell r="J331" t="str">
            <v>TN</v>
          </cell>
          <cell r="K331" t="str">
            <v>C</v>
          </cell>
          <cell r="M331" t="str">
            <v>01.01.2025</v>
          </cell>
          <cell r="N331" t="str">
            <v>31.03.2025</v>
          </cell>
          <cell r="O331">
            <v>9.23</v>
          </cell>
          <cell r="P331">
            <v>91.48</v>
          </cell>
        </row>
        <row r="332">
          <cell r="B332" t="str">
            <v>D86410001074</v>
          </cell>
          <cell r="C332" t="str">
            <v>D864</v>
          </cell>
          <cell r="D332" t="str">
            <v>D081</v>
          </cell>
          <cell r="E332">
            <v>10001074</v>
          </cell>
          <cell r="F332" t="str">
            <v>Grava Triturada Caliza 40 mm - 1 1/2"</v>
          </cell>
          <cell r="G332">
            <v>81.790000000000006</v>
          </cell>
          <cell r="H332" t="str">
            <v>MXN</v>
          </cell>
          <cell r="I332">
            <v>1</v>
          </cell>
          <cell r="J332" t="str">
            <v>TN</v>
          </cell>
          <cell r="K332" t="str">
            <v>C</v>
          </cell>
          <cell r="M332" t="str">
            <v>01.01.2025</v>
          </cell>
          <cell r="N332" t="str">
            <v>31.03.2025</v>
          </cell>
          <cell r="O332">
            <v>95.96</v>
          </cell>
          <cell r="P332">
            <v>177.75</v>
          </cell>
        </row>
        <row r="333">
          <cell r="B333" t="str">
            <v>D86410001203</v>
          </cell>
          <cell r="C333" t="str">
            <v>D864</v>
          </cell>
          <cell r="D333" t="str">
            <v>D081</v>
          </cell>
          <cell r="E333">
            <v>10001203</v>
          </cell>
          <cell r="F333" t="str">
            <v>Desperdicio Triturado Caliza</v>
          </cell>
          <cell r="G333">
            <v>1</v>
          </cell>
          <cell r="H333" t="str">
            <v>MXN</v>
          </cell>
          <cell r="I333">
            <v>1</v>
          </cell>
          <cell r="J333" t="str">
            <v>TN</v>
          </cell>
          <cell r="K333" t="str">
            <v>C</v>
          </cell>
          <cell r="M333" t="str">
            <v>01.01.2025</v>
          </cell>
          <cell r="N333" t="str">
            <v>31.03.2025</v>
          </cell>
          <cell r="O333">
            <v>21.56</v>
          </cell>
          <cell r="P333">
            <v>22.56</v>
          </cell>
        </row>
        <row r="334">
          <cell r="B334" t="str">
            <v>D86410000236</v>
          </cell>
          <cell r="C334" t="str">
            <v>D864</v>
          </cell>
          <cell r="D334" t="str">
            <v>D083</v>
          </cell>
          <cell r="E334">
            <v>10000236</v>
          </cell>
          <cell r="F334" t="str">
            <v>Grava Triturada Caliza 10 mm - 3/8"</v>
          </cell>
          <cell r="G334">
            <v>81.790000000000006</v>
          </cell>
          <cell r="H334" t="str">
            <v>MXN</v>
          </cell>
          <cell r="I334">
            <v>1</v>
          </cell>
          <cell r="J334" t="str">
            <v>TN</v>
          </cell>
          <cell r="K334" t="str">
            <v>C</v>
          </cell>
          <cell r="M334" t="str">
            <v>01.01.2025</v>
          </cell>
          <cell r="N334" t="str">
            <v>31.03.2025</v>
          </cell>
          <cell r="O334">
            <v>62.17</v>
          </cell>
          <cell r="P334">
            <v>143.96</v>
          </cell>
        </row>
        <row r="335">
          <cell r="B335" t="str">
            <v>D86410000240</v>
          </cell>
          <cell r="C335" t="str">
            <v>D864</v>
          </cell>
          <cell r="D335" t="str">
            <v>D083</v>
          </cell>
          <cell r="E335">
            <v>10000240</v>
          </cell>
          <cell r="F335" t="str">
            <v>Grava Triturada Caliza 20 mm - 3/4"</v>
          </cell>
          <cell r="G335">
            <v>81.790000000000006</v>
          </cell>
          <cell r="H335" t="str">
            <v>MXN</v>
          </cell>
          <cell r="I335">
            <v>1</v>
          </cell>
          <cell r="J335" t="str">
            <v>TN</v>
          </cell>
          <cell r="K335" t="str">
            <v>C</v>
          </cell>
          <cell r="M335" t="str">
            <v>01.01.2025</v>
          </cell>
          <cell r="N335" t="str">
            <v>31.03.2025</v>
          </cell>
          <cell r="O335">
            <v>68.61</v>
          </cell>
          <cell r="P335">
            <v>150.4</v>
          </cell>
        </row>
        <row r="336">
          <cell r="B336" t="str">
            <v>D86410000269</v>
          </cell>
          <cell r="C336" t="str">
            <v>D864</v>
          </cell>
          <cell r="D336" t="str">
            <v>D083</v>
          </cell>
          <cell r="E336">
            <v>10000269</v>
          </cell>
          <cell r="F336" t="str">
            <v>Grava Triturada Caliza 13 mm - 1/2"</v>
          </cell>
          <cell r="G336">
            <v>81.790000000000006</v>
          </cell>
          <cell r="H336" t="str">
            <v>MXN</v>
          </cell>
          <cell r="I336">
            <v>1</v>
          </cell>
          <cell r="J336" t="str">
            <v>TN</v>
          </cell>
          <cell r="K336" t="str">
            <v>C</v>
          </cell>
          <cell r="M336" t="str">
            <v>01.01.2025</v>
          </cell>
          <cell r="N336" t="str">
            <v>31.03.2025</v>
          </cell>
          <cell r="O336">
            <v>70.010000000000005</v>
          </cell>
          <cell r="P336">
            <v>151.80000000000001</v>
          </cell>
        </row>
        <row r="337">
          <cell r="B337" t="str">
            <v>D86410001073</v>
          </cell>
          <cell r="C337" t="str">
            <v>D864</v>
          </cell>
          <cell r="D337" t="str">
            <v>D083</v>
          </cell>
          <cell r="E337">
            <v>10001073</v>
          </cell>
          <cell r="F337" t="str">
            <v>Arena Triturada Caliza Malla 4</v>
          </cell>
          <cell r="G337">
            <v>82.25</v>
          </cell>
          <cell r="H337" t="str">
            <v>MXN</v>
          </cell>
          <cell r="I337">
            <v>1</v>
          </cell>
          <cell r="J337" t="str">
            <v>TN</v>
          </cell>
          <cell r="K337" t="str">
            <v>C</v>
          </cell>
          <cell r="M337" t="str">
            <v>01.01.2025</v>
          </cell>
          <cell r="N337" t="str">
            <v>31.03.2025</v>
          </cell>
          <cell r="O337">
            <v>9.23</v>
          </cell>
          <cell r="P337">
            <v>91.48</v>
          </cell>
        </row>
        <row r="338">
          <cell r="B338" t="str">
            <v>D86410001074</v>
          </cell>
          <cell r="C338" t="str">
            <v>D864</v>
          </cell>
          <cell r="D338" t="str">
            <v>D083</v>
          </cell>
          <cell r="E338">
            <v>10001074</v>
          </cell>
          <cell r="F338" t="str">
            <v>Grava Triturada Caliza 40 mm - 1 1/2"</v>
          </cell>
          <cell r="G338">
            <v>81.790000000000006</v>
          </cell>
          <cell r="H338" t="str">
            <v>MXN</v>
          </cell>
          <cell r="I338">
            <v>1</v>
          </cell>
          <cell r="J338" t="str">
            <v>TN</v>
          </cell>
          <cell r="K338" t="str">
            <v>C</v>
          </cell>
          <cell r="M338" t="str">
            <v>01.01.2025</v>
          </cell>
          <cell r="N338" t="str">
            <v>31.03.2025</v>
          </cell>
          <cell r="O338">
            <v>95.96</v>
          </cell>
          <cell r="P338">
            <v>177.75</v>
          </cell>
        </row>
        <row r="339">
          <cell r="B339" t="str">
            <v>D86410001203</v>
          </cell>
          <cell r="C339" t="str">
            <v>D864</v>
          </cell>
          <cell r="D339" t="str">
            <v>D083</v>
          </cell>
          <cell r="E339">
            <v>10001203</v>
          </cell>
          <cell r="F339" t="str">
            <v>Desperdicio Triturado Caliza</v>
          </cell>
          <cell r="G339">
            <v>1</v>
          </cell>
          <cell r="H339" t="str">
            <v>MXN</v>
          </cell>
          <cell r="I339">
            <v>1</v>
          </cell>
          <cell r="J339" t="str">
            <v>TN</v>
          </cell>
          <cell r="K339" t="str">
            <v>C</v>
          </cell>
          <cell r="M339" t="str">
            <v>01.01.2025</v>
          </cell>
          <cell r="N339" t="str">
            <v>31.03.2025</v>
          </cell>
          <cell r="O339">
            <v>21.56</v>
          </cell>
          <cell r="P339">
            <v>22.56</v>
          </cell>
        </row>
        <row r="340">
          <cell r="B340" t="str">
            <v>D86410000236</v>
          </cell>
          <cell r="C340" t="str">
            <v>D864</v>
          </cell>
          <cell r="D340" t="str">
            <v>D084</v>
          </cell>
          <cell r="E340">
            <v>10000236</v>
          </cell>
          <cell r="F340" t="str">
            <v>Grava Triturada Caliza 10 mm - 3/8"</v>
          </cell>
          <cell r="G340">
            <v>81.790000000000006</v>
          </cell>
          <cell r="H340" t="str">
            <v>MXN</v>
          </cell>
          <cell r="I340">
            <v>1</v>
          </cell>
          <cell r="J340" t="str">
            <v>TN</v>
          </cell>
          <cell r="K340" t="str">
            <v>C</v>
          </cell>
          <cell r="M340" t="str">
            <v>01.01.2025</v>
          </cell>
          <cell r="N340" t="str">
            <v>31.03.2025</v>
          </cell>
          <cell r="O340">
            <v>62.17</v>
          </cell>
          <cell r="P340">
            <v>143.96</v>
          </cell>
        </row>
        <row r="341">
          <cell r="B341" t="str">
            <v>D86410000240</v>
          </cell>
          <cell r="C341" t="str">
            <v>D864</v>
          </cell>
          <cell r="D341" t="str">
            <v>D084</v>
          </cell>
          <cell r="E341">
            <v>10000240</v>
          </cell>
          <cell r="F341" t="str">
            <v>Grava Triturada Caliza 20 mm - 3/4"</v>
          </cell>
          <cell r="G341">
            <v>81.790000000000006</v>
          </cell>
          <cell r="H341" t="str">
            <v>MXN</v>
          </cell>
          <cell r="I341">
            <v>1</v>
          </cell>
          <cell r="J341" t="str">
            <v>TN</v>
          </cell>
          <cell r="K341" t="str">
            <v>C</v>
          </cell>
          <cell r="M341" t="str">
            <v>01.01.2025</v>
          </cell>
          <cell r="N341" t="str">
            <v>31.03.2025</v>
          </cell>
          <cell r="O341">
            <v>68.61</v>
          </cell>
          <cell r="P341">
            <v>150.4</v>
          </cell>
        </row>
        <row r="342">
          <cell r="B342" t="str">
            <v>D86410000269</v>
          </cell>
          <cell r="C342" t="str">
            <v>D864</v>
          </cell>
          <cell r="D342" t="str">
            <v>D084</v>
          </cell>
          <cell r="E342">
            <v>10000269</v>
          </cell>
          <cell r="F342" t="str">
            <v>Grava Triturada Caliza 13 mm - 1/2"</v>
          </cell>
          <cell r="G342">
            <v>81.790000000000006</v>
          </cell>
          <cell r="H342" t="str">
            <v>MXN</v>
          </cell>
          <cell r="I342">
            <v>1</v>
          </cell>
          <cell r="J342" t="str">
            <v>TN</v>
          </cell>
          <cell r="K342" t="str">
            <v>C</v>
          </cell>
          <cell r="M342" t="str">
            <v>01.01.2025</v>
          </cell>
          <cell r="N342" t="str">
            <v>31.03.2025</v>
          </cell>
          <cell r="O342">
            <v>70.010000000000005</v>
          </cell>
          <cell r="P342">
            <v>151.80000000000001</v>
          </cell>
        </row>
        <row r="343">
          <cell r="B343" t="str">
            <v>D86410001073</v>
          </cell>
          <cell r="C343" t="str">
            <v>D864</v>
          </cell>
          <cell r="D343" t="str">
            <v>D084</v>
          </cell>
          <cell r="E343">
            <v>10001073</v>
          </cell>
          <cell r="F343" t="str">
            <v>Arena Triturada Caliza Malla 4</v>
          </cell>
          <cell r="G343">
            <v>82.25</v>
          </cell>
          <cell r="H343" t="str">
            <v>MXN</v>
          </cell>
          <cell r="I343">
            <v>1</v>
          </cell>
          <cell r="J343" t="str">
            <v>TN</v>
          </cell>
          <cell r="K343" t="str">
            <v>C</v>
          </cell>
          <cell r="M343" t="str">
            <v>01.01.2025</v>
          </cell>
          <cell r="N343" t="str">
            <v>31.03.2025</v>
          </cell>
          <cell r="O343">
            <v>9.23</v>
          </cell>
          <cell r="P343">
            <v>91.48</v>
          </cell>
        </row>
        <row r="344">
          <cell r="B344" t="str">
            <v>D86410001074</v>
          </cell>
          <cell r="C344" t="str">
            <v>D864</v>
          </cell>
          <cell r="D344" t="str">
            <v>D084</v>
          </cell>
          <cell r="E344">
            <v>10001074</v>
          </cell>
          <cell r="F344" t="str">
            <v>Grava Triturada Caliza 40 mm - 1 1/2"</v>
          </cell>
          <cell r="G344">
            <v>81.790000000000006</v>
          </cell>
          <cell r="H344" t="str">
            <v>MXN</v>
          </cell>
          <cell r="I344">
            <v>1</v>
          </cell>
          <cell r="J344" t="str">
            <v>TN</v>
          </cell>
          <cell r="K344" t="str">
            <v>C</v>
          </cell>
          <cell r="M344" t="str">
            <v>01.01.2025</v>
          </cell>
          <cell r="N344" t="str">
            <v>31.03.2025</v>
          </cell>
          <cell r="O344">
            <v>95.96</v>
          </cell>
          <cell r="P344">
            <v>177.75</v>
          </cell>
        </row>
        <row r="345">
          <cell r="B345" t="str">
            <v>D86410001203</v>
          </cell>
          <cell r="C345" t="str">
            <v>D864</v>
          </cell>
          <cell r="D345" t="str">
            <v>D084</v>
          </cell>
          <cell r="E345">
            <v>10001203</v>
          </cell>
          <cell r="F345" t="str">
            <v>Desperdicio Triturado Caliza</v>
          </cell>
          <cell r="G345">
            <v>1</v>
          </cell>
          <cell r="H345" t="str">
            <v>MXN</v>
          </cell>
          <cell r="I345">
            <v>1</v>
          </cell>
          <cell r="J345" t="str">
            <v>TN</v>
          </cell>
          <cell r="K345" t="str">
            <v>C</v>
          </cell>
          <cell r="M345" t="str">
            <v>01.01.2025</v>
          </cell>
          <cell r="N345" t="str">
            <v>31.03.2025</v>
          </cell>
          <cell r="O345">
            <v>21.56</v>
          </cell>
          <cell r="P345">
            <v>22.56</v>
          </cell>
        </row>
        <row r="346">
          <cell r="B346" t="str">
            <v>D86410000236</v>
          </cell>
          <cell r="C346" t="str">
            <v>D864</v>
          </cell>
          <cell r="D346" t="str">
            <v>D085</v>
          </cell>
          <cell r="E346">
            <v>10000236</v>
          </cell>
          <cell r="F346" t="str">
            <v>Grava Triturada Caliza 10 mm - 3/8"</v>
          </cell>
          <cell r="G346">
            <v>81.790000000000006</v>
          </cell>
          <cell r="H346" t="str">
            <v>MXN</v>
          </cell>
          <cell r="I346">
            <v>1</v>
          </cell>
          <cell r="J346" t="str">
            <v>TN</v>
          </cell>
          <cell r="K346" t="str">
            <v>C</v>
          </cell>
          <cell r="M346" t="str">
            <v>01.01.2025</v>
          </cell>
          <cell r="N346" t="str">
            <v>31.03.2025</v>
          </cell>
          <cell r="O346">
            <v>62.17</v>
          </cell>
          <cell r="P346">
            <v>143.96</v>
          </cell>
        </row>
        <row r="347">
          <cell r="B347" t="str">
            <v>D86410000269</v>
          </cell>
          <cell r="C347" t="str">
            <v>D864</v>
          </cell>
          <cell r="D347" t="str">
            <v>D085</v>
          </cell>
          <cell r="E347">
            <v>10000269</v>
          </cell>
          <cell r="F347" t="str">
            <v>Grava Triturada Caliza 13 mm - 1/2"</v>
          </cell>
          <cell r="G347">
            <v>81.790000000000006</v>
          </cell>
          <cell r="H347" t="str">
            <v>MXN</v>
          </cell>
          <cell r="I347">
            <v>1</v>
          </cell>
          <cell r="J347" t="str">
            <v>TN</v>
          </cell>
          <cell r="K347" t="str">
            <v>C</v>
          </cell>
          <cell r="M347" t="str">
            <v>01.01.2025</v>
          </cell>
          <cell r="N347" t="str">
            <v>31.03.2025</v>
          </cell>
          <cell r="O347">
            <v>70.010000000000005</v>
          </cell>
          <cell r="P347">
            <v>151.80000000000001</v>
          </cell>
        </row>
        <row r="348">
          <cell r="B348" t="str">
            <v>D86410001073</v>
          </cell>
          <cell r="C348" t="str">
            <v>D864</v>
          </cell>
          <cell r="D348" t="str">
            <v>D085</v>
          </cell>
          <cell r="E348">
            <v>10001073</v>
          </cell>
          <cell r="F348" t="str">
            <v>Arena Triturada Caliza Malla 4</v>
          </cell>
          <cell r="G348">
            <v>82.25</v>
          </cell>
          <cell r="H348" t="str">
            <v>MXN</v>
          </cell>
          <cell r="I348">
            <v>1</v>
          </cell>
          <cell r="J348" t="str">
            <v>TN</v>
          </cell>
          <cell r="K348" t="str">
            <v>C</v>
          </cell>
          <cell r="M348" t="str">
            <v>01.01.2025</v>
          </cell>
          <cell r="N348" t="str">
            <v>31.03.2025</v>
          </cell>
          <cell r="O348">
            <v>9.23</v>
          </cell>
          <cell r="P348">
            <v>91.48</v>
          </cell>
        </row>
        <row r="349">
          <cell r="B349" t="str">
            <v>D86410001074</v>
          </cell>
          <cell r="C349" t="str">
            <v>D864</v>
          </cell>
          <cell r="D349" t="str">
            <v>D085</v>
          </cell>
          <cell r="E349">
            <v>10001074</v>
          </cell>
          <cell r="F349" t="str">
            <v>Grava Triturada Caliza 40 mm - 1 1/2"</v>
          </cell>
          <cell r="G349">
            <v>81.790000000000006</v>
          </cell>
          <cell r="H349" t="str">
            <v>MXN</v>
          </cell>
          <cell r="I349">
            <v>1</v>
          </cell>
          <cell r="J349" t="str">
            <v>TN</v>
          </cell>
          <cell r="K349" t="str">
            <v>C</v>
          </cell>
          <cell r="M349" t="str">
            <v>01.01.2025</v>
          </cell>
          <cell r="N349" t="str">
            <v>31.03.2025</v>
          </cell>
          <cell r="O349">
            <v>95.96</v>
          </cell>
          <cell r="P349">
            <v>177.75</v>
          </cell>
        </row>
        <row r="350">
          <cell r="B350" t="str">
            <v>D86410001203</v>
          </cell>
          <cell r="C350" t="str">
            <v>D864</v>
          </cell>
          <cell r="D350" t="str">
            <v>D085</v>
          </cell>
          <cell r="E350">
            <v>10001203</v>
          </cell>
          <cell r="F350" t="str">
            <v>Desperdicio Triturado Caliza</v>
          </cell>
          <cell r="G350">
            <v>1</v>
          </cell>
          <cell r="H350" t="str">
            <v>MXN</v>
          </cell>
          <cell r="I350">
            <v>1</v>
          </cell>
          <cell r="J350" t="str">
            <v>TN</v>
          </cell>
          <cell r="K350" t="str">
            <v>C</v>
          </cell>
          <cell r="M350" t="str">
            <v>01.01.2025</v>
          </cell>
          <cell r="N350" t="str">
            <v>31.03.2025</v>
          </cell>
          <cell r="O350">
            <v>21.56</v>
          </cell>
          <cell r="P350">
            <v>22.56</v>
          </cell>
        </row>
        <row r="351">
          <cell r="B351" t="str">
            <v>D86410000236</v>
          </cell>
          <cell r="C351" t="str">
            <v>D864</v>
          </cell>
          <cell r="D351" t="str">
            <v>D086</v>
          </cell>
          <cell r="E351">
            <v>10000236</v>
          </cell>
          <cell r="F351" t="str">
            <v>Grava Triturada Caliza 10 mm - 3/8"</v>
          </cell>
          <cell r="G351">
            <v>81.790000000000006</v>
          </cell>
          <cell r="H351" t="str">
            <v>MXN</v>
          </cell>
          <cell r="I351">
            <v>1</v>
          </cell>
          <cell r="J351" t="str">
            <v>TN</v>
          </cell>
          <cell r="K351" t="str">
            <v>C</v>
          </cell>
          <cell r="M351" t="str">
            <v>01.01.2025</v>
          </cell>
          <cell r="N351" t="str">
            <v>31.03.2025</v>
          </cell>
          <cell r="O351">
            <v>62.17</v>
          </cell>
          <cell r="P351">
            <v>143.96</v>
          </cell>
        </row>
        <row r="352">
          <cell r="B352" t="str">
            <v>D86410000240</v>
          </cell>
          <cell r="C352" t="str">
            <v>D864</v>
          </cell>
          <cell r="D352" t="str">
            <v>D086</v>
          </cell>
          <cell r="E352">
            <v>10000240</v>
          </cell>
          <cell r="F352" t="str">
            <v>Grava Triturada Caliza 20 mm - 3/4"</v>
          </cell>
          <cell r="G352">
            <v>81.790000000000006</v>
          </cell>
          <cell r="H352" t="str">
            <v>MXN</v>
          </cell>
          <cell r="I352">
            <v>1</v>
          </cell>
          <cell r="J352" t="str">
            <v>TN</v>
          </cell>
          <cell r="K352" t="str">
            <v>C</v>
          </cell>
          <cell r="M352" t="str">
            <v>01.01.2025</v>
          </cell>
          <cell r="N352" t="str">
            <v>31.03.2025</v>
          </cell>
          <cell r="O352">
            <v>68.61</v>
          </cell>
          <cell r="P352">
            <v>150.4</v>
          </cell>
        </row>
        <row r="353">
          <cell r="B353" t="str">
            <v>D86410000269</v>
          </cell>
          <cell r="C353" t="str">
            <v>D864</v>
          </cell>
          <cell r="D353" t="str">
            <v>D086</v>
          </cell>
          <cell r="E353">
            <v>10000269</v>
          </cell>
          <cell r="F353" t="str">
            <v>Grava Triturada Caliza 13 mm - 1/2"</v>
          </cell>
          <cell r="G353">
            <v>81.790000000000006</v>
          </cell>
          <cell r="H353" t="str">
            <v>MXN</v>
          </cell>
          <cell r="I353">
            <v>1</v>
          </cell>
          <cell r="J353" t="str">
            <v>TN</v>
          </cell>
          <cell r="K353" t="str">
            <v>C</v>
          </cell>
          <cell r="M353" t="str">
            <v>01.01.2025</v>
          </cell>
          <cell r="N353" t="str">
            <v>31.03.2025</v>
          </cell>
          <cell r="O353">
            <v>70.010000000000005</v>
          </cell>
          <cell r="P353">
            <v>151.80000000000001</v>
          </cell>
        </row>
        <row r="354">
          <cell r="B354" t="str">
            <v>D86410001073</v>
          </cell>
          <cell r="C354" t="str">
            <v>D864</v>
          </cell>
          <cell r="D354" t="str">
            <v>D086</v>
          </cell>
          <cell r="E354">
            <v>10001073</v>
          </cell>
          <cell r="F354" t="str">
            <v>Arena Triturada Caliza Malla 4</v>
          </cell>
          <cell r="G354">
            <v>82.25</v>
          </cell>
          <cell r="H354" t="str">
            <v>MXN</v>
          </cell>
          <cell r="I354">
            <v>1</v>
          </cell>
          <cell r="J354" t="str">
            <v>TN</v>
          </cell>
          <cell r="K354" t="str">
            <v>C</v>
          </cell>
          <cell r="M354" t="str">
            <v>01.01.2025</v>
          </cell>
          <cell r="N354" t="str">
            <v>31.03.2025</v>
          </cell>
          <cell r="O354">
            <v>9.23</v>
          </cell>
          <cell r="P354">
            <v>91.48</v>
          </cell>
        </row>
        <row r="355">
          <cell r="B355" t="str">
            <v>D86410001074</v>
          </cell>
          <cell r="C355" t="str">
            <v>D864</v>
          </cell>
          <cell r="D355" t="str">
            <v>D086</v>
          </cell>
          <cell r="E355">
            <v>10001074</v>
          </cell>
          <cell r="F355" t="str">
            <v>Grava Triturada Caliza 40 mm - 1 1/2"</v>
          </cell>
          <cell r="G355">
            <v>81.790000000000006</v>
          </cell>
          <cell r="H355" t="str">
            <v>MXN</v>
          </cell>
          <cell r="I355">
            <v>1</v>
          </cell>
          <cell r="J355" t="str">
            <v>TN</v>
          </cell>
          <cell r="K355" t="str">
            <v>C</v>
          </cell>
          <cell r="M355" t="str">
            <v>01.01.2025</v>
          </cell>
          <cell r="N355" t="str">
            <v>31.03.2025</v>
          </cell>
          <cell r="O355">
            <v>95.96</v>
          </cell>
          <cell r="P355">
            <v>177.75</v>
          </cell>
        </row>
        <row r="356">
          <cell r="B356" t="str">
            <v>D86410001203</v>
          </cell>
          <cell r="C356" t="str">
            <v>D864</v>
          </cell>
          <cell r="D356" t="str">
            <v>D086</v>
          </cell>
          <cell r="E356">
            <v>10001203</v>
          </cell>
          <cell r="F356" t="str">
            <v>Desperdicio Triturado Caliza</v>
          </cell>
          <cell r="G356">
            <v>1</v>
          </cell>
          <cell r="H356" t="str">
            <v>MXN</v>
          </cell>
          <cell r="I356">
            <v>1</v>
          </cell>
          <cell r="J356" t="str">
            <v>TN</v>
          </cell>
          <cell r="K356" t="str">
            <v>C</v>
          </cell>
          <cell r="M356" t="str">
            <v>01.01.2025</v>
          </cell>
          <cell r="N356" t="str">
            <v>31.03.2025</v>
          </cell>
          <cell r="O356">
            <v>21.56</v>
          </cell>
          <cell r="P356">
            <v>22.56</v>
          </cell>
        </row>
        <row r="357">
          <cell r="B357" t="str">
            <v>D86410000236</v>
          </cell>
          <cell r="C357" t="str">
            <v>D864</v>
          </cell>
          <cell r="D357" t="str">
            <v>D087</v>
          </cell>
          <cell r="E357">
            <v>10000236</v>
          </cell>
          <cell r="F357" t="str">
            <v>Grava Triturada Caliza 10 mm - 3/8"</v>
          </cell>
          <cell r="G357">
            <v>81.790000000000006</v>
          </cell>
          <cell r="H357" t="str">
            <v>MXN</v>
          </cell>
          <cell r="I357">
            <v>1</v>
          </cell>
          <cell r="J357" t="str">
            <v>TN</v>
          </cell>
          <cell r="K357" t="str">
            <v>C</v>
          </cell>
          <cell r="M357" t="str">
            <v>01.01.2025</v>
          </cell>
          <cell r="N357" t="str">
            <v>31.03.2025</v>
          </cell>
          <cell r="O357">
            <v>62.17</v>
          </cell>
          <cell r="P357">
            <v>143.96</v>
          </cell>
        </row>
        <row r="358">
          <cell r="B358" t="str">
            <v>D86410000240</v>
          </cell>
          <cell r="C358" t="str">
            <v>D864</v>
          </cell>
          <cell r="D358" t="str">
            <v>D087</v>
          </cell>
          <cell r="E358">
            <v>10000240</v>
          </cell>
          <cell r="F358" t="str">
            <v>Grava Triturada Caliza 20 mm - 3/4"</v>
          </cell>
          <cell r="G358">
            <v>81.790000000000006</v>
          </cell>
          <cell r="H358" t="str">
            <v>MXN</v>
          </cell>
          <cell r="I358">
            <v>1</v>
          </cell>
          <cell r="J358" t="str">
            <v>TN</v>
          </cell>
          <cell r="K358" t="str">
            <v>C</v>
          </cell>
          <cell r="M358" t="str">
            <v>01.01.2025</v>
          </cell>
          <cell r="N358" t="str">
            <v>31.03.2025</v>
          </cell>
          <cell r="O358">
            <v>68.61</v>
          </cell>
          <cell r="P358">
            <v>150.4</v>
          </cell>
        </row>
        <row r="359">
          <cell r="B359" t="str">
            <v>D86410000269</v>
          </cell>
          <cell r="C359" t="str">
            <v>D864</v>
          </cell>
          <cell r="D359" t="str">
            <v>D087</v>
          </cell>
          <cell r="E359">
            <v>10000269</v>
          </cell>
          <cell r="F359" t="str">
            <v>Grava Triturada Caliza 13 mm - 1/2"</v>
          </cell>
          <cell r="G359">
            <v>81.790000000000006</v>
          </cell>
          <cell r="H359" t="str">
            <v>MXN</v>
          </cell>
          <cell r="I359">
            <v>1</v>
          </cell>
          <cell r="J359" t="str">
            <v>TN</v>
          </cell>
          <cell r="K359" t="str">
            <v>C</v>
          </cell>
          <cell r="M359" t="str">
            <v>01.01.2025</v>
          </cell>
          <cell r="N359" t="str">
            <v>31.03.2025</v>
          </cell>
          <cell r="O359">
            <v>70.010000000000005</v>
          </cell>
          <cell r="P359">
            <v>151.80000000000001</v>
          </cell>
        </row>
        <row r="360">
          <cell r="B360" t="str">
            <v>D86410001073</v>
          </cell>
          <cell r="C360" t="str">
            <v>D864</v>
          </cell>
          <cell r="D360" t="str">
            <v>D087</v>
          </cell>
          <cell r="E360">
            <v>10001073</v>
          </cell>
          <cell r="F360" t="str">
            <v>Arena Triturada Caliza Malla 4</v>
          </cell>
          <cell r="G360">
            <v>82.25</v>
          </cell>
          <cell r="H360" t="str">
            <v>MXN</v>
          </cell>
          <cell r="I360">
            <v>1</v>
          </cell>
          <cell r="J360" t="str">
            <v>TN</v>
          </cell>
          <cell r="K360" t="str">
            <v>C</v>
          </cell>
          <cell r="M360" t="str">
            <v>01.01.2025</v>
          </cell>
          <cell r="N360" t="str">
            <v>31.03.2025</v>
          </cell>
          <cell r="O360">
            <v>9.23</v>
          </cell>
          <cell r="P360">
            <v>91.48</v>
          </cell>
        </row>
        <row r="361">
          <cell r="B361" t="str">
            <v>D86410001074</v>
          </cell>
          <cell r="C361" t="str">
            <v>D864</v>
          </cell>
          <cell r="D361" t="str">
            <v>D087</v>
          </cell>
          <cell r="E361">
            <v>10001074</v>
          </cell>
          <cell r="F361" t="str">
            <v>Grava Triturada Caliza 40 mm - 1 1/2"</v>
          </cell>
          <cell r="G361">
            <v>81.790000000000006</v>
          </cell>
          <cell r="H361" t="str">
            <v>MXN</v>
          </cell>
          <cell r="I361">
            <v>1</v>
          </cell>
          <cell r="J361" t="str">
            <v>TN</v>
          </cell>
          <cell r="K361" t="str">
            <v>C</v>
          </cell>
          <cell r="M361" t="str">
            <v>01.01.2025</v>
          </cell>
          <cell r="N361" t="str">
            <v>31.03.2025</v>
          </cell>
          <cell r="O361">
            <v>95.96</v>
          </cell>
          <cell r="P361">
            <v>177.75</v>
          </cell>
        </row>
        <row r="362">
          <cell r="B362" t="str">
            <v>D86410001203</v>
          </cell>
          <cell r="C362" t="str">
            <v>D864</v>
          </cell>
          <cell r="D362" t="str">
            <v>D087</v>
          </cell>
          <cell r="E362">
            <v>10001203</v>
          </cell>
          <cell r="F362" t="str">
            <v>Desperdicio Triturado Caliza</v>
          </cell>
          <cell r="G362">
            <v>1</v>
          </cell>
          <cell r="H362" t="str">
            <v>MXN</v>
          </cell>
          <cell r="I362">
            <v>1</v>
          </cell>
          <cell r="J362" t="str">
            <v>TN</v>
          </cell>
          <cell r="K362" t="str">
            <v>C</v>
          </cell>
          <cell r="M362" t="str">
            <v>01.01.2025</v>
          </cell>
          <cell r="N362" t="str">
            <v>31.03.2025</v>
          </cell>
          <cell r="O362">
            <v>21.56</v>
          </cell>
          <cell r="P362">
            <v>22.56</v>
          </cell>
        </row>
        <row r="363">
          <cell r="B363" t="str">
            <v>D86410000236</v>
          </cell>
          <cell r="C363" t="str">
            <v>D864</v>
          </cell>
          <cell r="D363" t="str">
            <v>D088</v>
          </cell>
          <cell r="E363">
            <v>10000236</v>
          </cell>
          <cell r="F363" t="str">
            <v>Grava Triturada Caliza 10 mm - 3/8"</v>
          </cell>
          <cell r="G363">
            <v>81.790000000000006</v>
          </cell>
          <cell r="H363" t="str">
            <v>MXN</v>
          </cell>
          <cell r="I363">
            <v>1</v>
          </cell>
          <cell r="J363" t="str">
            <v>TN</v>
          </cell>
          <cell r="K363" t="str">
            <v>C</v>
          </cell>
          <cell r="M363" t="str">
            <v>01.01.2025</v>
          </cell>
          <cell r="N363" t="str">
            <v>31.03.2025</v>
          </cell>
          <cell r="O363">
            <v>62.17</v>
          </cell>
          <cell r="P363">
            <v>143.96</v>
          </cell>
        </row>
        <row r="364">
          <cell r="B364" t="str">
            <v>D86410000240</v>
          </cell>
          <cell r="C364" t="str">
            <v>D864</v>
          </cell>
          <cell r="D364" t="str">
            <v>D088</v>
          </cell>
          <cell r="E364">
            <v>10000240</v>
          </cell>
          <cell r="F364" t="str">
            <v>Grava Triturada Caliza 20 mm - 3/4"</v>
          </cell>
          <cell r="G364">
            <v>81.790000000000006</v>
          </cell>
          <cell r="H364" t="str">
            <v>MXN</v>
          </cell>
          <cell r="I364">
            <v>1</v>
          </cell>
          <cell r="J364" t="str">
            <v>TN</v>
          </cell>
          <cell r="K364" t="str">
            <v>C</v>
          </cell>
          <cell r="M364" t="str">
            <v>01.01.2025</v>
          </cell>
          <cell r="N364" t="str">
            <v>31.03.2025</v>
          </cell>
          <cell r="O364">
            <v>68.61</v>
          </cell>
          <cell r="P364">
            <v>150.4</v>
          </cell>
        </row>
        <row r="365">
          <cell r="B365" t="str">
            <v>D86410000269</v>
          </cell>
          <cell r="C365" t="str">
            <v>D864</v>
          </cell>
          <cell r="D365" t="str">
            <v>D088</v>
          </cell>
          <cell r="E365">
            <v>10000269</v>
          </cell>
          <cell r="F365" t="str">
            <v>Grava Triturada Caliza 13 mm - 1/2"</v>
          </cell>
          <cell r="G365">
            <v>81.790000000000006</v>
          </cell>
          <cell r="H365" t="str">
            <v>MXN</v>
          </cell>
          <cell r="I365">
            <v>1</v>
          </cell>
          <cell r="J365" t="str">
            <v>TN</v>
          </cell>
          <cell r="K365" t="str">
            <v>C</v>
          </cell>
          <cell r="M365" t="str">
            <v>01.01.2025</v>
          </cell>
          <cell r="N365" t="str">
            <v>31.03.2025</v>
          </cell>
          <cell r="O365">
            <v>70.010000000000005</v>
          </cell>
          <cell r="P365">
            <v>151.80000000000001</v>
          </cell>
        </row>
        <row r="366">
          <cell r="B366" t="str">
            <v>D86410001073</v>
          </cell>
          <cell r="C366" t="str">
            <v>D864</v>
          </cell>
          <cell r="D366" t="str">
            <v>D088</v>
          </cell>
          <cell r="E366">
            <v>10001073</v>
          </cell>
          <cell r="F366" t="str">
            <v>Arena Triturada Caliza Malla 4</v>
          </cell>
          <cell r="G366">
            <v>82.25</v>
          </cell>
          <cell r="H366" t="str">
            <v>MXN</v>
          </cell>
          <cell r="I366">
            <v>1</v>
          </cell>
          <cell r="J366" t="str">
            <v>TN</v>
          </cell>
          <cell r="K366" t="str">
            <v>C</v>
          </cell>
          <cell r="M366" t="str">
            <v>01.01.2025</v>
          </cell>
          <cell r="N366" t="str">
            <v>31.03.2025</v>
          </cell>
          <cell r="O366">
            <v>9.23</v>
          </cell>
          <cell r="P366">
            <v>91.48</v>
          </cell>
        </row>
        <row r="367">
          <cell r="B367" t="str">
            <v>D86410001074</v>
          </cell>
          <cell r="C367" t="str">
            <v>D864</v>
          </cell>
          <cell r="D367" t="str">
            <v>D088</v>
          </cell>
          <cell r="E367">
            <v>10001074</v>
          </cell>
          <cell r="F367" t="str">
            <v>Grava Triturada Caliza 40 mm - 1 1/2"</v>
          </cell>
          <cell r="G367">
            <v>81.790000000000006</v>
          </cell>
          <cell r="H367" t="str">
            <v>MXN</v>
          </cell>
          <cell r="I367">
            <v>1</v>
          </cell>
          <cell r="J367" t="str">
            <v>TN</v>
          </cell>
          <cell r="K367" t="str">
            <v>C</v>
          </cell>
          <cell r="M367" t="str">
            <v>01.01.2025</v>
          </cell>
          <cell r="N367" t="str">
            <v>31.03.2025</v>
          </cell>
          <cell r="O367">
            <v>95.96</v>
          </cell>
          <cell r="P367">
            <v>177.75</v>
          </cell>
        </row>
        <row r="368">
          <cell r="B368" t="str">
            <v>D86410001203</v>
          </cell>
          <cell r="C368" t="str">
            <v>D864</v>
          </cell>
          <cell r="D368" t="str">
            <v>D088</v>
          </cell>
          <cell r="E368">
            <v>10001203</v>
          </cell>
          <cell r="F368" t="str">
            <v>Desperdicio Triturado Caliza</v>
          </cell>
          <cell r="G368">
            <v>1</v>
          </cell>
          <cell r="H368" t="str">
            <v>MXN</v>
          </cell>
          <cell r="I368">
            <v>1</v>
          </cell>
          <cell r="J368" t="str">
            <v>TN</v>
          </cell>
          <cell r="K368" t="str">
            <v>C</v>
          </cell>
          <cell r="M368" t="str">
            <v>01.01.2025</v>
          </cell>
          <cell r="N368" t="str">
            <v>31.03.2025</v>
          </cell>
          <cell r="O368">
            <v>21.56</v>
          </cell>
          <cell r="P368">
            <v>22.56</v>
          </cell>
        </row>
        <row r="369">
          <cell r="B369" t="str">
            <v>D864</v>
          </cell>
          <cell r="C369" t="str">
            <v>D864</v>
          </cell>
          <cell r="D369" t="str">
            <v>D089</v>
          </cell>
          <cell r="F369" t="str">
            <v xml:space="preserve">                                                  </v>
          </cell>
          <cell r="G369">
            <v>42.36</v>
          </cell>
          <cell r="H369" t="str">
            <v>MXN</v>
          </cell>
          <cell r="I369">
            <v>1</v>
          </cell>
          <cell r="J369" t="str">
            <v>TN</v>
          </cell>
          <cell r="K369" t="str">
            <v>C</v>
          </cell>
          <cell r="M369" t="str">
            <v>01.07.2023</v>
          </cell>
          <cell r="N369" t="str">
            <v>31.12.9999</v>
          </cell>
          <cell r="O369" t="e">
            <v>#N/A</v>
          </cell>
          <cell r="P369" t="e">
            <v>#N/A</v>
          </cell>
        </row>
        <row r="370">
          <cell r="B370" t="str">
            <v>D86410000236</v>
          </cell>
          <cell r="C370" t="str">
            <v>D864</v>
          </cell>
          <cell r="D370" t="str">
            <v>D089</v>
          </cell>
          <cell r="E370">
            <v>10000236</v>
          </cell>
          <cell r="F370" t="str">
            <v>Grava Triturada Caliza 10 mm - 3/8"</v>
          </cell>
          <cell r="G370">
            <v>81.790000000000006</v>
          </cell>
          <cell r="H370" t="str">
            <v>MXN</v>
          </cell>
          <cell r="I370">
            <v>1</v>
          </cell>
          <cell r="J370" t="str">
            <v>TN</v>
          </cell>
          <cell r="K370" t="str">
            <v>C</v>
          </cell>
          <cell r="M370" t="str">
            <v>01.01.2025</v>
          </cell>
          <cell r="N370" t="str">
            <v>31.03.2025</v>
          </cell>
          <cell r="O370">
            <v>62.17</v>
          </cell>
          <cell r="P370">
            <v>143.96</v>
          </cell>
        </row>
        <row r="371">
          <cell r="B371" t="str">
            <v>D86410000240</v>
          </cell>
          <cell r="C371" t="str">
            <v>D864</v>
          </cell>
          <cell r="D371" t="str">
            <v>D089</v>
          </cell>
          <cell r="E371">
            <v>10000240</v>
          </cell>
          <cell r="F371" t="str">
            <v>Grava Triturada Caliza 20 mm - 3/4"</v>
          </cell>
          <cell r="G371">
            <v>81.790000000000006</v>
          </cell>
          <cell r="H371" t="str">
            <v>MXN</v>
          </cell>
          <cell r="I371">
            <v>1</v>
          </cell>
          <cell r="J371" t="str">
            <v>TN</v>
          </cell>
          <cell r="K371" t="str">
            <v>C</v>
          </cell>
          <cell r="M371" t="str">
            <v>01.01.2025</v>
          </cell>
          <cell r="N371" t="str">
            <v>31.03.2025</v>
          </cell>
          <cell r="O371">
            <v>68.61</v>
          </cell>
          <cell r="P371">
            <v>150.4</v>
          </cell>
        </row>
        <row r="372">
          <cell r="B372" t="str">
            <v>D86410000269</v>
          </cell>
          <cell r="C372" t="str">
            <v>D864</v>
          </cell>
          <cell r="D372" t="str">
            <v>D089</v>
          </cell>
          <cell r="E372">
            <v>10000269</v>
          </cell>
          <cell r="F372" t="str">
            <v>Grava Triturada Caliza 13 mm - 1/2"</v>
          </cell>
          <cell r="G372">
            <v>81.790000000000006</v>
          </cell>
          <cell r="H372" t="str">
            <v>MXN</v>
          </cell>
          <cell r="I372">
            <v>1</v>
          </cell>
          <cell r="J372" t="str">
            <v>TN</v>
          </cell>
          <cell r="K372" t="str">
            <v>C</v>
          </cell>
          <cell r="M372" t="str">
            <v>01.01.2025</v>
          </cell>
          <cell r="N372" t="str">
            <v>31.03.2025</v>
          </cell>
          <cell r="O372">
            <v>70.010000000000005</v>
          </cell>
          <cell r="P372">
            <v>151.80000000000001</v>
          </cell>
        </row>
        <row r="373">
          <cell r="B373" t="str">
            <v>D86410000301</v>
          </cell>
          <cell r="C373" t="str">
            <v>D864</v>
          </cell>
          <cell r="D373" t="str">
            <v>D089</v>
          </cell>
          <cell r="E373">
            <v>10000301</v>
          </cell>
          <cell r="F373" t="str">
            <v>BALASTO DE 3 PULGADAS A FINOS</v>
          </cell>
          <cell r="G373">
            <v>43.9</v>
          </cell>
          <cell r="H373" t="str">
            <v>MXN</v>
          </cell>
          <cell r="I373">
            <v>1</v>
          </cell>
          <cell r="J373" t="str">
            <v>TN</v>
          </cell>
          <cell r="K373" t="str">
            <v>C</v>
          </cell>
          <cell r="M373" t="str">
            <v>01.01.2025</v>
          </cell>
          <cell r="N373" t="str">
            <v>31.03.2025</v>
          </cell>
          <cell r="O373">
            <v>94.4</v>
          </cell>
          <cell r="P373">
            <v>138.30000000000001</v>
          </cell>
        </row>
        <row r="374">
          <cell r="B374" t="str">
            <v>D86410000319</v>
          </cell>
          <cell r="C374" t="str">
            <v>D864</v>
          </cell>
          <cell r="D374" t="str">
            <v>D089</v>
          </cell>
          <cell r="E374">
            <v>10000319</v>
          </cell>
          <cell r="F374" t="str">
            <v>Grava Triturada Caliza 40 mm - 1 1/2"</v>
          </cell>
          <cell r="G374">
            <v>81.790000000000006</v>
          </cell>
          <cell r="H374" t="str">
            <v>MXN</v>
          </cell>
          <cell r="I374">
            <v>1</v>
          </cell>
          <cell r="J374" t="str">
            <v>TN</v>
          </cell>
          <cell r="K374" t="str">
            <v>C</v>
          </cell>
          <cell r="M374" t="str">
            <v>01.01.2025</v>
          </cell>
          <cell r="N374" t="str">
            <v>31.03.2025</v>
          </cell>
          <cell r="O374">
            <v>58.05</v>
          </cell>
          <cell r="P374">
            <v>139.84</v>
          </cell>
        </row>
        <row r="375">
          <cell r="B375" t="str">
            <v>D86410001073</v>
          </cell>
          <cell r="C375" t="str">
            <v>D864</v>
          </cell>
          <cell r="D375" t="str">
            <v>D089</v>
          </cell>
          <cell r="E375">
            <v>10001073</v>
          </cell>
          <cell r="F375" t="str">
            <v>Arena Triturada Caliza Malla 4</v>
          </cell>
          <cell r="G375">
            <v>82.25</v>
          </cell>
          <cell r="H375" t="str">
            <v>MXN</v>
          </cell>
          <cell r="I375">
            <v>1</v>
          </cell>
          <cell r="J375" t="str">
            <v>TN</v>
          </cell>
          <cell r="K375" t="str">
            <v>C</v>
          </cell>
          <cell r="M375" t="str">
            <v>01.01.2025</v>
          </cell>
          <cell r="N375" t="str">
            <v>31.03.2025</v>
          </cell>
          <cell r="O375">
            <v>9.23</v>
          </cell>
          <cell r="P375">
            <v>91.48</v>
          </cell>
        </row>
        <row r="376">
          <cell r="B376" t="str">
            <v>D86410001074</v>
          </cell>
          <cell r="C376" t="str">
            <v>D864</v>
          </cell>
          <cell r="D376" t="str">
            <v>D089</v>
          </cell>
          <cell r="E376">
            <v>10001074</v>
          </cell>
          <cell r="F376" t="str">
            <v>Grava Triturada Caliza 40 mm - 1 1/2"</v>
          </cell>
          <cell r="G376">
            <v>81.790000000000006</v>
          </cell>
          <cell r="H376" t="str">
            <v>MXN</v>
          </cell>
          <cell r="I376">
            <v>1</v>
          </cell>
          <cell r="J376" t="str">
            <v>TN</v>
          </cell>
          <cell r="K376" t="str">
            <v>C</v>
          </cell>
          <cell r="M376" t="str">
            <v>01.01.2025</v>
          </cell>
          <cell r="N376" t="str">
            <v>31.03.2025</v>
          </cell>
          <cell r="O376">
            <v>95.96</v>
          </cell>
          <cell r="P376">
            <v>177.75</v>
          </cell>
        </row>
        <row r="377">
          <cell r="B377" t="str">
            <v>D86410001203</v>
          </cell>
          <cell r="C377" t="str">
            <v>D864</v>
          </cell>
          <cell r="D377" t="str">
            <v>D089</v>
          </cell>
          <cell r="E377">
            <v>10001203</v>
          </cell>
          <cell r="F377" t="str">
            <v>Desperdicio Triturado Caliza</v>
          </cell>
          <cell r="G377">
            <v>1</v>
          </cell>
          <cell r="H377" t="str">
            <v>MXN</v>
          </cell>
          <cell r="I377">
            <v>1</v>
          </cell>
          <cell r="J377" t="str">
            <v>TN</v>
          </cell>
          <cell r="K377" t="str">
            <v>C</v>
          </cell>
          <cell r="M377" t="str">
            <v>01.01.2025</v>
          </cell>
          <cell r="N377" t="str">
            <v>31.03.2025</v>
          </cell>
          <cell r="O377">
            <v>21.56</v>
          </cell>
          <cell r="P377">
            <v>22.56</v>
          </cell>
        </row>
        <row r="378">
          <cell r="B378" t="str">
            <v>D86410070027</v>
          </cell>
          <cell r="C378" t="str">
            <v>D864</v>
          </cell>
          <cell r="D378" t="str">
            <v>D089</v>
          </cell>
          <cell r="E378">
            <v>10070027</v>
          </cell>
          <cell r="F378" t="str">
            <v>BALASTO TRITURADO CALIZA 6"</v>
          </cell>
          <cell r="G378">
            <v>43.9</v>
          </cell>
          <cell r="H378" t="str">
            <v>MXN</v>
          </cell>
          <cell r="I378">
            <v>1</v>
          </cell>
          <cell r="J378" t="str">
            <v>TN</v>
          </cell>
          <cell r="K378" t="str">
            <v>C</v>
          </cell>
          <cell r="M378" t="str">
            <v>01.01.2025</v>
          </cell>
          <cell r="N378" t="str">
            <v>31.03.2025</v>
          </cell>
          <cell r="O378">
            <v>27.36</v>
          </cell>
          <cell r="P378">
            <v>71.259999999999991</v>
          </cell>
        </row>
        <row r="379">
          <cell r="B379" t="str">
            <v>D86410000236</v>
          </cell>
          <cell r="C379" t="str">
            <v>D864</v>
          </cell>
          <cell r="D379" t="str">
            <v>D093</v>
          </cell>
          <cell r="E379">
            <v>10000236</v>
          </cell>
          <cell r="F379" t="str">
            <v>Grava Triturada Caliza 10 mm - 3/8"</v>
          </cell>
          <cell r="G379">
            <v>81.790000000000006</v>
          </cell>
          <cell r="H379" t="str">
            <v>MXN</v>
          </cell>
          <cell r="I379">
            <v>1</v>
          </cell>
          <cell r="J379" t="str">
            <v>TN</v>
          </cell>
          <cell r="K379" t="str">
            <v>C</v>
          </cell>
          <cell r="M379" t="str">
            <v>01.01.2025</v>
          </cell>
          <cell r="N379" t="str">
            <v>31.03.2025</v>
          </cell>
          <cell r="O379">
            <v>62.17</v>
          </cell>
          <cell r="P379">
            <v>143.96</v>
          </cell>
        </row>
        <row r="380">
          <cell r="B380" t="str">
            <v>D86410000240</v>
          </cell>
          <cell r="C380" t="str">
            <v>D864</v>
          </cell>
          <cell r="D380" t="str">
            <v>D093</v>
          </cell>
          <cell r="E380">
            <v>10000240</v>
          </cell>
          <cell r="F380" t="str">
            <v>Grava Triturada Caliza 20 mm - 3/4"</v>
          </cell>
          <cell r="G380">
            <v>81.790000000000006</v>
          </cell>
          <cell r="H380" t="str">
            <v>MXN</v>
          </cell>
          <cell r="I380">
            <v>1</v>
          </cell>
          <cell r="J380" t="str">
            <v>TN</v>
          </cell>
          <cell r="K380" t="str">
            <v>C</v>
          </cell>
          <cell r="M380" t="str">
            <v>01.01.2025</v>
          </cell>
          <cell r="N380" t="str">
            <v>31.03.2025</v>
          </cell>
          <cell r="O380">
            <v>68.61</v>
          </cell>
          <cell r="P380">
            <v>150.4</v>
          </cell>
        </row>
        <row r="381">
          <cell r="B381" t="str">
            <v>D86410000269</v>
          </cell>
          <cell r="C381" t="str">
            <v>D864</v>
          </cell>
          <cell r="D381" t="str">
            <v>D093</v>
          </cell>
          <cell r="E381">
            <v>10000269</v>
          </cell>
          <cell r="F381" t="str">
            <v>Grava Triturada Caliza 13 mm - 1/2"</v>
          </cell>
          <cell r="G381">
            <v>81.790000000000006</v>
          </cell>
          <cell r="H381" t="str">
            <v>MXN</v>
          </cell>
          <cell r="I381">
            <v>1</v>
          </cell>
          <cell r="J381" t="str">
            <v>TN</v>
          </cell>
          <cell r="K381" t="str">
            <v>C</v>
          </cell>
          <cell r="M381" t="str">
            <v>01.01.2025</v>
          </cell>
          <cell r="N381" t="str">
            <v>31.03.2025</v>
          </cell>
          <cell r="O381">
            <v>70.010000000000005</v>
          </cell>
          <cell r="P381">
            <v>151.80000000000001</v>
          </cell>
        </row>
        <row r="382">
          <cell r="B382" t="str">
            <v>D86410001073</v>
          </cell>
          <cell r="C382" t="str">
            <v>D864</v>
          </cell>
          <cell r="D382" t="str">
            <v>D093</v>
          </cell>
          <cell r="E382">
            <v>10001073</v>
          </cell>
          <cell r="F382" t="str">
            <v>Arena Triturada Caliza Malla 4</v>
          </cell>
          <cell r="G382">
            <v>82.25</v>
          </cell>
          <cell r="H382" t="str">
            <v>MXN</v>
          </cell>
          <cell r="I382">
            <v>1</v>
          </cell>
          <cell r="J382" t="str">
            <v>TN</v>
          </cell>
          <cell r="K382" t="str">
            <v>C</v>
          </cell>
          <cell r="M382" t="str">
            <v>01.01.2025</v>
          </cell>
          <cell r="N382" t="str">
            <v>31.03.2025</v>
          </cell>
          <cell r="O382">
            <v>9.23</v>
          </cell>
          <cell r="P382">
            <v>91.48</v>
          </cell>
        </row>
        <row r="383">
          <cell r="B383" t="str">
            <v>D86410001074</v>
          </cell>
          <cell r="C383" t="str">
            <v>D864</v>
          </cell>
          <cell r="D383" t="str">
            <v>D093</v>
          </cell>
          <cell r="E383">
            <v>10001074</v>
          </cell>
          <cell r="F383" t="str">
            <v>Grava Triturada Caliza 40 mm - 1 1/2"</v>
          </cell>
          <cell r="G383">
            <v>81.790000000000006</v>
          </cell>
          <cell r="H383" t="str">
            <v>MXN</v>
          </cell>
          <cell r="I383">
            <v>1</v>
          </cell>
          <cell r="J383" t="str">
            <v>TN</v>
          </cell>
          <cell r="K383" t="str">
            <v>C</v>
          </cell>
          <cell r="M383" t="str">
            <v>01.01.2025</v>
          </cell>
          <cell r="N383" t="str">
            <v>31.03.2025</v>
          </cell>
          <cell r="O383">
            <v>95.96</v>
          </cell>
          <cell r="P383">
            <v>177.75</v>
          </cell>
        </row>
        <row r="384">
          <cell r="B384" t="str">
            <v>D86410001203</v>
          </cell>
          <cell r="C384" t="str">
            <v>D864</v>
          </cell>
          <cell r="D384" t="str">
            <v>D093</v>
          </cell>
          <cell r="E384">
            <v>10001203</v>
          </cell>
          <cell r="F384" t="str">
            <v>Desperdicio Triturado Caliza</v>
          </cell>
          <cell r="G384">
            <v>1</v>
          </cell>
          <cell r="H384" t="str">
            <v>MXN</v>
          </cell>
          <cell r="I384">
            <v>1</v>
          </cell>
          <cell r="J384" t="str">
            <v>TN</v>
          </cell>
          <cell r="K384" t="str">
            <v>C</v>
          </cell>
          <cell r="M384" t="str">
            <v>01.01.2025</v>
          </cell>
          <cell r="N384" t="str">
            <v>31.03.2025</v>
          </cell>
          <cell r="O384">
            <v>21.56</v>
          </cell>
          <cell r="P384">
            <v>22.56</v>
          </cell>
        </row>
        <row r="385">
          <cell r="B385" t="str">
            <v>D86410000236</v>
          </cell>
          <cell r="C385" t="str">
            <v>D864</v>
          </cell>
          <cell r="D385" t="str">
            <v>D095</v>
          </cell>
          <cell r="E385">
            <v>10000236</v>
          </cell>
          <cell r="F385" t="str">
            <v>Grava Triturada Caliza 10 mm - 3/8"</v>
          </cell>
          <cell r="G385">
            <v>81.790000000000006</v>
          </cell>
          <cell r="H385" t="str">
            <v>MXN</v>
          </cell>
          <cell r="I385">
            <v>1</v>
          </cell>
          <cell r="J385" t="str">
            <v>TN</v>
          </cell>
          <cell r="K385" t="str">
            <v>C</v>
          </cell>
          <cell r="M385" t="str">
            <v>01.01.2025</v>
          </cell>
          <cell r="N385" t="str">
            <v>31.03.2025</v>
          </cell>
          <cell r="O385">
            <v>62.17</v>
          </cell>
          <cell r="P385">
            <v>143.96</v>
          </cell>
        </row>
        <row r="386">
          <cell r="B386" t="str">
            <v>D86410000240</v>
          </cell>
          <cell r="C386" t="str">
            <v>D864</v>
          </cell>
          <cell r="D386" t="str">
            <v>D095</v>
          </cell>
          <cell r="E386">
            <v>10000240</v>
          </cell>
          <cell r="F386" t="str">
            <v>Grava Triturada Caliza 20 mm - 3/4"</v>
          </cell>
          <cell r="G386">
            <v>81.790000000000006</v>
          </cell>
          <cell r="H386" t="str">
            <v>MXN</v>
          </cell>
          <cell r="I386">
            <v>1</v>
          </cell>
          <cell r="J386" t="str">
            <v>TN</v>
          </cell>
          <cell r="K386" t="str">
            <v>C</v>
          </cell>
          <cell r="M386" t="str">
            <v>01.01.2025</v>
          </cell>
          <cell r="N386" t="str">
            <v>31.03.2025</v>
          </cell>
          <cell r="O386">
            <v>68.61</v>
          </cell>
          <cell r="P386">
            <v>150.4</v>
          </cell>
        </row>
        <row r="387">
          <cell r="B387" t="str">
            <v>D86410000269</v>
          </cell>
          <cell r="C387" t="str">
            <v>D864</v>
          </cell>
          <cell r="D387" t="str">
            <v>D095</v>
          </cell>
          <cell r="E387">
            <v>10000269</v>
          </cell>
          <cell r="F387" t="str">
            <v>Grava Triturada Caliza 13 mm - 1/2"</v>
          </cell>
          <cell r="G387">
            <v>81.790000000000006</v>
          </cell>
          <cell r="H387" t="str">
            <v>MXN</v>
          </cell>
          <cell r="I387">
            <v>1</v>
          </cell>
          <cell r="J387" t="str">
            <v>TN</v>
          </cell>
          <cell r="K387" t="str">
            <v>C</v>
          </cell>
          <cell r="M387" t="str">
            <v>01.01.2025</v>
          </cell>
          <cell r="N387" t="str">
            <v>31.03.2025</v>
          </cell>
          <cell r="O387">
            <v>70.010000000000005</v>
          </cell>
          <cell r="P387">
            <v>151.80000000000001</v>
          </cell>
        </row>
        <row r="388">
          <cell r="B388" t="str">
            <v>D86410001073</v>
          </cell>
          <cell r="C388" t="str">
            <v>D864</v>
          </cell>
          <cell r="D388" t="str">
            <v>D095</v>
          </cell>
          <cell r="E388">
            <v>10001073</v>
          </cell>
          <cell r="F388" t="str">
            <v>Arena Triturada Caliza Malla 4</v>
          </cell>
          <cell r="G388">
            <v>82.25</v>
          </cell>
          <cell r="H388" t="str">
            <v>MXN</v>
          </cell>
          <cell r="I388">
            <v>1</v>
          </cell>
          <cell r="J388" t="str">
            <v>TN</v>
          </cell>
          <cell r="K388" t="str">
            <v>C</v>
          </cell>
          <cell r="M388" t="str">
            <v>01.01.2025</v>
          </cell>
          <cell r="N388" t="str">
            <v>31.03.2025</v>
          </cell>
          <cell r="O388">
            <v>9.23</v>
          </cell>
          <cell r="P388">
            <v>91.48</v>
          </cell>
        </row>
        <row r="389">
          <cell r="B389" t="str">
            <v>D86410001074</v>
          </cell>
          <cell r="C389" t="str">
            <v>D864</v>
          </cell>
          <cell r="D389" t="str">
            <v>D095</v>
          </cell>
          <cell r="E389">
            <v>10001074</v>
          </cell>
          <cell r="F389" t="str">
            <v>Grava Triturada Caliza 40 mm - 1 1/2"</v>
          </cell>
          <cell r="G389">
            <v>81.790000000000006</v>
          </cell>
          <cell r="H389" t="str">
            <v>MXN</v>
          </cell>
          <cell r="I389">
            <v>1</v>
          </cell>
          <cell r="J389" t="str">
            <v>TN</v>
          </cell>
          <cell r="K389" t="str">
            <v>C</v>
          </cell>
          <cell r="M389" t="str">
            <v>01.01.2025</v>
          </cell>
          <cell r="N389" t="str">
            <v>31.03.2025</v>
          </cell>
          <cell r="O389">
            <v>95.96</v>
          </cell>
          <cell r="P389">
            <v>177.75</v>
          </cell>
        </row>
        <row r="390">
          <cell r="B390" t="str">
            <v>D86410000236</v>
          </cell>
          <cell r="C390" t="str">
            <v>D864</v>
          </cell>
          <cell r="D390" t="str">
            <v>D098</v>
          </cell>
          <cell r="E390">
            <v>10000236</v>
          </cell>
          <cell r="F390" t="str">
            <v>Grava Triturada Caliza 10 mm - 3/8"</v>
          </cell>
          <cell r="G390">
            <v>81.790000000000006</v>
          </cell>
          <cell r="H390" t="str">
            <v>MXN</v>
          </cell>
          <cell r="I390">
            <v>1</v>
          </cell>
          <cell r="J390" t="str">
            <v>TN</v>
          </cell>
          <cell r="K390" t="str">
            <v>C</v>
          </cell>
          <cell r="M390" t="str">
            <v>01.01.2025</v>
          </cell>
          <cell r="N390" t="str">
            <v>31.03.2025</v>
          </cell>
          <cell r="O390">
            <v>62.17</v>
          </cell>
          <cell r="P390">
            <v>143.96</v>
          </cell>
        </row>
        <row r="391">
          <cell r="B391" t="str">
            <v>D86410000240</v>
          </cell>
          <cell r="C391" t="str">
            <v>D864</v>
          </cell>
          <cell r="D391" t="str">
            <v>D098</v>
          </cell>
          <cell r="E391">
            <v>10000240</v>
          </cell>
          <cell r="F391" t="str">
            <v>Grava Triturada Caliza 20 mm - 3/4"</v>
          </cell>
          <cell r="G391">
            <v>81.790000000000006</v>
          </cell>
          <cell r="H391" t="str">
            <v>MXN</v>
          </cell>
          <cell r="I391">
            <v>1</v>
          </cell>
          <cell r="J391" t="str">
            <v>TN</v>
          </cell>
          <cell r="K391" t="str">
            <v>C</v>
          </cell>
          <cell r="M391" t="str">
            <v>01.01.2025</v>
          </cell>
          <cell r="N391" t="str">
            <v>31.03.2025</v>
          </cell>
          <cell r="O391">
            <v>68.61</v>
          </cell>
          <cell r="P391">
            <v>150.4</v>
          </cell>
        </row>
        <row r="392">
          <cell r="B392" t="str">
            <v>D86410000269</v>
          </cell>
          <cell r="C392" t="str">
            <v>D864</v>
          </cell>
          <cell r="D392" t="str">
            <v>D098</v>
          </cell>
          <cell r="E392">
            <v>10000269</v>
          </cell>
          <cell r="F392" t="str">
            <v>Grava Triturada Caliza 13 mm - 1/2"</v>
          </cell>
          <cell r="G392">
            <v>81.790000000000006</v>
          </cell>
          <cell r="H392" t="str">
            <v>MXN</v>
          </cell>
          <cell r="I392">
            <v>1</v>
          </cell>
          <cell r="J392" t="str">
            <v>TN</v>
          </cell>
          <cell r="K392" t="str">
            <v>C</v>
          </cell>
          <cell r="M392" t="str">
            <v>01.01.2025</v>
          </cell>
          <cell r="N392" t="str">
            <v>31.03.2025</v>
          </cell>
          <cell r="O392">
            <v>70.010000000000005</v>
          </cell>
          <cell r="P392">
            <v>151.80000000000001</v>
          </cell>
        </row>
        <row r="393">
          <cell r="B393" t="str">
            <v>D86410001073</v>
          </cell>
          <cell r="C393" t="str">
            <v>D864</v>
          </cell>
          <cell r="D393" t="str">
            <v>D098</v>
          </cell>
          <cell r="E393">
            <v>10001073</v>
          </cell>
          <cell r="F393" t="str">
            <v>Arena Triturada Caliza Malla 4</v>
          </cell>
          <cell r="G393">
            <v>82.25</v>
          </cell>
          <cell r="H393" t="str">
            <v>MXN</v>
          </cell>
          <cell r="I393">
            <v>1</v>
          </cell>
          <cell r="J393" t="str">
            <v>TN</v>
          </cell>
          <cell r="K393" t="str">
            <v>C</v>
          </cell>
          <cell r="M393" t="str">
            <v>01.01.2025</v>
          </cell>
          <cell r="N393" t="str">
            <v>31.03.2025</v>
          </cell>
          <cell r="O393">
            <v>9.23</v>
          </cell>
          <cell r="P393">
            <v>91.48</v>
          </cell>
        </row>
        <row r="394">
          <cell r="B394" t="str">
            <v>D86410001074</v>
          </cell>
          <cell r="C394" t="str">
            <v>D864</v>
          </cell>
          <cell r="D394" t="str">
            <v>D098</v>
          </cell>
          <cell r="E394">
            <v>10001074</v>
          </cell>
          <cell r="F394" t="str">
            <v>Grava Triturada Caliza 40 mm - 1 1/2"</v>
          </cell>
          <cell r="G394">
            <v>81.790000000000006</v>
          </cell>
          <cell r="H394" t="str">
            <v>MXN</v>
          </cell>
          <cell r="I394">
            <v>1</v>
          </cell>
          <cell r="J394" t="str">
            <v>TN</v>
          </cell>
          <cell r="K394" t="str">
            <v>C</v>
          </cell>
          <cell r="M394" t="str">
            <v>01.01.2025</v>
          </cell>
          <cell r="N394" t="str">
            <v>31.03.2025</v>
          </cell>
          <cell r="O394">
            <v>95.96</v>
          </cell>
          <cell r="P394">
            <v>177.75</v>
          </cell>
        </row>
        <row r="395">
          <cell r="B395" t="str">
            <v>D86410001203</v>
          </cell>
          <cell r="C395" t="str">
            <v>D864</v>
          </cell>
          <cell r="D395" t="str">
            <v>D098</v>
          </cell>
          <cell r="E395">
            <v>10001203</v>
          </cell>
          <cell r="F395" t="str">
            <v>Desperdicio Triturado Caliza</v>
          </cell>
          <cell r="G395">
            <v>1</v>
          </cell>
          <cell r="H395" t="str">
            <v>MXN</v>
          </cell>
          <cell r="I395">
            <v>1</v>
          </cell>
          <cell r="J395" t="str">
            <v>TN</v>
          </cell>
          <cell r="K395" t="str">
            <v>C</v>
          </cell>
          <cell r="M395" t="str">
            <v>01.01.2025</v>
          </cell>
          <cell r="N395" t="str">
            <v>31.03.2025</v>
          </cell>
          <cell r="O395">
            <v>21.56</v>
          </cell>
          <cell r="P395">
            <v>22.56</v>
          </cell>
        </row>
        <row r="396">
          <cell r="B396" t="str">
            <v>D86410000240</v>
          </cell>
          <cell r="C396" t="str">
            <v>D864</v>
          </cell>
          <cell r="D396" t="str">
            <v>D101</v>
          </cell>
          <cell r="E396">
            <v>10000240</v>
          </cell>
          <cell r="F396" t="str">
            <v>Grava Triturada Caliza 20 mm - 3/4"</v>
          </cell>
          <cell r="G396">
            <v>81.790000000000006</v>
          </cell>
          <cell r="H396" t="str">
            <v>MXN</v>
          </cell>
          <cell r="I396">
            <v>1</v>
          </cell>
          <cell r="J396" t="str">
            <v>TN</v>
          </cell>
          <cell r="K396" t="str">
            <v>C</v>
          </cell>
          <cell r="M396" t="str">
            <v>01.01.2025</v>
          </cell>
          <cell r="N396" t="str">
            <v>31.03.2025</v>
          </cell>
          <cell r="O396">
            <v>68.61</v>
          </cell>
          <cell r="P396">
            <v>150.4</v>
          </cell>
        </row>
        <row r="397">
          <cell r="B397" t="str">
            <v>D86410000236</v>
          </cell>
          <cell r="C397" t="str">
            <v>D864</v>
          </cell>
          <cell r="D397" t="str">
            <v>D104</v>
          </cell>
          <cell r="E397">
            <v>10000236</v>
          </cell>
          <cell r="F397" t="str">
            <v>Grava Triturada Caliza 10 mm - 3/8"</v>
          </cell>
          <cell r="G397">
            <v>81.790000000000006</v>
          </cell>
          <cell r="H397" t="str">
            <v>MXN</v>
          </cell>
          <cell r="I397">
            <v>1</v>
          </cell>
          <cell r="J397" t="str">
            <v>TN</v>
          </cell>
          <cell r="K397" t="str">
            <v>C</v>
          </cell>
          <cell r="M397" t="str">
            <v>01.01.2025</v>
          </cell>
          <cell r="N397" t="str">
            <v>31.03.2025</v>
          </cell>
          <cell r="O397">
            <v>62.17</v>
          </cell>
          <cell r="P397">
            <v>143.96</v>
          </cell>
        </row>
        <row r="398">
          <cell r="B398" t="str">
            <v>D86410000240</v>
          </cell>
          <cell r="C398" t="str">
            <v>D864</v>
          </cell>
          <cell r="D398" t="str">
            <v>D104</v>
          </cell>
          <cell r="E398">
            <v>10000240</v>
          </cell>
          <cell r="F398" t="str">
            <v>Grava Triturada Caliza 20 mm - 3/4"</v>
          </cell>
          <cell r="G398">
            <v>81.790000000000006</v>
          </cell>
          <cell r="H398" t="str">
            <v>MXN</v>
          </cell>
          <cell r="I398">
            <v>1</v>
          </cell>
          <cell r="J398" t="str">
            <v>TN</v>
          </cell>
          <cell r="K398" t="str">
            <v>C</v>
          </cell>
          <cell r="M398" t="str">
            <v>01.01.2025</v>
          </cell>
          <cell r="N398" t="str">
            <v>31.03.2025</v>
          </cell>
          <cell r="O398">
            <v>68.61</v>
          </cell>
          <cell r="P398">
            <v>150.4</v>
          </cell>
        </row>
        <row r="399">
          <cell r="B399" t="str">
            <v>D86410000269</v>
          </cell>
          <cell r="C399" t="str">
            <v>D864</v>
          </cell>
          <cell r="D399" t="str">
            <v>D104</v>
          </cell>
          <cell r="E399">
            <v>10000269</v>
          </cell>
          <cell r="F399" t="str">
            <v>Grava Triturada Caliza 13 mm - 1/2"</v>
          </cell>
          <cell r="G399">
            <v>81.790000000000006</v>
          </cell>
          <cell r="H399" t="str">
            <v>MXN</v>
          </cell>
          <cell r="I399">
            <v>1</v>
          </cell>
          <cell r="J399" t="str">
            <v>TN</v>
          </cell>
          <cell r="K399" t="str">
            <v>C</v>
          </cell>
          <cell r="M399" t="str">
            <v>01.01.2025</v>
          </cell>
          <cell r="N399" t="str">
            <v>31.03.2025</v>
          </cell>
          <cell r="O399">
            <v>70.010000000000005</v>
          </cell>
          <cell r="P399">
            <v>151.80000000000001</v>
          </cell>
        </row>
        <row r="400">
          <cell r="B400" t="str">
            <v>D86410001073</v>
          </cell>
          <cell r="C400" t="str">
            <v>D864</v>
          </cell>
          <cell r="D400" t="str">
            <v>D104</v>
          </cell>
          <cell r="E400">
            <v>10001073</v>
          </cell>
          <cell r="F400" t="str">
            <v>Arena Triturada Caliza Malla 4</v>
          </cell>
          <cell r="G400">
            <v>82.25</v>
          </cell>
          <cell r="H400" t="str">
            <v>MXN</v>
          </cell>
          <cell r="I400">
            <v>1</v>
          </cell>
          <cell r="J400" t="str">
            <v>TN</v>
          </cell>
          <cell r="K400" t="str">
            <v>C</v>
          </cell>
          <cell r="M400" t="str">
            <v>01.01.2025</v>
          </cell>
          <cell r="N400" t="str">
            <v>31.03.2025</v>
          </cell>
          <cell r="O400">
            <v>9.23</v>
          </cell>
          <cell r="P400">
            <v>91.48</v>
          </cell>
        </row>
        <row r="401">
          <cell r="B401" t="str">
            <v>D86410001074</v>
          </cell>
          <cell r="C401" t="str">
            <v>D864</v>
          </cell>
          <cell r="D401" t="str">
            <v>D104</v>
          </cell>
          <cell r="E401">
            <v>10001074</v>
          </cell>
          <cell r="F401" t="str">
            <v>Grava Triturada Caliza 40 mm - 1 1/2"</v>
          </cell>
          <cell r="G401">
            <v>81.790000000000006</v>
          </cell>
          <cell r="H401" t="str">
            <v>MXN</v>
          </cell>
          <cell r="I401">
            <v>1</v>
          </cell>
          <cell r="J401" t="str">
            <v>TN</v>
          </cell>
          <cell r="K401" t="str">
            <v>C</v>
          </cell>
          <cell r="M401" t="str">
            <v>01.01.2025</v>
          </cell>
          <cell r="N401" t="str">
            <v>31.03.2025</v>
          </cell>
          <cell r="O401">
            <v>95.96</v>
          </cell>
          <cell r="P401">
            <v>177.75</v>
          </cell>
        </row>
        <row r="402">
          <cell r="B402" t="str">
            <v>D86410001203</v>
          </cell>
          <cell r="C402" t="str">
            <v>D864</v>
          </cell>
          <cell r="D402" t="str">
            <v>D104</v>
          </cell>
          <cell r="E402">
            <v>10001203</v>
          </cell>
          <cell r="F402" t="str">
            <v>Desperdicio Triturado Caliza</v>
          </cell>
          <cell r="G402">
            <v>1</v>
          </cell>
          <cell r="H402" t="str">
            <v>MXN</v>
          </cell>
          <cell r="I402">
            <v>1</v>
          </cell>
          <cell r="J402" t="str">
            <v>TN</v>
          </cell>
          <cell r="K402" t="str">
            <v>C</v>
          </cell>
          <cell r="M402" t="str">
            <v>01.01.2025</v>
          </cell>
          <cell r="N402" t="str">
            <v>31.03.2025</v>
          </cell>
          <cell r="O402">
            <v>21.56</v>
          </cell>
          <cell r="P402">
            <v>22.56</v>
          </cell>
        </row>
        <row r="403">
          <cell r="B403" t="str">
            <v>D86410000236</v>
          </cell>
          <cell r="C403" t="str">
            <v>D864</v>
          </cell>
          <cell r="D403" t="str">
            <v>D105</v>
          </cell>
          <cell r="E403">
            <v>10000236</v>
          </cell>
          <cell r="F403" t="str">
            <v>Grava Triturada Caliza 10 mm - 3/8"</v>
          </cell>
          <cell r="G403">
            <v>81.790000000000006</v>
          </cell>
          <cell r="H403" t="str">
            <v>MXN</v>
          </cell>
          <cell r="I403">
            <v>1</v>
          </cell>
          <cell r="J403" t="str">
            <v>TN</v>
          </cell>
          <cell r="K403" t="str">
            <v>C</v>
          </cell>
          <cell r="M403" t="str">
            <v>01.01.2025</v>
          </cell>
          <cell r="N403" t="str">
            <v>31.03.2025</v>
          </cell>
          <cell r="O403">
            <v>62.17</v>
          </cell>
          <cell r="P403">
            <v>143.96</v>
          </cell>
        </row>
        <row r="404">
          <cell r="B404" t="str">
            <v>D86410000240</v>
          </cell>
          <cell r="C404" t="str">
            <v>D864</v>
          </cell>
          <cell r="D404" t="str">
            <v>D105</v>
          </cell>
          <cell r="E404">
            <v>10000240</v>
          </cell>
          <cell r="F404" t="str">
            <v>Grava Triturada Caliza 20 mm - 3/4"</v>
          </cell>
          <cell r="G404">
            <v>81.790000000000006</v>
          </cell>
          <cell r="H404" t="str">
            <v>MXN</v>
          </cell>
          <cell r="I404">
            <v>1</v>
          </cell>
          <cell r="J404" t="str">
            <v>TN</v>
          </cell>
          <cell r="K404" t="str">
            <v>C</v>
          </cell>
          <cell r="M404" t="str">
            <v>01.01.2025</v>
          </cell>
          <cell r="N404" t="str">
            <v>31.03.2025</v>
          </cell>
          <cell r="O404">
            <v>68.61</v>
          </cell>
          <cell r="P404">
            <v>150.4</v>
          </cell>
        </row>
        <row r="405">
          <cell r="B405" t="str">
            <v>D86410000269</v>
          </cell>
          <cell r="C405" t="str">
            <v>D864</v>
          </cell>
          <cell r="D405" t="str">
            <v>D105</v>
          </cell>
          <cell r="E405">
            <v>10000269</v>
          </cell>
          <cell r="F405" t="str">
            <v>Grava Triturada Caliza 13 mm - 1/2"</v>
          </cell>
          <cell r="G405">
            <v>81.790000000000006</v>
          </cell>
          <cell r="H405" t="str">
            <v>MXN</v>
          </cell>
          <cell r="I405">
            <v>1</v>
          </cell>
          <cell r="J405" t="str">
            <v>TN</v>
          </cell>
          <cell r="K405" t="str">
            <v>C</v>
          </cell>
          <cell r="M405" t="str">
            <v>01.01.2025</v>
          </cell>
          <cell r="N405" t="str">
            <v>31.03.2025</v>
          </cell>
          <cell r="O405">
            <v>70.010000000000005</v>
          </cell>
          <cell r="P405">
            <v>151.80000000000001</v>
          </cell>
        </row>
        <row r="406">
          <cell r="B406" t="str">
            <v>D86410001073</v>
          </cell>
          <cell r="C406" t="str">
            <v>D864</v>
          </cell>
          <cell r="D406" t="str">
            <v>D105</v>
          </cell>
          <cell r="E406">
            <v>10001073</v>
          </cell>
          <cell r="F406" t="str">
            <v>Arena Triturada Caliza Malla 4</v>
          </cell>
          <cell r="G406">
            <v>82.25</v>
          </cell>
          <cell r="H406" t="str">
            <v>MXN</v>
          </cell>
          <cell r="I406">
            <v>1</v>
          </cell>
          <cell r="J406" t="str">
            <v>TN</v>
          </cell>
          <cell r="K406" t="str">
            <v>C</v>
          </cell>
          <cell r="M406" t="str">
            <v>01.01.2025</v>
          </cell>
          <cell r="N406" t="str">
            <v>31.03.2025</v>
          </cell>
          <cell r="O406">
            <v>9.23</v>
          </cell>
          <cell r="P406">
            <v>91.48</v>
          </cell>
        </row>
        <row r="407">
          <cell r="B407" t="str">
            <v>D86410001074</v>
          </cell>
          <cell r="C407" t="str">
            <v>D864</v>
          </cell>
          <cell r="D407" t="str">
            <v>D105</v>
          </cell>
          <cell r="E407">
            <v>10001074</v>
          </cell>
          <cell r="F407" t="str">
            <v>Grava Triturada Caliza 40 mm - 1 1/2"</v>
          </cell>
          <cell r="G407">
            <v>81.790000000000006</v>
          </cell>
          <cell r="H407" t="str">
            <v>MXN</v>
          </cell>
          <cell r="I407">
            <v>1</v>
          </cell>
          <cell r="J407" t="str">
            <v>TN</v>
          </cell>
          <cell r="K407" t="str">
            <v>C</v>
          </cell>
          <cell r="M407" t="str">
            <v>01.01.2025</v>
          </cell>
          <cell r="N407" t="str">
            <v>31.03.2025</v>
          </cell>
          <cell r="O407">
            <v>95.96</v>
          </cell>
          <cell r="P407">
            <v>177.75</v>
          </cell>
        </row>
        <row r="408">
          <cell r="B408" t="str">
            <v>D86410001203</v>
          </cell>
          <cell r="C408" t="str">
            <v>D864</v>
          </cell>
          <cell r="D408" t="str">
            <v>D105</v>
          </cell>
          <cell r="E408">
            <v>10001203</v>
          </cell>
          <cell r="F408" t="str">
            <v>Desperdicio Triturado Caliza</v>
          </cell>
          <cell r="G408">
            <v>1</v>
          </cell>
          <cell r="H408" t="str">
            <v>MXN</v>
          </cell>
          <cell r="I408">
            <v>1</v>
          </cell>
          <cell r="J408" t="str">
            <v>TN</v>
          </cell>
          <cell r="K408" t="str">
            <v>C</v>
          </cell>
          <cell r="M408" t="str">
            <v>01.01.2025</v>
          </cell>
          <cell r="N408" t="str">
            <v>31.03.2025</v>
          </cell>
          <cell r="O408">
            <v>21.56</v>
          </cell>
          <cell r="P408">
            <v>22.56</v>
          </cell>
        </row>
        <row r="409">
          <cell r="B409" t="str">
            <v>D86410000236</v>
          </cell>
          <cell r="C409" t="str">
            <v>D864</v>
          </cell>
          <cell r="D409" t="str">
            <v>D110</v>
          </cell>
          <cell r="E409">
            <v>10000236</v>
          </cell>
          <cell r="F409" t="str">
            <v>Grava Triturada Caliza 10 mm - 3/8"</v>
          </cell>
          <cell r="G409">
            <v>81.790000000000006</v>
          </cell>
          <cell r="H409" t="str">
            <v>MXN</v>
          </cell>
          <cell r="I409">
            <v>1</v>
          </cell>
          <cell r="J409" t="str">
            <v>TN</v>
          </cell>
          <cell r="K409" t="str">
            <v>C</v>
          </cell>
          <cell r="M409" t="str">
            <v>01.01.2025</v>
          </cell>
          <cell r="N409" t="str">
            <v>31.03.2025</v>
          </cell>
          <cell r="O409">
            <v>62.17</v>
          </cell>
          <cell r="P409">
            <v>143.96</v>
          </cell>
        </row>
        <row r="410">
          <cell r="B410" t="str">
            <v>D86410000240</v>
          </cell>
          <cell r="C410" t="str">
            <v>D864</v>
          </cell>
          <cell r="D410" t="str">
            <v>D110</v>
          </cell>
          <cell r="E410">
            <v>10000240</v>
          </cell>
          <cell r="F410" t="str">
            <v>Grava Triturada Caliza 20 mm - 3/4"</v>
          </cell>
          <cell r="G410">
            <v>81.790000000000006</v>
          </cell>
          <cell r="H410" t="str">
            <v>MXN</v>
          </cell>
          <cell r="I410">
            <v>1</v>
          </cell>
          <cell r="J410" t="str">
            <v>TN</v>
          </cell>
          <cell r="K410" t="str">
            <v>C</v>
          </cell>
          <cell r="M410" t="str">
            <v>01.01.2025</v>
          </cell>
          <cell r="N410" t="str">
            <v>31.03.2025</v>
          </cell>
          <cell r="O410">
            <v>68.61</v>
          </cell>
          <cell r="P410">
            <v>150.4</v>
          </cell>
        </row>
        <row r="411">
          <cell r="B411" t="str">
            <v>D86410000269</v>
          </cell>
          <cell r="C411" t="str">
            <v>D864</v>
          </cell>
          <cell r="D411" t="str">
            <v>D110</v>
          </cell>
          <cell r="E411">
            <v>10000269</v>
          </cell>
          <cell r="F411" t="str">
            <v>Grava Triturada Caliza 13 mm - 1/2"</v>
          </cell>
          <cell r="G411">
            <v>81.790000000000006</v>
          </cell>
          <cell r="H411" t="str">
            <v>MXN</v>
          </cell>
          <cell r="I411">
            <v>1</v>
          </cell>
          <cell r="J411" t="str">
            <v>TN</v>
          </cell>
          <cell r="K411" t="str">
            <v>C</v>
          </cell>
          <cell r="M411" t="str">
            <v>01.01.2025</v>
          </cell>
          <cell r="N411" t="str">
            <v>31.03.2025</v>
          </cell>
          <cell r="O411">
            <v>70.010000000000005</v>
          </cell>
          <cell r="P411">
            <v>151.80000000000001</v>
          </cell>
        </row>
        <row r="412">
          <cell r="B412" t="str">
            <v>D86410001073</v>
          </cell>
          <cell r="C412" t="str">
            <v>D864</v>
          </cell>
          <cell r="D412" t="str">
            <v>D110</v>
          </cell>
          <cell r="E412">
            <v>10001073</v>
          </cell>
          <cell r="F412" t="str">
            <v>Arena Triturada Caliza Malla 4</v>
          </cell>
          <cell r="G412">
            <v>82.25</v>
          </cell>
          <cell r="H412" t="str">
            <v>MXN</v>
          </cell>
          <cell r="I412">
            <v>1</v>
          </cell>
          <cell r="J412" t="str">
            <v>TN</v>
          </cell>
          <cell r="K412" t="str">
            <v>C</v>
          </cell>
          <cell r="M412" t="str">
            <v>01.01.2025</v>
          </cell>
          <cell r="N412" t="str">
            <v>31.03.2025</v>
          </cell>
          <cell r="O412">
            <v>9.23</v>
          </cell>
          <cell r="P412">
            <v>91.48</v>
          </cell>
        </row>
        <row r="413">
          <cell r="B413" t="str">
            <v>D86410001074</v>
          </cell>
          <cell r="C413" t="str">
            <v>D864</v>
          </cell>
          <cell r="D413" t="str">
            <v>D110</v>
          </cell>
          <cell r="E413">
            <v>10001074</v>
          </cell>
          <cell r="F413" t="str">
            <v>Grava Triturada Caliza 40 mm - 1 1/2"</v>
          </cell>
          <cell r="G413">
            <v>81.790000000000006</v>
          </cell>
          <cell r="H413" t="str">
            <v>MXN</v>
          </cell>
          <cell r="I413">
            <v>1</v>
          </cell>
          <cell r="J413" t="str">
            <v>TN</v>
          </cell>
          <cell r="K413" t="str">
            <v>C</v>
          </cell>
          <cell r="M413" t="str">
            <v>01.01.2025</v>
          </cell>
          <cell r="N413" t="str">
            <v>31.03.2025</v>
          </cell>
          <cell r="O413">
            <v>95.96</v>
          </cell>
          <cell r="P413">
            <v>177.75</v>
          </cell>
        </row>
        <row r="414">
          <cell r="B414" t="str">
            <v>D86410001203</v>
          </cell>
          <cell r="C414" t="str">
            <v>D864</v>
          </cell>
          <cell r="D414" t="str">
            <v>D110</v>
          </cell>
          <cell r="E414">
            <v>10001203</v>
          </cell>
          <cell r="F414" t="str">
            <v>Desperdicio Triturado Caliza</v>
          </cell>
          <cell r="G414">
            <v>1</v>
          </cell>
          <cell r="H414" t="str">
            <v>MXN</v>
          </cell>
          <cell r="I414">
            <v>1</v>
          </cell>
          <cell r="J414" t="str">
            <v>TN</v>
          </cell>
          <cell r="K414" t="str">
            <v>C</v>
          </cell>
          <cell r="M414" t="str">
            <v>01.01.2025</v>
          </cell>
          <cell r="N414" t="str">
            <v>31.03.2025</v>
          </cell>
          <cell r="O414">
            <v>21.56</v>
          </cell>
          <cell r="P414">
            <v>22.56</v>
          </cell>
        </row>
        <row r="415">
          <cell r="B415" t="str">
            <v>D86410000236</v>
          </cell>
          <cell r="C415" t="str">
            <v>D864</v>
          </cell>
          <cell r="D415" t="str">
            <v>D111</v>
          </cell>
          <cell r="E415">
            <v>10000236</v>
          </cell>
          <cell r="F415" t="str">
            <v>Grava Triturada Caliza 10 mm - 3/8"</v>
          </cell>
          <cell r="G415">
            <v>81.790000000000006</v>
          </cell>
          <cell r="H415" t="str">
            <v>MXN</v>
          </cell>
          <cell r="I415">
            <v>1</v>
          </cell>
          <cell r="J415" t="str">
            <v>TN</v>
          </cell>
          <cell r="K415" t="str">
            <v>C</v>
          </cell>
          <cell r="M415" t="str">
            <v>01.01.2025</v>
          </cell>
          <cell r="N415" t="str">
            <v>31.03.2025</v>
          </cell>
          <cell r="O415">
            <v>62.17</v>
          </cell>
          <cell r="P415">
            <v>143.96</v>
          </cell>
        </row>
        <row r="416">
          <cell r="B416" t="str">
            <v>D86410000240</v>
          </cell>
          <cell r="C416" t="str">
            <v>D864</v>
          </cell>
          <cell r="D416" t="str">
            <v>D111</v>
          </cell>
          <cell r="E416">
            <v>10000240</v>
          </cell>
          <cell r="F416" t="str">
            <v>Grava Triturada Caliza 20 mm - 3/4"</v>
          </cell>
          <cell r="G416">
            <v>81.790000000000006</v>
          </cell>
          <cell r="H416" t="str">
            <v>MXN</v>
          </cell>
          <cell r="I416">
            <v>1</v>
          </cell>
          <cell r="J416" t="str">
            <v>TN</v>
          </cell>
          <cell r="K416" t="str">
            <v>C</v>
          </cell>
          <cell r="M416" t="str">
            <v>01.01.2025</v>
          </cell>
          <cell r="N416" t="str">
            <v>31.03.2025</v>
          </cell>
          <cell r="O416">
            <v>68.61</v>
          </cell>
          <cell r="P416">
            <v>150.4</v>
          </cell>
        </row>
        <row r="417">
          <cell r="B417" t="str">
            <v>D86410000269</v>
          </cell>
          <cell r="C417" t="str">
            <v>D864</v>
          </cell>
          <cell r="D417" t="str">
            <v>D111</v>
          </cell>
          <cell r="E417">
            <v>10000269</v>
          </cell>
          <cell r="F417" t="str">
            <v>Grava Triturada Caliza 13 mm - 1/2"</v>
          </cell>
          <cell r="G417">
            <v>81.790000000000006</v>
          </cell>
          <cell r="H417" t="str">
            <v>MXN</v>
          </cell>
          <cell r="I417">
            <v>1</v>
          </cell>
          <cell r="J417" t="str">
            <v>TN</v>
          </cell>
          <cell r="K417" t="str">
            <v>C</v>
          </cell>
          <cell r="M417" t="str">
            <v>01.01.2025</v>
          </cell>
          <cell r="N417" t="str">
            <v>31.03.2025</v>
          </cell>
          <cell r="O417">
            <v>70.010000000000005</v>
          </cell>
          <cell r="P417">
            <v>151.80000000000001</v>
          </cell>
        </row>
        <row r="418">
          <cell r="B418" t="str">
            <v>D86410001073</v>
          </cell>
          <cell r="C418" t="str">
            <v>D864</v>
          </cell>
          <cell r="D418" t="str">
            <v>D111</v>
          </cell>
          <cell r="E418">
            <v>10001073</v>
          </cell>
          <cell r="F418" t="str">
            <v>Arena Triturada Caliza Malla 4</v>
          </cell>
          <cell r="G418">
            <v>82.25</v>
          </cell>
          <cell r="H418" t="str">
            <v>MXN</v>
          </cell>
          <cell r="I418">
            <v>1</v>
          </cell>
          <cell r="J418" t="str">
            <v>TN</v>
          </cell>
          <cell r="K418" t="str">
            <v>C</v>
          </cell>
          <cell r="M418" t="str">
            <v>01.01.2025</v>
          </cell>
          <cell r="N418" t="str">
            <v>31.03.2025</v>
          </cell>
          <cell r="O418">
            <v>9.23</v>
          </cell>
          <cell r="P418">
            <v>91.48</v>
          </cell>
        </row>
        <row r="419">
          <cell r="B419" t="str">
            <v>D86410001074</v>
          </cell>
          <cell r="C419" t="str">
            <v>D864</v>
          </cell>
          <cell r="D419" t="str">
            <v>D111</v>
          </cell>
          <cell r="E419">
            <v>10001074</v>
          </cell>
          <cell r="F419" t="str">
            <v>Grava Triturada Caliza 40 mm - 1 1/2"</v>
          </cell>
          <cell r="G419">
            <v>81.790000000000006</v>
          </cell>
          <cell r="H419" t="str">
            <v>MXN</v>
          </cell>
          <cell r="I419">
            <v>1</v>
          </cell>
          <cell r="J419" t="str">
            <v>TN</v>
          </cell>
          <cell r="K419" t="str">
            <v>C</v>
          </cell>
          <cell r="M419" t="str">
            <v>01.01.2025</v>
          </cell>
          <cell r="N419" t="str">
            <v>31.03.2025</v>
          </cell>
          <cell r="O419">
            <v>95.96</v>
          </cell>
          <cell r="P419">
            <v>177.75</v>
          </cell>
        </row>
        <row r="420">
          <cell r="B420" t="str">
            <v>D86410001203</v>
          </cell>
          <cell r="C420" t="str">
            <v>D864</v>
          </cell>
          <cell r="D420" t="str">
            <v>D111</v>
          </cell>
          <cell r="E420">
            <v>10001203</v>
          </cell>
          <cell r="F420" t="str">
            <v>Desperdicio Triturado Caliza</v>
          </cell>
          <cell r="G420">
            <v>1</v>
          </cell>
          <cell r="H420" t="str">
            <v>MXN</v>
          </cell>
          <cell r="I420">
            <v>1</v>
          </cell>
          <cell r="J420" t="str">
            <v>TN</v>
          </cell>
          <cell r="K420" t="str">
            <v>C</v>
          </cell>
          <cell r="M420" t="str">
            <v>01.01.2025</v>
          </cell>
          <cell r="N420" t="str">
            <v>31.03.2025</v>
          </cell>
          <cell r="O420">
            <v>21.56</v>
          </cell>
          <cell r="P420">
            <v>22.56</v>
          </cell>
        </row>
        <row r="421">
          <cell r="B421" t="str">
            <v>D86410000240</v>
          </cell>
          <cell r="C421" t="str">
            <v>D864</v>
          </cell>
          <cell r="D421" t="str">
            <v>D116</v>
          </cell>
          <cell r="E421">
            <v>10000240</v>
          </cell>
          <cell r="F421" t="str">
            <v>Grava Triturada Caliza 20 mm - 3/4"</v>
          </cell>
          <cell r="G421">
            <v>81.790000000000006</v>
          </cell>
          <cell r="H421" t="str">
            <v>MXN</v>
          </cell>
          <cell r="I421">
            <v>1</v>
          </cell>
          <cell r="J421" t="str">
            <v>TN</v>
          </cell>
          <cell r="K421" t="str">
            <v>C</v>
          </cell>
          <cell r="M421" t="str">
            <v>01.01.2025</v>
          </cell>
          <cell r="N421" t="str">
            <v>31.03.2025</v>
          </cell>
          <cell r="O421">
            <v>68.61</v>
          </cell>
          <cell r="P421">
            <v>150.4</v>
          </cell>
        </row>
        <row r="422">
          <cell r="B422" t="str">
            <v>D86410000269</v>
          </cell>
          <cell r="C422" t="str">
            <v>D864</v>
          </cell>
          <cell r="D422" t="str">
            <v>D116</v>
          </cell>
          <cell r="E422">
            <v>10000269</v>
          </cell>
          <cell r="F422" t="str">
            <v>Grava Triturada Caliza 13 mm - 1/2"</v>
          </cell>
          <cell r="G422">
            <v>81.790000000000006</v>
          </cell>
          <cell r="H422" t="str">
            <v>MXN</v>
          </cell>
          <cell r="I422">
            <v>1</v>
          </cell>
          <cell r="J422" t="str">
            <v>TN</v>
          </cell>
          <cell r="K422" t="str">
            <v>C</v>
          </cell>
          <cell r="M422" t="str">
            <v>01.01.2025</v>
          </cell>
          <cell r="N422" t="str">
            <v>31.03.2025</v>
          </cell>
          <cell r="O422">
            <v>70.010000000000005</v>
          </cell>
          <cell r="P422">
            <v>151.80000000000001</v>
          </cell>
        </row>
        <row r="423">
          <cell r="B423" t="str">
            <v>D86410001073</v>
          </cell>
          <cell r="C423" t="str">
            <v>D864</v>
          </cell>
          <cell r="D423" t="str">
            <v>D116</v>
          </cell>
          <cell r="E423">
            <v>10001073</v>
          </cell>
          <cell r="F423" t="str">
            <v>Arena Triturada Caliza Malla 4</v>
          </cell>
          <cell r="G423">
            <v>82.25</v>
          </cell>
          <cell r="H423" t="str">
            <v>MXN</v>
          </cell>
          <cell r="I423">
            <v>1</v>
          </cell>
          <cell r="J423" t="str">
            <v>TN</v>
          </cell>
          <cell r="K423" t="str">
            <v>C</v>
          </cell>
          <cell r="M423" t="str">
            <v>01.01.2025</v>
          </cell>
          <cell r="N423" t="str">
            <v>31.03.2025</v>
          </cell>
          <cell r="O423">
            <v>9.23</v>
          </cell>
          <cell r="P423">
            <v>91.48</v>
          </cell>
        </row>
        <row r="424">
          <cell r="B424" t="str">
            <v>D86410001074</v>
          </cell>
          <cell r="C424" t="str">
            <v>D864</v>
          </cell>
          <cell r="D424" t="str">
            <v>D116</v>
          </cell>
          <cell r="E424">
            <v>10001074</v>
          </cell>
          <cell r="F424" t="str">
            <v>Grava Triturada Caliza 40 mm - 1 1/2"</v>
          </cell>
          <cell r="G424">
            <v>81.790000000000006</v>
          </cell>
          <cell r="H424" t="str">
            <v>MXN</v>
          </cell>
          <cell r="I424">
            <v>1</v>
          </cell>
          <cell r="J424" t="str">
            <v>TN</v>
          </cell>
          <cell r="K424" t="str">
            <v>C</v>
          </cell>
          <cell r="M424" t="str">
            <v>01.01.2025</v>
          </cell>
          <cell r="N424" t="str">
            <v>31.03.2025</v>
          </cell>
          <cell r="O424">
            <v>95.96</v>
          </cell>
          <cell r="P424">
            <v>177.75</v>
          </cell>
        </row>
        <row r="425">
          <cell r="B425" t="str">
            <v>D86410000236</v>
          </cell>
          <cell r="C425" t="str">
            <v>D864</v>
          </cell>
          <cell r="D425" t="str">
            <v>D117</v>
          </cell>
          <cell r="E425">
            <v>10000236</v>
          </cell>
          <cell r="F425" t="str">
            <v>Grava Triturada Caliza 10 mm - 3/8"</v>
          </cell>
          <cell r="G425">
            <v>81.790000000000006</v>
          </cell>
          <cell r="H425" t="str">
            <v>MXN</v>
          </cell>
          <cell r="I425">
            <v>1</v>
          </cell>
          <cell r="J425" t="str">
            <v>TN</v>
          </cell>
          <cell r="K425" t="str">
            <v>C</v>
          </cell>
          <cell r="M425" t="str">
            <v>01.01.2025</v>
          </cell>
          <cell r="N425" t="str">
            <v>31.03.2025</v>
          </cell>
          <cell r="O425">
            <v>62.17</v>
          </cell>
          <cell r="P425">
            <v>143.96</v>
          </cell>
        </row>
        <row r="426">
          <cell r="B426" t="str">
            <v>D86410000240</v>
          </cell>
          <cell r="C426" t="str">
            <v>D864</v>
          </cell>
          <cell r="D426" t="str">
            <v>D117</v>
          </cell>
          <cell r="E426">
            <v>10000240</v>
          </cell>
          <cell r="F426" t="str">
            <v>Grava Triturada Caliza 20 mm - 3/4"</v>
          </cell>
          <cell r="G426">
            <v>81.790000000000006</v>
          </cell>
          <cell r="H426" t="str">
            <v>MXN</v>
          </cell>
          <cell r="I426">
            <v>1</v>
          </cell>
          <cell r="J426" t="str">
            <v>TN</v>
          </cell>
          <cell r="K426" t="str">
            <v>C</v>
          </cell>
          <cell r="M426" t="str">
            <v>01.01.2025</v>
          </cell>
          <cell r="N426" t="str">
            <v>31.03.2025</v>
          </cell>
          <cell r="O426">
            <v>68.61</v>
          </cell>
          <cell r="P426">
            <v>150.4</v>
          </cell>
        </row>
        <row r="427">
          <cell r="B427" t="str">
            <v>D86410000269</v>
          </cell>
          <cell r="C427" t="str">
            <v>D864</v>
          </cell>
          <cell r="D427" t="str">
            <v>D117</v>
          </cell>
          <cell r="E427">
            <v>10000269</v>
          </cell>
          <cell r="F427" t="str">
            <v>Grava Triturada Caliza 13 mm - 1/2"</v>
          </cell>
          <cell r="G427">
            <v>81.790000000000006</v>
          </cell>
          <cell r="H427" t="str">
            <v>MXN</v>
          </cell>
          <cell r="I427">
            <v>1</v>
          </cell>
          <cell r="J427" t="str">
            <v>TN</v>
          </cell>
          <cell r="K427" t="str">
            <v>C</v>
          </cell>
          <cell r="M427" t="str">
            <v>01.01.2025</v>
          </cell>
          <cell r="N427" t="str">
            <v>31.03.2025</v>
          </cell>
          <cell r="O427">
            <v>70.010000000000005</v>
          </cell>
          <cell r="P427">
            <v>151.80000000000001</v>
          </cell>
        </row>
        <row r="428">
          <cell r="B428" t="str">
            <v>D86410001073</v>
          </cell>
          <cell r="C428" t="str">
            <v>D864</v>
          </cell>
          <cell r="D428" t="str">
            <v>D117</v>
          </cell>
          <cell r="E428">
            <v>10001073</v>
          </cell>
          <cell r="F428" t="str">
            <v>Arena Triturada Caliza Malla 4</v>
          </cell>
          <cell r="G428">
            <v>82.25</v>
          </cell>
          <cell r="H428" t="str">
            <v>MXN</v>
          </cell>
          <cell r="I428">
            <v>1</v>
          </cell>
          <cell r="J428" t="str">
            <v>TN</v>
          </cell>
          <cell r="K428" t="str">
            <v>C</v>
          </cell>
          <cell r="M428" t="str">
            <v>01.01.2025</v>
          </cell>
          <cell r="N428" t="str">
            <v>31.03.2025</v>
          </cell>
          <cell r="O428">
            <v>9.23</v>
          </cell>
          <cell r="P428">
            <v>91.48</v>
          </cell>
        </row>
        <row r="429">
          <cell r="B429" t="str">
            <v>D86410001074</v>
          </cell>
          <cell r="C429" t="str">
            <v>D864</v>
          </cell>
          <cell r="D429" t="str">
            <v>D117</v>
          </cell>
          <cell r="E429">
            <v>10001074</v>
          </cell>
          <cell r="F429" t="str">
            <v>Grava Triturada Caliza 40 mm - 1 1/2"</v>
          </cell>
          <cell r="G429">
            <v>81.790000000000006</v>
          </cell>
          <cell r="H429" t="str">
            <v>MXN</v>
          </cell>
          <cell r="I429">
            <v>1</v>
          </cell>
          <cell r="J429" t="str">
            <v>TN</v>
          </cell>
          <cell r="K429" t="str">
            <v>C</v>
          </cell>
          <cell r="M429" t="str">
            <v>01.01.2025</v>
          </cell>
          <cell r="N429" t="str">
            <v>31.03.2025</v>
          </cell>
          <cell r="O429">
            <v>95.96</v>
          </cell>
          <cell r="P429">
            <v>177.75</v>
          </cell>
        </row>
        <row r="430">
          <cell r="B430" t="str">
            <v>D86410000240</v>
          </cell>
          <cell r="C430" t="str">
            <v>D864</v>
          </cell>
          <cell r="D430" t="str">
            <v>D119</v>
          </cell>
          <cell r="E430">
            <v>10000240</v>
          </cell>
          <cell r="F430" t="str">
            <v>Grava Triturada Caliza 20 mm - 3/4"</v>
          </cell>
          <cell r="G430">
            <v>81.790000000000006</v>
          </cell>
          <cell r="H430" t="str">
            <v>MXN</v>
          </cell>
          <cell r="I430">
            <v>1</v>
          </cell>
          <cell r="J430" t="str">
            <v>TN</v>
          </cell>
          <cell r="K430" t="str">
            <v>C</v>
          </cell>
          <cell r="M430" t="str">
            <v>01.01.2025</v>
          </cell>
          <cell r="N430" t="str">
            <v>31.03.2025</v>
          </cell>
          <cell r="O430">
            <v>68.61</v>
          </cell>
          <cell r="P430">
            <v>150.4</v>
          </cell>
        </row>
        <row r="431">
          <cell r="B431" t="str">
            <v>D86410000269</v>
          </cell>
          <cell r="C431" t="str">
            <v>D864</v>
          </cell>
          <cell r="D431" t="str">
            <v>D119</v>
          </cell>
          <cell r="E431">
            <v>10000269</v>
          </cell>
          <cell r="F431" t="str">
            <v>Grava Triturada Caliza 13 mm - 1/2"</v>
          </cell>
          <cell r="G431">
            <v>81.790000000000006</v>
          </cell>
          <cell r="H431" t="str">
            <v>MXN</v>
          </cell>
          <cell r="I431">
            <v>1</v>
          </cell>
          <cell r="J431" t="str">
            <v>TN</v>
          </cell>
          <cell r="K431" t="str">
            <v>C</v>
          </cell>
          <cell r="M431" t="str">
            <v>01.01.2025</v>
          </cell>
          <cell r="N431" t="str">
            <v>31.03.2025</v>
          </cell>
          <cell r="O431">
            <v>70.010000000000005</v>
          </cell>
          <cell r="P431">
            <v>151.80000000000001</v>
          </cell>
        </row>
        <row r="432">
          <cell r="B432" t="str">
            <v>D86410001073</v>
          </cell>
          <cell r="C432" t="str">
            <v>D864</v>
          </cell>
          <cell r="D432" t="str">
            <v>D119</v>
          </cell>
          <cell r="E432">
            <v>10001073</v>
          </cell>
          <cell r="F432" t="str">
            <v>Arena Triturada Caliza Malla 4</v>
          </cell>
          <cell r="G432">
            <v>82.25</v>
          </cell>
          <cell r="H432" t="str">
            <v>MXN</v>
          </cell>
          <cell r="I432">
            <v>1</v>
          </cell>
          <cell r="J432" t="str">
            <v>TN</v>
          </cell>
          <cell r="K432" t="str">
            <v>C</v>
          </cell>
          <cell r="M432" t="str">
            <v>01.01.2025</v>
          </cell>
          <cell r="N432" t="str">
            <v>31.03.2025</v>
          </cell>
          <cell r="O432">
            <v>9.23</v>
          </cell>
          <cell r="P432">
            <v>91.48</v>
          </cell>
        </row>
        <row r="433">
          <cell r="B433" t="str">
            <v>D86410001074</v>
          </cell>
          <cell r="C433" t="str">
            <v>D864</v>
          </cell>
          <cell r="D433" t="str">
            <v>D119</v>
          </cell>
          <cell r="E433">
            <v>10001074</v>
          </cell>
          <cell r="F433" t="str">
            <v>Grava Triturada Caliza 40 mm - 1 1/2"</v>
          </cell>
          <cell r="G433">
            <v>81.790000000000006</v>
          </cell>
          <cell r="H433" t="str">
            <v>MXN</v>
          </cell>
          <cell r="I433">
            <v>1</v>
          </cell>
          <cell r="J433" t="str">
            <v>TN</v>
          </cell>
          <cell r="K433" t="str">
            <v>C</v>
          </cell>
          <cell r="M433" t="str">
            <v>01.01.2025</v>
          </cell>
          <cell r="N433" t="str">
            <v>31.03.2025</v>
          </cell>
          <cell r="O433">
            <v>95.96</v>
          </cell>
          <cell r="P433">
            <v>177.75</v>
          </cell>
        </row>
        <row r="434">
          <cell r="B434" t="str">
            <v>D86410000236</v>
          </cell>
          <cell r="C434" t="str">
            <v>D864</v>
          </cell>
          <cell r="D434" t="str">
            <v>D132</v>
          </cell>
          <cell r="E434">
            <v>10000236</v>
          </cell>
          <cell r="F434" t="str">
            <v>Grava Triturada Caliza 10 mm - 3/8"</v>
          </cell>
          <cell r="G434">
            <v>81.790000000000006</v>
          </cell>
          <cell r="H434" t="str">
            <v>MXN</v>
          </cell>
          <cell r="I434">
            <v>1</v>
          </cell>
          <cell r="J434" t="str">
            <v>TN</v>
          </cell>
          <cell r="K434" t="str">
            <v>C</v>
          </cell>
          <cell r="M434" t="str">
            <v>01.01.2025</v>
          </cell>
          <cell r="N434" t="str">
            <v>31.03.2025</v>
          </cell>
          <cell r="O434">
            <v>62.17</v>
          </cell>
          <cell r="P434">
            <v>143.96</v>
          </cell>
        </row>
        <row r="435">
          <cell r="B435" t="str">
            <v>D86410000240</v>
          </cell>
          <cell r="C435" t="str">
            <v>D864</v>
          </cell>
          <cell r="D435" t="str">
            <v>D132</v>
          </cell>
          <cell r="E435">
            <v>10000240</v>
          </cell>
          <cell r="F435" t="str">
            <v>Grava Triturada Caliza 20 mm - 3/4"</v>
          </cell>
          <cell r="G435">
            <v>81.790000000000006</v>
          </cell>
          <cell r="H435" t="str">
            <v>MXN</v>
          </cell>
          <cell r="I435">
            <v>1</v>
          </cell>
          <cell r="J435" t="str">
            <v>TN</v>
          </cell>
          <cell r="K435" t="str">
            <v>C</v>
          </cell>
          <cell r="M435" t="str">
            <v>01.01.2025</v>
          </cell>
          <cell r="N435" t="str">
            <v>31.03.2025</v>
          </cell>
          <cell r="O435">
            <v>68.61</v>
          </cell>
          <cell r="P435">
            <v>150.4</v>
          </cell>
        </row>
        <row r="436">
          <cell r="B436" t="str">
            <v>D86410000269</v>
          </cell>
          <cell r="C436" t="str">
            <v>D864</v>
          </cell>
          <cell r="D436" t="str">
            <v>D132</v>
          </cell>
          <cell r="E436">
            <v>10000269</v>
          </cell>
          <cell r="F436" t="str">
            <v>Grava Triturada Caliza 13 mm - 1/2"</v>
          </cell>
          <cell r="G436">
            <v>81.790000000000006</v>
          </cell>
          <cell r="H436" t="str">
            <v>MXN</v>
          </cell>
          <cell r="I436">
            <v>1</v>
          </cell>
          <cell r="J436" t="str">
            <v>TN</v>
          </cell>
          <cell r="K436" t="str">
            <v>C</v>
          </cell>
          <cell r="M436" t="str">
            <v>01.01.2025</v>
          </cell>
          <cell r="N436" t="str">
            <v>31.03.2025</v>
          </cell>
          <cell r="O436">
            <v>70.010000000000005</v>
          </cell>
          <cell r="P436">
            <v>151.80000000000001</v>
          </cell>
        </row>
        <row r="437">
          <cell r="B437" t="str">
            <v>D86410001073</v>
          </cell>
          <cell r="C437" t="str">
            <v>D864</v>
          </cell>
          <cell r="D437" t="str">
            <v>D132</v>
          </cell>
          <cell r="E437">
            <v>10001073</v>
          </cell>
          <cell r="F437" t="str">
            <v>Arena Triturada Caliza Malla 4</v>
          </cell>
          <cell r="G437">
            <v>82.25</v>
          </cell>
          <cell r="H437" t="str">
            <v>MXN</v>
          </cell>
          <cell r="I437">
            <v>1</v>
          </cell>
          <cell r="J437" t="str">
            <v>TN</v>
          </cell>
          <cell r="K437" t="str">
            <v>C</v>
          </cell>
          <cell r="M437" t="str">
            <v>01.01.2025</v>
          </cell>
          <cell r="N437" t="str">
            <v>31.03.2025</v>
          </cell>
          <cell r="O437">
            <v>9.23</v>
          </cell>
          <cell r="P437">
            <v>91.48</v>
          </cell>
        </row>
        <row r="438">
          <cell r="B438" t="str">
            <v>D86410001074</v>
          </cell>
          <cell r="C438" t="str">
            <v>D864</v>
          </cell>
          <cell r="D438" t="str">
            <v>D132</v>
          </cell>
          <cell r="E438">
            <v>10001074</v>
          </cell>
          <cell r="F438" t="str">
            <v>Grava Triturada Caliza 40 mm - 1 1/2"</v>
          </cell>
          <cell r="G438">
            <v>81.790000000000006</v>
          </cell>
          <cell r="H438" t="str">
            <v>MXN</v>
          </cell>
          <cell r="I438">
            <v>1</v>
          </cell>
          <cell r="J438" t="str">
            <v>TN</v>
          </cell>
          <cell r="K438" t="str">
            <v>C</v>
          </cell>
          <cell r="M438" t="str">
            <v>01.01.2025</v>
          </cell>
          <cell r="N438" t="str">
            <v>31.03.2025</v>
          </cell>
          <cell r="O438">
            <v>95.96</v>
          </cell>
          <cell r="P438">
            <v>177.75</v>
          </cell>
        </row>
        <row r="439">
          <cell r="B439" t="str">
            <v>D86410001203</v>
          </cell>
          <cell r="C439" t="str">
            <v>D864</v>
          </cell>
          <cell r="D439" t="str">
            <v>D132</v>
          </cell>
          <cell r="E439">
            <v>10001203</v>
          </cell>
          <cell r="F439" t="str">
            <v>Desperdicio Triturado Caliza</v>
          </cell>
          <cell r="G439">
            <v>1</v>
          </cell>
          <cell r="H439" t="str">
            <v>MXN</v>
          </cell>
          <cell r="I439">
            <v>1</v>
          </cell>
          <cell r="J439" t="str">
            <v>TN</v>
          </cell>
          <cell r="K439" t="str">
            <v>C</v>
          </cell>
          <cell r="M439" t="str">
            <v>01.01.2025</v>
          </cell>
          <cell r="N439" t="str">
            <v>31.03.2025</v>
          </cell>
          <cell r="O439">
            <v>21.56</v>
          </cell>
          <cell r="P439">
            <v>22.56</v>
          </cell>
        </row>
        <row r="440">
          <cell r="B440" t="str">
            <v>D86410000240</v>
          </cell>
          <cell r="C440" t="str">
            <v>D864</v>
          </cell>
          <cell r="D440" t="str">
            <v>D134</v>
          </cell>
          <cell r="E440">
            <v>10000240</v>
          </cell>
          <cell r="F440" t="str">
            <v>Grava Triturada Caliza 20 mm - 3/4"</v>
          </cell>
          <cell r="G440">
            <v>81.790000000000006</v>
          </cell>
          <cell r="H440" t="str">
            <v>MXN</v>
          </cell>
          <cell r="I440">
            <v>1</v>
          </cell>
          <cell r="J440" t="str">
            <v>TN</v>
          </cell>
          <cell r="K440" t="str">
            <v>C</v>
          </cell>
          <cell r="M440" t="str">
            <v>01.01.2025</v>
          </cell>
          <cell r="N440" t="str">
            <v>31.03.2025</v>
          </cell>
          <cell r="O440">
            <v>68.61</v>
          </cell>
          <cell r="P440">
            <v>150.4</v>
          </cell>
        </row>
        <row r="441">
          <cell r="B441" t="str">
            <v>D86410000236</v>
          </cell>
          <cell r="C441" t="str">
            <v>D864</v>
          </cell>
          <cell r="D441" t="str">
            <v>D136</v>
          </cell>
          <cell r="E441">
            <v>10000236</v>
          </cell>
          <cell r="F441" t="str">
            <v>Grava Triturada Caliza 10 mm - 3/8"</v>
          </cell>
          <cell r="G441">
            <v>81.790000000000006</v>
          </cell>
          <cell r="H441" t="str">
            <v>MXN</v>
          </cell>
          <cell r="I441">
            <v>1</v>
          </cell>
          <cell r="J441" t="str">
            <v>TN</v>
          </cell>
          <cell r="K441" t="str">
            <v>C</v>
          </cell>
          <cell r="M441" t="str">
            <v>01.01.2025</v>
          </cell>
          <cell r="N441" t="str">
            <v>31.03.2025</v>
          </cell>
          <cell r="O441">
            <v>62.17</v>
          </cell>
          <cell r="P441">
            <v>143.96</v>
          </cell>
        </row>
        <row r="442">
          <cell r="B442" t="str">
            <v>D86410000240</v>
          </cell>
          <cell r="C442" t="str">
            <v>D864</v>
          </cell>
          <cell r="D442" t="str">
            <v>D136</v>
          </cell>
          <cell r="E442">
            <v>10000240</v>
          </cell>
          <cell r="F442" t="str">
            <v>Grava Triturada Caliza 20 mm - 3/4"</v>
          </cell>
          <cell r="G442">
            <v>81.790000000000006</v>
          </cell>
          <cell r="H442" t="str">
            <v>MXN</v>
          </cell>
          <cell r="I442">
            <v>1</v>
          </cell>
          <cell r="J442" t="str">
            <v>TN</v>
          </cell>
          <cell r="K442" t="str">
            <v>C</v>
          </cell>
          <cell r="M442" t="str">
            <v>01.01.2025</v>
          </cell>
          <cell r="N442" t="str">
            <v>31.03.2025</v>
          </cell>
          <cell r="O442">
            <v>68.61</v>
          </cell>
          <cell r="P442">
            <v>150.4</v>
          </cell>
        </row>
        <row r="443">
          <cell r="B443" t="str">
            <v>D86410000269</v>
          </cell>
          <cell r="C443" t="str">
            <v>D864</v>
          </cell>
          <cell r="D443" t="str">
            <v>D136</v>
          </cell>
          <cell r="E443">
            <v>10000269</v>
          </cell>
          <cell r="F443" t="str">
            <v>Grava Triturada Caliza 13 mm - 1/2"</v>
          </cell>
          <cell r="G443">
            <v>81.790000000000006</v>
          </cell>
          <cell r="H443" t="str">
            <v>MXN</v>
          </cell>
          <cell r="I443">
            <v>1</v>
          </cell>
          <cell r="J443" t="str">
            <v>TN</v>
          </cell>
          <cell r="K443" t="str">
            <v>C</v>
          </cell>
          <cell r="M443" t="str">
            <v>01.01.2025</v>
          </cell>
          <cell r="N443" t="str">
            <v>31.03.2025</v>
          </cell>
          <cell r="O443">
            <v>70.010000000000005</v>
          </cell>
          <cell r="P443">
            <v>151.80000000000001</v>
          </cell>
        </row>
        <row r="444">
          <cell r="B444" t="str">
            <v>D86410001073</v>
          </cell>
          <cell r="C444" t="str">
            <v>D864</v>
          </cell>
          <cell r="D444" t="str">
            <v>D136</v>
          </cell>
          <cell r="E444">
            <v>10001073</v>
          </cell>
          <cell r="F444" t="str">
            <v>Arena Triturada Caliza Malla 4</v>
          </cell>
          <cell r="G444">
            <v>82.25</v>
          </cell>
          <cell r="H444" t="str">
            <v>MXN</v>
          </cell>
          <cell r="I444">
            <v>1</v>
          </cell>
          <cell r="J444" t="str">
            <v>TN</v>
          </cell>
          <cell r="K444" t="str">
            <v>C</v>
          </cell>
          <cell r="M444" t="str">
            <v>01.01.2025</v>
          </cell>
          <cell r="N444" t="str">
            <v>31.03.2025</v>
          </cell>
          <cell r="O444">
            <v>9.23</v>
          </cell>
          <cell r="P444">
            <v>91.48</v>
          </cell>
        </row>
        <row r="445">
          <cell r="B445" t="str">
            <v>D86410001074</v>
          </cell>
          <cell r="C445" t="str">
            <v>D864</v>
          </cell>
          <cell r="D445" t="str">
            <v>D136</v>
          </cell>
          <cell r="E445">
            <v>10001074</v>
          </cell>
          <cell r="F445" t="str">
            <v>Grava Triturada Caliza 40 mm - 1 1/2"</v>
          </cell>
          <cell r="G445">
            <v>81.790000000000006</v>
          </cell>
          <cell r="H445" t="str">
            <v>MXN</v>
          </cell>
          <cell r="I445">
            <v>1</v>
          </cell>
          <cell r="J445" t="str">
            <v>TN</v>
          </cell>
          <cell r="K445" t="str">
            <v>C</v>
          </cell>
          <cell r="M445" t="str">
            <v>01.01.2025</v>
          </cell>
          <cell r="N445" t="str">
            <v>31.03.2025</v>
          </cell>
          <cell r="O445">
            <v>95.96</v>
          </cell>
          <cell r="P445">
            <v>177.75</v>
          </cell>
        </row>
        <row r="446">
          <cell r="B446" t="str">
            <v>D86410001203</v>
          </cell>
          <cell r="C446" t="str">
            <v>D864</v>
          </cell>
          <cell r="D446" t="str">
            <v>D136</v>
          </cell>
          <cell r="E446">
            <v>10001203</v>
          </cell>
          <cell r="F446" t="str">
            <v>Desperdicio Triturado Caliza</v>
          </cell>
          <cell r="G446">
            <v>1</v>
          </cell>
          <cell r="H446" t="str">
            <v>MXN</v>
          </cell>
          <cell r="I446">
            <v>1</v>
          </cell>
          <cell r="J446" t="str">
            <v>TN</v>
          </cell>
          <cell r="K446" t="str">
            <v>C</v>
          </cell>
          <cell r="M446" t="str">
            <v>01.01.2025</v>
          </cell>
          <cell r="N446" t="str">
            <v>31.03.2025</v>
          </cell>
          <cell r="O446">
            <v>21.56</v>
          </cell>
          <cell r="P446">
            <v>22.56</v>
          </cell>
        </row>
        <row r="447">
          <cell r="B447" t="str">
            <v>D86410000236</v>
          </cell>
          <cell r="C447" t="str">
            <v>D864</v>
          </cell>
          <cell r="D447" t="str">
            <v>D137</v>
          </cell>
          <cell r="E447">
            <v>10000236</v>
          </cell>
          <cell r="F447" t="str">
            <v>Grava Triturada Caliza 10 mm - 3/8"</v>
          </cell>
          <cell r="G447">
            <v>81.790000000000006</v>
          </cell>
          <cell r="H447" t="str">
            <v>MXN</v>
          </cell>
          <cell r="I447">
            <v>1</v>
          </cell>
          <cell r="J447" t="str">
            <v>TN</v>
          </cell>
          <cell r="K447" t="str">
            <v>C</v>
          </cell>
          <cell r="M447" t="str">
            <v>01.01.2025</v>
          </cell>
          <cell r="N447" t="str">
            <v>31.03.2025</v>
          </cell>
          <cell r="O447">
            <v>62.17</v>
          </cell>
          <cell r="P447">
            <v>143.96</v>
          </cell>
        </row>
        <row r="448">
          <cell r="B448" t="str">
            <v>D86410000240</v>
          </cell>
          <cell r="C448" t="str">
            <v>D864</v>
          </cell>
          <cell r="D448" t="str">
            <v>D137</v>
          </cell>
          <cell r="E448">
            <v>10000240</v>
          </cell>
          <cell r="F448" t="str">
            <v>Grava Triturada Caliza 20 mm - 3/4"</v>
          </cell>
          <cell r="G448">
            <v>81.790000000000006</v>
          </cell>
          <cell r="H448" t="str">
            <v>MXN</v>
          </cell>
          <cell r="I448">
            <v>1</v>
          </cell>
          <cell r="J448" t="str">
            <v>TN</v>
          </cell>
          <cell r="K448" t="str">
            <v>C</v>
          </cell>
          <cell r="M448" t="str">
            <v>01.01.2025</v>
          </cell>
          <cell r="N448" t="str">
            <v>31.03.2025</v>
          </cell>
          <cell r="O448">
            <v>68.61</v>
          </cell>
          <cell r="P448">
            <v>150.4</v>
          </cell>
        </row>
        <row r="449">
          <cell r="B449" t="str">
            <v>D86410000269</v>
          </cell>
          <cell r="C449" t="str">
            <v>D864</v>
          </cell>
          <cell r="D449" t="str">
            <v>D137</v>
          </cell>
          <cell r="E449">
            <v>10000269</v>
          </cell>
          <cell r="F449" t="str">
            <v>Grava Triturada Caliza 13 mm - 1/2"</v>
          </cell>
          <cell r="G449">
            <v>81.790000000000006</v>
          </cell>
          <cell r="H449" t="str">
            <v>MXN</v>
          </cell>
          <cell r="I449">
            <v>1</v>
          </cell>
          <cell r="J449" t="str">
            <v>TN</v>
          </cell>
          <cell r="K449" t="str">
            <v>C</v>
          </cell>
          <cell r="M449" t="str">
            <v>01.01.2025</v>
          </cell>
          <cell r="N449" t="str">
            <v>31.03.2025</v>
          </cell>
          <cell r="O449">
            <v>70.010000000000005</v>
          </cell>
          <cell r="P449">
            <v>151.80000000000001</v>
          </cell>
        </row>
        <row r="450">
          <cell r="B450" t="str">
            <v>D86410001073</v>
          </cell>
          <cell r="C450" t="str">
            <v>D864</v>
          </cell>
          <cell r="D450" t="str">
            <v>D137</v>
          </cell>
          <cell r="E450">
            <v>10001073</v>
          </cell>
          <cell r="F450" t="str">
            <v>Arena Triturada Caliza Malla 4</v>
          </cell>
          <cell r="G450">
            <v>82.25</v>
          </cell>
          <cell r="H450" t="str">
            <v>MXN</v>
          </cell>
          <cell r="I450">
            <v>1</v>
          </cell>
          <cell r="J450" t="str">
            <v>TN</v>
          </cell>
          <cell r="K450" t="str">
            <v>C</v>
          </cell>
          <cell r="M450" t="str">
            <v>01.01.2025</v>
          </cell>
          <cell r="N450" t="str">
            <v>31.03.2025</v>
          </cell>
          <cell r="O450">
            <v>9.23</v>
          </cell>
          <cell r="P450">
            <v>91.48</v>
          </cell>
        </row>
        <row r="451">
          <cell r="B451" t="str">
            <v>D86410001074</v>
          </cell>
          <cell r="C451" t="str">
            <v>D864</v>
          </cell>
          <cell r="D451" t="str">
            <v>D137</v>
          </cell>
          <cell r="E451">
            <v>10001074</v>
          </cell>
          <cell r="F451" t="str">
            <v>Grava Triturada Caliza 40 mm - 1 1/2"</v>
          </cell>
          <cell r="G451">
            <v>81.790000000000006</v>
          </cell>
          <cell r="H451" t="str">
            <v>MXN</v>
          </cell>
          <cell r="I451">
            <v>1</v>
          </cell>
          <cell r="J451" t="str">
            <v>TN</v>
          </cell>
          <cell r="K451" t="str">
            <v>C</v>
          </cell>
          <cell r="M451" t="str">
            <v>01.01.2025</v>
          </cell>
          <cell r="N451" t="str">
            <v>31.03.2025</v>
          </cell>
          <cell r="O451">
            <v>95.96</v>
          </cell>
          <cell r="P451">
            <v>177.75</v>
          </cell>
        </row>
        <row r="452">
          <cell r="B452" t="str">
            <v>D86410001203</v>
          </cell>
          <cell r="C452" t="str">
            <v>D864</v>
          </cell>
          <cell r="D452" t="str">
            <v>D137</v>
          </cell>
          <cell r="E452">
            <v>10001203</v>
          </cell>
          <cell r="F452" t="str">
            <v>Desperdicio Triturado Caliza</v>
          </cell>
          <cell r="G452">
            <v>1</v>
          </cell>
          <cell r="H452" t="str">
            <v>MXN</v>
          </cell>
          <cell r="I452">
            <v>1</v>
          </cell>
          <cell r="J452" t="str">
            <v>TN</v>
          </cell>
          <cell r="K452" t="str">
            <v>C</v>
          </cell>
          <cell r="M452" t="str">
            <v>01.01.2025</v>
          </cell>
          <cell r="N452" t="str">
            <v>31.03.2025</v>
          </cell>
          <cell r="O452">
            <v>21.56</v>
          </cell>
          <cell r="P452">
            <v>22.56</v>
          </cell>
        </row>
        <row r="453">
          <cell r="B453" t="str">
            <v>D86410000240</v>
          </cell>
          <cell r="C453" t="str">
            <v>D864</v>
          </cell>
          <cell r="D453" t="str">
            <v>D140</v>
          </cell>
          <cell r="E453">
            <v>10000240</v>
          </cell>
          <cell r="F453" t="str">
            <v>Grava Triturada Caliza 20 mm - 3/4"</v>
          </cell>
          <cell r="G453">
            <v>81.790000000000006</v>
          </cell>
          <cell r="H453" t="str">
            <v>MXN</v>
          </cell>
          <cell r="I453">
            <v>1</v>
          </cell>
          <cell r="J453" t="str">
            <v>TN</v>
          </cell>
          <cell r="K453" t="str">
            <v>C</v>
          </cell>
          <cell r="M453" t="str">
            <v>01.01.2025</v>
          </cell>
          <cell r="N453" t="str">
            <v>31.03.2025</v>
          </cell>
          <cell r="O453">
            <v>68.61</v>
          </cell>
          <cell r="P453">
            <v>150.4</v>
          </cell>
        </row>
        <row r="454">
          <cell r="B454" t="str">
            <v>D86410000269</v>
          </cell>
          <cell r="C454" t="str">
            <v>D864</v>
          </cell>
          <cell r="D454" t="str">
            <v>D140</v>
          </cell>
          <cell r="E454">
            <v>10000269</v>
          </cell>
          <cell r="F454" t="str">
            <v>Grava Triturada Caliza 13 mm - 1/2"</v>
          </cell>
          <cell r="G454">
            <v>81.790000000000006</v>
          </cell>
          <cell r="H454" t="str">
            <v>MXN</v>
          </cell>
          <cell r="I454">
            <v>1</v>
          </cell>
          <cell r="J454" t="str">
            <v>TN</v>
          </cell>
          <cell r="K454" t="str">
            <v>C</v>
          </cell>
          <cell r="M454" t="str">
            <v>01.01.2025</v>
          </cell>
          <cell r="N454" t="str">
            <v>31.03.2025</v>
          </cell>
          <cell r="O454">
            <v>70.010000000000005</v>
          </cell>
          <cell r="P454">
            <v>151.80000000000001</v>
          </cell>
        </row>
        <row r="455">
          <cell r="B455" t="str">
            <v>D86410001073</v>
          </cell>
          <cell r="C455" t="str">
            <v>D864</v>
          </cell>
          <cell r="D455" t="str">
            <v>D140</v>
          </cell>
          <cell r="E455">
            <v>10001073</v>
          </cell>
          <cell r="F455" t="str">
            <v>Arena Triturada Caliza Malla 4</v>
          </cell>
          <cell r="G455">
            <v>82.25</v>
          </cell>
          <cell r="H455" t="str">
            <v>MXN</v>
          </cell>
          <cell r="I455">
            <v>1</v>
          </cell>
          <cell r="J455" t="str">
            <v>TN</v>
          </cell>
          <cell r="K455" t="str">
            <v>C</v>
          </cell>
          <cell r="M455" t="str">
            <v>01.01.2025</v>
          </cell>
          <cell r="N455" t="str">
            <v>31.03.2025</v>
          </cell>
          <cell r="O455">
            <v>9.23</v>
          </cell>
          <cell r="P455">
            <v>91.48</v>
          </cell>
        </row>
        <row r="456">
          <cell r="B456" t="str">
            <v>D86410001074</v>
          </cell>
          <cell r="C456" t="str">
            <v>D864</v>
          </cell>
          <cell r="D456" t="str">
            <v>D140</v>
          </cell>
          <cell r="E456">
            <v>10001074</v>
          </cell>
          <cell r="F456" t="str">
            <v>Grava Triturada Caliza 40 mm - 1 1/2"</v>
          </cell>
          <cell r="G456">
            <v>81.790000000000006</v>
          </cell>
          <cell r="H456" t="str">
            <v>MXN</v>
          </cell>
          <cell r="I456">
            <v>1</v>
          </cell>
          <cell r="J456" t="str">
            <v>TN</v>
          </cell>
          <cell r="K456" t="str">
            <v>C</v>
          </cell>
          <cell r="M456" t="str">
            <v>01.01.2025</v>
          </cell>
          <cell r="N456" t="str">
            <v>31.03.2025</v>
          </cell>
          <cell r="O456">
            <v>95.96</v>
          </cell>
          <cell r="P456">
            <v>177.75</v>
          </cell>
        </row>
        <row r="457">
          <cell r="B457" t="str">
            <v>D86410001203</v>
          </cell>
          <cell r="C457" t="str">
            <v>D864</v>
          </cell>
          <cell r="D457" t="str">
            <v>D140</v>
          </cell>
          <cell r="E457">
            <v>10001203</v>
          </cell>
          <cell r="F457" t="str">
            <v>Desperdicio Triturado Caliza</v>
          </cell>
          <cell r="G457">
            <v>1</v>
          </cell>
          <cell r="H457" t="str">
            <v>MXN</v>
          </cell>
          <cell r="I457">
            <v>1</v>
          </cell>
          <cell r="J457" t="str">
            <v>TN</v>
          </cell>
          <cell r="K457" t="str">
            <v>C</v>
          </cell>
          <cell r="M457" t="str">
            <v>01.01.2025</v>
          </cell>
          <cell r="N457" t="str">
            <v>31.03.2025</v>
          </cell>
          <cell r="O457">
            <v>21.56</v>
          </cell>
          <cell r="P457">
            <v>22.56</v>
          </cell>
        </row>
        <row r="458">
          <cell r="B458" t="str">
            <v>D864</v>
          </cell>
          <cell r="C458" t="str">
            <v>D864</v>
          </cell>
          <cell r="D458" t="str">
            <v>D145</v>
          </cell>
          <cell r="F458" t="str">
            <v xml:space="preserve">                                                  </v>
          </cell>
          <cell r="G458">
            <v>42.36</v>
          </cell>
          <cell r="H458" t="str">
            <v>MXN</v>
          </cell>
          <cell r="I458">
            <v>1</v>
          </cell>
          <cell r="J458" t="str">
            <v>TN</v>
          </cell>
          <cell r="K458" t="str">
            <v>C</v>
          </cell>
          <cell r="M458" t="str">
            <v>01.07.2023</v>
          </cell>
          <cell r="N458" t="str">
            <v>31.12.9999</v>
          </cell>
          <cell r="O458" t="e">
            <v>#N/A</v>
          </cell>
          <cell r="P458" t="e">
            <v>#N/A</v>
          </cell>
        </row>
        <row r="459">
          <cell r="B459" t="str">
            <v>D86410000236</v>
          </cell>
          <cell r="C459" t="str">
            <v>D864</v>
          </cell>
          <cell r="D459" t="str">
            <v>D145</v>
          </cell>
          <cell r="E459">
            <v>10000236</v>
          </cell>
          <cell r="F459" t="str">
            <v>Grava Triturada Caliza 10 mm - 3/8"</v>
          </cell>
          <cell r="G459">
            <v>81.790000000000006</v>
          </cell>
          <cell r="H459" t="str">
            <v>MXN</v>
          </cell>
          <cell r="I459">
            <v>1</v>
          </cell>
          <cell r="J459" t="str">
            <v>TN</v>
          </cell>
          <cell r="K459" t="str">
            <v>C</v>
          </cell>
          <cell r="M459" t="str">
            <v>01.01.2025</v>
          </cell>
          <cell r="N459" t="str">
            <v>31.03.2025</v>
          </cell>
          <cell r="O459">
            <v>62.17</v>
          </cell>
          <cell r="P459">
            <v>143.96</v>
          </cell>
        </row>
        <row r="460">
          <cell r="B460" t="str">
            <v>D86410000240</v>
          </cell>
          <cell r="C460" t="str">
            <v>D864</v>
          </cell>
          <cell r="D460" t="str">
            <v>D145</v>
          </cell>
          <cell r="E460">
            <v>10000240</v>
          </cell>
          <cell r="F460" t="str">
            <v>Grava Triturada Caliza 20 mm - 3/4"</v>
          </cell>
          <cell r="G460">
            <v>81.790000000000006</v>
          </cell>
          <cell r="H460" t="str">
            <v>MXN</v>
          </cell>
          <cell r="I460">
            <v>1</v>
          </cell>
          <cell r="J460" t="str">
            <v>TN</v>
          </cell>
          <cell r="K460" t="str">
            <v>C</v>
          </cell>
          <cell r="M460" t="str">
            <v>01.01.2025</v>
          </cell>
          <cell r="N460" t="str">
            <v>31.03.2025</v>
          </cell>
          <cell r="O460">
            <v>68.61</v>
          </cell>
          <cell r="P460">
            <v>150.4</v>
          </cell>
        </row>
        <row r="461">
          <cell r="B461" t="str">
            <v>D86410000269</v>
          </cell>
          <cell r="C461" t="str">
            <v>D864</v>
          </cell>
          <cell r="D461" t="str">
            <v>D145</v>
          </cell>
          <cell r="E461">
            <v>10000269</v>
          </cell>
          <cell r="F461" t="str">
            <v>Grava Triturada Caliza 13 mm - 1/2"</v>
          </cell>
          <cell r="G461">
            <v>81.790000000000006</v>
          </cell>
          <cell r="H461" t="str">
            <v>MXN</v>
          </cell>
          <cell r="I461">
            <v>1</v>
          </cell>
          <cell r="J461" t="str">
            <v>TN</v>
          </cell>
          <cell r="K461" t="str">
            <v>C</v>
          </cell>
          <cell r="M461" t="str">
            <v>01.01.2025</v>
          </cell>
          <cell r="N461" t="str">
            <v>31.03.2025</v>
          </cell>
          <cell r="O461">
            <v>70.010000000000005</v>
          </cell>
          <cell r="P461">
            <v>151.80000000000001</v>
          </cell>
        </row>
        <row r="462">
          <cell r="B462" t="str">
            <v>D86410000301</v>
          </cell>
          <cell r="C462" t="str">
            <v>D864</v>
          </cell>
          <cell r="D462" t="str">
            <v>D145</v>
          </cell>
          <cell r="E462">
            <v>10000301</v>
          </cell>
          <cell r="F462" t="str">
            <v>BALASTO DE 3 PULGADAS A FINOS</v>
          </cell>
          <cell r="G462">
            <v>43.9</v>
          </cell>
          <cell r="H462" t="str">
            <v>MXN</v>
          </cell>
          <cell r="I462">
            <v>1</v>
          </cell>
          <cell r="J462" t="str">
            <v>TN</v>
          </cell>
          <cell r="K462" t="str">
            <v>C</v>
          </cell>
          <cell r="M462" t="str">
            <v>01.01.2025</v>
          </cell>
          <cell r="N462" t="str">
            <v>31.03.2025</v>
          </cell>
          <cell r="O462">
            <v>58.89</v>
          </cell>
          <cell r="P462">
            <v>102.78999999999999</v>
          </cell>
        </row>
        <row r="463">
          <cell r="B463" t="str">
            <v>D86410001073</v>
          </cell>
          <cell r="C463" t="str">
            <v>D864</v>
          </cell>
          <cell r="D463" t="str">
            <v>D145</v>
          </cell>
          <cell r="E463">
            <v>10001073</v>
          </cell>
          <cell r="F463" t="str">
            <v>Arena Triturada Caliza Malla 4</v>
          </cell>
          <cell r="G463">
            <v>82.25</v>
          </cell>
          <cell r="H463" t="str">
            <v>MXN</v>
          </cell>
          <cell r="I463">
            <v>1</v>
          </cell>
          <cell r="J463" t="str">
            <v>TN</v>
          </cell>
          <cell r="K463" t="str">
            <v>C</v>
          </cell>
          <cell r="M463" t="str">
            <v>01.01.2025</v>
          </cell>
          <cell r="N463" t="str">
            <v>31.03.2025</v>
          </cell>
          <cell r="O463">
            <v>9.23</v>
          </cell>
          <cell r="P463">
            <v>91.48</v>
          </cell>
        </row>
        <row r="464">
          <cell r="B464" t="str">
            <v>D86410001074</v>
          </cell>
          <cell r="C464" t="str">
            <v>D864</v>
          </cell>
          <cell r="D464" t="str">
            <v>D145</v>
          </cell>
          <cell r="E464">
            <v>10001074</v>
          </cell>
          <cell r="F464" t="str">
            <v>Grava Triturada Caliza 40 mm - 1 1/2"</v>
          </cell>
          <cell r="G464">
            <v>81.790000000000006</v>
          </cell>
          <cell r="H464" t="str">
            <v>MXN</v>
          </cell>
          <cell r="I464">
            <v>1</v>
          </cell>
          <cell r="J464" t="str">
            <v>TN</v>
          </cell>
          <cell r="K464" t="str">
            <v>C</v>
          </cell>
          <cell r="M464" t="str">
            <v>01.01.2025</v>
          </cell>
          <cell r="N464" t="str">
            <v>31.03.2025</v>
          </cell>
          <cell r="O464">
            <v>95.96</v>
          </cell>
          <cell r="P464">
            <v>177.75</v>
          </cell>
        </row>
        <row r="465">
          <cell r="B465" t="str">
            <v>D86410001203</v>
          </cell>
          <cell r="C465" t="str">
            <v>D864</v>
          </cell>
          <cell r="D465" t="str">
            <v>D145</v>
          </cell>
          <cell r="E465">
            <v>10001203</v>
          </cell>
          <cell r="F465" t="str">
            <v>Desperdicio Triturado Caliza</v>
          </cell>
          <cell r="G465">
            <v>1</v>
          </cell>
          <cell r="H465" t="str">
            <v>MXN</v>
          </cell>
          <cell r="I465">
            <v>1</v>
          </cell>
          <cell r="J465" t="str">
            <v>TN</v>
          </cell>
          <cell r="K465" t="str">
            <v>C</v>
          </cell>
          <cell r="M465" t="str">
            <v>01.01.2025</v>
          </cell>
          <cell r="N465" t="str">
            <v>31.03.2025</v>
          </cell>
          <cell r="O465">
            <v>7.48</v>
          </cell>
          <cell r="P465">
            <v>8.48</v>
          </cell>
        </row>
        <row r="466">
          <cell r="B466" t="str">
            <v>D86410070027</v>
          </cell>
          <cell r="C466" t="str">
            <v>D864</v>
          </cell>
          <cell r="D466" t="str">
            <v>D145</v>
          </cell>
          <cell r="E466">
            <v>10070027</v>
          </cell>
          <cell r="F466" t="str">
            <v>BALASTO TRITURADO CALIZA 6"</v>
          </cell>
          <cell r="G466">
            <v>43.9</v>
          </cell>
          <cell r="H466" t="str">
            <v>MXN</v>
          </cell>
          <cell r="I466">
            <v>1</v>
          </cell>
          <cell r="J466" t="str">
            <v>TN</v>
          </cell>
          <cell r="K466" t="str">
            <v>C</v>
          </cell>
          <cell r="M466" t="str">
            <v>01.01.2025</v>
          </cell>
          <cell r="N466" t="str">
            <v>31.03.2025</v>
          </cell>
          <cell r="O466">
            <v>27.36</v>
          </cell>
          <cell r="P466">
            <v>71.259999999999991</v>
          </cell>
        </row>
        <row r="467">
          <cell r="B467" t="str">
            <v>D86410000236</v>
          </cell>
          <cell r="C467" t="str">
            <v>D864</v>
          </cell>
          <cell r="D467" t="str">
            <v>D681</v>
          </cell>
          <cell r="E467">
            <v>10000236</v>
          </cell>
          <cell r="F467" t="str">
            <v>Grava Triturada Caliza 10 mm - 3/8"</v>
          </cell>
          <cell r="G467">
            <v>81.790000000000006</v>
          </cell>
          <cell r="H467" t="str">
            <v>MXN</v>
          </cell>
          <cell r="I467">
            <v>1</v>
          </cell>
          <cell r="J467" t="str">
            <v>TN</v>
          </cell>
          <cell r="K467" t="str">
            <v>C</v>
          </cell>
          <cell r="M467" t="str">
            <v>01.01.2025</v>
          </cell>
          <cell r="N467" t="str">
            <v>31.03.2025</v>
          </cell>
          <cell r="O467">
            <v>62.17</v>
          </cell>
          <cell r="P467">
            <v>143.96</v>
          </cell>
        </row>
        <row r="468">
          <cell r="B468" t="str">
            <v>D86410000240</v>
          </cell>
          <cell r="C468" t="str">
            <v>D864</v>
          </cell>
          <cell r="D468" t="str">
            <v>D681</v>
          </cell>
          <cell r="E468">
            <v>10000240</v>
          </cell>
          <cell r="F468" t="str">
            <v>Grava Triturada Caliza 20 mm - 3/4"</v>
          </cell>
          <cell r="G468">
            <v>81.790000000000006</v>
          </cell>
          <cell r="H468" t="str">
            <v>MXN</v>
          </cell>
          <cell r="I468">
            <v>1</v>
          </cell>
          <cell r="J468" t="str">
            <v>TN</v>
          </cell>
          <cell r="K468" t="str">
            <v>C</v>
          </cell>
          <cell r="M468" t="str">
            <v>01.01.2025</v>
          </cell>
          <cell r="N468" t="str">
            <v>31.03.2025</v>
          </cell>
          <cell r="O468">
            <v>68.61</v>
          </cell>
          <cell r="P468">
            <v>150.4</v>
          </cell>
        </row>
        <row r="469">
          <cell r="B469" t="str">
            <v>D86410000269</v>
          </cell>
          <cell r="C469" t="str">
            <v>D864</v>
          </cell>
          <cell r="D469" t="str">
            <v>D681</v>
          </cell>
          <cell r="E469">
            <v>10000269</v>
          </cell>
          <cell r="F469" t="str">
            <v>Grava Triturada Caliza 13 mm - 1/2"</v>
          </cell>
          <cell r="G469">
            <v>81.790000000000006</v>
          </cell>
          <cell r="H469" t="str">
            <v>MXN</v>
          </cell>
          <cell r="I469">
            <v>1</v>
          </cell>
          <cell r="J469" t="str">
            <v>TN</v>
          </cell>
          <cell r="K469" t="str">
            <v>C</v>
          </cell>
          <cell r="M469" t="str">
            <v>01.01.2025</v>
          </cell>
          <cell r="N469" t="str">
            <v>31.03.2025</v>
          </cell>
          <cell r="O469">
            <v>70.010000000000005</v>
          </cell>
          <cell r="P469">
            <v>151.80000000000001</v>
          </cell>
        </row>
        <row r="470">
          <cell r="B470" t="str">
            <v>D86410001073</v>
          </cell>
          <cell r="C470" t="str">
            <v>D864</v>
          </cell>
          <cell r="D470" t="str">
            <v>D681</v>
          </cell>
          <cell r="E470">
            <v>10001073</v>
          </cell>
          <cell r="F470" t="str">
            <v>Arena Triturada Caliza Malla 4</v>
          </cell>
          <cell r="G470">
            <v>82.25</v>
          </cell>
          <cell r="H470" t="str">
            <v>MXN</v>
          </cell>
          <cell r="I470">
            <v>1</v>
          </cell>
          <cell r="J470" t="str">
            <v>TN</v>
          </cell>
          <cell r="K470" t="str">
            <v>C</v>
          </cell>
          <cell r="M470" t="str">
            <v>01.01.2025</v>
          </cell>
          <cell r="N470" t="str">
            <v>31.03.2025</v>
          </cell>
          <cell r="O470">
            <v>9.23</v>
          </cell>
          <cell r="P470">
            <v>91.48</v>
          </cell>
        </row>
        <row r="471">
          <cell r="B471" t="str">
            <v>D86410001074</v>
          </cell>
          <cell r="C471" t="str">
            <v>D864</v>
          </cell>
          <cell r="D471" t="str">
            <v>D681</v>
          </cell>
          <cell r="E471">
            <v>10001074</v>
          </cell>
          <cell r="F471" t="str">
            <v>Grava Triturada Caliza 40 mm - 1 1/2"</v>
          </cell>
          <cell r="G471">
            <v>81.790000000000006</v>
          </cell>
          <cell r="H471" t="str">
            <v>MXN</v>
          </cell>
          <cell r="I471">
            <v>1</v>
          </cell>
          <cell r="J471" t="str">
            <v>TN</v>
          </cell>
          <cell r="K471" t="str">
            <v>C</v>
          </cell>
          <cell r="M471" t="str">
            <v>01.01.2025</v>
          </cell>
          <cell r="N471" t="str">
            <v>31.03.2025</v>
          </cell>
          <cell r="O471">
            <v>95.96</v>
          </cell>
          <cell r="P471">
            <v>177.75</v>
          </cell>
        </row>
        <row r="472">
          <cell r="B472" t="str">
            <v>D86410001073</v>
          </cell>
          <cell r="C472" t="str">
            <v>D864</v>
          </cell>
          <cell r="D472" t="str">
            <v>E671</v>
          </cell>
          <cell r="E472">
            <v>10001073</v>
          </cell>
          <cell r="F472" t="str">
            <v>Arena Triturada Caliza Malla 4</v>
          </cell>
          <cell r="G472">
            <v>73.14</v>
          </cell>
          <cell r="H472" t="str">
            <v>MXN</v>
          </cell>
          <cell r="I472">
            <v>1</v>
          </cell>
          <cell r="J472" t="str">
            <v>TN</v>
          </cell>
          <cell r="K472" t="str">
            <v>C</v>
          </cell>
          <cell r="M472" t="str">
            <v>19.01.2022</v>
          </cell>
          <cell r="N472" t="str">
            <v>31.03.2025</v>
          </cell>
          <cell r="O472" t="e">
            <v>#N/A</v>
          </cell>
          <cell r="P472" t="e">
            <v>#N/A</v>
          </cell>
        </row>
        <row r="473">
          <cell r="B473" t="str">
            <v>D86410000240</v>
          </cell>
          <cell r="C473" t="str">
            <v>D864</v>
          </cell>
          <cell r="D473" t="str">
            <v>E673</v>
          </cell>
          <cell r="E473">
            <v>10000240</v>
          </cell>
          <cell r="F473" t="str">
            <v>Grava Triturada Caliza 20 mm - 3/4"</v>
          </cell>
          <cell r="G473">
            <v>98</v>
          </cell>
          <cell r="H473" t="str">
            <v>MXN</v>
          </cell>
          <cell r="I473">
            <v>1</v>
          </cell>
          <cell r="J473" t="str">
            <v>TN</v>
          </cell>
          <cell r="K473" t="str">
            <v>C</v>
          </cell>
          <cell r="M473" t="str">
            <v>19.01.2022</v>
          </cell>
          <cell r="N473" t="str">
            <v>31.03.2025</v>
          </cell>
          <cell r="O473" t="e">
            <v>#N/A</v>
          </cell>
          <cell r="P473" t="e">
            <v>#N/A</v>
          </cell>
        </row>
        <row r="474">
          <cell r="B474" t="str">
            <v>D86410001073</v>
          </cell>
          <cell r="C474" t="str">
            <v>D864</v>
          </cell>
          <cell r="D474" t="str">
            <v>E673</v>
          </cell>
          <cell r="E474">
            <v>10001073</v>
          </cell>
          <cell r="F474" t="str">
            <v>Arena Triturada Caliza Malla 4</v>
          </cell>
          <cell r="G474">
            <v>55</v>
          </cell>
          <cell r="H474" t="str">
            <v>MXN</v>
          </cell>
          <cell r="I474">
            <v>1</v>
          </cell>
          <cell r="J474" t="str">
            <v>TN</v>
          </cell>
          <cell r="K474" t="str">
            <v>C</v>
          </cell>
          <cell r="M474" t="str">
            <v>19.01.2022</v>
          </cell>
          <cell r="N474" t="str">
            <v>31.03.2025</v>
          </cell>
          <cell r="O474" t="e">
            <v>#N/A</v>
          </cell>
          <cell r="P474" t="e">
            <v>#N/A</v>
          </cell>
        </row>
        <row r="475">
          <cell r="B475" t="str">
            <v>D86410001203</v>
          </cell>
          <cell r="C475" t="str">
            <v>D864</v>
          </cell>
          <cell r="D475" t="str">
            <v>E673</v>
          </cell>
          <cell r="E475">
            <v>10001203</v>
          </cell>
          <cell r="F475" t="str">
            <v>Desperdicio Triturado Caliza</v>
          </cell>
          <cell r="G475">
            <v>20</v>
          </cell>
          <cell r="H475" t="str">
            <v>MXN</v>
          </cell>
          <cell r="I475">
            <v>1</v>
          </cell>
          <cell r="J475" t="str">
            <v>TN</v>
          </cell>
          <cell r="K475" t="str">
            <v>C</v>
          </cell>
          <cell r="M475" t="str">
            <v>19.01.2022</v>
          </cell>
          <cell r="N475" t="str">
            <v>31.03.2025</v>
          </cell>
          <cell r="O475" t="e">
            <v>#N/A</v>
          </cell>
          <cell r="P475" t="e">
            <v>#N/A</v>
          </cell>
        </row>
        <row r="476">
          <cell r="B476" t="str">
            <v>D86410172785</v>
          </cell>
          <cell r="C476" t="str">
            <v>D864</v>
          </cell>
          <cell r="D476" t="str">
            <v>E673</v>
          </cell>
          <cell r="E476">
            <v>10172785</v>
          </cell>
          <cell r="F476" t="str">
            <v>BASE HIDRÁULICA 60%FINOS-40%GRUESOS</v>
          </cell>
          <cell r="G476">
            <v>80</v>
          </cell>
          <cell r="H476" t="str">
            <v>MXN</v>
          </cell>
          <cell r="I476">
            <v>1</v>
          </cell>
          <cell r="J476" t="str">
            <v>TN</v>
          </cell>
          <cell r="K476" t="str">
            <v>C</v>
          </cell>
          <cell r="M476" t="str">
            <v>19.01.2022</v>
          </cell>
          <cell r="N476" t="str">
            <v>31.03.2025</v>
          </cell>
          <cell r="O476" t="e">
            <v>#N/A</v>
          </cell>
          <cell r="P476" t="e">
            <v>#N/A</v>
          </cell>
        </row>
        <row r="477">
          <cell r="B477" t="str">
            <v>D86410001203</v>
          </cell>
          <cell r="C477" t="str">
            <v>D864</v>
          </cell>
          <cell r="D477" t="str">
            <v>ENAJ</v>
          </cell>
          <cell r="E477">
            <v>10001203</v>
          </cell>
          <cell r="F477" t="str">
            <v>Desperdicio Triturado Caliza</v>
          </cell>
          <cell r="G477">
            <v>50</v>
          </cell>
          <cell r="H477" t="str">
            <v>MXN</v>
          </cell>
          <cell r="I477">
            <v>1</v>
          </cell>
          <cell r="J477" t="str">
            <v>TN</v>
          </cell>
          <cell r="K477" t="str">
            <v>C</v>
          </cell>
          <cell r="M477" t="str">
            <v>12.09.2022</v>
          </cell>
          <cell r="N477" t="str">
            <v>31.03.2025</v>
          </cell>
          <cell r="O477" t="e">
            <v>#N/A</v>
          </cell>
          <cell r="P477" t="e">
            <v>#N/A</v>
          </cell>
        </row>
        <row r="478">
          <cell r="B478" t="str">
            <v>D86410172785</v>
          </cell>
          <cell r="C478" t="str">
            <v>D864</v>
          </cell>
          <cell r="D478" t="str">
            <v>ENAN</v>
          </cell>
          <cell r="E478">
            <v>10172785</v>
          </cell>
          <cell r="F478" t="str">
            <v>BASE HIDRÁULICA 60%FINOS-40%GRUESOS</v>
          </cell>
          <cell r="G478">
            <v>100</v>
          </cell>
          <cell r="H478" t="str">
            <v>MXN</v>
          </cell>
          <cell r="I478">
            <v>1</v>
          </cell>
          <cell r="J478" t="str">
            <v>TN</v>
          </cell>
          <cell r="K478" t="str">
            <v>C</v>
          </cell>
          <cell r="M478" t="str">
            <v>02.11.2023</v>
          </cell>
          <cell r="N478" t="str">
            <v>31.12.9999</v>
          </cell>
          <cell r="O478" t="e">
            <v>#N/A</v>
          </cell>
          <cell r="P478" t="e">
            <v>#N/A</v>
          </cell>
        </row>
        <row r="479">
          <cell r="B479" t="str">
            <v>D86410173784</v>
          </cell>
          <cell r="C479" t="str">
            <v>D864</v>
          </cell>
          <cell r="D479" t="str">
            <v>ENAN</v>
          </cell>
          <cell r="E479">
            <v>10173784</v>
          </cell>
          <cell r="F479" t="str">
            <v>BASE HIDRÁULICA 80%FINOS-20%GRUESOS</v>
          </cell>
          <cell r="G479">
            <v>100</v>
          </cell>
          <cell r="H479" t="str">
            <v>MXN</v>
          </cell>
          <cell r="I479">
            <v>1</v>
          </cell>
          <cell r="J479" t="str">
            <v>TN</v>
          </cell>
          <cell r="K479" t="str">
            <v>C</v>
          </cell>
          <cell r="M479" t="str">
            <v>02.11.2023</v>
          </cell>
          <cell r="N479" t="str">
            <v>31.12.9999</v>
          </cell>
          <cell r="O479" t="e">
            <v>#N/A</v>
          </cell>
          <cell r="P479" t="e">
            <v>#N/A</v>
          </cell>
        </row>
        <row r="480">
          <cell r="B480" t="str">
            <v>D86410000236</v>
          </cell>
          <cell r="C480" t="str">
            <v>D864</v>
          </cell>
          <cell r="D480" t="str">
            <v>EQ75</v>
          </cell>
          <cell r="E480">
            <v>10000236</v>
          </cell>
          <cell r="F480" t="str">
            <v>Grava Triturada Caliza 10 mm - 3/8"</v>
          </cell>
          <cell r="G480">
            <v>118.19</v>
          </cell>
          <cell r="H480" t="str">
            <v>MXN</v>
          </cell>
          <cell r="I480">
            <v>1</v>
          </cell>
          <cell r="J480" t="str">
            <v>TN</v>
          </cell>
          <cell r="K480" t="str">
            <v>C</v>
          </cell>
          <cell r="M480" t="str">
            <v>19.01.2022</v>
          </cell>
          <cell r="N480" t="str">
            <v>31.03.2025</v>
          </cell>
          <cell r="O480" t="e">
            <v>#N/A</v>
          </cell>
          <cell r="P480" t="e">
            <v>#N/A</v>
          </cell>
        </row>
        <row r="481">
          <cell r="B481" t="str">
            <v>D86410000240</v>
          </cell>
          <cell r="C481" t="str">
            <v>D864</v>
          </cell>
          <cell r="D481" t="str">
            <v>EQ75</v>
          </cell>
          <cell r="E481">
            <v>10000240</v>
          </cell>
          <cell r="F481" t="str">
            <v>Grava Triturada Caliza 20 mm - 3/4"</v>
          </cell>
          <cell r="G481">
            <v>98</v>
          </cell>
          <cell r="H481" t="str">
            <v>MXN</v>
          </cell>
          <cell r="I481">
            <v>1</v>
          </cell>
          <cell r="J481" t="str">
            <v>TN</v>
          </cell>
          <cell r="K481" t="str">
            <v>C</v>
          </cell>
          <cell r="M481" t="str">
            <v>19.01.2022</v>
          </cell>
          <cell r="N481" t="str">
            <v>31.03.2025</v>
          </cell>
          <cell r="O481" t="e">
            <v>#N/A</v>
          </cell>
          <cell r="P481" t="e">
            <v>#N/A</v>
          </cell>
        </row>
        <row r="482">
          <cell r="B482" t="str">
            <v>D86410000269</v>
          </cell>
          <cell r="C482" t="str">
            <v>D864</v>
          </cell>
          <cell r="D482" t="str">
            <v>EQ75</v>
          </cell>
          <cell r="E482">
            <v>10000269</v>
          </cell>
          <cell r="F482" t="str">
            <v>Grava Triturada Caliza 13 mm - 1/2"</v>
          </cell>
          <cell r="G482">
            <v>118.19</v>
          </cell>
          <cell r="H482" t="str">
            <v>MXN</v>
          </cell>
          <cell r="I482">
            <v>1</v>
          </cell>
          <cell r="J482" t="str">
            <v>TN</v>
          </cell>
          <cell r="K482" t="str">
            <v>C</v>
          </cell>
          <cell r="M482" t="str">
            <v>19.01.2022</v>
          </cell>
          <cell r="N482" t="str">
            <v>31.03.2025</v>
          </cell>
          <cell r="O482" t="e">
            <v>#N/A</v>
          </cell>
          <cell r="P482" t="e">
            <v>#N/A</v>
          </cell>
        </row>
        <row r="483">
          <cell r="B483" t="str">
            <v>D86410001073</v>
          </cell>
          <cell r="C483" t="str">
            <v>D864</v>
          </cell>
          <cell r="D483" t="str">
            <v>EQ75</v>
          </cell>
          <cell r="E483">
            <v>10001073</v>
          </cell>
          <cell r="F483" t="str">
            <v>Arena Triturada Caliza Malla 4</v>
          </cell>
          <cell r="G483">
            <v>55</v>
          </cell>
          <cell r="H483" t="str">
            <v>MXN</v>
          </cell>
          <cell r="I483">
            <v>1</v>
          </cell>
          <cell r="J483" t="str">
            <v>TN</v>
          </cell>
          <cell r="K483" t="str">
            <v>C</v>
          </cell>
          <cell r="M483" t="str">
            <v>19.01.2022</v>
          </cell>
          <cell r="N483" t="str">
            <v>31.03.2025</v>
          </cell>
          <cell r="O483" t="e">
            <v>#N/A</v>
          </cell>
          <cell r="P483" t="e">
            <v>#N/A</v>
          </cell>
        </row>
        <row r="484">
          <cell r="B484" t="str">
            <v>D86410001074</v>
          </cell>
          <cell r="C484" t="str">
            <v>D864</v>
          </cell>
          <cell r="D484" t="str">
            <v>EQ75</v>
          </cell>
          <cell r="E484">
            <v>10001074</v>
          </cell>
          <cell r="F484" t="str">
            <v>Grava Triturada Caliza 40 mm - 1 1/2"</v>
          </cell>
          <cell r="G484">
            <v>108.5</v>
          </cell>
          <cell r="H484" t="str">
            <v>MXN</v>
          </cell>
          <cell r="I484">
            <v>1</v>
          </cell>
          <cell r="J484" t="str">
            <v>TN</v>
          </cell>
          <cell r="K484" t="str">
            <v>C</v>
          </cell>
          <cell r="M484" t="str">
            <v>19.01.2022</v>
          </cell>
          <cell r="N484" t="str">
            <v>31.03.2025</v>
          </cell>
          <cell r="O484" t="e">
            <v>#N/A</v>
          </cell>
          <cell r="P484" t="e">
            <v>#N/A</v>
          </cell>
        </row>
        <row r="485">
          <cell r="B485" t="str">
            <v>D86410001203</v>
          </cell>
          <cell r="C485" t="str">
            <v>D864</v>
          </cell>
          <cell r="D485" t="str">
            <v>EQ75</v>
          </cell>
          <cell r="E485">
            <v>10001203</v>
          </cell>
          <cell r="F485" t="str">
            <v>Desperdicio Triturado Caliza</v>
          </cell>
          <cell r="G485">
            <v>12</v>
          </cell>
          <cell r="H485" t="str">
            <v>MXN</v>
          </cell>
          <cell r="I485">
            <v>1</v>
          </cell>
          <cell r="J485" t="str">
            <v>TN</v>
          </cell>
          <cell r="K485" t="str">
            <v>C</v>
          </cell>
          <cell r="M485" t="str">
            <v>19.01.2022</v>
          </cell>
          <cell r="N485" t="str">
            <v>31.03.2025</v>
          </cell>
          <cell r="O485" t="e">
            <v>#N/A</v>
          </cell>
          <cell r="P485" t="e">
            <v>#N/A</v>
          </cell>
        </row>
        <row r="486">
          <cell r="B486" t="str">
            <v>D87310000236</v>
          </cell>
          <cell r="C486" t="str">
            <v>D873</v>
          </cell>
          <cell r="D486" t="str">
            <v>D074</v>
          </cell>
          <cell r="E486">
            <v>10000236</v>
          </cell>
          <cell r="F486" t="str">
            <v>Grava Triturada Caliza 10 mm - 3/8"</v>
          </cell>
          <cell r="G486">
            <v>95.73</v>
          </cell>
          <cell r="H486" t="str">
            <v>MXN</v>
          </cell>
          <cell r="I486">
            <v>1</v>
          </cell>
          <cell r="J486" t="str">
            <v>TN</v>
          </cell>
          <cell r="K486" t="str">
            <v>C</v>
          </cell>
          <cell r="M486" t="str">
            <v>01.01.2025</v>
          </cell>
          <cell r="N486" t="str">
            <v>31.03.2025</v>
          </cell>
          <cell r="O486">
            <v>189.73</v>
          </cell>
          <cell r="P486">
            <v>285.45999999999998</v>
          </cell>
        </row>
        <row r="487">
          <cell r="B487" t="str">
            <v>D87310000240</v>
          </cell>
          <cell r="C487" t="str">
            <v>D873</v>
          </cell>
          <cell r="D487" t="str">
            <v>D074</v>
          </cell>
          <cell r="E487">
            <v>10000240</v>
          </cell>
          <cell r="F487" t="str">
            <v>Grava Triturada Caliza 20 mm - 3/4"</v>
          </cell>
          <cell r="G487">
            <v>95.73</v>
          </cell>
          <cell r="H487" t="str">
            <v>MXN</v>
          </cell>
          <cell r="I487">
            <v>1</v>
          </cell>
          <cell r="J487" t="str">
            <v>TN</v>
          </cell>
          <cell r="K487" t="str">
            <v>C</v>
          </cell>
          <cell r="M487" t="str">
            <v>01.01.2025</v>
          </cell>
          <cell r="N487" t="str">
            <v>31.03.2025</v>
          </cell>
          <cell r="O487">
            <v>193.95</v>
          </cell>
          <cell r="P487">
            <v>289.68</v>
          </cell>
        </row>
        <row r="488">
          <cell r="B488" t="str">
            <v>D87310001073</v>
          </cell>
          <cell r="C488" t="str">
            <v>D873</v>
          </cell>
          <cell r="D488" t="str">
            <v>D074</v>
          </cell>
          <cell r="E488">
            <v>10001073</v>
          </cell>
          <cell r="F488" t="str">
            <v>Arena Triturada Caliza Malla 4</v>
          </cell>
          <cell r="G488">
            <v>115.9</v>
          </cell>
          <cell r="H488" t="str">
            <v>MXN</v>
          </cell>
          <cell r="I488">
            <v>1</v>
          </cell>
          <cell r="J488" t="str">
            <v>TN</v>
          </cell>
          <cell r="K488" t="str">
            <v>C</v>
          </cell>
          <cell r="M488" t="str">
            <v>01.01.2025</v>
          </cell>
          <cell r="N488" t="str">
            <v>31.03.2025</v>
          </cell>
          <cell r="O488">
            <v>85.04</v>
          </cell>
          <cell r="P488">
            <v>200.94</v>
          </cell>
        </row>
        <row r="489">
          <cell r="B489" t="str">
            <v>D87310000236</v>
          </cell>
          <cell r="C489" t="str">
            <v>D873</v>
          </cell>
          <cell r="D489" t="str">
            <v>D075</v>
          </cell>
          <cell r="E489">
            <v>10000236</v>
          </cell>
          <cell r="F489" t="str">
            <v>Grava Triturada Caliza 10 mm - 3/8"</v>
          </cell>
          <cell r="G489">
            <v>95.73</v>
          </cell>
          <cell r="H489" t="str">
            <v>MXN</v>
          </cell>
          <cell r="I489">
            <v>1</v>
          </cell>
          <cell r="J489" t="str">
            <v>TN</v>
          </cell>
          <cell r="K489" t="str">
            <v>C</v>
          </cell>
          <cell r="M489" t="str">
            <v>01.01.2025</v>
          </cell>
          <cell r="N489" t="str">
            <v>31.03.2025</v>
          </cell>
          <cell r="O489">
            <v>189.73</v>
          </cell>
          <cell r="P489">
            <v>285.45999999999998</v>
          </cell>
        </row>
        <row r="490">
          <cell r="B490" t="str">
            <v>D87310000240</v>
          </cell>
          <cell r="C490" t="str">
            <v>D873</v>
          </cell>
          <cell r="D490" t="str">
            <v>D075</v>
          </cell>
          <cell r="E490">
            <v>10000240</v>
          </cell>
          <cell r="F490" t="str">
            <v>Grava Triturada Caliza 20 mm - 3/4"</v>
          </cell>
          <cell r="G490">
            <v>95.73</v>
          </cell>
          <cell r="H490" t="str">
            <v>MXN</v>
          </cell>
          <cell r="I490">
            <v>1</v>
          </cell>
          <cell r="J490" t="str">
            <v>TN</v>
          </cell>
          <cell r="K490" t="str">
            <v>C</v>
          </cell>
          <cell r="M490" t="str">
            <v>01.01.2025</v>
          </cell>
          <cell r="N490" t="str">
            <v>31.03.2025</v>
          </cell>
          <cell r="O490">
            <v>193.95</v>
          </cell>
          <cell r="P490">
            <v>289.68</v>
          </cell>
        </row>
        <row r="491">
          <cell r="B491" t="str">
            <v>D87310001073</v>
          </cell>
          <cell r="C491" t="str">
            <v>D873</v>
          </cell>
          <cell r="D491" t="str">
            <v>D075</v>
          </cell>
          <cell r="E491">
            <v>10001073</v>
          </cell>
          <cell r="F491" t="str">
            <v>Arena Triturada Caliza Malla 4</v>
          </cell>
          <cell r="G491">
            <v>115.9</v>
          </cell>
          <cell r="H491" t="str">
            <v>MXN</v>
          </cell>
          <cell r="I491">
            <v>1</v>
          </cell>
          <cell r="J491" t="str">
            <v>TN</v>
          </cell>
          <cell r="K491" t="str">
            <v>C</v>
          </cell>
          <cell r="M491" t="str">
            <v>01.01.2025</v>
          </cell>
          <cell r="N491" t="str">
            <v>31.03.2025</v>
          </cell>
          <cell r="O491">
            <v>85.04</v>
          </cell>
          <cell r="P491">
            <v>200.94</v>
          </cell>
        </row>
        <row r="492">
          <cell r="B492" t="str">
            <v>D87310000236</v>
          </cell>
          <cell r="C492" t="str">
            <v>D873</v>
          </cell>
          <cell r="D492" t="str">
            <v>D077</v>
          </cell>
          <cell r="E492">
            <v>10000236</v>
          </cell>
          <cell r="F492" t="str">
            <v>Grava Triturada Caliza 10 mm - 3/8"</v>
          </cell>
          <cell r="G492">
            <v>95.73</v>
          </cell>
          <cell r="H492" t="str">
            <v>MXN</v>
          </cell>
          <cell r="I492">
            <v>1</v>
          </cell>
          <cell r="J492" t="str">
            <v>TN</v>
          </cell>
          <cell r="K492" t="str">
            <v>C</v>
          </cell>
          <cell r="M492" t="str">
            <v>01.01.2025</v>
          </cell>
          <cell r="N492" t="str">
            <v>31.03.2025</v>
          </cell>
          <cell r="O492">
            <v>189.73</v>
          </cell>
          <cell r="P492">
            <v>285.45999999999998</v>
          </cell>
        </row>
        <row r="493">
          <cell r="B493" t="str">
            <v>D87310000240</v>
          </cell>
          <cell r="C493" t="str">
            <v>D873</v>
          </cell>
          <cell r="D493" t="str">
            <v>D077</v>
          </cell>
          <cell r="E493">
            <v>10000240</v>
          </cell>
          <cell r="F493" t="str">
            <v>Grava Triturada Caliza 20 mm - 3/4"</v>
          </cell>
          <cell r="G493">
            <v>95.73</v>
          </cell>
          <cell r="H493" t="str">
            <v>MXN</v>
          </cell>
          <cell r="I493">
            <v>1</v>
          </cell>
          <cell r="J493" t="str">
            <v>TN</v>
          </cell>
          <cell r="K493" t="str">
            <v>C</v>
          </cell>
          <cell r="M493" t="str">
            <v>01.01.2025</v>
          </cell>
          <cell r="N493" t="str">
            <v>31.03.2025</v>
          </cell>
          <cell r="O493">
            <v>193.95</v>
          </cell>
          <cell r="P493">
            <v>289.68</v>
          </cell>
        </row>
        <row r="494">
          <cell r="B494" t="str">
            <v>D87310001073</v>
          </cell>
          <cell r="C494" t="str">
            <v>D873</v>
          </cell>
          <cell r="D494" t="str">
            <v>D077</v>
          </cell>
          <cell r="E494">
            <v>10001073</v>
          </cell>
          <cell r="F494" t="str">
            <v>Arena Triturada Caliza Malla 4</v>
          </cell>
          <cell r="G494">
            <v>115.9</v>
          </cell>
          <cell r="H494" t="str">
            <v>MXN</v>
          </cell>
          <cell r="I494">
            <v>1</v>
          </cell>
          <cell r="J494" t="str">
            <v>TN</v>
          </cell>
          <cell r="K494" t="str">
            <v>C</v>
          </cell>
          <cell r="M494" t="str">
            <v>01.01.2025</v>
          </cell>
          <cell r="N494" t="str">
            <v>31.03.2025</v>
          </cell>
          <cell r="O494">
            <v>85.04</v>
          </cell>
          <cell r="P494">
            <v>200.94</v>
          </cell>
        </row>
        <row r="495">
          <cell r="B495" t="str">
            <v>D87310000236</v>
          </cell>
          <cell r="C495" t="str">
            <v>D873</v>
          </cell>
          <cell r="D495" t="str">
            <v>D079</v>
          </cell>
          <cell r="E495">
            <v>10000236</v>
          </cell>
          <cell r="F495" t="str">
            <v>Grava Triturada Caliza 10 mm - 3/8"</v>
          </cell>
          <cell r="G495">
            <v>95.73</v>
          </cell>
          <cell r="H495" t="str">
            <v>MXN</v>
          </cell>
          <cell r="I495">
            <v>1</v>
          </cell>
          <cell r="J495" t="str">
            <v>TN</v>
          </cell>
          <cell r="K495" t="str">
            <v>C</v>
          </cell>
          <cell r="M495" t="str">
            <v>01.01.2025</v>
          </cell>
          <cell r="N495" t="str">
            <v>31.03.2025</v>
          </cell>
          <cell r="O495">
            <v>189.73</v>
          </cell>
          <cell r="P495">
            <v>285.45999999999998</v>
          </cell>
        </row>
        <row r="496">
          <cell r="B496" t="str">
            <v>D87310000240</v>
          </cell>
          <cell r="C496" t="str">
            <v>D873</v>
          </cell>
          <cell r="D496" t="str">
            <v>D079</v>
          </cell>
          <cell r="E496">
            <v>10000240</v>
          </cell>
          <cell r="F496" t="str">
            <v>Grava Triturada Caliza 20 mm - 3/4"</v>
          </cell>
          <cell r="G496">
            <v>95.73</v>
          </cell>
          <cell r="H496" t="str">
            <v>MXN</v>
          </cell>
          <cell r="I496">
            <v>1</v>
          </cell>
          <cell r="J496" t="str">
            <v>TN</v>
          </cell>
          <cell r="K496" t="str">
            <v>C</v>
          </cell>
          <cell r="M496" t="str">
            <v>01.01.2025</v>
          </cell>
          <cell r="N496" t="str">
            <v>31.03.2025</v>
          </cell>
          <cell r="O496">
            <v>193.95</v>
          </cell>
          <cell r="P496">
            <v>289.68</v>
          </cell>
        </row>
        <row r="497">
          <cell r="B497" t="str">
            <v>D87310001073</v>
          </cell>
          <cell r="C497" t="str">
            <v>D873</v>
          </cell>
          <cell r="D497" t="str">
            <v>D079</v>
          </cell>
          <cell r="E497">
            <v>10001073</v>
          </cell>
          <cell r="F497" t="str">
            <v>Arena Triturada Caliza Malla 4</v>
          </cell>
          <cell r="G497">
            <v>115.9</v>
          </cell>
          <cell r="H497" t="str">
            <v>MXN</v>
          </cell>
          <cell r="I497">
            <v>1</v>
          </cell>
          <cell r="J497" t="str">
            <v>TN</v>
          </cell>
          <cell r="K497" t="str">
            <v>C</v>
          </cell>
          <cell r="M497" t="str">
            <v>01.01.2025</v>
          </cell>
          <cell r="N497" t="str">
            <v>31.03.2025</v>
          </cell>
          <cell r="O497">
            <v>85.04</v>
          </cell>
          <cell r="P497">
            <v>200.94</v>
          </cell>
        </row>
        <row r="498">
          <cell r="B498" t="str">
            <v>D87310000236</v>
          </cell>
          <cell r="C498" t="str">
            <v>D873</v>
          </cell>
          <cell r="D498" t="str">
            <v>D080</v>
          </cell>
          <cell r="E498">
            <v>10000236</v>
          </cell>
          <cell r="F498" t="str">
            <v>Grava Triturada Caliza 10 mm - 3/8"</v>
          </cell>
          <cell r="G498">
            <v>95.73</v>
          </cell>
          <cell r="H498" t="str">
            <v>MXN</v>
          </cell>
          <cell r="I498">
            <v>1</v>
          </cell>
          <cell r="J498" t="str">
            <v>TN</v>
          </cell>
          <cell r="K498" t="str">
            <v>C</v>
          </cell>
          <cell r="M498" t="str">
            <v>01.01.2025</v>
          </cell>
          <cell r="N498" t="str">
            <v>31.03.2025</v>
          </cell>
          <cell r="O498">
            <v>189.73</v>
          </cell>
          <cell r="P498">
            <v>285.45999999999998</v>
          </cell>
        </row>
        <row r="499">
          <cell r="B499" t="str">
            <v>D87310000240</v>
          </cell>
          <cell r="C499" t="str">
            <v>D873</v>
          </cell>
          <cell r="D499" t="str">
            <v>D080</v>
          </cell>
          <cell r="E499">
            <v>10000240</v>
          </cell>
          <cell r="F499" t="str">
            <v>Grava Triturada Caliza 20 mm - 3/4"</v>
          </cell>
          <cell r="G499">
            <v>95.73</v>
          </cell>
          <cell r="H499" t="str">
            <v>MXN</v>
          </cell>
          <cell r="I499">
            <v>1</v>
          </cell>
          <cell r="J499" t="str">
            <v>TN</v>
          </cell>
          <cell r="K499" t="str">
            <v>C</v>
          </cell>
          <cell r="M499" t="str">
            <v>01.01.2025</v>
          </cell>
          <cell r="N499" t="str">
            <v>31.03.2025</v>
          </cell>
          <cell r="O499">
            <v>193.95</v>
          </cell>
          <cell r="P499">
            <v>289.68</v>
          </cell>
        </row>
        <row r="500">
          <cell r="B500" t="str">
            <v>D87310001073</v>
          </cell>
          <cell r="C500" t="str">
            <v>D873</v>
          </cell>
          <cell r="D500" t="str">
            <v>D080</v>
          </cell>
          <cell r="E500">
            <v>10001073</v>
          </cell>
          <cell r="F500" t="str">
            <v>Arena Triturada Caliza Malla 4</v>
          </cell>
          <cell r="G500">
            <v>115.9</v>
          </cell>
          <cell r="H500" t="str">
            <v>MXN</v>
          </cell>
          <cell r="I500">
            <v>1</v>
          </cell>
          <cell r="J500" t="str">
            <v>TN</v>
          </cell>
          <cell r="K500" t="str">
            <v>C</v>
          </cell>
          <cell r="M500" t="str">
            <v>01.01.2025</v>
          </cell>
          <cell r="N500" t="str">
            <v>31.03.2025</v>
          </cell>
          <cell r="O500">
            <v>85.04</v>
          </cell>
          <cell r="P500">
            <v>200.94</v>
          </cell>
        </row>
        <row r="501">
          <cell r="B501" t="str">
            <v>D87310000236</v>
          </cell>
          <cell r="C501" t="str">
            <v>D873</v>
          </cell>
          <cell r="D501" t="str">
            <v>D081</v>
          </cell>
          <cell r="E501">
            <v>10000236</v>
          </cell>
          <cell r="F501" t="str">
            <v>Grava Triturada Caliza 10 mm - 3/8"</v>
          </cell>
          <cell r="G501">
            <v>95.73</v>
          </cell>
          <cell r="H501" t="str">
            <v>MXN</v>
          </cell>
          <cell r="I501">
            <v>1</v>
          </cell>
          <cell r="J501" t="str">
            <v>TN</v>
          </cell>
          <cell r="K501" t="str">
            <v>C</v>
          </cell>
          <cell r="M501" t="str">
            <v>01.01.2025</v>
          </cell>
          <cell r="N501" t="str">
            <v>31.03.2025</v>
          </cell>
          <cell r="O501">
            <v>189.73</v>
          </cell>
          <cell r="P501">
            <v>285.45999999999998</v>
          </cell>
        </row>
        <row r="502">
          <cell r="B502" t="str">
            <v>D87310000240</v>
          </cell>
          <cell r="C502" t="str">
            <v>D873</v>
          </cell>
          <cell r="D502" t="str">
            <v>D081</v>
          </cell>
          <cell r="E502">
            <v>10000240</v>
          </cell>
          <cell r="F502" t="str">
            <v>Grava Triturada Caliza 20 mm - 3/4"</v>
          </cell>
          <cell r="G502">
            <v>95.73</v>
          </cell>
          <cell r="H502" t="str">
            <v>MXN</v>
          </cell>
          <cell r="I502">
            <v>1</v>
          </cell>
          <cell r="J502" t="str">
            <v>TN</v>
          </cell>
          <cell r="K502" t="str">
            <v>C</v>
          </cell>
          <cell r="M502" t="str">
            <v>01.01.2025</v>
          </cell>
          <cell r="N502" t="str">
            <v>31.03.2025</v>
          </cell>
          <cell r="O502">
            <v>193.95</v>
          </cell>
          <cell r="P502">
            <v>289.68</v>
          </cell>
        </row>
        <row r="503">
          <cell r="B503" t="str">
            <v>D87310001073</v>
          </cell>
          <cell r="C503" t="str">
            <v>D873</v>
          </cell>
          <cell r="D503" t="str">
            <v>D081</v>
          </cell>
          <cell r="E503">
            <v>10001073</v>
          </cell>
          <cell r="F503" t="str">
            <v>Arena Triturada Caliza Malla 4</v>
          </cell>
          <cell r="G503">
            <v>115.9</v>
          </cell>
          <cell r="H503" t="str">
            <v>MXN</v>
          </cell>
          <cell r="I503">
            <v>1</v>
          </cell>
          <cell r="J503" t="str">
            <v>TN</v>
          </cell>
          <cell r="K503" t="str">
            <v>C</v>
          </cell>
          <cell r="M503" t="str">
            <v>01.01.2025</v>
          </cell>
          <cell r="N503" t="str">
            <v>31.03.2025</v>
          </cell>
          <cell r="O503">
            <v>85.04</v>
          </cell>
          <cell r="P503">
            <v>200.94</v>
          </cell>
        </row>
        <row r="504">
          <cell r="B504" t="str">
            <v>D87310000236</v>
          </cell>
          <cell r="C504" t="str">
            <v>D873</v>
          </cell>
          <cell r="D504" t="str">
            <v>D083</v>
          </cell>
          <cell r="E504">
            <v>10000236</v>
          </cell>
          <cell r="F504" t="str">
            <v>Grava Triturada Caliza 10 mm - 3/8"</v>
          </cell>
          <cell r="G504">
            <v>95.73</v>
          </cell>
          <cell r="H504" t="str">
            <v>MXN</v>
          </cell>
          <cell r="I504">
            <v>1</v>
          </cell>
          <cell r="J504" t="str">
            <v>TN</v>
          </cell>
          <cell r="K504" t="str">
            <v>C</v>
          </cell>
          <cell r="M504" t="str">
            <v>01.01.2025</v>
          </cell>
          <cell r="N504" t="str">
            <v>31.03.2025</v>
          </cell>
          <cell r="O504">
            <v>189.73</v>
          </cell>
          <cell r="P504">
            <v>285.45999999999998</v>
          </cell>
        </row>
        <row r="505">
          <cell r="B505" t="str">
            <v>D87310000240</v>
          </cell>
          <cell r="C505" t="str">
            <v>D873</v>
          </cell>
          <cell r="D505" t="str">
            <v>D083</v>
          </cell>
          <cell r="E505">
            <v>10000240</v>
          </cell>
          <cell r="F505" t="str">
            <v>Grava Triturada Caliza 20 mm - 3/4"</v>
          </cell>
          <cell r="G505">
            <v>95.73</v>
          </cell>
          <cell r="H505" t="str">
            <v>MXN</v>
          </cell>
          <cell r="I505">
            <v>1</v>
          </cell>
          <cell r="J505" t="str">
            <v>TN</v>
          </cell>
          <cell r="K505" t="str">
            <v>C</v>
          </cell>
          <cell r="M505" t="str">
            <v>01.01.2025</v>
          </cell>
          <cell r="N505" t="str">
            <v>31.03.2025</v>
          </cell>
          <cell r="O505">
            <v>193.95</v>
          </cell>
          <cell r="P505">
            <v>289.68</v>
          </cell>
        </row>
        <row r="506">
          <cell r="B506" t="str">
            <v>D87310001073</v>
          </cell>
          <cell r="C506" t="str">
            <v>D873</v>
          </cell>
          <cell r="D506" t="str">
            <v>D083</v>
          </cell>
          <cell r="E506">
            <v>10001073</v>
          </cell>
          <cell r="F506" t="str">
            <v>Arena Triturada Caliza Malla 4</v>
          </cell>
          <cell r="G506">
            <v>115.9</v>
          </cell>
          <cell r="H506" t="str">
            <v>MXN</v>
          </cell>
          <cell r="I506">
            <v>1</v>
          </cell>
          <cell r="J506" t="str">
            <v>TN</v>
          </cell>
          <cell r="K506" t="str">
            <v>C</v>
          </cell>
          <cell r="M506" t="str">
            <v>01.01.2025</v>
          </cell>
          <cell r="N506" t="str">
            <v>31.03.2025</v>
          </cell>
          <cell r="O506">
            <v>85.04</v>
          </cell>
          <cell r="P506">
            <v>200.94</v>
          </cell>
        </row>
        <row r="507">
          <cell r="B507" t="str">
            <v>D87310000236</v>
          </cell>
          <cell r="C507" t="str">
            <v>D873</v>
          </cell>
          <cell r="D507" t="str">
            <v>D084</v>
          </cell>
          <cell r="E507">
            <v>10000236</v>
          </cell>
          <cell r="F507" t="str">
            <v>Grava Triturada Caliza 10 mm - 3/8"</v>
          </cell>
          <cell r="G507">
            <v>95.73</v>
          </cell>
          <cell r="H507" t="str">
            <v>MXN</v>
          </cell>
          <cell r="I507">
            <v>1</v>
          </cell>
          <cell r="J507" t="str">
            <v>TN</v>
          </cell>
          <cell r="K507" t="str">
            <v>C</v>
          </cell>
          <cell r="M507" t="str">
            <v>01.01.2025</v>
          </cell>
          <cell r="N507" t="str">
            <v>31.03.2025</v>
          </cell>
          <cell r="O507">
            <v>189.73</v>
          </cell>
          <cell r="P507">
            <v>285.45999999999998</v>
          </cell>
        </row>
        <row r="508">
          <cell r="B508" t="str">
            <v>D87310000240</v>
          </cell>
          <cell r="C508" t="str">
            <v>D873</v>
          </cell>
          <cell r="D508" t="str">
            <v>D084</v>
          </cell>
          <cell r="E508">
            <v>10000240</v>
          </cell>
          <cell r="F508" t="str">
            <v>Grava Triturada Caliza 20 mm - 3/4"</v>
          </cell>
          <cell r="G508">
            <v>95.73</v>
          </cell>
          <cell r="H508" t="str">
            <v>MXN</v>
          </cell>
          <cell r="I508">
            <v>1</v>
          </cell>
          <cell r="J508" t="str">
            <v>TN</v>
          </cell>
          <cell r="K508" t="str">
            <v>C</v>
          </cell>
          <cell r="M508" t="str">
            <v>01.01.2025</v>
          </cell>
          <cell r="N508" t="str">
            <v>31.03.2025</v>
          </cell>
          <cell r="O508">
            <v>193.95</v>
          </cell>
          <cell r="P508">
            <v>289.68</v>
          </cell>
        </row>
        <row r="509">
          <cell r="B509" t="str">
            <v>D87310001073</v>
          </cell>
          <cell r="C509" t="str">
            <v>D873</v>
          </cell>
          <cell r="D509" t="str">
            <v>D084</v>
          </cell>
          <cell r="E509">
            <v>10001073</v>
          </cell>
          <cell r="F509" t="str">
            <v>Arena Triturada Caliza Malla 4</v>
          </cell>
          <cell r="G509">
            <v>115.9</v>
          </cell>
          <cell r="H509" t="str">
            <v>MXN</v>
          </cell>
          <cell r="I509">
            <v>1</v>
          </cell>
          <cell r="J509" t="str">
            <v>TN</v>
          </cell>
          <cell r="K509" t="str">
            <v>C</v>
          </cell>
          <cell r="M509" t="str">
            <v>01.01.2025</v>
          </cell>
          <cell r="N509" t="str">
            <v>31.03.2025</v>
          </cell>
          <cell r="O509">
            <v>85.04</v>
          </cell>
          <cell r="P509">
            <v>200.94</v>
          </cell>
        </row>
        <row r="510">
          <cell r="B510" t="str">
            <v>D87310000236</v>
          </cell>
          <cell r="C510" t="str">
            <v>D873</v>
          </cell>
          <cell r="D510" t="str">
            <v>D085</v>
          </cell>
          <cell r="E510">
            <v>10000236</v>
          </cell>
          <cell r="F510" t="str">
            <v>Grava Triturada Caliza 10 mm - 3/8"</v>
          </cell>
          <cell r="G510">
            <v>95.73</v>
          </cell>
          <cell r="H510" t="str">
            <v>MXN</v>
          </cell>
          <cell r="I510">
            <v>1</v>
          </cell>
          <cell r="J510" t="str">
            <v>TN</v>
          </cell>
          <cell r="K510" t="str">
            <v>C</v>
          </cell>
          <cell r="M510" t="str">
            <v>01.01.2025</v>
          </cell>
          <cell r="N510" t="str">
            <v>31.03.2025</v>
          </cell>
          <cell r="O510">
            <v>189.73</v>
          </cell>
          <cell r="P510">
            <v>285.45999999999998</v>
          </cell>
        </row>
        <row r="511">
          <cell r="B511" t="str">
            <v>D87310000240</v>
          </cell>
          <cell r="C511" t="str">
            <v>D873</v>
          </cell>
          <cell r="D511" t="str">
            <v>D085</v>
          </cell>
          <cell r="E511">
            <v>10000240</v>
          </cell>
          <cell r="F511" t="str">
            <v>Grava Triturada Caliza 20 mm - 3/4"</v>
          </cell>
          <cell r="G511">
            <v>95.73</v>
          </cell>
          <cell r="H511" t="str">
            <v>MXN</v>
          </cell>
          <cell r="I511">
            <v>1</v>
          </cell>
          <cell r="J511" t="str">
            <v>TN</v>
          </cell>
          <cell r="K511" t="str">
            <v>C</v>
          </cell>
          <cell r="M511" t="str">
            <v>01.01.2025</v>
          </cell>
          <cell r="N511" t="str">
            <v>31.03.2025</v>
          </cell>
          <cell r="O511">
            <v>193.95</v>
          </cell>
          <cell r="P511">
            <v>289.68</v>
          </cell>
        </row>
        <row r="512">
          <cell r="B512" t="str">
            <v>D87310001073</v>
          </cell>
          <cell r="C512" t="str">
            <v>D873</v>
          </cell>
          <cell r="D512" t="str">
            <v>D085</v>
          </cell>
          <cell r="E512">
            <v>10001073</v>
          </cell>
          <cell r="F512" t="str">
            <v>Arena Triturada Caliza Malla 4</v>
          </cell>
          <cell r="G512">
            <v>115.9</v>
          </cell>
          <cell r="H512" t="str">
            <v>MXN</v>
          </cell>
          <cell r="I512">
            <v>1</v>
          </cell>
          <cell r="J512" t="str">
            <v>TN</v>
          </cell>
          <cell r="K512" t="str">
            <v>C</v>
          </cell>
          <cell r="M512" t="str">
            <v>01.01.2025</v>
          </cell>
          <cell r="N512" t="str">
            <v>31.03.2025</v>
          </cell>
          <cell r="O512">
            <v>85.04</v>
          </cell>
          <cell r="P512">
            <v>200.94</v>
          </cell>
        </row>
        <row r="513">
          <cell r="B513" t="str">
            <v>D87310000236</v>
          </cell>
          <cell r="C513" t="str">
            <v>D873</v>
          </cell>
          <cell r="D513" t="str">
            <v>D086</v>
          </cell>
          <cell r="E513">
            <v>10000236</v>
          </cell>
          <cell r="F513" t="str">
            <v>Grava Triturada Caliza 10 mm - 3/8"</v>
          </cell>
          <cell r="G513">
            <v>95.73</v>
          </cell>
          <cell r="H513" t="str">
            <v>MXN</v>
          </cell>
          <cell r="I513">
            <v>1</v>
          </cell>
          <cell r="J513" t="str">
            <v>TN</v>
          </cell>
          <cell r="K513" t="str">
            <v>C</v>
          </cell>
          <cell r="M513" t="str">
            <v>01.01.2025</v>
          </cell>
          <cell r="N513" t="str">
            <v>31.03.2025</v>
          </cell>
          <cell r="O513">
            <v>189.73</v>
          </cell>
          <cell r="P513">
            <v>285.45999999999998</v>
          </cell>
        </row>
        <row r="514">
          <cell r="B514" t="str">
            <v>D87310000240</v>
          </cell>
          <cell r="C514" t="str">
            <v>D873</v>
          </cell>
          <cell r="D514" t="str">
            <v>D086</v>
          </cell>
          <cell r="E514">
            <v>10000240</v>
          </cell>
          <cell r="F514" t="str">
            <v>Grava Triturada Caliza 20 mm - 3/4"</v>
          </cell>
          <cell r="G514">
            <v>95.73</v>
          </cell>
          <cell r="H514" t="str">
            <v>MXN</v>
          </cell>
          <cell r="I514">
            <v>1</v>
          </cell>
          <cell r="J514" t="str">
            <v>TN</v>
          </cell>
          <cell r="K514" t="str">
            <v>C</v>
          </cell>
          <cell r="M514" t="str">
            <v>01.01.2025</v>
          </cell>
          <cell r="N514" t="str">
            <v>31.03.2025</v>
          </cell>
          <cell r="O514">
            <v>193.95</v>
          </cell>
          <cell r="P514">
            <v>289.68</v>
          </cell>
        </row>
        <row r="515">
          <cell r="B515" t="str">
            <v>D87310001073</v>
          </cell>
          <cell r="C515" t="str">
            <v>D873</v>
          </cell>
          <cell r="D515" t="str">
            <v>D086</v>
          </cell>
          <cell r="E515">
            <v>10001073</v>
          </cell>
          <cell r="F515" t="str">
            <v>Arena Triturada Caliza Malla 4</v>
          </cell>
          <cell r="G515">
            <v>115.9</v>
          </cell>
          <cell r="H515" t="str">
            <v>MXN</v>
          </cell>
          <cell r="I515">
            <v>1</v>
          </cell>
          <cell r="J515" t="str">
            <v>TN</v>
          </cell>
          <cell r="K515" t="str">
            <v>C</v>
          </cell>
          <cell r="M515" t="str">
            <v>01.01.2025</v>
          </cell>
          <cell r="N515" t="str">
            <v>31.03.2025</v>
          </cell>
          <cell r="O515">
            <v>85.04</v>
          </cell>
          <cell r="P515">
            <v>200.94</v>
          </cell>
        </row>
        <row r="516">
          <cell r="B516" t="str">
            <v>D87310000240</v>
          </cell>
          <cell r="C516" t="str">
            <v>D873</v>
          </cell>
          <cell r="D516" t="str">
            <v>D093</v>
          </cell>
          <cell r="E516">
            <v>10000240</v>
          </cell>
          <cell r="F516" t="str">
            <v>Grava Triturada Caliza 20 mm - 3/4"</v>
          </cell>
          <cell r="G516">
            <v>95.73</v>
          </cell>
          <cell r="H516" t="str">
            <v>MXN</v>
          </cell>
          <cell r="I516">
            <v>1</v>
          </cell>
          <cell r="J516" t="str">
            <v>TN</v>
          </cell>
          <cell r="K516" t="str">
            <v>C</v>
          </cell>
          <cell r="M516" t="str">
            <v>01.01.2025</v>
          </cell>
          <cell r="N516" t="str">
            <v>31.03.2025</v>
          </cell>
          <cell r="O516">
            <v>193.95</v>
          </cell>
          <cell r="P516">
            <v>289.68</v>
          </cell>
        </row>
        <row r="517">
          <cell r="B517" t="str">
            <v>D87310000240</v>
          </cell>
          <cell r="C517" t="str">
            <v>D873</v>
          </cell>
          <cell r="D517" t="str">
            <v>D098</v>
          </cell>
          <cell r="E517">
            <v>10000240</v>
          </cell>
          <cell r="F517" t="str">
            <v>Grava Triturada Caliza 20 mm - 3/4"</v>
          </cell>
          <cell r="G517">
            <v>95.73</v>
          </cell>
          <cell r="H517" t="str">
            <v>MXN</v>
          </cell>
          <cell r="I517">
            <v>1</v>
          </cell>
          <cell r="J517" t="str">
            <v>TN</v>
          </cell>
          <cell r="K517" t="str">
            <v>C</v>
          </cell>
          <cell r="M517" t="str">
            <v>01.01.2025</v>
          </cell>
          <cell r="N517" t="str">
            <v>31.03.2025</v>
          </cell>
          <cell r="O517">
            <v>193.95</v>
          </cell>
          <cell r="P517">
            <v>289.68</v>
          </cell>
        </row>
        <row r="518">
          <cell r="B518" t="str">
            <v>D87310001073</v>
          </cell>
          <cell r="C518" t="str">
            <v>D873</v>
          </cell>
          <cell r="D518" t="str">
            <v>D098</v>
          </cell>
          <cell r="E518">
            <v>10001073</v>
          </cell>
          <cell r="F518" t="str">
            <v>Arena Triturada Caliza Malla 4</v>
          </cell>
          <cell r="G518">
            <v>115.9</v>
          </cell>
          <cell r="H518" t="str">
            <v>MXN</v>
          </cell>
          <cell r="I518">
            <v>1</v>
          </cell>
          <cell r="J518" t="str">
            <v>TN</v>
          </cell>
          <cell r="K518" t="str">
            <v>C</v>
          </cell>
          <cell r="M518" t="str">
            <v>01.01.2025</v>
          </cell>
          <cell r="N518" t="str">
            <v>31.03.2025</v>
          </cell>
          <cell r="O518">
            <v>85.04</v>
          </cell>
          <cell r="P518">
            <v>200.94</v>
          </cell>
        </row>
        <row r="519">
          <cell r="B519" t="str">
            <v>D87310000236</v>
          </cell>
          <cell r="C519" t="str">
            <v>D873</v>
          </cell>
          <cell r="D519" t="str">
            <v>D105</v>
          </cell>
          <cell r="E519">
            <v>10000236</v>
          </cell>
          <cell r="F519" t="str">
            <v>Grava Triturada Caliza 10 mm - 3/8"</v>
          </cell>
          <cell r="G519">
            <v>95.73</v>
          </cell>
          <cell r="H519" t="str">
            <v>MXN</v>
          </cell>
          <cell r="I519">
            <v>1</v>
          </cell>
          <cell r="J519" t="str">
            <v>TN</v>
          </cell>
          <cell r="K519" t="str">
            <v>C</v>
          </cell>
          <cell r="M519" t="str">
            <v>01.01.2025</v>
          </cell>
          <cell r="N519" t="str">
            <v>31.03.2025</v>
          </cell>
          <cell r="O519">
            <v>189.73</v>
          </cell>
          <cell r="P519">
            <v>285.45999999999998</v>
          </cell>
        </row>
        <row r="520">
          <cell r="B520" t="str">
            <v>D87310000240</v>
          </cell>
          <cell r="C520" t="str">
            <v>D873</v>
          </cell>
          <cell r="D520" t="str">
            <v>D105</v>
          </cell>
          <cell r="E520">
            <v>10000240</v>
          </cell>
          <cell r="F520" t="str">
            <v>Grava Triturada Caliza 20 mm - 3/4"</v>
          </cell>
          <cell r="G520">
            <v>95.73</v>
          </cell>
          <cell r="H520" t="str">
            <v>MXN</v>
          </cell>
          <cell r="I520">
            <v>1</v>
          </cell>
          <cell r="J520" t="str">
            <v>TN</v>
          </cell>
          <cell r="K520" t="str">
            <v>C</v>
          </cell>
          <cell r="M520" t="str">
            <v>01.01.2025</v>
          </cell>
          <cell r="N520" t="str">
            <v>31.03.2025</v>
          </cell>
          <cell r="O520">
            <v>193.95</v>
          </cell>
          <cell r="P520">
            <v>289.68</v>
          </cell>
        </row>
        <row r="521">
          <cell r="B521" t="str">
            <v>D87310001073</v>
          </cell>
          <cell r="C521" t="str">
            <v>D873</v>
          </cell>
          <cell r="D521" t="str">
            <v>D105</v>
          </cell>
          <cell r="E521">
            <v>10001073</v>
          </cell>
          <cell r="F521" t="str">
            <v>Arena Triturada Caliza Malla 4</v>
          </cell>
          <cell r="G521">
            <v>115.9</v>
          </cell>
          <cell r="H521" t="str">
            <v>MXN</v>
          </cell>
          <cell r="I521">
            <v>1</v>
          </cell>
          <cell r="J521" t="str">
            <v>TN</v>
          </cell>
          <cell r="K521" t="str">
            <v>C</v>
          </cell>
          <cell r="M521" t="str">
            <v>01.01.2025</v>
          </cell>
          <cell r="N521" t="str">
            <v>31.03.2025</v>
          </cell>
          <cell r="O521">
            <v>85.04</v>
          </cell>
          <cell r="P521">
            <v>200.94</v>
          </cell>
        </row>
        <row r="522">
          <cell r="B522" t="str">
            <v>D87310000236</v>
          </cell>
          <cell r="C522" t="str">
            <v>D873</v>
          </cell>
          <cell r="D522" t="str">
            <v>D110</v>
          </cell>
          <cell r="E522">
            <v>10000236</v>
          </cell>
          <cell r="F522" t="str">
            <v>Grava Triturada Caliza 10 mm - 3/8"</v>
          </cell>
          <cell r="G522">
            <v>95.73</v>
          </cell>
          <cell r="H522" t="str">
            <v>MXN</v>
          </cell>
          <cell r="I522">
            <v>1</v>
          </cell>
          <cell r="J522" t="str">
            <v>TN</v>
          </cell>
          <cell r="K522" t="str">
            <v>C</v>
          </cell>
          <cell r="M522" t="str">
            <v>01.01.2025</v>
          </cell>
          <cell r="N522" t="str">
            <v>31.03.2025</v>
          </cell>
          <cell r="O522">
            <v>189.73</v>
          </cell>
          <cell r="P522">
            <v>285.45999999999998</v>
          </cell>
        </row>
        <row r="523">
          <cell r="B523" t="str">
            <v>D87310000240</v>
          </cell>
          <cell r="C523" t="str">
            <v>D873</v>
          </cell>
          <cell r="D523" t="str">
            <v>D110</v>
          </cell>
          <cell r="E523">
            <v>10000240</v>
          </cell>
          <cell r="F523" t="str">
            <v>Grava Triturada Caliza 20 mm - 3/4"</v>
          </cell>
          <cell r="G523">
            <v>95.73</v>
          </cell>
          <cell r="H523" t="str">
            <v>MXN</v>
          </cell>
          <cell r="I523">
            <v>1</v>
          </cell>
          <cell r="J523" t="str">
            <v>TN</v>
          </cell>
          <cell r="K523" t="str">
            <v>C</v>
          </cell>
          <cell r="M523" t="str">
            <v>01.01.2025</v>
          </cell>
          <cell r="N523" t="str">
            <v>31.03.2025</v>
          </cell>
          <cell r="O523">
            <v>193.95</v>
          </cell>
          <cell r="P523">
            <v>289.68</v>
          </cell>
        </row>
        <row r="524">
          <cell r="B524" t="str">
            <v>D87310001073</v>
          </cell>
          <cell r="C524" t="str">
            <v>D873</v>
          </cell>
          <cell r="D524" t="str">
            <v>D110</v>
          </cell>
          <cell r="E524">
            <v>10001073</v>
          </cell>
          <cell r="F524" t="str">
            <v>Arena Triturada Caliza Malla 4</v>
          </cell>
          <cell r="G524">
            <v>115.9</v>
          </cell>
          <cell r="H524" t="str">
            <v>MXN</v>
          </cell>
          <cell r="I524">
            <v>1</v>
          </cell>
          <cell r="J524" t="str">
            <v>TN</v>
          </cell>
          <cell r="K524" t="str">
            <v>C</v>
          </cell>
          <cell r="M524" t="str">
            <v>01.01.2025</v>
          </cell>
          <cell r="N524" t="str">
            <v>31.03.2025</v>
          </cell>
          <cell r="O524">
            <v>85.04</v>
          </cell>
          <cell r="P524">
            <v>200.94</v>
          </cell>
        </row>
        <row r="525">
          <cell r="B525" t="str">
            <v>D87310000240</v>
          </cell>
          <cell r="C525" t="str">
            <v>D873</v>
          </cell>
          <cell r="D525" t="str">
            <v>D111</v>
          </cell>
          <cell r="E525">
            <v>10000240</v>
          </cell>
          <cell r="F525" t="str">
            <v>Grava Triturada Caliza 20 mm - 3/4"</v>
          </cell>
          <cell r="G525">
            <v>95.73</v>
          </cell>
          <cell r="H525" t="str">
            <v>MXN</v>
          </cell>
          <cell r="I525">
            <v>1</v>
          </cell>
          <cell r="J525" t="str">
            <v>TN</v>
          </cell>
          <cell r="K525" t="str">
            <v>C</v>
          </cell>
          <cell r="M525" t="str">
            <v>01.01.2025</v>
          </cell>
          <cell r="N525" t="str">
            <v>31.03.2025</v>
          </cell>
          <cell r="O525">
            <v>193.95</v>
          </cell>
          <cell r="P525">
            <v>289.68</v>
          </cell>
        </row>
        <row r="526">
          <cell r="B526" t="str">
            <v>D87310001073</v>
          </cell>
          <cell r="C526" t="str">
            <v>D873</v>
          </cell>
          <cell r="D526" t="str">
            <v>D111</v>
          </cell>
          <cell r="E526">
            <v>10001073</v>
          </cell>
          <cell r="F526" t="str">
            <v>Arena Triturada Caliza Malla 4</v>
          </cell>
          <cell r="G526">
            <v>115.9</v>
          </cell>
          <cell r="H526" t="str">
            <v>MXN</v>
          </cell>
          <cell r="I526">
            <v>1</v>
          </cell>
          <cell r="J526" t="str">
            <v>TN</v>
          </cell>
          <cell r="K526" t="str">
            <v>C</v>
          </cell>
          <cell r="M526" t="str">
            <v>01.01.2025</v>
          </cell>
          <cell r="N526" t="str">
            <v>31.03.2025</v>
          </cell>
          <cell r="O526">
            <v>85.04</v>
          </cell>
          <cell r="P526">
            <v>200.94</v>
          </cell>
        </row>
        <row r="527">
          <cell r="B527" t="str">
            <v>D87310000236</v>
          </cell>
          <cell r="C527" t="str">
            <v>D873</v>
          </cell>
          <cell r="D527" t="str">
            <v>D136</v>
          </cell>
          <cell r="E527">
            <v>10000236</v>
          </cell>
          <cell r="F527" t="str">
            <v>Grava Triturada Caliza 10 mm - 3/8"</v>
          </cell>
          <cell r="G527">
            <v>95.73</v>
          </cell>
          <cell r="H527" t="str">
            <v>MXN</v>
          </cell>
          <cell r="I527">
            <v>1</v>
          </cell>
          <cell r="J527" t="str">
            <v>TN</v>
          </cell>
          <cell r="K527" t="str">
            <v>C</v>
          </cell>
          <cell r="M527" t="str">
            <v>01.01.2025</v>
          </cell>
          <cell r="N527" t="str">
            <v>31.03.2025</v>
          </cell>
          <cell r="O527">
            <v>189.73</v>
          </cell>
          <cell r="P527">
            <v>285.45999999999998</v>
          </cell>
        </row>
        <row r="528">
          <cell r="B528" t="str">
            <v>D87310000240</v>
          </cell>
          <cell r="C528" t="str">
            <v>D873</v>
          </cell>
          <cell r="D528" t="str">
            <v>D136</v>
          </cell>
          <cell r="E528">
            <v>10000240</v>
          </cell>
          <cell r="F528" t="str">
            <v>Grava Triturada Caliza 20 mm - 3/4"</v>
          </cell>
          <cell r="G528">
            <v>95.73</v>
          </cell>
          <cell r="H528" t="str">
            <v>MXN</v>
          </cell>
          <cell r="I528">
            <v>1</v>
          </cell>
          <cell r="J528" t="str">
            <v>TN</v>
          </cell>
          <cell r="K528" t="str">
            <v>C</v>
          </cell>
          <cell r="M528" t="str">
            <v>01.01.2025</v>
          </cell>
          <cell r="N528" t="str">
            <v>31.03.2025</v>
          </cell>
          <cell r="O528">
            <v>193.95</v>
          </cell>
          <cell r="P528">
            <v>289.68</v>
          </cell>
        </row>
        <row r="529">
          <cell r="B529" t="str">
            <v>D87310001073</v>
          </cell>
          <cell r="C529" t="str">
            <v>D873</v>
          </cell>
          <cell r="D529" t="str">
            <v>D136</v>
          </cell>
          <cell r="E529">
            <v>10001073</v>
          </cell>
          <cell r="F529" t="str">
            <v>Arena Triturada Caliza Malla 4</v>
          </cell>
          <cell r="G529">
            <v>115.9</v>
          </cell>
          <cell r="H529" t="str">
            <v>MXN</v>
          </cell>
          <cell r="I529">
            <v>1</v>
          </cell>
          <cell r="J529" t="str">
            <v>TN</v>
          </cell>
          <cell r="K529" t="str">
            <v>C</v>
          </cell>
          <cell r="M529" t="str">
            <v>01.01.2025</v>
          </cell>
          <cell r="N529" t="str">
            <v>31.03.2025</v>
          </cell>
          <cell r="O529">
            <v>85.04</v>
          </cell>
          <cell r="P529">
            <v>200.94</v>
          </cell>
        </row>
        <row r="530">
          <cell r="B530" t="str">
            <v>D87310000240</v>
          </cell>
          <cell r="C530" t="str">
            <v>D873</v>
          </cell>
          <cell r="D530" t="str">
            <v>D145</v>
          </cell>
          <cell r="E530">
            <v>10000240</v>
          </cell>
          <cell r="F530" t="str">
            <v>Grava Triturada Caliza 20 mm - 3/4"</v>
          </cell>
          <cell r="G530">
            <v>95.73</v>
          </cell>
          <cell r="H530" t="str">
            <v>MXN</v>
          </cell>
          <cell r="I530">
            <v>1</v>
          </cell>
          <cell r="J530" t="str">
            <v>TN</v>
          </cell>
          <cell r="K530" t="str">
            <v>C</v>
          </cell>
          <cell r="M530" t="str">
            <v>01.01.2025</v>
          </cell>
          <cell r="N530" t="str">
            <v>31.03.2025</v>
          </cell>
          <cell r="O530">
            <v>193.95</v>
          </cell>
          <cell r="P530">
            <v>289.68</v>
          </cell>
        </row>
        <row r="531">
          <cell r="B531" t="str">
            <v>D87310001073</v>
          </cell>
          <cell r="C531" t="str">
            <v>D873</v>
          </cell>
          <cell r="D531" t="str">
            <v>D145</v>
          </cell>
          <cell r="E531">
            <v>10001073</v>
          </cell>
          <cell r="F531" t="str">
            <v>Arena Triturada Caliza Malla 4</v>
          </cell>
          <cell r="G531">
            <v>115.9</v>
          </cell>
          <cell r="H531" t="str">
            <v>MXN</v>
          </cell>
          <cell r="I531">
            <v>1</v>
          </cell>
          <cell r="J531" t="str">
            <v>TN</v>
          </cell>
          <cell r="K531" t="str">
            <v>C</v>
          </cell>
          <cell r="M531" t="str">
            <v>01.01.2025</v>
          </cell>
          <cell r="N531" t="str">
            <v>31.03.2025</v>
          </cell>
          <cell r="O531">
            <v>85.04</v>
          </cell>
          <cell r="P531">
            <v>200.94</v>
          </cell>
        </row>
        <row r="532">
          <cell r="B532" t="str">
            <v>D87310000240</v>
          </cell>
          <cell r="C532" t="str">
            <v>D873</v>
          </cell>
          <cell r="D532" t="str">
            <v>D327</v>
          </cell>
          <cell r="E532">
            <v>10000240</v>
          </cell>
          <cell r="F532" t="str">
            <v>Grava Triturada Caliza 20 mm - 3/4"</v>
          </cell>
          <cell r="G532">
            <v>95.73</v>
          </cell>
          <cell r="H532" t="str">
            <v>MXN</v>
          </cell>
          <cell r="I532">
            <v>1</v>
          </cell>
          <cell r="J532" t="str">
            <v>TN</v>
          </cell>
          <cell r="K532" t="str">
            <v>C</v>
          </cell>
          <cell r="M532" t="str">
            <v>01.01.2025</v>
          </cell>
          <cell r="N532" t="str">
            <v>31.03.2025</v>
          </cell>
          <cell r="O532">
            <v>193.95</v>
          </cell>
          <cell r="P532">
            <v>289.68</v>
          </cell>
        </row>
        <row r="533">
          <cell r="B533" t="str">
            <v>D87310000240</v>
          </cell>
          <cell r="C533" t="str">
            <v>D873</v>
          </cell>
          <cell r="D533" t="str">
            <v>D349</v>
          </cell>
          <cell r="E533">
            <v>10000240</v>
          </cell>
          <cell r="F533" t="str">
            <v>Grava Triturada Caliza 20 mm - 3/4"</v>
          </cell>
          <cell r="G533">
            <v>95.73</v>
          </cell>
          <cell r="H533" t="str">
            <v>MXN</v>
          </cell>
          <cell r="I533">
            <v>1</v>
          </cell>
          <cell r="J533" t="str">
            <v>TN</v>
          </cell>
          <cell r="K533" t="str">
            <v>C</v>
          </cell>
          <cell r="M533" t="str">
            <v>01.01.2025</v>
          </cell>
          <cell r="N533" t="str">
            <v>31.03.2025</v>
          </cell>
          <cell r="O533">
            <v>193.95</v>
          </cell>
          <cell r="P533">
            <v>289.68</v>
          </cell>
        </row>
        <row r="534">
          <cell r="B534" t="str">
            <v>D87310000240</v>
          </cell>
          <cell r="C534" t="str">
            <v>D873</v>
          </cell>
          <cell r="D534" t="str">
            <v>D681</v>
          </cell>
          <cell r="E534">
            <v>10000240</v>
          </cell>
          <cell r="F534" t="str">
            <v>Grava Triturada Caliza 20 mm - 3/4"</v>
          </cell>
          <cell r="G534">
            <v>95.73</v>
          </cell>
          <cell r="H534" t="str">
            <v>MXN</v>
          </cell>
          <cell r="I534">
            <v>1</v>
          </cell>
          <cell r="J534" t="str">
            <v>TN</v>
          </cell>
          <cell r="K534" t="str">
            <v>C</v>
          </cell>
          <cell r="M534" t="str">
            <v>01.01.2025</v>
          </cell>
          <cell r="N534" t="str">
            <v>31.03.2025</v>
          </cell>
          <cell r="O534">
            <v>193.95</v>
          </cell>
          <cell r="P534">
            <v>289.68</v>
          </cell>
        </row>
        <row r="535">
          <cell r="B535" t="str">
            <v>D87310001073</v>
          </cell>
          <cell r="C535" t="str">
            <v>D873</v>
          </cell>
          <cell r="D535" t="str">
            <v>D681</v>
          </cell>
          <cell r="E535">
            <v>10001073</v>
          </cell>
          <cell r="F535" t="str">
            <v>Arena Triturada Caliza Malla 4</v>
          </cell>
          <cell r="G535">
            <v>115.9</v>
          </cell>
          <cell r="H535" t="str">
            <v>MXN</v>
          </cell>
          <cell r="I535">
            <v>1</v>
          </cell>
          <cell r="J535" t="str">
            <v>TN</v>
          </cell>
          <cell r="K535" t="str">
            <v>C</v>
          </cell>
          <cell r="M535" t="str">
            <v>01.01.2025</v>
          </cell>
          <cell r="N535" t="str">
            <v>31.03.2025</v>
          </cell>
          <cell r="O535">
            <v>85.04</v>
          </cell>
          <cell r="P535">
            <v>200.94</v>
          </cell>
        </row>
        <row r="536">
          <cell r="B536" t="str">
            <v>DU0710000101</v>
          </cell>
          <cell r="C536" t="str">
            <v>DU07</v>
          </cell>
          <cell r="D536" t="str">
            <v>D063</v>
          </cell>
          <cell r="E536">
            <v>10000101</v>
          </cell>
          <cell r="F536" t="str">
            <v>Arena Triturada Caliza Malla 4 -Especial</v>
          </cell>
          <cell r="G536">
            <v>192.51</v>
          </cell>
          <cell r="H536" t="str">
            <v>MXN</v>
          </cell>
          <cell r="I536">
            <v>1</v>
          </cell>
          <cell r="J536" t="str">
            <v>TN</v>
          </cell>
          <cell r="K536" t="str">
            <v>C</v>
          </cell>
          <cell r="M536" t="str">
            <v>01.01.2025</v>
          </cell>
          <cell r="N536" t="str">
            <v>31.03.2025</v>
          </cell>
          <cell r="O536">
            <v>117.59</v>
          </cell>
          <cell r="P536">
            <v>310.10000000000002</v>
          </cell>
        </row>
        <row r="537">
          <cell r="B537" t="str">
            <v>DU0710000110</v>
          </cell>
          <cell r="C537" t="str">
            <v>DU07</v>
          </cell>
          <cell r="D537" t="str">
            <v>D063</v>
          </cell>
          <cell r="E537">
            <v>10000110</v>
          </cell>
          <cell r="F537" t="str">
            <v>GRAVA TRITURADA CALIZA 20 MM “3/4"–INTEG</v>
          </cell>
          <cell r="G537">
            <v>188.58</v>
          </cell>
          <cell r="H537" t="str">
            <v>MXN</v>
          </cell>
          <cell r="I537">
            <v>1</v>
          </cell>
          <cell r="J537" t="str">
            <v>TN</v>
          </cell>
          <cell r="K537" t="str">
            <v>C</v>
          </cell>
          <cell r="M537" t="str">
            <v>01.01.2025</v>
          </cell>
          <cell r="N537" t="str">
            <v>31.03.2025</v>
          </cell>
          <cell r="O537">
            <v>78.099999999999994</v>
          </cell>
          <cell r="P537">
            <v>266.68</v>
          </cell>
        </row>
        <row r="538">
          <cell r="B538" t="str">
            <v>DU0710000111</v>
          </cell>
          <cell r="C538" t="str">
            <v>DU07</v>
          </cell>
          <cell r="D538" t="str">
            <v>D063</v>
          </cell>
          <cell r="E538">
            <v>10000111</v>
          </cell>
          <cell r="F538" t="str">
            <v>Grava Triturada Caliza 40mm -1 1/2" -Esp</v>
          </cell>
          <cell r="G538">
            <v>188.58</v>
          </cell>
          <cell r="H538" t="str">
            <v>MXN</v>
          </cell>
          <cell r="I538">
            <v>1</v>
          </cell>
          <cell r="J538" t="str">
            <v>TN</v>
          </cell>
          <cell r="K538" t="str">
            <v>C</v>
          </cell>
          <cell r="M538" t="str">
            <v>01.01.2025</v>
          </cell>
          <cell r="N538" t="str">
            <v>31.03.2025</v>
          </cell>
          <cell r="O538" t="str">
            <v>47.40-</v>
          </cell>
          <cell r="P538" t="e">
            <v>#VALUE!</v>
          </cell>
        </row>
        <row r="539">
          <cell r="B539" t="str">
            <v>DU0710000112</v>
          </cell>
          <cell r="C539" t="str">
            <v>DU07</v>
          </cell>
          <cell r="D539" t="str">
            <v>D063</v>
          </cell>
          <cell r="E539">
            <v>10000112</v>
          </cell>
          <cell r="F539" t="str">
            <v>Grava Triturada Caliza 13 mm -1/2" -Esp</v>
          </cell>
          <cell r="G539">
            <v>188.58</v>
          </cell>
          <cell r="H539" t="str">
            <v>MXN</v>
          </cell>
          <cell r="I539">
            <v>1</v>
          </cell>
          <cell r="J539" t="str">
            <v>TN</v>
          </cell>
          <cell r="K539" t="str">
            <v>C</v>
          </cell>
          <cell r="M539" t="str">
            <v>01.01.2025</v>
          </cell>
          <cell r="N539" t="str">
            <v>31.03.2025</v>
          </cell>
          <cell r="O539">
            <v>29.42</v>
          </cell>
          <cell r="P539">
            <v>218</v>
          </cell>
        </row>
        <row r="540">
          <cell r="B540" t="str">
            <v>DU0710000115</v>
          </cell>
          <cell r="C540" t="str">
            <v>DU07</v>
          </cell>
          <cell r="D540" t="str">
            <v>D063</v>
          </cell>
          <cell r="E540">
            <v>10000115</v>
          </cell>
          <cell r="F540" t="str">
            <v>Grava Triturada Caliza 10 mm -3/8" -Esp</v>
          </cell>
          <cell r="G540">
            <v>188.58</v>
          </cell>
          <cell r="H540" t="str">
            <v>MXN</v>
          </cell>
          <cell r="I540">
            <v>1</v>
          </cell>
          <cell r="J540" t="str">
            <v>TN</v>
          </cell>
          <cell r="K540" t="str">
            <v>C</v>
          </cell>
          <cell r="M540" t="str">
            <v>01.01.2025</v>
          </cell>
          <cell r="N540" t="str">
            <v>31.03.2025</v>
          </cell>
          <cell r="O540">
            <v>156.41999999999999</v>
          </cell>
          <cell r="P540">
            <v>345</v>
          </cell>
        </row>
        <row r="541">
          <cell r="B541" t="str">
            <v>DU0710251742</v>
          </cell>
          <cell r="C541" t="str">
            <v>DU07</v>
          </cell>
          <cell r="D541" t="str">
            <v>D063</v>
          </cell>
          <cell r="E541">
            <v>10251742</v>
          </cell>
          <cell r="F541" t="str">
            <v>ARENA TRITURADA CALIZA 10MM -3/8"-CMX</v>
          </cell>
          <cell r="G541">
            <v>192.51</v>
          </cell>
          <cell r="H541" t="str">
            <v>MXN</v>
          </cell>
          <cell r="I541">
            <v>1</v>
          </cell>
          <cell r="J541" t="str">
            <v>TN</v>
          </cell>
          <cell r="K541" t="str">
            <v>C</v>
          </cell>
          <cell r="M541" t="str">
            <v>01.01.2025</v>
          </cell>
          <cell r="N541" t="str">
            <v>31.03.2025</v>
          </cell>
          <cell r="O541">
            <v>117.63</v>
          </cell>
          <cell r="P541">
            <v>310.14</v>
          </cell>
        </row>
        <row r="542">
          <cell r="B542" t="str">
            <v>DU0710264038</v>
          </cell>
          <cell r="C542" t="str">
            <v>DU07</v>
          </cell>
          <cell r="D542" t="str">
            <v>D063</v>
          </cell>
          <cell r="E542">
            <v>10264038</v>
          </cell>
          <cell r="F542" t="str">
            <v>MOV ARENA TRITURADA CALIZA MALLA 4</v>
          </cell>
          <cell r="G542">
            <v>192.51</v>
          </cell>
          <cell r="H542" t="str">
            <v>MXN</v>
          </cell>
          <cell r="I542">
            <v>1</v>
          </cell>
          <cell r="J542" t="str">
            <v>TN</v>
          </cell>
          <cell r="K542" t="str">
            <v>C</v>
          </cell>
          <cell r="M542" t="str">
            <v>11.03.2025</v>
          </cell>
          <cell r="N542" t="str">
            <v>31.03.2025</v>
          </cell>
          <cell r="O542">
            <v>117.59</v>
          </cell>
          <cell r="P542">
            <v>310.10000000000002</v>
          </cell>
        </row>
        <row r="543">
          <cell r="B543" t="str">
            <v>DU0710264039</v>
          </cell>
          <cell r="C543" t="str">
            <v>DU07</v>
          </cell>
          <cell r="D543" t="str">
            <v>D063</v>
          </cell>
          <cell r="E543">
            <v>10264039</v>
          </cell>
          <cell r="F543" t="str">
            <v>MOV GRAVA TRITURADA CALIZA 20MM 3/4 INTE</v>
          </cell>
          <cell r="G543">
            <v>188.58</v>
          </cell>
          <cell r="H543" t="str">
            <v>MXN</v>
          </cell>
          <cell r="I543">
            <v>1</v>
          </cell>
          <cell r="J543" t="str">
            <v>TN</v>
          </cell>
          <cell r="K543" t="str">
            <v>C</v>
          </cell>
          <cell r="M543" t="str">
            <v>11.03.2025</v>
          </cell>
          <cell r="N543" t="str">
            <v>31.03.2025</v>
          </cell>
          <cell r="O543">
            <v>78.099999999999994</v>
          </cell>
          <cell r="P543">
            <v>266.68</v>
          </cell>
        </row>
        <row r="544">
          <cell r="B544" t="str">
            <v>DU0710000101</v>
          </cell>
          <cell r="C544" t="str">
            <v>DU07</v>
          </cell>
          <cell r="D544" t="str">
            <v>D112</v>
          </cell>
          <cell r="E544">
            <v>10000101</v>
          </cell>
          <cell r="F544" t="str">
            <v>Arena Triturada Caliza Malla 4 -Especial</v>
          </cell>
          <cell r="G544">
            <v>192.51</v>
          </cell>
          <cell r="H544" t="str">
            <v>MXN</v>
          </cell>
          <cell r="I544">
            <v>1</v>
          </cell>
          <cell r="J544" t="str">
            <v>TN</v>
          </cell>
          <cell r="K544" t="str">
            <v>C</v>
          </cell>
          <cell r="M544" t="str">
            <v>01.01.2025</v>
          </cell>
          <cell r="N544" t="str">
            <v>31.03.2025</v>
          </cell>
          <cell r="O544">
            <v>117.59</v>
          </cell>
          <cell r="P544">
            <v>310.10000000000002</v>
          </cell>
        </row>
        <row r="545">
          <cell r="B545" t="str">
            <v>DU0710000110</v>
          </cell>
          <cell r="C545" t="str">
            <v>DU07</v>
          </cell>
          <cell r="D545" t="str">
            <v>D112</v>
          </cell>
          <cell r="E545">
            <v>10000110</v>
          </cell>
          <cell r="F545" t="str">
            <v>GRAVA TRITURADA CALIZA 20 MM “3/4"–INTEG</v>
          </cell>
          <cell r="G545">
            <v>188.58</v>
          </cell>
          <cell r="H545" t="str">
            <v>MXN</v>
          </cell>
          <cell r="I545">
            <v>1</v>
          </cell>
          <cell r="J545" t="str">
            <v>TN</v>
          </cell>
          <cell r="K545" t="str">
            <v>C</v>
          </cell>
          <cell r="M545" t="str">
            <v>01.01.2025</v>
          </cell>
          <cell r="N545" t="str">
            <v>31.03.2025</v>
          </cell>
          <cell r="O545">
            <v>78.099999999999994</v>
          </cell>
          <cell r="P545">
            <v>266.68</v>
          </cell>
        </row>
        <row r="546">
          <cell r="B546" t="str">
            <v>DU0710000111</v>
          </cell>
          <cell r="C546" t="str">
            <v>DU07</v>
          </cell>
          <cell r="D546" t="str">
            <v>D112</v>
          </cell>
          <cell r="E546">
            <v>10000111</v>
          </cell>
          <cell r="F546" t="str">
            <v>Grava Triturada Caliza 40mm -1 1/2" -Esp</v>
          </cell>
          <cell r="G546">
            <v>188.58</v>
          </cell>
          <cell r="H546" t="str">
            <v>MXN</v>
          </cell>
          <cell r="I546">
            <v>1</v>
          </cell>
          <cell r="J546" t="str">
            <v>TN</v>
          </cell>
          <cell r="K546" t="str">
            <v>C</v>
          </cell>
          <cell r="M546" t="str">
            <v>01.01.2025</v>
          </cell>
          <cell r="N546" t="str">
            <v>31.03.2025</v>
          </cell>
          <cell r="O546" t="str">
            <v>47.40-</v>
          </cell>
          <cell r="P546" t="e">
            <v>#VALUE!</v>
          </cell>
        </row>
        <row r="547">
          <cell r="B547" t="str">
            <v>DU0710000112</v>
          </cell>
          <cell r="C547" t="str">
            <v>DU07</v>
          </cell>
          <cell r="D547" t="str">
            <v>D112</v>
          </cell>
          <cell r="E547">
            <v>10000112</v>
          </cell>
          <cell r="F547" t="str">
            <v>Grava Triturada Caliza 13 mm -1/2" -Esp</v>
          </cell>
          <cell r="G547">
            <v>188.58</v>
          </cell>
          <cell r="H547" t="str">
            <v>MXN</v>
          </cell>
          <cell r="I547">
            <v>1</v>
          </cell>
          <cell r="J547" t="str">
            <v>TN</v>
          </cell>
          <cell r="K547" t="str">
            <v>C</v>
          </cell>
          <cell r="M547" t="str">
            <v>01.01.2025</v>
          </cell>
          <cell r="N547" t="str">
            <v>31.03.2025</v>
          </cell>
          <cell r="O547">
            <v>29.42</v>
          </cell>
          <cell r="P547">
            <v>218</v>
          </cell>
        </row>
        <row r="548">
          <cell r="B548" t="str">
            <v>DU0710000115</v>
          </cell>
          <cell r="C548" t="str">
            <v>DU07</v>
          </cell>
          <cell r="D548" t="str">
            <v>D112</v>
          </cell>
          <cell r="E548">
            <v>10000115</v>
          </cell>
          <cell r="F548" t="str">
            <v>Grava Triturada Caliza 10 mm -3/8" -Esp</v>
          </cell>
          <cell r="G548">
            <v>188.58</v>
          </cell>
          <cell r="H548" t="str">
            <v>MXN</v>
          </cell>
          <cell r="I548">
            <v>1</v>
          </cell>
          <cell r="J548" t="str">
            <v>TN</v>
          </cell>
          <cell r="K548" t="str">
            <v>C</v>
          </cell>
          <cell r="M548" t="str">
            <v>01.01.2025</v>
          </cell>
          <cell r="N548" t="str">
            <v>31.03.2025</v>
          </cell>
          <cell r="O548">
            <v>156.41999999999999</v>
          </cell>
          <cell r="P548">
            <v>345</v>
          </cell>
        </row>
        <row r="549">
          <cell r="B549" t="str">
            <v>DU0710251742</v>
          </cell>
          <cell r="C549" t="str">
            <v>DU07</v>
          </cell>
          <cell r="D549" t="str">
            <v>D112</v>
          </cell>
          <cell r="E549">
            <v>10251742</v>
          </cell>
          <cell r="F549" t="str">
            <v>ARENA TRITURADA CALIZA 10MM -3/8"-CMX</v>
          </cell>
          <cell r="G549">
            <v>192.51</v>
          </cell>
          <cell r="H549" t="str">
            <v>MXN</v>
          </cell>
          <cell r="I549">
            <v>1</v>
          </cell>
          <cell r="J549" t="str">
            <v>TN</v>
          </cell>
          <cell r="K549" t="str">
            <v>C</v>
          </cell>
          <cell r="M549" t="str">
            <v>01.01.2025</v>
          </cell>
          <cell r="N549" t="str">
            <v>31.03.2025</v>
          </cell>
          <cell r="O549">
            <v>117.63</v>
          </cell>
          <cell r="P549">
            <v>310.14</v>
          </cell>
        </row>
        <row r="550">
          <cell r="B550" t="str">
            <v>DU0710264038</v>
          </cell>
          <cell r="C550" t="str">
            <v>DU07</v>
          </cell>
          <cell r="D550" t="str">
            <v>D112</v>
          </cell>
          <cell r="E550">
            <v>10264038</v>
          </cell>
          <cell r="F550" t="str">
            <v>MOV ARENA TRITURADA CALIZA MALLA 4</v>
          </cell>
          <cell r="G550">
            <v>192.51</v>
          </cell>
          <cell r="H550" t="str">
            <v>MXN</v>
          </cell>
          <cell r="I550">
            <v>1</v>
          </cell>
          <cell r="J550" t="str">
            <v>TN</v>
          </cell>
          <cell r="K550" t="str">
            <v>C</v>
          </cell>
          <cell r="M550" t="str">
            <v>11.03.2025</v>
          </cell>
          <cell r="N550" t="str">
            <v>31.03.2025</v>
          </cell>
          <cell r="O550">
            <v>117.59</v>
          </cell>
          <cell r="P550">
            <v>310.10000000000002</v>
          </cell>
        </row>
        <row r="551">
          <cell r="B551" t="str">
            <v>DU0710264039</v>
          </cell>
          <cell r="C551" t="str">
            <v>DU07</v>
          </cell>
          <cell r="D551" t="str">
            <v>D112</v>
          </cell>
          <cell r="E551">
            <v>10264039</v>
          </cell>
          <cell r="F551" t="str">
            <v>MOV GRAVA TRITURADA CALIZA 20MM 3/4 INTE</v>
          </cell>
          <cell r="G551">
            <v>188.58</v>
          </cell>
          <cell r="H551" t="str">
            <v>MXN</v>
          </cell>
          <cell r="I551">
            <v>1</v>
          </cell>
          <cell r="J551" t="str">
            <v>TN</v>
          </cell>
          <cell r="K551" t="str">
            <v>C</v>
          </cell>
          <cell r="M551" t="str">
            <v>11.03.2025</v>
          </cell>
          <cell r="N551" t="str">
            <v>31.03.2025</v>
          </cell>
          <cell r="O551">
            <v>78.099999999999994</v>
          </cell>
          <cell r="P551">
            <v>266.68</v>
          </cell>
        </row>
        <row r="552">
          <cell r="B552" t="str">
            <v>DU0710000101</v>
          </cell>
          <cell r="C552" t="str">
            <v>DU07</v>
          </cell>
          <cell r="D552" t="str">
            <v>D278</v>
          </cell>
          <cell r="E552">
            <v>10000101</v>
          </cell>
          <cell r="F552" t="str">
            <v>Arena Triturada Caliza Malla 4 -Especial</v>
          </cell>
          <cell r="G552">
            <v>192.51</v>
          </cell>
          <cell r="H552" t="str">
            <v>MXN</v>
          </cell>
          <cell r="I552">
            <v>1</v>
          </cell>
          <cell r="J552" t="str">
            <v>TN</v>
          </cell>
          <cell r="K552" t="str">
            <v>C</v>
          </cell>
          <cell r="M552" t="str">
            <v>01.01.2025</v>
          </cell>
          <cell r="N552" t="str">
            <v>31.03.2025</v>
          </cell>
          <cell r="O552">
            <v>117.59</v>
          </cell>
          <cell r="P552">
            <v>310.10000000000002</v>
          </cell>
        </row>
        <row r="553">
          <cell r="B553" t="str">
            <v>DU0710000110</v>
          </cell>
          <cell r="C553" t="str">
            <v>DU07</v>
          </cell>
          <cell r="D553" t="str">
            <v>D278</v>
          </cell>
          <cell r="E553">
            <v>10000110</v>
          </cell>
          <cell r="F553" t="str">
            <v>GRAVA TRITURADA CALIZA 20 MM “3/4"–INTEG</v>
          </cell>
          <cell r="G553">
            <v>188.58</v>
          </cell>
          <cell r="H553" t="str">
            <v>MXN</v>
          </cell>
          <cell r="I553">
            <v>1</v>
          </cell>
          <cell r="J553" t="str">
            <v>TN</v>
          </cell>
          <cell r="K553" t="str">
            <v>C</v>
          </cell>
          <cell r="M553" t="str">
            <v>01.01.2025</v>
          </cell>
          <cell r="N553" t="str">
            <v>31.03.2025</v>
          </cell>
          <cell r="O553">
            <v>78.099999999999994</v>
          </cell>
          <cell r="P553">
            <v>266.68</v>
          </cell>
        </row>
        <row r="554">
          <cell r="B554" t="str">
            <v>DU0710000111</v>
          </cell>
          <cell r="C554" t="str">
            <v>DU07</v>
          </cell>
          <cell r="D554" t="str">
            <v>D278</v>
          </cell>
          <cell r="E554">
            <v>10000111</v>
          </cell>
          <cell r="F554" t="str">
            <v>Grava Triturada Caliza 40mm -1 1/2" -Esp</v>
          </cell>
          <cell r="G554">
            <v>188.58</v>
          </cell>
          <cell r="H554" t="str">
            <v>MXN</v>
          </cell>
          <cell r="I554">
            <v>1</v>
          </cell>
          <cell r="J554" t="str">
            <v>TN</v>
          </cell>
          <cell r="K554" t="str">
            <v>C</v>
          </cell>
          <cell r="M554" t="str">
            <v>01.01.2025</v>
          </cell>
          <cell r="N554" t="str">
            <v>31.03.2025</v>
          </cell>
          <cell r="O554" t="str">
            <v>47.40-</v>
          </cell>
          <cell r="P554" t="e">
            <v>#VALUE!</v>
          </cell>
        </row>
        <row r="555">
          <cell r="B555" t="str">
            <v>DU0710000112</v>
          </cell>
          <cell r="C555" t="str">
            <v>DU07</v>
          </cell>
          <cell r="D555" t="str">
            <v>D278</v>
          </cell>
          <cell r="E555">
            <v>10000112</v>
          </cell>
          <cell r="F555" t="str">
            <v>Grava Triturada Caliza 13 mm -1/2" -Esp</v>
          </cell>
          <cell r="G555">
            <v>188.58</v>
          </cell>
          <cell r="H555" t="str">
            <v>MXN</v>
          </cell>
          <cell r="I555">
            <v>1</v>
          </cell>
          <cell r="J555" t="str">
            <v>TN</v>
          </cell>
          <cell r="K555" t="str">
            <v>C</v>
          </cell>
          <cell r="M555" t="str">
            <v>01.01.2025</v>
          </cell>
          <cell r="N555" t="str">
            <v>31.03.2025</v>
          </cell>
          <cell r="O555">
            <v>29.42</v>
          </cell>
          <cell r="P555">
            <v>218</v>
          </cell>
        </row>
        <row r="556">
          <cell r="B556" t="str">
            <v>DU0710000115</v>
          </cell>
          <cell r="C556" t="str">
            <v>DU07</v>
          </cell>
          <cell r="D556" t="str">
            <v>D278</v>
          </cell>
          <cell r="E556">
            <v>10000115</v>
          </cell>
          <cell r="F556" t="str">
            <v>Grava Triturada Caliza 10 mm -3/8" -Esp</v>
          </cell>
          <cell r="G556">
            <v>188.58</v>
          </cell>
          <cell r="H556" t="str">
            <v>MXN</v>
          </cell>
          <cell r="I556">
            <v>1</v>
          </cell>
          <cell r="J556" t="str">
            <v>TN</v>
          </cell>
          <cell r="K556" t="str">
            <v>C</v>
          </cell>
          <cell r="M556" t="str">
            <v>01.01.2025</v>
          </cell>
          <cell r="N556" t="str">
            <v>31.03.2025</v>
          </cell>
          <cell r="O556">
            <v>156.41999999999999</v>
          </cell>
          <cell r="P556">
            <v>345</v>
          </cell>
        </row>
        <row r="557">
          <cell r="B557" t="str">
            <v>DU0710251742</v>
          </cell>
          <cell r="C557" t="str">
            <v>DU07</v>
          </cell>
          <cell r="D557" t="str">
            <v>D278</v>
          </cell>
          <cell r="E557">
            <v>10251742</v>
          </cell>
          <cell r="F557" t="str">
            <v>ARENA TRITURADA CALIZA 10MM -3/8"-CMX</v>
          </cell>
          <cell r="G557">
            <v>192.51</v>
          </cell>
          <cell r="H557" t="str">
            <v>MXN</v>
          </cell>
          <cell r="I557">
            <v>1</v>
          </cell>
          <cell r="J557" t="str">
            <v>TN</v>
          </cell>
          <cell r="K557" t="str">
            <v>C</v>
          </cell>
          <cell r="M557" t="str">
            <v>01.01.2025</v>
          </cell>
          <cell r="N557" t="str">
            <v>31.03.2025</v>
          </cell>
          <cell r="O557">
            <v>117.63</v>
          </cell>
          <cell r="P557">
            <v>310.14</v>
          </cell>
        </row>
        <row r="558">
          <cell r="B558" t="str">
            <v>DU0710264038</v>
          </cell>
          <cell r="C558" t="str">
            <v>DU07</v>
          </cell>
          <cell r="D558" t="str">
            <v>D278</v>
          </cell>
          <cell r="E558">
            <v>10264038</v>
          </cell>
          <cell r="F558" t="str">
            <v>MOV ARENA TRITURADA CALIZA MALLA 4</v>
          </cell>
          <cell r="G558">
            <v>192.51</v>
          </cell>
          <cell r="H558" t="str">
            <v>MXN</v>
          </cell>
          <cell r="I558">
            <v>1</v>
          </cell>
          <cell r="J558" t="str">
            <v>TN</v>
          </cell>
          <cell r="K558" t="str">
            <v>C</v>
          </cell>
          <cell r="M558" t="str">
            <v>11.03.2025</v>
          </cell>
          <cell r="N558" t="str">
            <v>31.03.2025</v>
          </cell>
          <cell r="O558">
            <v>117.59</v>
          </cell>
          <cell r="P558">
            <v>310.10000000000002</v>
          </cell>
        </row>
        <row r="559">
          <cell r="B559" t="str">
            <v>DU0710264039</v>
          </cell>
          <cell r="C559" t="str">
            <v>DU07</v>
          </cell>
          <cell r="D559" t="str">
            <v>D278</v>
          </cell>
          <cell r="E559">
            <v>10264039</v>
          </cell>
          <cell r="F559" t="str">
            <v>MOV GRAVA TRITURADA CALIZA 20MM 3/4 INTE</v>
          </cell>
          <cell r="G559">
            <v>188.58</v>
          </cell>
          <cell r="H559" t="str">
            <v>MXN</v>
          </cell>
          <cell r="I559">
            <v>1</v>
          </cell>
          <cell r="J559" t="str">
            <v>TN</v>
          </cell>
          <cell r="K559" t="str">
            <v>C</v>
          </cell>
          <cell r="M559" t="str">
            <v>11.03.2025</v>
          </cell>
          <cell r="N559" t="str">
            <v>31.03.2025</v>
          </cell>
          <cell r="O559">
            <v>78.099999999999994</v>
          </cell>
          <cell r="P559">
            <v>266.68</v>
          </cell>
        </row>
        <row r="560">
          <cell r="B560" t="str">
            <v>DU0710000101</v>
          </cell>
          <cell r="C560" t="str">
            <v>DU07</v>
          </cell>
          <cell r="D560" t="str">
            <v>D285</v>
          </cell>
          <cell r="E560">
            <v>10000101</v>
          </cell>
          <cell r="F560" t="str">
            <v>Arena Triturada Caliza Malla 4 -Especial</v>
          </cell>
          <cell r="G560">
            <v>192.51</v>
          </cell>
          <cell r="H560" t="str">
            <v>MXN</v>
          </cell>
          <cell r="I560">
            <v>1</v>
          </cell>
          <cell r="J560" t="str">
            <v>TN</v>
          </cell>
          <cell r="K560" t="str">
            <v>C</v>
          </cell>
          <cell r="M560" t="str">
            <v>01.01.2025</v>
          </cell>
          <cell r="N560" t="str">
            <v>31.03.2025</v>
          </cell>
          <cell r="O560">
            <v>117.59</v>
          </cell>
          <cell r="P560">
            <v>310.10000000000002</v>
          </cell>
        </row>
        <row r="561">
          <cell r="B561" t="str">
            <v>DU0710000110</v>
          </cell>
          <cell r="C561" t="str">
            <v>DU07</v>
          </cell>
          <cell r="D561" t="str">
            <v>D285</v>
          </cell>
          <cell r="E561">
            <v>10000110</v>
          </cell>
          <cell r="F561" t="str">
            <v>GRAVA TRITURADA CALIZA 20 MM “3/4"–INTEG</v>
          </cell>
          <cell r="G561">
            <v>188.58</v>
          </cell>
          <cell r="H561" t="str">
            <v>MXN</v>
          </cell>
          <cell r="I561">
            <v>1</v>
          </cell>
          <cell r="J561" t="str">
            <v>TN</v>
          </cell>
          <cell r="K561" t="str">
            <v>C</v>
          </cell>
          <cell r="M561" t="str">
            <v>01.01.2025</v>
          </cell>
          <cell r="N561" t="str">
            <v>31.03.2025</v>
          </cell>
          <cell r="O561">
            <v>78.099999999999994</v>
          </cell>
          <cell r="P561">
            <v>266.68</v>
          </cell>
        </row>
        <row r="562">
          <cell r="B562" t="str">
            <v>DU0710000112</v>
          </cell>
          <cell r="C562" t="str">
            <v>DU07</v>
          </cell>
          <cell r="D562" t="str">
            <v>D285</v>
          </cell>
          <cell r="E562">
            <v>10000112</v>
          </cell>
          <cell r="F562" t="str">
            <v>Grava Triturada Caliza 13 mm -1/2" -Esp</v>
          </cell>
          <cell r="G562">
            <v>188.58</v>
          </cell>
          <cell r="H562" t="str">
            <v>MXN</v>
          </cell>
          <cell r="I562">
            <v>1</v>
          </cell>
          <cell r="J562" t="str">
            <v>TN</v>
          </cell>
          <cell r="K562" t="str">
            <v>C</v>
          </cell>
          <cell r="M562" t="str">
            <v>01.01.2025</v>
          </cell>
          <cell r="N562" t="str">
            <v>31.03.2025</v>
          </cell>
          <cell r="O562">
            <v>29.42</v>
          </cell>
          <cell r="P562">
            <v>218</v>
          </cell>
        </row>
        <row r="563">
          <cell r="B563" t="str">
            <v>DU0710000115</v>
          </cell>
          <cell r="C563" t="str">
            <v>DU07</v>
          </cell>
          <cell r="D563" t="str">
            <v>D285</v>
          </cell>
          <cell r="E563">
            <v>10000115</v>
          </cell>
          <cell r="F563" t="str">
            <v>Grava Triturada Caliza 10 mm -3/8" -Esp</v>
          </cell>
          <cell r="G563">
            <v>188.58</v>
          </cell>
          <cell r="H563" t="str">
            <v>MXN</v>
          </cell>
          <cell r="I563">
            <v>1</v>
          </cell>
          <cell r="J563" t="str">
            <v>TN</v>
          </cell>
          <cell r="K563" t="str">
            <v>C</v>
          </cell>
          <cell r="M563" t="str">
            <v>01.01.2025</v>
          </cell>
          <cell r="N563" t="str">
            <v>31.03.2025</v>
          </cell>
          <cell r="O563">
            <v>156.41999999999999</v>
          </cell>
          <cell r="P563">
            <v>345</v>
          </cell>
        </row>
        <row r="564">
          <cell r="B564" t="str">
            <v>DU0710251742</v>
          </cell>
          <cell r="C564" t="str">
            <v>DU07</v>
          </cell>
          <cell r="D564" t="str">
            <v>D285</v>
          </cell>
          <cell r="E564">
            <v>10251742</v>
          </cell>
          <cell r="F564" t="str">
            <v>ARENA TRITURADA CALIZA 10MM -3/8"-CMX</v>
          </cell>
          <cell r="G564">
            <v>192.51</v>
          </cell>
          <cell r="H564" t="str">
            <v>MXN</v>
          </cell>
          <cell r="I564">
            <v>1</v>
          </cell>
          <cell r="J564" t="str">
            <v>TN</v>
          </cell>
          <cell r="K564" t="str">
            <v>C</v>
          </cell>
          <cell r="M564" t="str">
            <v>01.01.2025</v>
          </cell>
          <cell r="N564" t="str">
            <v>31.03.2025</v>
          </cell>
          <cell r="O564">
            <v>117.63</v>
          </cell>
          <cell r="P564">
            <v>310.14</v>
          </cell>
        </row>
        <row r="565">
          <cell r="B565" t="str">
            <v>DU0710264038</v>
          </cell>
          <cell r="C565" t="str">
            <v>DU07</v>
          </cell>
          <cell r="D565" t="str">
            <v>D285</v>
          </cell>
          <cell r="E565">
            <v>10264038</v>
          </cell>
          <cell r="F565" t="str">
            <v>MOV ARENA TRITURADA CALIZA MALLA 4</v>
          </cell>
          <cell r="G565">
            <v>192.51</v>
          </cell>
          <cell r="H565" t="str">
            <v>MXN</v>
          </cell>
          <cell r="I565">
            <v>1</v>
          </cell>
          <cell r="J565" t="str">
            <v>TN</v>
          </cell>
          <cell r="K565" t="str">
            <v>C</v>
          </cell>
          <cell r="M565" t="str">
            <v>11.03.2025</v>
          </cell>
          <cell r="N565" t="str">
            <v>31.03.2025</v>
          </cell>
          <cell r="O565">
            <v>117.59</v>
          </cell>
          <cell r="P565">
            <v>310.10000000000002</v>
          </cell>
        </row>
        <row r="566">
          <cell r="B566" t="str">
            <v>DU0710264039</v>
          </cell>
          <cell r="C566" t="str">
            <v>DU07</v>
          </cell>
          <cell r="D566" t="str">
            <v>D285</v>
          </cell>
          <cell r="E566">
            <v>10264039</v>
          </cell>
          <cell r="F566" t="str">
            <v>MOV GRAVA TRITURADA CALIZA 20MM 3/4 INTE</v>
          </cell>
          <cell r="G566">
            <v>188.58</v>
          </cell>
          <cell r="H566" t="str">
            <v>MXN</v>
          </cell>
          <cell r="I566">
            <v>1</v>
          </cell>
          <cell r="J566" t="str">
            <v>TN</v>
          </cell>
          <cell r="K566" t="str">
            <v>C</v>
          </cell>
          <cell r="M566" t="str">
            <v>11.03.2025</v>
          </cell>
          <cell r="N566" t="str">
            <v>31.03.2025</v>
          </cell>
          <cell r="O566">
            <v>78.099999999999994</v>
          </cell>
          <cell r="P566">
            <v>266.68</v>
          </cell>
        </row>
        <row r="567">
          <cell r="B567" t="str">
            <v>DU0710000101</v>
          </cell>
          <cell r="C567" t="str">
            <v>DU07</v>
          </cell>
          <cell r="D567" t="str">
            <v>D297</v>
          </cell>
          <cell r="E567">
            <v>10000101</v>
          </cell>
          <cell r="F567" t="str">
            <v>Arena Triturada Caliza Malla 4 -Especial</v>
          </cell>
          <cell r="G567">
            <v>192.51</v>
          </cell>
          <cell r="H567" t="str">
            <v>MXN</v>
          </cell>
          <cell r="I567">
            <v>1</v>
          </cell>
          <cell r="J567" t="str">
            <v>TN</v>
          </cell>
          <cell r="K567" t="str">
            <v>C</v>
          </cell>
          <cell r="M567" t="str">
            <v>01.01.2025</v>
          </cell>
          <cell r="N567" t="str">
            <v>31.03.2025</v>
          </cell>
          <cell r="O567">
            <v>117.59</v>
          </cell>
          <cell r="P567">
            <v>310.10000000000002</v>
          </cell>
        </row>
        <row r="568">
          <cell r="B568" t="str">
            <v>DU0710000110</v>
          </cell>
          <cell r="C568" t="str">
            <v>DU07</v>
          </cell>
          <cell r="D568" t="str">
            <v>D297</v>
          </cell>
          <cell r="E568">
            <v>10000110</v>
          </cell>
          <cell r="F568" t="str">
            <v>GRAVA TRITURADA CALIZA 20 MM “3/4"–INTEG</v>
          </cell>
          <cell r="G568">
            <v>188.58</v>
          </cell>
          <cell r="H568" t="str">
            <v>MXN</v>
          </cell>
          <cell r="I568">
            <v>1</v>
          </cell>
          <cell r="J568" t="str">
            <v>TN</v>
          </cell>
          <cell r="K568" t="str">
            <v>C</v>
          </cell>
          <cell r="M568" t="str">
            <v>01.01.2025</v>
          </cell>
          <cell r="N568" t="str">
            <v>31.03.2025</v>
          </cell>
          <cell r="O568">
            <v>78.099999999999994</v>
          </cell>
          <cell r="P568">
            <v>266.68</v>
          </cell>
        </row>
        <row r="569">
          <cell r="B569" t="str">
            <v>DU0710000112</v>
          </cell>
          <cell r="C569" t="str">
            <v>DU07</v>
          </cell>
          <cell r="D569" t="str">
            <v>D297</v>
          </cell>
          <cell r="E569">
            <v>10000112</v>
          </cell>
          <cell r="F569" t="str">
            <v>Grava Triturada Caliza 13 mm -1/2" -Esp</v>
          </cell>
          <cell r="G569">
            <v>188.58</v>
          </cell>
          <cell r="H569" t="str">
            <v>MXN</v>
          </cell>
          <cell r="I569">
            <v>1</v>
          </cell>
          <cell r="J569" t="str">
            <v>TN</v>
          </cell>
          <cell r="K569" t="str">
            <v>C</v>
          </cell>
          <cell r="M569" t="str">
            <v>01.01.2025</v>
          </cell>
          <cell r="N569" t="str">
            <v>31.03.2025</v>
          </cell>
          <cell r="O569">
            <v>29.42</v>
          </cell>
          <cell r="P569">
            <v>218</v>
          </cell>
        </row>
        <row r="570">
          <cell r="B570" t="str">
            <v>DU0710000115</v>
          </cell>
          <cell r="C570" t="str">
            <v>DU07</v>
          </cell>
          <cell r="D570" t="str">
            <v>D297</v>
          </cell>
          <cell r="E570">
            <v>10000115</v>
          </cell>
          <cell r="F570" t="str">
            <v>Grava Triturada Caliza 10 mm -3/8" -Esp</v>
          </cell>
          <cell r="G570">
            <v>188.58</v>
          </cell>
          <cell r="H570" t="str">
            <v>MXN</v>
          </cell>
          <cell r="I570">
            <v>1</v>
          </cell>
          <cell r="J570" t="str">
            <v>TN</v>
          </cell>
          <cell r="K570" t="str">
            <v>C</v>
          </cell>
          <cell r="M570" t="str">
            <v>01.01.2025</v>
          </cell>
          <cell r="N570" t="str">
            <v>31.03.2025</v>
          </cell>
          <cell r="O570">
            <v>156.41999999999999</v>
          </cell>
          <cell r="P570">
            <v>345</v>
          </cell>
        </row>
        <row r="571">
          <cell r="B571" t="str">
            <v>DU0710251742</v>
          </cell>
          <cell r="C571" t="str">
            <v>DU07</v>
          </cell>
          <cell r="D571" t="str">
            <v>D297</v>
          </cell>
          <cell r="E571">
            <v>10251742</v>
          </cell>
          <cell r="F571" t="str">
            <v>ARENA TRITURADA CALIZA 10MM -3/8"-CMX</v>
          </cell>
          <cell r="G571">
            <v>192.51</v>
          </cell>
          <cell r="H571" t="str">
            <v>MXN</v>
          </cell>
          <cell r="I571">
            <v>1</v>
          </cell>
          <cell r="J571" t="str">
            <v>TN</v>
          </cell>
          <cell r="K571" t="str">
            <v>C</v>
          </cell>
          <cell r="M571" t="str">
            <v>01.01.2025</v>
          </cell>
          <cell r="N571" t="str">
            <v>31.03.2025</v>
          </cell>
          <cell r="O571">
            <v>117.63</v>
          </cell>
          <cell r="P571">
            <v>310.14</v>
          </cell>
        </row>
        <row r="572">
          <cell r="B572" t="str">
            <v>DU0710264038</v>
          </cell>
          <cell r="C572" t="str">
            <v>DU07</v>
          </cell>
          <cell r="D572" t="str">
            <v>D297</v>
          </cell>
          <cell r="E572">
            <v>10264038</v>
          </cell>
          <cell r="F572" t="str">
            <v>MOV ARENA TRITURADA CALIZA MALLA 4</v>
          </cell>
          <cell r="G572">
            <v>192.51</v>
          </cell>
          <cell r="H572" t="str">
            <v>MXN</v>
          </cell>
          <cell r="I572">
            <v>1</v>
          </cell>
          <cell r="J572" t="str">
            <v>TN</v>
          </cell>
          <cell r="K572" t="str">
            <v>C</v>
          </cell>
          <cell r="M572" t="str">
            <v>11.03.2025</v>
          </cell>
          <cell r="N572" t="str">
            <v>31.03.2025</v>
          </cell>
          <cell r="O572">
            <v>117.59</v>
          </cell>
          <cell r="P572">
            <v>310.10000000000002</v>
          </cell>
        </row>
        <row r="573">
          <cell r="B573" t="str">
            <v>DU0710264039</v>
          </cell>
          <cell r="C573" t="str">
            <v>DU07</v>
          </cell>
          <cell r="D573" t="str">
            <v>D297</v>
          </cell>
          <cell r="E573">
            <v>10264039</v>
          </cell>
          <cell r="F573" t="str">
            <v>MOV GRAVA TRITURADA CALIZA 20MM 3/4 INTE</v>
          </cell>
          <cell r="G573">
            <v>188.58</v>
          </cell>
          <cell r="H573" t="str">
            <v>MXN</v>
          </cell>
          <cell r="I573">
            <v>1</v>
          </cell>
          <cell r="J573" t="str">
            <v>TN</v>
          </cell>
          <cell r="K573" t="str">
            <v>C</v>
          </cell>
          <cell r="M573" t="str">
            <v>11.03.2025</v>
          </cell>
          <cell r="N573" t="str">
            <v>31.03.2025</v>
          </cell>
          <cell r="O573">
            <v>78.099999999999994</v>
          </cell>
          <cell r="P573">
            <v>266.68</v>
          </cell>
        </row>
        <row r="574">
          <cell r="B574" t="str">
            <v>DU0710000101</v>
          </cell>
          <cell r="C574" t="str">
            <v>DU07</v>
          </cell>
          <cell r="D574" t="str">
            <v>D306</v>
          </cell>
          <cell r="E574">
            <v>10000101</v>
          </cell>
          <cell r="F574" t="str">
            <v>Arena Triturada Caliza Malla 4 -Especial</v>
          </cell>
          <cell r="G574">
            <v>192.51</v>
          </cell>
          <cell r="H574" t="str">
            <v>MXN</v>
          </cell>
          <cell r="I574">
            <v>1</v>
          </cell>
          <cell r="J574" t="str">
            <v>TN</v>
          </cell>
          <cell r="K574" t="str">
            <v>C</v>
          </cell>
          <cell r="M574" t="str">
            <v>01.01.2025</v>
          </cell>
          <cell r="N574" t="str">
            <v>31.03.2025</v>
          </cell>
          <cell r="O574">
            <v>117.59</v>
          </cell>
          <cell r="P574">
            <v>310.10000000000002</v>
          </cell>
        </row>
        <row r="575">
          <cell r="B575" t="str">
            <v>DU0710000110</v>
          </cell>
          <cell r="C575" t="str">
            <v>DU07</v>
          </cell>
          <cell r="D575" t="str">
            <v>D306</v>
          </cell>
          <cell r="E575">
            <v>10000110</v>
          </cell>
          <cell r="F575" t="str">
            <v>GRAVA TRITURADA CALIZA 20 MM “3/4"–INTEG</v>
          </cell>
          <cell r="G575">
            <v>188.58</v>
          </cell>
          <cell r="H575" t="str">
            <v>MXN</v>
          </cell>
          <cell r="I575">
            <v>1</v>
          </cell>
          <cell r="J575" t="str">
            <v>TN</v>
          </cell>
          <cell r="K575" t="str">
            <v>C</v>
          </cell>
          <cell r="M575" t="str">
            <v>01.01.2025</v>
          </cell>
          <cell r="N575" t="str">
            <v>31.03.2025</v>
          </cell>
          <cell r="O575">
            <v>78.099999999999994</v>
          </cell>
          <cell r="P575">
            <v>266.68</v>
          </cell>
        </row>
        <row r="576">
          <cell r="B576" t="str">
            <v>DU0710000111</v>
          </cell>
          <cell r="C576" t="str">
            <v>DU07</v>
          </cell>
          <cell r="D576" t="str">
            <v>D306</v>
          </cell>
          <cell r="E576">
            <v>10000111</v>
          </cell>
          <cell r="F576" t="str">
            <v>Grava Triturada Caliza 40mm -1 1/2" -Esp</v>
          </cell>
          <cell r="G576">
            <v>188.58</v>
          </cell>
          <cell r="H576" t="str">
            <v>MXN</v>
          </cell>
          <cell r="I576">
            <v>1</v>
          </cell>
          <cell r="J576" t="str">
            <v>TN</v>
          </cell>
          <cell r="K576" t="str">
            <v>C</v>
          </cell>
          <cell r="M576" t="str">
            <v>01.01.2025</v>
          </cell>
          <cell r="N576" t="str">
            <v>31.03.2025</v>
          </cell>
          <cell r="O576" t="str">
            <v>47.40-</v>
          </cell>
          <cell r="P576" t="e">
            <v>#VALUE!</v>
          </cell>
        </row>
        <row r="577">
          <cell r="B577" t="str">
            <v>DU0710000112</v>
          </cell>
          <cell r="C577" t="str">
            <v>DU07</v>
          </cell>
          <cell r="D577" t="str">
            <v>D306</v>
          </cell>
          <cell r="E577">
            <v>10000112</v>
          </cell>
          <cell r="F577" t="str">
            <v>Grava Triturada Caliza 13 mm -1/2" -Esp</v>
          </cell>
          <cell r="G577">
            <v>188.58</v>
          </cell>
          <cell r="H577" t="str">
            <v>MXN</v>
          </cell>
          <cell r="I577">
            <v>1</v>
          </cell>
          <cell r="J577" t="str">
            <v>TN</v>
          </cell>
          <cell r="K577" t="str">
            <v>C</v>
          </cell>
          <cell r="M577" t="str">
            <v>01.01.2025</v>
          </cell>
          <cell r="N577" t="str">
            <v>31.03.2025</v>
          </cell>
          <cell r="O577">
            <v>29.42</v>
          </cell>
          <cell r="P577">
            <v>218</v>
          </cell>
        </row>
        <row r="578">
          <cell r="B578" t="str">
            <v>DU0710000115</v>
          </cell>
          <cell r="C578" t="str">
            <v>DU07</v>
          </cell>
          <cell r="D578" t="str">
            <v>D306</v>
          </cell>
          <cell r="E578">
            <v>10000115</v>
          </cell>
          <cell r="F578" t="str">
            <v>Grava Triturada Caliza 10 mm -3/8" -Esp</v>
          </cell>
          <cell r="G578">
            <v>188.58</v>
          </cell>
          <cell r="H578" t="str">
            <v>MXN</v>
          </cell>
          <cell r="I578">
            <v>1</v>
          </cell>
          <cell r="J578" t="str">
            <v>TN</v>
          </cell>
          <cell r="K578" t="str">
            <v>C</v>
          </cell>
          <cell r="M578" t="str">
            <v>01.01.2025</v>
          </cell>
          <cell r="N578" t="str">
            <v>31.03.2025</v>
          </cell>
          <cell r="O578">
            <v>156.41999999999999</v>
          </cell>
          <cell r="P578">
            <v>345</v>
          </cell>
        </row>
        <row r="579">
          <cell r="B579" t="str">
            <v>DU0710251742</v>
          </cell>
          <cell r="C579" t="str">
            <v>DU07</v>
          </cell>
          <cell r="D579" t="str">
            <v>D306</v>
          </cell>
          <cell r="E579">
            <v>10251742</v>
          </cell>
          <cell r="F579" t="str">
            <v>ARENA TRITURADA CALIZA 10MM -3/8"-CMX</v>
          </cell>
          <cell r="G579">
            <v>192.51</v>
          </cell>
          <cell r="H579" t="str">
            <v>MXN</v>
          </cell>
          <cell r="I579">
            <v>1</v>
          </cell>
          <cell r="J579" t="str">
            <v>TN</v>
          </cell>
          <cell r="K579" t="str">
            <v>C</v>
          </cell>
          <cell r="M579" t="str">
            <v>01.01.2025</v>
          </cell>
          <cell r="N579" t="str">
            <v>31.03.2025</v>
          </cell>
          <cell r="O579">
            <v>117.63</v>
          </cell>
          <cell r="P579">
            <v>310.14</v>
          </cell>
        </row>
        <row r="580">
          <cell r="B580" t="str">
            <v>DU0710264038</v>
          </cell>
          <cell r="C580" t="str">
            <v>DU07</v>
          </cell>
          <cell r="D580" t="str">
            <v>D306</v>
          </cell>
          <cell r="E580">
            <v>10264038</v>
          </cell>
          <cell r="F580" t="str">
            <v>MOV ARENA TRITURADA CALIZA MALLA 4</v>
          </cell>
          <cell r="G580">
            <v>192.51</v>
          </cell>
          <cell r="H580" t="str">
            <v>MXN</v>
          </cell>
          <cell r="I580">
            <v>1</v>
          </cell>
          <cell r="J580" t="str">
            <v>TN</v>
          </cell>
          <cell r="K580" t="str">
            <v>C</v>
          </cell>
          <cell r="M580" t="str">
            <v>11.03.2025</v>
          </cell>
          <cell r="N580" t="str">
            <v>31.03.2025</v>
          </cell>
          <cell r="O580">
            <v>117.59</v>
          </cell>
          <cell r="P580">
            <v>310.10000000000002</v>
          </cell>
        </row>
        <row r="581">
          <cell r="B581" t="str">
            <v>DU0710264039</v>
          </cell>
          <cell r="C581" t="str">
            <v>DU07</v>
          </cell>
          <cell r="D581" t="str">
            <v>D306</v>
          </cell>
          <cell r="E581">
            <v>10264039</v>
          </cell>
          <cell r="F581" t="str">
            <v>MOV GRAVA TRITURADA CALIZA 20MM 3/4 INTE</v>
          </cell>
          <cell r="G581">
            <v>188.58</v>
          </cell>
          <cell r="H581" t="str">
            <v>MXN</v>
          </cell>
          <cell r="I581">
            <v>1</v>
          </cell>
          <cell r="J581" t="str">
            <v>TN</v>
          </cell>
          <cell r="K581" t="str">
            <v>C</v>
          </cell>
          <cell r="M581" t="str">
            <v>11.03.2025</v>
          </cell>
          <cell r="N581" t="str">
            <v>31.03.2025</v>
          </cell>
          <cell r="O581">
            <v>78.099999999999994</v>
          </cell>
          <cell r="P581">
            <v>266.68</v>
          </cell>
        </row>
        <row r="582">
          <cell r="B582" t="str">
            <v>DU0710000101</v>
          </cell>
          <cell r="C582" t="str">
            <v>DU07</v>
          </cell>
          <cell r="D582" t="str">
            <v>D312</v>
          </cell>
          <cell r="E582">
            <v>10000101</v>
          </cell>
          <cell r="F582" t="str">
            <v>Arena Triturada Caliza Malla 4 -Especial</v>
          </cell>
          <cell r="G582">
            <v>192.51</v>
          </cell>
          <cell r="H582" t="str">
            <v>MXN</v>
          </cell>
          <cell r="I582">
            <v>1</v>
          </cell>
          <cell r="J582" t="str">
            <v>TN</v>
          </cell>
          <cell r="K582" t="str">
            <v>C</v>
          </cell>
          <cell r="M582" t="str">
            <v>01.01.2025</v>
          </cell>
          <cell r="N582" t="str">
            <v>31.03.2025</v>
          </cell>
          <cell r="O582">
            <v>117.59</v>
          </cell>
          <cell r="P582">
            <v>310.10000000000002</v>
          </cell>
        </row>
        <row r="583">
          <cell r="B583" t="str">
            <v>DU0710000110</v>
          </cell>
          <cell r="C583" t="str">
            <v>DU07</v>
          </cell>
          <cell r="D583" t="str">
            <v>D312</v>
          </cell>
          <cell r="E583">
            <v>10000110</v>
          </cell>
          <cell r="F583" t="str">
            <v>GRAVA TRITURADA CALIZA 20 MM “3/4"–INTEG</v>
          </cell>
          <cell r="G583">
            <v>188.58</v>
          </cell>
          <cell r="H583" t="str">
            <v>MXN</v>
          </cell>
          <cell r="I583">
            <v>1</v>
          </cell>
          <cell r="J583" t="str">
            <v>TN</v>
          </cell>
          <cell r="K583" t="str">
            <v>C</v>
          </cell>
          <cell r="M583" t="str">
            <v>01.01.2025</v>
          </cell>
          <cell r="N583" t="str">
            <v>31.03.2025</v>
          </cell>
          <cell r="O583">
            <v>78.099999999999994</v>
          </cell>
          <cell r="P583">
            <v>266.68</v>
          </cell>
        </row>
        <row r="584">
          <cell r="B584" t="str">
            <v>DU0710000111</v>
          </cell>
          <cell r="C584" t="str">
            <v>DU07</v>
          </cell>
          <cell r="D584" t="str">
            <v>D312</v>
          </cell>
          <cell r="E584">
            <v>10000111</v>
          </cell>
          <cell r="F584" t="str">
            <v>Grava Triturada Caliza 40mm -1 1/2" -Esp</v>
          </cell>
          <cell r="G584">
            <v>188.58</v>
          </cell>
          <cell r="H584" t="str">
            <v>MXN</v>
          </cell>
          <cell r="I584">
            <v>1</v>
          </cell>
          <cell r="J584" t="str">
            <v>TN</v>
          </cell>
          <cell r="K584" t="str">
            <v>C</v>
          </cell>
          <cell r="M584" t="str">
            <v>01.01.2025</v>
          </cell>
          <cell r="N584" t="str">
            <v>31.03.2025</v>
          </cell>
          <cell r="O584" t="str">
            <v>40.18-</v>
          </cell>
          <cell r="P584" t="e">
            <v>#VALUE!</v>
          </cell>
        </row>
        <row r="585">
          <cell r="B585" t="str">
            <v>DU0710000112</v>
          </cell>
          <cell r="C585" t="str">
            <v>DU07</v>
          </cell>
          <cell r="D585" t="str">
            <v>D312</v>
          </cell>
          <cell r="E585">
            <v>10000112</v>
          </cell>
          <cell r="F585" t="str">
            <v>Grava Triturada Caliza 13 mm -1/2" -Esp</v>
          </cell>
          <cell r="G585">
            <v>188.58</v>
          </cell>
          <cell r="H585" t="str">
            <v>MXN</v>
          </cell>
          <cell r="I585">
            <v>1</v>
          </cell>
          <cell r="J585" t="str">
            <v>TN</v>
          </cell>
          <cell r="K585" t="str">
            <v>C</v>
          </cell>
          <cell r="M585" t="str">
            <v>01.01.2025</v>
          </cell>
          <cell r="N585" t="str">
            <v>31.03.2025</v>
          </cell>
          <cell r="O585">
            <v>29.42</v>
          </cell>
          <cell r="P585">
            <v>218</v>
          </cell>
        </row>
        <row r="586">
          <cell r="B586" t="str">
            <v>DU0710000115</v>
          </cell>
          <cell r="C586" t="str">
            <v>DU07</v>
          </cell>
          <cell r="D586" t="str">
            <v>D312</v>
          </cell>
          <cell r="E586">
            <v>10000115</v>
          </cell>
          <cell r="F586" t="str">
            <v>Grava Triturada Caliza 10 mm -3/8" -Esp</v>
          </cell>
          <cell r="G586">
            <v>188.58</v>
          </cell>
          <cell r="H586" t="str">
            <v>MXN</v>
          </cell>
          <cell r="I586">
            <v>1</v>
          </cell>
          <cell r="J586" t="str">
            <v>TN</v>
          </cell>
          <cell r="K586" t="str">
            <v>C</v>
          </cell>
          <cell r="M586" t="str">
            <v>01.01.2025</v>
          </cell>
          <cell r="N586" t="str">
            <v>31.03.2025</v>
          </cell>
          <cell r="O586">
            <v>156.41999999999999</v>
          </cell>
          <cell r="P586">
            <v>345</v>
          </cell>
        </row>
        <row r="587">
          <cell r="B587" t="str">
            <v>DU0710264038</v>
          </cell>
          <cell r="C587" t="str">
            <v>DU07</v>
          </cell>
          <cell r="D587" t="str">
            <v>D312</v>
          </cell>
          <cell r="E587">
            <v>10264038</v>
          </cell>
          <cell r="F587" t="str">
            <v>MOV ARENA TRITURADA CALIZA MALLA 4</v>
          </cell>
          <cell r="G587">
            <v>192.51</v>
          </cell>
          <cell r="H587" t="str">
            <v>MXN</v>
          </cell>
          <cell r="I587">
            <v>1</v>
          </cell>
          <cell r="J587" t="str">
            <v>TN</v>
          </cell>
          <cell r="K587" t="str">
            <v>C</v>
          </cell>
          <cell r="M587" t="str">
            <v>11.03.2025</v>
          </cell>
          <cell r="N587" t="str">
            <v>31.03.2025</v>
          </cell>
          <cell r="O587">
            <v>117.59</v>
          </cell>
          <cell r="P587">
            <v>310.10000000000002</v>
          </cell>
        </row>
        <row r="588">
          <cell r="B588" t="str">
            <v>DU0710264039</v>
          </cell>
          <cell r="C588" t="str">
            <v>DU07</v>
          </cell>
          <cell r="D588" t="str">
            <v>D312</v>
          </cell>
          <cell r="E588">
            <v>10264039</v>
          </cell>
          <cell r="F588" t="str">
            <v>MOV GRAVA TRITURADA CALIZA 20MM 3/4 INTE</v>
          </cell>
          <cell r="G588">
            <v>188.58</v>
          </cell>
          <cell r="H588" t="str">
            <v>MXN</v>
          </cell>
          <cell r="I588">
            <v>1</v>
          </cell>
          <cell r="J588" t="str">
            <v>TN</v>
          </cell>
          <cell r="K588" t="str">
            <v>C</v>
          </cell>
          <cell r="M588" t="str">
            <v>11.03.2025</v>
          </cell>
          <cell r="N588" t="str">
            <v>31.03.2025</v>
          </cell>
          <cell r="O588">
            <v>78.099999999999994</v>
          </cell>
          <cell r="P588">
            <v>266.68</v>
          </cell>
        </row>
        <row r="589">
          <cell r="B589" t="str">
            <v>DU0710000101</v>
          </cell>
          <cell r="C589" t="str">
            <v>DU07</v>
          </cell>
          <cell r="D589" t="str">
            <v>D315</v>
          </cell>
          <cell r="E589">
            <v>10000101</v>
          </cell>
          <cell r="F589" t="str">
            <v>Arena Triturada Caliza Malla 4 -Especial</v>
          </cell>
          <cell r="G589">
            <v>192.51</v>
          </cell>
          <cell r="H589" t="str">
            <v>MXN</v>
          </cell>
          <cell r="I589">
            <v>1</v>
          </cell>
          <cell r="J589" t="str">
            <v>TN</v>
          </cell>
          <cell r="K589" t="str">
            <v>C</v>
          </cell>
          <cell r="M589" t="str">
            <v>01.01.2025</v>
          </cell>
          <cell r="N589" t="str">
            <v>31.03.2025</v>
          </cell>
          <cell r="O589">
            <v>117.59</v>
          </cell>
          <cell r="P589">
            <v>310.10000000000002</v>
          </cell>
        </row>
        <row r="590">
          <cell r="B590" t="str">
            <v>DU0710000110</v>
          </cell>
          <cell r="C590" t="str">
            <v>DU07</v>
          </cell>
          <cell r="D590" t="str">
            <v>D315</v>
          </cell>
          <cell r="E590">
            <v>10000110</v>
          </cell>
          <cell r="F590" t="str">
            <v>GRAVA TRITURADA CALIZA 20 MM “3/4"–INTEG</v>
          </cell>
          <cell r="G590">
            <v>188.58</v>
          </cell>
          <cell r="H590" t="str">
            <v>MXN</v>
          </cell>
          <cell r="I590">
            <v>1</v>
          </cell>
          <cell r="J590" t="str">
            <v>TN</v>
          </cell>
          <cell r="K590" t="str">
            <v>C</v>
          </cell>
          <cell r="M590" t="str">
            <v>01.01.2025</v>
          </cell>
          <cell r="N590" t="str">
            <v>31.03.2025</v>
          </cell>
          <cell r="O590">
            <v>78.099999999999994</v>
          </cell>
          <cell r="P590">
            <v>266.68</v>
          </cell>
        </row>
        <row r="591">
          <cell r="B591" t="str">
            <v>DU0710000111</v>
          </cell>
          <cell r="C591" t="str">
            <v>DU07</v>
          </cell>
          <cell r="D591" t="str">
            <v>D315</v>
          </cell>
          <cell r="E591">
            <v>10000111</v>
          </cell>
          <cell r="F591" t="str">
            <v>Grava Triturada Caliza 40mm -1 1/2" -Esp</v>
          </cell>
          <cell r="G591">
            <v>188.58</v>
          </cell>
          <cell r="H591" t="str">
            <v>MXN</v>
          </cell>
          <cell r="I591">
            <v>1</v>
          </cell>
          <cell r="J591" t="str">
            <v>TN</v>
          </cell>
          <cell r="K591" t="str">
            <v>C</v>
          </cell>
          <cell r="M591" t="str">
            <v>01.01.2025</v>
          </cell>
          <cell r="N591" t="str">
            <v>31.03.2025</v>
          </cell>
          <cell r="O591" t="str">
            <v>47.40-</v>
          </cell>
          <cell r="P591" t="e">
            <v>#VALUE!</v>
          </cell>
        </row>
        <row r="592">
          <cell r="B592" t="str">
            <v>DU0710000112</v>
          </cell>
          <cell r="C592" t="str">
            <v>DU07</v>
          </cell>
          <cell r="D592" t="str">
            <v>D315</v>
          </cell>
          <cell r="E592">
            <v>10000112</v>
          </cell>
          <cell r="F592" t="str">
            <v>Grava Triturada Caliza 13 mm -1/2" -Esp</v>
          </cell>
          <cell r="G592">
            <v>188.58</v>
          </cell>
          <cell r="H592" t="str">
            <v>MXN</v>
          </cell>
          <cell r="I592">
            <v>1</v>
          </cell>
          <cell r="J592" t="str">
            <v>TN</v>
          </cell>
          <cell r="K592" t="str">
            <v>C</v>
          </cell>
          <cell r="M592" t="str">
            <v>01.01.2025</v>
          </cell>
          <cell r="N592" t="str">
            <v>31.03.2025</v>
          </cell>
          <cell r="O592">
            <v>29.42</v>
          </cell>
          <cell r="P592">
            <v>218</v>
          </cell>
        </row>
        <row r="593">
          <cell r="B593" t="str">
            <v>DU0710000115</v>
          </cell>
          <cell r="C593" t="str">
            <v>DU07</v>
          </cell>
          <cell r="D593" t="str">
            <v>D315</v>
          </cell>
          <cell r="E593">
            <v>10000115</v>
          </cell>
          <cell r="F593" t="str">
            <v>Grava Triturada Caliza 10 mm -3/8" -Esp</v>
          </cell>
          <cell r="G593">
            <v>188.58</v>
          </cell>
          <cell r="H593" t="str">
            <v>MXN</v>
          </cell>
          <cell r="I593">
            <v>1</v>
          </cell>
          <cell r="J593" t="str">
            <v>TN</v>
          </cell>
          <cell r="K593" t="str">
            <v>C</v>
          </cell>
          <cell r="M593" t="str">
            <v>01.01.2025</v>
          </cell>
          <cell r="N593" t="str">
            <v>31.03.2025</v>
          </cell>
          <cell r="O593">
            <v>156.41999999999999</v>
          </cell>
          <cell r="P593">
            <v>345</v>
          </cell>
        </row>
        <row r="594">
          <cell r="B594" t="str">
            <v>DU0710264038</v>
          </cell>
          <cell r="C594" t="str">
            <v>DU07</v>
          </cell>
          <cell r="D594" t="str">
            <v>D315</v>
          </cell>
          <cell r="E594">
            <v>10264038</v>
          </cell>
          <cell r="F594" t="str">
            <v>MOV ARENA TRITURADA CALIZA MALLA 4</v>
          </cell>
          <cell r="G594">
            <v>192.51</v>
          </cell>
          <cell r="H594" t="str">
            <v>MXN</v>
          </cell>
          <cell r="I594">
            <v>1</v>
          </cell>
          <cell r="J594" t="str">
            <v>TN</v>
          </cell>
          <cell r="K594" t="str">
            <v>C</v>
          </cell>
          <cell r="M594" t="str">
            <v>11.03.2025</v>
          </cell>
          <cell r="N594" t="str">
            <v>31.03.2025</v>
          </cell>
          <cell r="O594">
            <v>117.59</v>
          </cell>
          <cell r="P594">
            <v>310.10000000000002</v>
          </cell>
        </row>
        <row r="595">
          <cell r="B595" t="str">
            <v>DU0710264039</v>
          </cell>
          <cell r="C595" t="str">
            <v>DU07</v>
          </cell>
          <cell r="D595" t="str">
            <v>D315</v>
          </cell>
          <cell r="E595">
            <v>10264039</v>
          </cell>
          <cell r="F595" t="str">
            <v>MOV GRAVA TRITURADA CALIZA 20MM 3/4 INTE</v>
          </cell>
          <cell r="G595">
            <v>188.58</v>
          </cell>
          <cell r="H595" t="str">
            <v>MXN</v>
          </cell>
          <cell r="I595">
            <v>1</v>
          </cell>
          <cell r="J595" t="str">
            <v>TN</v>
          </cell>
          <cell r="K595" t="str">
            <v>C</v>
          </cell>
          <cell r="M595" t="str">
            <v>11.03.2025</v>
          </cell>
          <cell r="N595" t="str">
            <v>31.03.2025</v>
          </cell>
          <cell r="O595">
            <v>78.099999999999994</v>
          </cell>
          <cell r="P595">
            <v>266.68</v>
          </cell>
        </row>
        <row r="596">
          <cell r="B596" t="str">
            <v>DU0710000101</v>
          </cell>
          <cell r="C596" t="str">
            <v>DU07</v>
          </cell>
          <cell r="D596" t="str">
            <v>D327</v>
          </cell>
          <cell r="E596">
            <v>10000101</v>
          </cell>
          <cell r="F596" t="str">
            <v>Arena Triturada Caliza Malla 4 -Especial</v>
          </cell>
          <cell r="G596">
            <v>192.51</v>
          </cell>
          <cell r="H596" t="str">
            <v>MXN</v>
          </cell>
          <cell r="I596">
            <v>1</v>
          </cell>
          <cell r="J596" t="str">
            <v>TN</v>
          </cell>
          <cell r="K596" t="str">
            <v>C</v>
          </cell>
          <cell r="M596" t="str">
            <v>01.01.2025</v>
          </cell>
          <cell r="N596" t="str">
            <v>31.03.2025</v>
          </cell>
          <cell r="O596">
            <v>117.59</v>
          </cell>
          <cell r="P596">
            <v>310.10000000000002</v>
          </cell>
        </row>
        <row r="597">
          <cell r="B597" t="str">
            <v>DU0710000110</v>
          </cell>
          <cell r="C597" t="str">
            <v>DU07</v>
          </cell>
          <cell r="D597" t="str">
            <v>D327</v>
          </cell>
          <cell r="E597">
            <v>10000110</v>
          </cell>
          <cell r="F597" t="str">
            <v>GRAVA TRITURADA CALIZA 20 MM “3/4"–INTEG</v>
          </cell>
          <cell r="G597">
            <v>188.58</v>
          </cell>
          <cell r="H597" t="str">
            <v>MXN</v>
          </cell>
          <cell r="I597">
            <v>1</v>
          </cell>
          <cell r="J597" t="str">
            <v>TN</v>
          </cell>
          <cell r="K597" t="str">
            <v>C</v>
          </cell>
          <cell r="M597" t="str">
            <v>01.01.2025</v>
          </cell>
          <cell r="N597" t="str">
            <v>31.03.2025</v>
          </cell>
          <cell r="O597">
            <v>78.099999999999994</v>
          </cell>
          <cell r="P597">
            <v>266.68</v>
          </cell>
        </row>
        <row r="598">
          <cell r="B598" t="str">
            <v>DU0710000111</v>
          </cell>
          <cell r="C598" t="str">
            <v>DU07</v>
          </cell>
          <cell r="D598" t="str">
            <v>D327</v>
          </cell>
          <cell r="E598">
            <v>10000111</v>
          </cell>
          <cell r="F598" t="str">
            <v>Grava Triturada Caliza 40mm -1 1/2" -Esp</v>
          </cell>
          <cell r="G598">
            <v>188.58</v>
          </cell>
          <cell r="H598" t="str">
            <v>MXN</v>
          </cell>
          <cell r="I598">
            <v>1</v>
          </cell>
          <cell r="J598" t="str">
            <v>TN</v>
          </cell>
          <cell r="K598" t="str">
            <v>C</v>
          </cell>
          <cell r="M598" t="str">
            <v>01.01.2025</v>
          </cell>
          <cell r="N598" t="str">
            <v>31.03.2025</v>
          </cell>
          <cell r="O598" t="str">
            <v>47.40-</v>
          </cell>
          <cell r="P598" t="e">
            <v>#VALUE!</v>
          </cell>
        </row>
        <row r="599">
          <cell r="B599" t="str">
            <v>DU0710000112</v>
          </cell>
          <cell r="C599" t="str">
            <v>DU07</v>
          </cell>
          <cell r="D599" t="str">
            <v>D327</v>
          </cell>
          <cell r="E599">
            <v>10000112</v>
          </cell>
          <cell r="F599" t="str">
            <v>Grava Triturada Caliza 13 mm -1/2" -Esp</v>
          </cell>
          <cell r="G599">
            <v>188.58</v>
          </cell>
          <cell r="H599" t="str">
            <v>MXN</v>
          </cell>
          <cell r="I599">
            <v>1</v>
          </cell>
          <cell r="J599" t="str">
            <v>TN</v>
          </cell>
          <cell r="K599" t="str">
            <v>C</v>
          </cell>
          <cell r="M599" t="str">
            <v>01.01.2025</v>
          </cell>
          <cell r="N599" t="str">
            <v>31.03.2025</v>
          </cell>
          <cell r="O599">
            <v>29.42</v>
          </cell>
          <cell r="P599">
            <v>218</v>
          </cell>
        </row>
        <row r="600">
          <cell r="B600" t="str">
            <v>DU0710000115</v>
          </cell>
          <cell r="C600" t="str">
            <v>DU07</v>
          </cell>
          <cell r="D600" t="str">
            <v>D327</v>
          </cell>
          <cell r="E600">
            <v>10000115</v>
          </cell>
          <cell r="F600" t="str">
            <v>Grava Triturada Caliza 10 mm -3/8" -Esp</v>
          </cell>
          <cell r="G600">
            <v>188.58</v>
          </cell>
          <cell r="H600" t="str">
            <v>MXN</v>
          </cell>
          <cell r="I600">
            <v>1</v>
          </cell>
          <cell r="J600" t="str">
            <v>TN</v>
          </cell>
          <cell r="K600" t="str">
            <v>C</v>
          </cell>
          <cell r="M600" t="str">
            <v>01.01.2025</v>
          </cell>
          <cell r="N600" t="str">
            <v>31.03.2025</v>
          </cell>
          <cell r="O600">
            <v>156.41999999999999</v>
          </cell>
          <cell r="P600">
            <v>345</v>
          </cell>
        </row>
        <row r="601">
          <cell r="B601" t="str">
            <v>DU0710264038</v>
          </cell>
          <cell r="C601" t="str">
            <v>DU07</v>
          </cell>
          <cell r="D601" t="str">
            <v>D327</v>
          </cell>
          <cell r="E601">
            <v>10264038</v>
          </cell>
          <cell r="F601" t="str">
            <v>MOV ARENA TRITURADA CALIZA MALLA 4</v>
          </cell>
          <cell r="G601">
            <v>192.51</v>
          </cell>
          <cell r="H601" t="str">
            <v>MXN</v>
          </cell>
          <cell r="I601">
            <v>1</v>
          </cell>
          <cell r="J601" t="str">
            <v>TN</v>
          </cell>
          <cell r="K601" t="str">
            <v>C</v>
          </cell>
          <cell r="M601" t="str">
            <v>11.03.2025</v>
          </cell>
          <cell r="N601" t="str">
            <v>31.03.2025</v>
          </cell>
          <cell r="O601">
            <v>117.59</v>
          </cell>
          <cell r="P601">
            <v>310.10000000000002</v>
          </cell>
        </row>
        <row r="602">
          <cell r="B602" t="str">
            <v>DU0710264039</v>
          </cell>
          <cell r="C602" t="str">
            <v>DU07</v>
          </cell>
          <cell r="D602" t="str">
            <v>D327</v>
          </cell>
          <cell r="E602">
            <v>10264039</v>
          </cell>
          <cell r="F602" t="str">
            <v>MOV GRAVA TRITURADA CALIZA 20MM 3/4 INTE</v>
          </cell>
          <cell r="G602">
            <v>188.58</v>
          </cell>
          <cell r="H602" t="str">
            <v>MXN</v>
          </cell>
          <cell r="I602">
            <v>1</v>
          </cell>
          <cell r="J602" t="str">
            <v>TN</v>
          </cell>
          <cell r="K602" t="str">
            <v>C</v>
          </cell>
          <cell r="M602" t="str">
            <v>11.03.2025</v>
          </cell>
          <cell r="N602" t="str">
            <v>31.03.2025</v>
          </cell>
          <cell r="O602">
            <v>78.099999999999994</v>
          </cell>
          <cell r="P602">
            <v>266.68</v>
          </cell>
        </row>
        <row r="603">
          <cell r="B603" t="str">
            <v>DU0710000101</v>
          </cell>
          <cell r="C603" t="str">
            <v>DU07</v>
          </cell>
          <cell r="D603" t="str">
            <v>D331</v>
          </cell>
          <cell r="E603">
            <v>10000101</v>
          </cell>
          <cell r="F603" t="str">
            <v>Arena Triturada Caliza Malla 4 -Especial</v>
          </cell>
          <cell r="G603">
            <v>192.51</v>
          </cell>
          <cell r="H603" t="str">
            <v>MXN</v>
          </cell>
          <cell r="I603">
            <v>1</v>
          </cell>
          <cell r="J603" t="str">
            <v>TN</v>
          </cell>
          <cell r="K603" t="str">
            <v>C</v>
          </cell>
          <cell r="M603" t="str">
            <v>01.01.2025</v>
          </cell>
          <cell r="N603" t="str">
            <v>31.03.2025</v>
          </cell>
          <cell r="O603">
            <v>117.59</v>
          </cell>
          <cell r="P603">
            <v>310.10000000000002</v>
          </cell>
        </row>
        <row r="604">
          <cell r="B604" t="str">
            <v>DU0710000110</v>
          </cell>
          <cell r="C604" t="str">
            <v>DU07</v>
          </cell>
          <cell r="D604" t="str">
            <v>D331</v>
          </cell>
          <cell r="E604">
            <v>10000110</v>
          </cell>
          <cell r="F604" t="str">
            <v>GRAVA TRITURADA CALIZA 20 MM “3/4"–INTEG</v>
          </cell>
          <cell r="G604">
            <v>188.58</v>
          </cell>
          <cell r="H604" t="str">
            <v>MXN</v>
          </cell>
          <cell r="I604">
            <v>1</v>
          </cell>
          <cell r="J604" t="str">
            <v>TN</v>
          </cell>
          <cell r="K604" t="str">
            <v>C</v>
          </cell>
          <cell r="M604" t="str">
            <v>01.01.2025</v>
          </cell>
          <cell r="N604" t="str">
            <v>31.03.2025</v>
          </cell>
          <cell r="O604">
            <v>78.099999999999994</v>
          </cell>
          <cell r="P604">
            <v>266.68</v>
          </cell>
        </row>
        <row r="605">
          <cell r="B605" t="str">
            <v>DU0710000111</v>
          </cell>
          <cell r="C605" t="str">
            <v>DU07</v>
          </cell>
          <cell r="D605" t="str">
            <v>D331</v>
          </cell>
          <cell r="E605">
            <v>10000111</v>
          </cell>
          <cell r="F605" t="str">
            <v>Grava Triturada Caliza 40mm -1 1/2" -Esp</v>
          </cell>
          <cell r="G605">
            <v>188.58</v>
          </cell>
          <cell r="H605" t="str">
            <v>MXN</v>
          </cell>
          <cell r="I605">
            <v>1</v>
          </cell>
          <cell r="J605" t="str">
            <v>TN</v>
          </cell>
          <cell r="K605" t="str">
            <v>C</v>
          </cell>
          <cell r="M605" t="str">
            <v>01.01.2025</v>
          </cell>
          <cell r="N605" t="str">
            <v>31.03.2025</v>
          </cell>
          <cell r="O605" t="str">
            <v>47.40-</v>
          </cell>
          <cell r="P605" t="e">
            <v>#VALUE!</v>
          </cell>
        </row>
        <row r="606">
          <cell r="B606" t="str">
            <v>DU0710000112</v>
          </cell>
          <cell r="C606" t="str">
            <v>DU07</v>
          </cell>
          <cell r="D606" t="str">
            <v>D331</v>
          </cell>
          <cell r="E606">
            <v>10000112</v>
          </cell>
          <cell r="F606" t="str">
            <v>Grava Triturada Caliza 13 mm -1/2" -Esp</v>
          </cell>
          <cell r="G606">
            <v>188.58</v>
          </cell>
          <cell r="H606" t="str">
            <v>MXN</v>
          </cell>
          <cell r="I606">
            <v>1</v>
          </cell>
          <cell r="J606" t="str">
            <v>TN</v>
          </cell>
          <cell r="K606" t="str">
            <v>C</v>
          </cell>
          <cell r="M606" t="str">
            <v>01.01.2025</v>
          </cell>
          <cell r="N606" t="str">
            <v>31.03.2025</v>
          </cell>
          <cell r="O606">
            <v>29.42</v>
          </cell>
          <cell r="P606">
            <v>218</v>
          </cell>
        </row>
        <row r="607">
          <cell r="B607" t="str">
            <v>DU0710000115</v>
          </cell>
          <cell r="C607" t="str">
            <v>DU07</v>
          </cell>
          <cell r="D607" t="str">
            <v>D331</v>
          </cell>
          <cell r="E607">
            <v>10000115</v>
          </cell>
          <cell r="F607" t="str">
            <v>Grava Triturada Caliza 10 mm -3/8" -Esp</v>
          </cell>
          <cell r="G607">
            <v>188.58</v>
          </cell>
          <cell r="H607" t="str">
            <v>MXN</v>
          </cell>
          <cell r="I607">
            <v>1</v>
          </cell>
          <cell r="J607" t="str">
            <v>TN</v>
          </cell>
          <cell r="K607" t="str">
            <v>C</v>
          </cell>
          <cell r="M607" t="str">
            <v>01.01.2025</v>
          </cell>
          <cell r="N607" t="str">
            <v>31.03.2025</v>
          </cell>
          <cell r="O607">
            <v>156.41999999999999</v>
          </cell>
          <cell r="P607">
            <v>345</v>
          </cell>
        </row>
        <row r="608">
          <cell r="B608" t="str">
            <v>DU0710264038</v>
          </cell>
          <cell r="C608" t="str">
            <v>DU07</v>
          </cell>
          <cell r="D608" t="str">
            <v>D331</v>
          </cell>
          <cell r="E608">
            <v>10264038</v>
          </cell>
          <cell r="F608" t="str">
            <v>MOV ARENA TRITURADA CALIZA MALLA 4</v>
          </cell>
          <cell r="G608">
            <v>192.51</v>
          </cell>
          <cell r="H608" t="str">
            <v>MXN</v>
          </cell>
          <cell r="I608">
            <v>1</v>
          </cell>
          <cell r="J608" t="str">
            <v>TN</v>
          </cell>
          <cell r="K608" t="str">
            <v>C</v>
          </cell>
          <cell r="M608" t="str">
            <v>11.03.2025</v>
          </cell>
          <cell r="N608" t="str">
            <v>31.03.2025</v>
          </cell>
          <cell r="O608">
            <v>117.59</v>
          </cell>
          <cell r="P608">
            <v>310.10000000000002</v>
          </cell>
        </row>
        <row r="609">
          <cell r="B609" t="str">
            <v>DU0710264039</v>
          </cell>
          <cell r="C609" t="str">
            <v>DU07</v>
          </cell>
          <cell r="D609" t="str">
            <v>D331</v>
          </cell>
          <cell r="E609">
            <v>10264039</v>
          </cell>
          <cell r="F609" t="str">
            <v>MOV GRAVA TRITURADA CALIZA 20MM 3/4 INTE</v>
          </cell>
          <cell r="G609">
            <v>188.58</v>
          </cell>
          <cell r="H609" t="str">
            <v>MXN</v>
          </cell>
          <cell r="I609">
            <v>1</v>
          </cell>
          <cell r="J609" t="str">
            <v>TN</v>
          </cell>
          <cell r="K609" t="str">
            <v>C</v>
          </cell>
          <cell r="M609" t="str">
            <v>11.03.2025</v>
          </cell>
          <cell r="N609" t="str">
            <v>31.03.2025</v>
          </cell>
          <cell r="O609">
            <v>78.099999999999994</v>
          </cell>
          <cell r="P609">
            <v>266.68</v>
          </cell>
        </row>
        <row r="610">
          <cell r="B610" t="str">
            <v>DU0710000101</v>
          </cell>
          <cell r="C610" t="str">
            <v>DU07</v>
          </cell>
          <cell r="D610" t="str">
            <v>D343</v>
          </cell>
          <cell r="E610">
            <v>10000101</v>
          </cell>
          <cell r="F610" t="str">
            <v>Arena Triturada Caliza Malla 4 -Especial</v>
          </cell>
          <cell r="G610">
            <v>192.51</v>
          </cell>
          <cell r="H610" t="str">
            <v>MXN</v>
          </cell>
          <cell r="I610">
            <v>1</v>
          </cell>
          <cell r="J610" t="str">
            <v>TN</v>
          </cell>
          <cell r="K610" t="str">
            <v>C</v>
          </cell>
          <cell r="M610" t="str">
            <v>01.01.2025</v>
          </cell>
          <cell r="N610" t="str">
            <v>31.03.2025</v>
          </cell>
          <cell r="O610">
            <v>117.59</v>
          </cell>
          <cell r="P610">
            <v>310.10000000000002</v>
          </cell>
        </row>
        <row r="611">
          <cell r="B611" t="str">
            <v>DU0710000110</v>
          </cell>
          <cell r="C611" t="str">
            <v>DU07</v>
          </cell>
          <cell r="D611" t="str">
            <v>D343</v>
          </cell>
          <cell r="E611">
            <v>10000110</v>
          </cell>
          <cell r="F611" t="str">
            <v>GRAVA TRITURADA CALIZA 20 MM “3/4"–INTEG</v>
          </cell>
          <cell r="G611">
            <v>188.58</v>
          </cell>
          <cell r="H611" t="str">
            <v>MXN</v>
          </cell>
          <cell r="I611">
            <v>1</v>
          </cell>
          <cell r="J611" t="str">
            <v>TN</v>
          </cell>
          <cell r="K611" t="str">
            <v>C</v>
          </cell>
          <cell r="M611" t="str">
            <v>01.01.2025</v>
          </cell>
          <cell r="N611" t="str">
            <v>31.03.2025</v>
          </cell>
          <cell r="O611">
            <v>78.099999999999994</v>
          </cell>
          <cell r="P611">
            <v>266.68</v>
          </cell>
        </row>
        <row r="612">
          <cell r="B612" t="str">
            <v>DU0710000112</v>
          </cell>
          <cell r="C612" t="str">
            <v>DU07</v>
          </cell>
          <cell r="D612" t="str">
            <v>D343</v>
          </cell>
          <cell r="E612">
            <v>10000112</v>
          </cell>
          <cell r="F612" t="str">
            <v>Grava Triturada Caliza 13 mm -1/2" -Esp</v>
          </cell>
          <cell r="G612">
            <v>188.58</v>
          </cell>
          <cell r="H612" t="str">
            <v>MXN</v>
          </cell>
          <cell r="I612">
            <v>1</v>
          </cell>
          <cell r="J612" t="str">
            <v>TN</v>
          </cell>
          <cell r="K612" t="str">
            <v>C</v>
          </cell>
          <cell r="M612" t="str">
            <v>01.01.2025</v>
          </cell>
          <cell r="N612" t="str">
            <v>31.03.2025</v>
          </cell>
          <cell r="O612">
            <v>29.42</v>
          </cell>
          <cell r="P612">
            <v>218</v>
          </cell>
        </row>
        <row r="613">
          <cell r="B613" t="str">
            <v>DU0710000115</v>
          </cell>
          <cell r="C613" t="str">
            <v>DU07</v>
          </cell>
          <cell r="D613" t="str">
            <v>D343</v>
          </cell>
          <cell r="E613">
            <v>10000115</v>
          </cell>
          <cell r="F613" t="str">
            <v>Grava Triturada Caliza 10 mm -3/8" -Esp</v>
          </cell>
          <cell r="G613">
            <v>188.58</v>
          </cell>
          <cell r="H613" t="str">
            <v>MXN</v>
          </cell>
          <cell r="I613">
            <v>1</v>
          </cell>
          <cell r="J613" t="str">
            <v>TN</v>
          </cell>
          <cell r="K613" t="str">
            <v>C</v>
          </cell>
          <cell r="M613" t="str">
            <v>01.01.2025</v>
          </cell>
          <cell r="N613" t="str">
            <v>31.03.2025</v>
          </cell>
          <cell r="O613">
            <v>156.41999999999999</v>
          </cell>
          <cell r="P613">
            <v>345</v>
          </cell>
        </row>
        <row r="614">
          <cell r="B614" t="str">
            <v>DU0710251742</v>
          </cell>
          <cell r="C614" t="str">
            <v>DU07</v>
          </cell>
          <cell r="D614" t="str">
            <v>D343</v>
          </cell>
          <cell r="E614">
            <v>10251742</v>
          </cell>
          <cell r="F614" t="str">
            <v>ARENA TRITURADA CALIZA 10MM -3/8"-CMX</v>
          </cell>
          <cell r="G614">
            <v>192.51</v>
          </cell>
          <cell r="H614" t="str">
            <v>MXN</v>
          </cell>
          <cell r="I614">
            <v>1</v>
          </cell>
          <cell r="J614" t="str">
            <v>TN</v>
          </cell>
          <cell r="K614" t="str">
            <v>C</v>
          </cell>
          <cell r="M614" t="str">
            <v>01.01.2025</v>
          </cell>
          <cell r="N614" t="str">
            <v>31.03.2025</v>
          </cell>
          <cell r="O614">
            <v>117.63</v>
          </cell>
          <cell r="P614">
            <v>310.14</v>
          </cell>
        </row>
        <row r="615">
          <cell r="B615" t="str">
            <v>DU0710264038</v>
          </cell>
          <cell r="C615" t="str">
            <v>DU07</v>
          </cell>
          <cell r="D615" t="str">
            <v>D343</v>
          </cell>
          <cell r="E615">
            <v>10264038</v>
          </cell>
          <cell r="F615" t="str">
            <v>MOV ARENA TRITURADA CALIZA MALLA 4</v>
          </cell>
          <cell r="G615">
            <v>192.51</v>
          </cell>
          <cell r="H615" t="str">
            <v>MXN</v>
          </cell>
          <cell r="I615">
            <v>1</v>
          </cell>
          <cell r="J615" t="str">
            <v>TN</v>
          </cell>
          <cell r="K615" t="str">
            <v>C</v>
          </cell>
          <cell r="M615" t="str">
            <v>11.03.2025</v>
          </cell>
          <cell r="N615" t="str">
            <v>31.03.2025</v>
          </cell>
          <cell r="O615">
            <v>117.59</v>
          </cell>
          <cell r="P615">
            <v>310.10000000000002</v>
          </cell>
        </row>
        <row r="616">
          <cell r="B616" t="str">
            <v>DU0710264039</v>
          </cell>
          <cell r="C616" t="str">
            <v>DU07</v>
          </cell>
          <cell r="D616" t="str">
            <v>D343</v>
          </cell>
          <cell r="E616">
            <v>10264039</v>
          </cell>
          <cell r="F616" t="str">
            <v>MOV GRAVA TRITURADA CALIZA 20MM 3/4 INTE</v>
          </cell>
          <cell r="G616">
            <v>188.58</v>
          </cell>
          <cell r="H616" t="str">
            <v>MXN</v>
          </cell>
          <cell r="I616">
            <v>1</v>
          </cell>
          <cell r="J616" t="str">
            <v>TN</v>
          </cell>
          <cell r="K616" t="str">
            <v>C</v>
          </cell>
          <cell r="M616" t="str">
            <v>11.03.2025</v>
          </cell>
          <cell r="N616" t="str">
            <v>31.03.2025</v>
          </cell>
          <cell r="O616">
            <v>78.099999999999994</v>
          </cell>
          <cell r="P616">
            <v>266.68</v>
          </cell>
        </row>
        <row r="617">
          <cell r="B617" t="str">
            <v>DU0710000101</v>
          </cell>
          <cell r="C617" t="str">
            <v>DU07</v>
          </cell>
          <cell r="D617" t="str">
            <v>D349</v>
          </cell>
          <cell r="E617">
            <v>10000101</v>
          </cell>
          <cell r="F617" t="str">
            <v>Arena Triturada Caliza Malla 4 -Especial</v>
          </cell>
          <cell r="G617">
            <v>192.51</v>
          </cell>
          <cell r="H617" t="str">
            <v>MXN</v>
          </cell>
          <cell r="I617">
            <v>1</v>
          </cell>
          <cell r="J617" t="str">
            <v>TN</v>
          </cell>
          <cell r="K617" t="str">
            <v>C</v>
          </cell>
          <cell r="M617" t="str">
            <v>01.01.2025</v>
          </cell>
          <cell r="N617" t="str">
            <v>31.03.2025</v>
          </cell>
          <cell r="O617">
            <v>117.59</v>
          </cell>
          <cell r="P617">
            <v>310.10000000000002</v>
          </cell>
        </row>
        <row r="618">
          <cell r="B618" t="str">
            <v>DU0710000110</v>
          </cell>
          <cell r="C618" t="str">
            <v>DU07</v>
          </cell>
          <cell r="D618" t="str">
            <v>D349</v>
          </cell>
          <cell r="E618">
            <v>10000110</v>
          </cell>
          <cell r="F618" t="str">
            <v>GRAVA TRITURADA CALIZA 20 MM “3/4"–INTEG</v>
          </cell>
          <cell r="G618">
            <v>188.58</v>
          </cell>
          <cell r="H618" t="str">
            <v>MXN</v>
          </cell>
          <cell r="I618">
            <v>1</v>
          </cell>
          <cell r="J618" t="str">
            <v>TN</v>
          </cell>
          <cell r="K618" t="str">
            <v>C</v>
          </cell>
          <cell r="M618" t="str">
            <v>01.01.2025</v>
          </cell>
          <cell r="N618" t="str">
            <v>31.03.2025</v>
          </cell>
          <cell r="O618">
            <v>78.099999999999994</v>
          </cell>
          <cell r="P618">
            <v>266.68</v>
          </cell>
        </row>
        <row r="619">
          <cell r="B619" t="str">
            <v>DU0710000111</v>
          </cell>
          <cell r="C619" t="str">
            <v>DU07</v>
          </cell>
          <cell r="D619" t="str">
            <v>D349</v>
          </cell>
          <cell r="E619">
            <v>10000111</v>
          </cell>
          <cell r="F619" t="str">
            <v>Grava Triturada Caliza 40mm -1 1/2" -Esp</v>
          </cell>
          <cell r="G619">
            <v>188.58</v>
          </cell>
          <cell r="H619" t="str">
            <v>MXN</v>
          </cell>
          <cell r="I619">
            <v>1</v>
          </cell>
          <cell r="J619" t="str">
            <v>TN</v>
          </cell>
          <cell r="K619" t="str">
            <v>C</v>
          </cell>
          <cell r="M619" t="str">
            <v>01.01.2025</v>
          </cell>
          <cell r="N619" t="str">
            <v>31.03.2025</v>
          </cell>
          <cell r="O619" t="str">
            <v>47.40-</v>
          </cell>
          <cell r="P619" t="e">
            <v>#VALUE!</v>
          </cell>
        </row>
        <row r="620">
          <cell r="B620" t="str">
            <v>DU0710000112</v>
          </cell>
          <cell r="C620" t="str">
            <v>DU07</v>
          </cell>
          <cell r="D620" t="str">
            <v>D349</v>
          </cell>
          <cell r="E620">
            <v>10000112</v>
          </cell>
          <cell r="F620" t="str">
            <v>Grava Triturada Caliza 13 mm -1/2" -Esp</v>
          </cell>
          <cell r="G620">
            <v>188.58</v>
          </cell>
          <cell r="H620" t="str">
            <v>MXN</v>
          </cell>
          <cell r="I620">
            <v>1</v>
          </cell>
          <cell r="J620" t="str">
            <v>TN</v>
          </cell>
          <cell r="K620" t="str">
            <v>C</v>
          </cell>
          <cell r="M620" t="str">
            <v>01.01.2025</v>
          </cell>
          <cell r="N620" t="str">
            <v>31.03.2025</v>
          </cell>
          <cell r="O620">
            <v>29.42</v>
          </cell>
          <cell r="P620">
            <v>218</v>
          </cell>
        </row>
        <row r="621">
          <cell r="B621" t="str">
            <v>DU0710000115</v>
          </cell>
          <cell r="C621" t="str">
            <v>DU07</v>
          </cell>
          <cell r="D621" t="str">
            <v>D349</v>
          </cell>
          <cell r="E621">
            <v>10000115</v>
          </cell>
          <cell r="F621" t="str">
            <v>Grava Triturada Caliza 10 mm -3/8" -Esp</v>
          </cell>
          <cell r="G621">
            <v>188.58</v>
          </cell>
          <cell r="H621" t="str">
            <v>MXN</v>
          </cell>
          <cell r="I621">
            <v>1</v>
          </cell>
          <cell r="J621" t="str">
            <v>TN</v>
          </cell>
          <cell r="K621" t="str">
            <v>C</v>
          </cell>
          <cell r="M621" t="str">
            <v>01.01.2025</v>
          </cell>
          <cell r="N621" t="str">
            <v>31.03.2025</v>
          </cell>
          <cell r="O621">
            <v>156.41999999999999</v>
          </cell>
          <cell r="P621">
            <v>345</v>
          </cell>
        </row>
        <row r="622">
          <cell r="B622" t="str">
            <v>DU0710251742</v>
          </cell>
          <cell r="C622" t="str">
            <v>DU07</v>
          </cell>
          <cell r="D622" t="str">
            <v>D349</v>
          </cell>
          <cell r="E622">
            <v>10251742</v>
          </cell>
          <cell r="F622" t="str">
            <v>ARENA TRITURADA CALIZA 10MM -3/8"-CMX</v>
          </cell>
          <cell r="G622">
            <v>192.51</v>
          </cell>
          <cell r="H622" t="str">
            <v>MXN</v>
          </cell>
          <cell r="I622">
            <v>1</v>
          </cell>
          <cell r="J622" t="str">
            <v>TN</v>
          </cell>
          <cell r="K622" t="str">
            <v>C</v>
          </cell>
          <cell r="M622" t="str">
            <v>01.01.2025</v>
          </cell>
          <cell r="N622" t="str">
            <v>31.03.2025</v>
          </cell>
          <cell r="O622">
            <v>117.63</v>
          </cell>
          <cell r="P622">
            <v>310.14</v>
          </cell>
        </row>
        <row r="623">
          <cell r="B623" t="str">
            <v>DU0710264038</v>
          </cell>
          <cell r="C623" t="str">
            <v>DU07</v>
          </cell>
          <cell r="D623" t="str">
            <v>D349</v>
          </cell>
          <cell r="E623">
            <v>10264038</v>
          </cell>
          <cell r="F623" t="str">
            <v>MOV ARENA TRITURADA CALIZA MALLA 4</v>
          </cell>
          <cell r="G623">
            <v>192.51</v>
          </cell>
          <cell r="H623" t="str">
            <v>MXN</v>
          </cell>
          <cell r="I623">
            <v>1</v>
          </cell>
          <cell r="J623" t="str">
            <v>TN</v>
          </cell>
          <cell r="K623" t="str">
            <v>C</v>
          </cell>
          <cell r="M623" t="str">
            <v>11.03.2025</v>
          </cell>
          <cell r="N623" t="str">
            <v>31.03.2025</v>
          </cell>
          <cell r="O623">
            <v>117.59</v>
          </cell>
          <cell r="P623">
            <v>310.10000000000002</v>
          </cell>
        </row>
        <row r="624">
          <cell r="B624" t="str">
            <v>DU0710264039</v>
          </cell>
          <cell r="C624" t="str">
            <v>DU07</v>
          </cell>
          <cell r="D624" t="str">
            <v>D349</v>
          </cell>
          <cell r="E624">
            <v>10264039</v>
          </cell>
          <cell r="F624" t="str">
            <v>MOV GRAVA TRITURADA CALIZA 20MM 3/4 INTE</v>
          </cell>
          <cell r="G624">
            <v>188.58</v>
          </cell>
          <cell r="H624" t="str">
            <v>MXN</v>
          </cell>
          <cell r="I624">
            <v>1</v>
          </cell>
          <cell r="J624" t="str">
            <v>TN</v>
          </cell>
          <cell r="K624" t="str">
            <v>C</v>
          </cell>
          <cell r="M624" t="str">
            <v>11.03.2025</v>
          </cell>
          <cell r="N624" t="str">
            <v>31.03.2025</v>
          </cell>
          <cell r="O624">
            <v>78.099999999999994</v>
          </cell>
          <cell r="P624">
            <v>266.68</v>
          </cell>
        </row>
        <row r="625">
          <cell r="B625" t="str">
            <v>DU0710000101</v>
          </cell>
          <cell r="C625" t="str">
            <v>DU07</v>
          </cell>
          <cell r="D625" t="str">
            <v>D358</v>
          </cell>
          <cell r="E625">
            <v>10000101</v>
          </cell>
          <cell r="F625" t="str">
            <v>Arena Triturada Caliza Malla 4 -Especial</v>
          </cell>
          <cell r="G625">
            <v>192.51</v>
          </cell>
          <cell r="H625" t="str">
            <v>MXN</v>
          </cell>
          <cell r="I625">
            <v>1</v>
          </cell>
          <cell r="J625" t="str">
            <v>TN</v>
          </cell>
          <cell r="K625" t="str">
            <v>C</v>
          </cell>
          <cell r="M625" t="str">
            <v>01.01.2025</v>
          </cell>
          <cell r="N625" t="str">
            <v>31.03.2025</v>
          </cell>
          <cell r="O625">
            <v>117.59</v>
          </cell>
          <cell r="P625">
            <v>310.10000000000002</v>
          </cell>
        </row>
        <row r="626">
          <cell r="B626" t="str">
            <v>DU0710000110</v>
          </cell>
          <cell r="C626" t="str">
            <v>DU07</v>
          </cell>
          <cell r="D626" t="str">
            <v>D358</v>
          </cell>
          <cell r="E626">
            <v>10000110</v>
          </cell>
          <cell r="F626" t="str">
            <v>GRAVA TRITURADA CALIZA 20 MM “3/4"–INTEG</v>
          </cell>
          <cell r="G626">
            <v>188.58</v>
          </cell>
          <cell r="H626" t="str">
            <v>MXN</v>
          </cell>
          <cell r="I626">
            <v>1</v>
          </cell>
          <cell r="J626" t="str">
            <v>TN</v>
          </cell>
          <cell r="K626" t="str">
            <v>C</v>
          </cell>
          <cell r="M626" t="str">
            <v>01.01.2025</v>
          </cell>
          <cell r="N626" t="str">
            <v>31.03.2025</v>
          </cell>
          <cell r="O626">
            <v>78.099999999999994</v>
          </cell>
          <cell r="P626">
            <v>266.68</v>
          </cell>
        </row>
        <row r="627">
          <cell r="B627" t="str">
            <v>DU0710000112</v>
          </cell>
          <cell r="C627" t="str">
            <v>DU07</v>
          </cell>
          <cell r="D627" t="str">
            <v>D358</v>
          </cell>
          <cell r="E627">
            <v>10000112</v>
          </cell>
          <cell r="F627" t="str">
            <v>Grava Triturada Caliza 13 mm -1/2" -Esp</v>
          </cell>
          <cell r="G627">
            <v>188.58</v>
          </cell>
          <cell r="H627" t="str">
            <v>MXN</v>
          </cell>
          <cell r="I627">
            <v>1</v>
          </cell>
          <cell r="J627" t="str">
            <v>TN</v>
          </cell>
          <cell r="K627" t="str">
            <v>C</v>
          </cell>
          <cell r="M627" t="str">
            <v>01.01.2025</v>
          </cell>
          <cell r="N627" t="str">
            <v>31.03.2025</v>
          </cell>
          <cell r="O627">
            <v>29.42</v>
          </cell>
          <cell r="P627">
            <v>218</v>
          </cell>
        </row>
        <row r="628">
          <cell r="B628" t="str">
            <v>DU0710264038</v>
          </cell>
          <cell r="C628" t="str">
            <v>DU07</v>
          </cell>
          <cell r="D628" t="str">
            <v>D358</v>
          </cell>
          <cell r="E628">
            <v>10264038</v>
          </cell>
          <cell r="F628" t="str">
            <v>MOV ARENA TRITURADA CALIZA MALLA 4</v>
          </cell>
          <cell r="G628">
            <v>192.51</v>
          </cell>
          <cell r="H628" t="str">
            <v>MXN</v>
          </cell>
          <cell r="I628">
            <v>1</v>
          </cell>
          <cell r="J628" t="str">
            <v>TN</v>
          </cell>
          <cell r="K628" t="str">
            <v>C</v>
          </cell>
          <cell r="M628" t="str">
            <v>11.03.2025</v>
          </cell>
          <cell r="N628" t="str">
            <v>31.03.2025</v>
          </cell>
          <cell r="O628">
            <v>117.59</v>
          </cell>
          <cell r="P628">
            <v>310.10000000000002</v>
          </cell>
        </row>
        <row r="629">
          <cell r="B629" t="str">
            <v>DU0710264039</v>
          </cell>
          <cell r="C629" t="str">
            <v>DU07</v>
          </cell>
          <cell r="D629" t="str">
            <v>D358</v>
          </cell>
          <cell r="E629">
            <v>10264039</v>
          </cell>
          <cell r="F629" t="str">
            <v>MOV GRAVA TRITURADA CALIZA 20MM 3/4 INTE</v>
          </cell>
          <cell r="G629">
            <v>188.58</v>
          </cell>
          <cell r="H629" t="str">
            <v>MXN</v>
          </cell>
          <cell r="I629">
            <v>1</v>
          </cell>
          <cell r="J629" t="str">
            <v>TN</v>
          </cell>
          <cell r="K629" t="str">
            <v>C</v>
          </cell>
          <cell r="M629" t="str">
            <v>11.03.2025</v>
          </cell>
          <cell r="N629" t="str">
            <v>31.03.2025</v>
          </cell>
          <cell r="O629">
            <v>78.099999999999994</v>
          </cell>
          <cell r="P629">
            <v>266.68</v>
          </cell>
        </row>
        <row r="630">
          <cell r="B630" t="str">
            <v>DU0710000101</v>
          </cell>
          <cell r="C630" t="str">
            <v>DU07</v>
          </cell>
          <cell r="D630" t="str">
            <v>D678</v>
          </cell>
          <cell r="E630">
            <v>10000101</v>
          </cell>
          <cell r="F630" t="str">
            <v>Arena Triturada Caliza Malla 4 -Especial</v>
          </cell>
          <cell r="G630">
            <v>192.51</v>
          </cell>
          <cell r="H630" t="str">
            <v>MXN</v>
          </cell>
          <cell r="I630">
            <v>1</v>
          </cell>
          <cell r="J630" t="str">
            <v>TN</v>
          </cell>
          <cell r="K630" t="str">
            <v>C</v>
          </cell>
          <cell r="M630" t="str">
            <v>01.01.2025</v>
          </cell>
          <cell r="N630" t="str">
            <v>31.03.2025</v>
          </cell>
          <cell r="O630">
            <v>117.59</v>
          </cell>
          <cell r="P630">
            <v>310.10000000000002</v>
          </cell>
        </row>
        <row r="631">
          <cell r="B631" t="str">
            <v>DU0710000110</v>
          </cell>
          <cell r="C631" t="str">
            <v>DU07</v>
          </cell>
          <cell r="D631" t="str">
            <v>D678</v>
          </cell>
          <cell r="E631">
            <v>10000110</v>
          </cell>
          <cell r="F631" t="str">
            <v>GRAVA TRITURADA CALIZA 20 MM “3/4"–INTEG</v>
          </cell>
          <cell r="G631">
            <v>188.58</v>
          </cell>
          <cell r="H631" t="str">
            <v>MXN</v>
          </cell>
          <cell r="I631">
            <v>1</v>
          </cell>
          <cell r="J631" t="str">
            <v>TN</v>
          </cell>
          <cell r="K631" t="str">
            <v>C</v>
          </cell>
          <cell r="M631" t="str">
            <v>01.01.2025</v>
          </cell>
          <cell r="N631" t="str">
            <v>31.03.2025</v>
          </cell>
          <cell r="O631">
            <v>78.099999999999994</v>
          </cell>
          <cell r="P631">
            <v>266.68</v>
          </cell>
        </row>
        <row r="632">
          <cell r="B632" t="str">
            <v>DU0710000111</v>
          </cell>
          <cell r="C632" t="str">
            <v>DU07</v>
          </cell>
          <cell r="D632" t="str">
            <v>D678</v>
          </cell>
          <cell r="E632">
            <v>10000111</v>
          </cell>
          <cell r="F632" t="str">
            <v>Grava Triturada Caliza 40mm -1 1/2" -Esp</v>
          </cell>
          <cell r="G632">
            <v>188.58</v>
          </cell>
          <cell r="H632" t="str">
            <v>MXN</v>
          </cell>
          <cell r="I632">
            <v>1</v>
          </cell>
          <cell r="J632" t="str">
            <v>TN</v>
          </cell>
          <cell r="K632" t="str">
            <v>C</v>
          </cell>
          <cell r="M632" t="str">
            <v>01.01.2025</v>
          </cell>
          <cell r="N632" t="str">
            <v>31.03.2025</v>
          </cell>
          <cell r="O632" t="str">
            <v>47.40-</v>
          </cell>
          <cell r="P632" t="e">
            <v>#VALUE!</v>
          </cell>
        </row>
        <row r="633">
          <cell r="B633" t="str">
            <v>DU0710000112</v>
          </cell>
          <cell r="C633" t="str">
            <v>DU07</v>
          </cell>
          <cell r="D633" t="str">
            <v>D678</v>
          </cell>
          <cell r="E633">
            <v>10000112</v>
          </cell>
          <cell r="F633" t="str">
            <v>Grava Triturada Caliza 13 mm -1/2" -Esp</v>
          </cell>
          <cell r="G633">
            <v>188.58</v>
          </cell>
          <cell r="H633" t="str">
            <v>MXN</v>
          </cell>
          <cell r="I633">
            <v>1</v>
          </cell>
          <cell r="J633" t="str">
            <v>TN</v>
          </cell>
          <cell r="K633" t="str">
            <v>C</v>
          </cell>
          <cell r="M633" t="str">
            <v>01.01.2025</v>
          </cell>
          <cell r="N633" t="str">
            <v>31.03.2025</v>
          </cell>
          <cell r="O633">
            <v>29.42</v>
          </cell>
          <cell r="P633">
            <v>218</v>
          </cell>
        </row>
        <row r="634">
          <cell r="B634" t="str">
            <v>DU0710000115</v>
          </cell>
          <cell r="C634" t="str">
            <v>DU07</v>
          </cell>
          <cell r="D634" t="str">
            <v>D678</v>
          </cell>
          <cell r="E634">
            <v>10000115</v>
          </cell>
          <cell r="F634" t="str">
            <v>Grava Triturada Caliza 10 mm -3/8" -Esp</v>
          </cell>
          <cell r="G634">
            <v>188.58</v>
          </cell>
          <cell r="H634" t="str">
            <v>MXN</v>
          </cell>
          <cell r="I634">
            <v>1</v>
          </cell>
          <cell r="J634" t="str">
            <v>TN</v>
          </cell>
          <cell r="K634" t="str">
            <v>C</v>
          </cell>
          <cell r="M634" t="str">
            <v>01.01.2025</v>
          </cell>
          <cell r="N634" t="str">
            <v>31.03.2025</v>
          </cell>
          <cell r="O634">
            <v>156.41999999999999</v>
          </cell>
          <cell r="P634">
            <v>345</v>
          </cell>
        </row>
        <row r="635">
          <cell r="B635" t="str">
            <v>DU0710251742</v>
          </cell>
          <cell r="C635" t="str">
            <v>DU07</v>
          </cell>
          <cell r="D635" t="str">
            <v>D678</v>
          </cell>
          <cell r="E635">
            <v>10251742</v>
          </cell>
          <cell r="F635" t="str">
            <v>ARENA TRITURADA CALIZA 10MM -3/8"-CMX</v>
          </cell>
          <cell r="G635">
            <v>192.51</v>
          </cell>
          <cell r="H635" t="str">
            <v>MXN</v>
          </cell>
          <cell r="I635">
            <v>1</v>
          </cell>
          <cell r="J635" t="str">
            <v>TN</v>
          </cell>
          <cell r="K635" t="str">
            <v>C</v>
          </cell>
          <cell r="M635" t="str">
            <v>01.01.2025</v>
          </cell>
          <cell r="N635" t="str">
            <v>31.03.2025</v>
          </cell>
          <cell r="O635">
            <v>117.63</v>
          </cell>
          <cell r="P635">
            <v>310.14</v>
          </cell>
        </row>
        <row r="636">
          <cell r="B636" t="str">
            <v>DU0710264038</v>
          </cell>
          <cell r="C636" t="str">
            <v>DU07</v>
          </cell>
          <cell r="D636" t="str">
            <v>D678</v>
          </cell>
          <cell r="E636">
            <v>10264038</v>
          </cell>
          <cell r="F636" t="str">
            <v>MOV ARENA TRITURADA CALIZA MALLA 4</v>
          </cell>
          <cell r="G636">
            <v>192.51</v>
          </cell>
          <cell r="H636" t="str">
            <v>MXN</v>
          </cell>
          <cell r="I636">
            <v>1</v>
          </cell>
          <cell r="J636" t="str">
            <v>TN</v>
          </cell>
          <cell r="K636" t="str">
            <v>C</v>
          </cell>
          <cell r="M636" t="str">
            <v>11.03.2025</v>
          </cell>
          <cell r="N636" t="str">
            <v>31.03.2025</v>
          </cell>
          <cell r="O636">
            <v>117.59</v>
          </cell>
          <cell r="P636">
            <v>310.10000000000002</v>
          </cell>
        </row>
        <row r="637">
          <cell r="B637" t="str">
            <v>DU0710264039</v>
          </cell>
          <cell r="C637" t="str">
            <v>DU07</v>
          </cell>
          <cell r="D637" t="str">
            <v>D678</v>
          </cell>
          <cell r="E637">
            <v>10264039</v>
          </cell>
          <cell r="F637" t="str">
            <v>MOV GRAVA TRITURADA CALIZA 20MM 3/4 INTE</v>
          </cell>
          <cell r="G637">
            <v>188.58</v>
          </cell>
          <cell r="H637" t="str">
            <v>MXN</v>
          </cell>
          <cell r="I637">
            <v>1</v>
          </cell>
          <cell r="J637" t="str">
            <v>TN</v>
          </cell>
          <cell r="K637" t="str">
            <v>C</v>
          </cell>
          <cell r="M637" t="str">
            <v>11.03.2025</v>
          </cell>
          <cell r="N637" t="str">
            <v>31.03.2025</v>
          </cell>
          <cell r="O637">
            <v>78.099999999999994</v>
          </cell>
          <cell r="P637">
            <v>266.68</v>
          </cell>
        </row>
        <row r="638">
          <cell r="B638" t="str">
            <v>DU0710000101</v>
          </cell>
          <cell r="C638" t="str">
            <v>DU07</v>
          </cell>
          <cell r="D638" t="str">
            <v>E674</v>
          </cell>
          <cell r="E638">
            <v>10000101</v>
          </cell>
          <cell r="F638" t="str">
            <v>Arena Triturada Caliza Malla 4 -Especial</v>
          </cell>
          <cell r="G638">
            <v>204.66</v>
          </cell>
          <cell r="H638" t="str">
            <v>MXN</v>
          </cell>
          <cell r="I638">
            <v>1</v>
          </cell>
          <cell r="J638" t="str">
            <v>TN</v>
          </cell>
          <cell r="K638" t="str">
            <v>C</v>
          </cell>
          <cell r="M638" t="str">
            <v>27.07.2022</v>
          </cell>
          <cell r="N638" t="str">
            <v>31.03.2025</v>
          </cell>
          <cell r="O638" t="e">
            <v>#N/A</v>
          </cell>
          <cell r="P638" t="e">
            <v>#N/A</v>
          </cell>
        </row>
        <row r="639">
          <cell r="B639" t="str">
            <v>DU0710000110</v>
          </cell>
          <cell r="C639" t="str">
            <v>DU07</v>
          </cell>
          <cell r="D639" t="str">
            <v>E674</v>
          </cell>
          <cell r="E639">
            <v>10000110</v>
          </cell>
          <cell r="F639" t="str">
            <v>GRAVA TRITURADA CALIZA 20 MM “3/4"–INTEG</v>
          </cell>
          <cell r="G639">
            <v>208.16</v>
          </cell>
          <cell r="H639" t="str">
            <v>MXN</v>
          </cell>
          <cell r="I639">
            <v>1</v>
          </cell>
          <cell r="J639" t="str">
            <v>TN</v>
          </cell>
          <cell r="K639" t="str">
            <v>C</v>
          </cell>
          <cell r="M639" t="str">
            <v>27.07.2022</v>
          </cell>
          <cell r="N639" t="str">
            <v>31.03.2025</v>
          </cell>
          <cell r="O639" t="e">
            <v>#N/A</v>
          </cell>
          <cell r="P639" t="e">
            <v>#N/A</v>
          </cell>
        </row>
        <row r="640">
          <cell r="B640" t="str">
            <v>DU0710000112</v>
          </cell>
          <cell r="C640" t="str">
            <v>DU07</v>
          </cell>
          <cell r="D640" t="str">
            <v>E674</v>
          </cell>
          <cell r="E640">
            <v>10000112</v>
          </cell>
          <cell r="F640" t="str">
            <v>Grava Triturada Caliza 13 mm -1/2" -Esp</v>
          </cell>
          <cell r="G640">
            <v>263.81</v>
          </cell>
          <cell r="H640" t="str">
            <v>MXN</v>
          </cell>
          <cell r="I640">
            <v>1</v>
          </cell>
          <cell r="J640" t="str">
            <v>TN</v>
          </cell>
          <cell r="K640" t="str">
            <v>C</v>
          </cell>
          <cell r="M640" t="str">
            <v>22.08.2023</v>
          </cell>
          <cell r="N640" t="str">
            <v>31.03.2025</v>
          </cell>
          <cell r="O640" t="e">
            <v>#N/A</v>
          </cell>
          <cell r="P640" t="e">
            <v>#N/A</v>
          </cell>
        </row>
        <row r="641">
          <cell r="B641" t="str">
            <v>DU0710264038</v>
          </cell>
          <cell r="C641" t="str">
            <v>DU07</v>
          </cell>
          <cell r="D641" t="str">
            <v>E674</v>
          </cell>
          <cell r="E641">
            <v>10264038</v>
          </cell>
          <cell r="F641" t="str">
            <v>MOV ARENA TRITURADA CALIZA MALLA 4</v>
          </cell>
          <cell r="G641">
            <v>204.66</v>
          </cell>
          <cell r="H641" t="str">
            <v>MXN</v>
          </cell>
          <cell r="I641">
            <v>1</v>
          </cell>
          <cell r="J641" t="str">
            <v>TN</v>
          </cell>
          <cell r="K641" t="str">
            <v>C</v>
          </cell>
          <cell r="M641" t="str">
            <v>11.03.2025</v>
          </cell>
          <cell r="N641" t="str">
            <v>31.03.2025</v>
          </cell>
          <cell r="O641" t="e">
            <v>#N/A</v>
          </cell>
          <cell r="P641" t="e">
            <v>#N/A</v>
          </cell>
        </row>
        <row r="642">
          <cell r="B642" t="str">
            <v>DU0710264039</v>
          </cell>
          <cell r="C642" t="str">
            <v>DU07</v>
          </cell>
          <cell r="D642" t="str">
            <v>E674</v>
          </cell>
          <cell r="E642">
            <v>10264039</v>
          </cell>
          <cell r="F642" t="str">
            <v>MOV GRAVA TRITURADA CALIZA 20MM 3/4 INTE</v>
          </cell>
          <cell r="G642">
            <v>208.16</v>
          </cell>
          <cell r="H642" t="str">
            <v>MXN</v>
          </cell>
          <cell r="I642">
            <v>1</v>
          </cell>
          <cell r="J642" t="str">
            <v>TN</v>
          </cell>
          <cell r="K642" t="str">
            <v>C</v>
          </cell>
          <cell r="M642" t="str">
            <v>11.03.2025</v>
          </cell>
          <cell r="N642" t="str">
            <v>31.03.2025</v>
          </cell>
          <cell r="O642" t="e">
            <v>#N/A</v>
          </cell>
          <cell r="P642" t="e">
            <v>#N/A</v>
          </cell>
        </row>
        <row r="643">
          <cell r="B643" t="str">
            <v>DU0710000101</v>
          </cell>
          <cell r="C643" t="str">
            <v>DU07</v>
          </cell>
          <cell r="D643" t="str">
            <v>EQ86</v>
          </cell>
          <cell r="E643">
            <v>10000101</v>
          </cell>
          <cell r="F643" t="str">
            <v>Arena Triturada Caliza Malla 4 -Especial</v>
          </cell>
          <cell r="G643">
            <v>345.8</v>
          </cell>
          <cell r="H643" t="str">
            <v>MXN</v>
          </cell>
          <cell r="I643">
            <v>1</v>
          </cell>
          <cell r="J643" t="str">
            <v>TN</v>
          </cell>
          <cell r="K643" t="str">
            <v>C</v>
          </cell>
          <cell r="M643" t="str">
            <v>19.03.2025</v>
          </cell>
          <cell r="N643" t="str">
            <v>31.12.9999</v>
          </cell>
          <cell r="O643" t="e">
            <v>#N/A</v>
          </cell>
          <cell r="P643" t="e">
            <v>#N/A</v>
          </cell>
        </row>
        <row r="644">
          <cell r="B644" t="str">
            <v>DU0710000103</v>
          </cell>
          <cell r="C644" t="str">
            <v>DU07</v>
          </cell>
          <cell r="D644" t="str">
            <v>EQ86</v>
          </cell>
          <cell r="E644">
            <v>10000103</v>
          </cell>
          <cell r="F644" t="str">
            <v>Base H Triturada Caliza 1 1/2" a Finos</v>
          </cell>
          <cell r="G644">
            <v>110.47</v>
          </cell>
          <cell r="H644" t="str">
            <v>MXN</v>
          </cell>
          <cell r="I644">
            <v>1</v>
          </cell>
          <cell r="J644" t="str">
            <v>TN</v>
          </cell>
          <cell r="K644" t="str">
            <v>C</v>
          </cell>
          <cell r="M644" t="str">
            <v>19.03.2025</v>
          </cell>
          <cell r="N644" t="str">
            <v>31.12.9999</v>
          </cell>
          <cell r="O644" t="e">
            <v>#N/A</v>
          </cell>
          <cell r="P644" t="e">
            <v>#N/A</v>
          </cell>
        </row>
        <row r="645">
          <cell r="B645" t="str">
            <v>DU0710000110</v>
          </cell>
          <cell r="C645" t="str">
            <v>DU07</v>
          </cell>
          <cell r="D645" t="str">
            <v>EQ86</v>
          </cell>
          <cell r="E645">
            <v>10000110</v>
          </cell>
          <cell r="F645" t="str">
            <v>GRAVA TRITURADA CALIZA 20 MM “3/4"–INTEG</v>
          </cell>
          <cell r="G645">
            <v>316.39999999999998</v>
          </cell>
          <cell r="H645" t="str">
            <v>MXN</v>
          </cell>
          <cell r="I645">
            <v>1</v>
          </cell>
          <cell r="J645" t="str">
            <v>TN</v>
          </cell>
          <cell r="K645" t="str">
            <v>C</v>
          </cell>
          <cell r="M645" t="str">
            <v>19.03.2025</v>
          </cell>
          <cell r="N645" t="str">
            <v>31.12.9999</v>
          </cell>
          <cell r="O645" t="e">
            <v>#N/A</v>
          </cell>
          <cell r="P645" t="e">
            <v>#N/A</v>
          </cell>
        </row>
        <row r="646">
          <cell r="B646" t="str">
            <v>DU0710000112</v>
          </cell>
          <cell r="C646" t="str">
            <v>DU07</v>
          </cell>
          <cell r="D646" t="str">
            <v>EQ86</v>
          </cell>
          <cell r="E646">
            <v>10000112</v>
          </cell>
          <cell r="F646" t="str">
            <v>Grava Triturada Caliza 13 mm -1/2" -Esp</v>
          </cell>
          <cell r="G646">
            <v>263.82</v>
          </cell>
          <cell r="H646" t="str">
            <v>MXN</v>
          </cell>
          <cell r="I646">
            <v>1</v>
          </cell>
          <cell r="J646" t="str">
            <v>TN</v>
          </cell>
          <cell r="K646" t="str">
            <v>C</v>
          </cell>
          <cell r="M646" t="str">
            <v>01.06.2023</v>
          </cell>
          <cell r="N646" t="str">
            <v>31.12.9999</v>
          </cell>
          <cell r="O646" t="e">
            <v>#N/A</v>
          </cell>
          <cell r="P646" t="e">
            <v>#N/A</v>
          </cell>
        </row>
        <row r="647">
          <cell r="B647" t="str">
            <v>DU0710251742</v>
          </cell>
          <cell r="C647" t="str">
            <v>DU07</v>
          </cell>
          <cell r="D647" t="str">
            <v>EQ86</v>
          </cell>
          <cell r="E647">
            <v>10251742</v>
          </cell>
          <cell r="F647" t="str">
            <v>ARENA TRITURADA CALIZA 10MM -3/8"-CMX</v>
          </cell>
          <cell r="G647">
            <v>325.32</v>
          </cell>
          <cell r="H647" t="str">
            <v>MXN</v>
          </cell>
          <cell r="I647">
            <v>1</v>
          </cell>
          <cell r="J647" t="str">
            <v>TN</v>
          </cell>
          <cell r="K647" t="str">
            <v>C</v>
          </cell>
          <cell r="M647" t="str">
            <v>05.12.2023</v>
          </cell>
          <cell r="N647" t="str">
            <v>31.12.9999</v>
          </cell>
          <cell r="O647" t="e">
            <v>#N/A</v>
          </cell>
          <cell r="P647" t="e">
            <v>#N/A</v>
          </cell>
        </row>
        <row r="648">
          <cell r="B648" t="str">
            <v>DU0710264038</v>
          </cell>
          <cell r="C648" t="str">
            <v>DU07</v>
          </cell>
          <cell r="D648" t="str">
            <v>EQ86</v>
          </cell>
          <cell r="E648">
            <v>10264038</v>
          </cell>
          <cell r="F648" t="str">
            <v>MOV ARENA TRITURADA CALIZA MALLA 4</v>
          </cell>
          <cell r="G648">
            <v>261.11</v>
          </cell>
          <cell r="H648" t="str">
            <v>MXN</v>
          </cell>
          <cell r="I648">
            <v>1</v>
          </cell>
          <cell r="J648" t="str">
            <v>TN</v>
          </cell>
          <cell r="K648" t="str">
            <v>C</v>
          </cell>
          <cell r="M648" t="str">
            <v>11.03.2025</v>
          </cell>
          <cell r="N648" t="str">
            <v>31.12.9999</v>
          </cell>
          <cell r="O648" t="e">
            <v>#N/A</v>
          </cell>
          <cell r="P648" t="e">
            <v>#N/A</v>
          </cell>
        </row>
        <row r="649">
          <cell r="B649" t="str">
            <v>DU0710264039</v>
          </cell>
          <cell r="C649" t="str">
            <v>DU07</v>
          </cell>
          <cell r="D649" t="str">
            <v>EQ86</v>
          </cell>
          <cell r="E649">
            <v>10264039</v>
          </cell>
          <cell r="F649" t="str">
            <v>MOV GRAVA TRITURADA CALIZA 20MM 3/4 INTE</v>
          </cell>
          <cell r="G649">
            <v>262.27999999999997</v>
          </cell>
          <cell r="H649" t="str">
            <v>MXN</v>
          </cell>
          <cell r="I649">
            <v>1</v>
          </cell>
          <cell r="J649" t="str">
            <v>TN</v>
          </cell>
          <cell r="K649" t="str">
            <v>C</v>
          </cell>
          <cell r="M649" t="str">
            <v>11.03.2025</v>
          </cell>
          <cell r="N649" t="str">
            <v>31.12.9999</v>
          </cell>
          <cell r="O649" t="e">
            <v>#N/A</v>
          </cell>
          <cell r="P649" t="e">
            <v>#N/A</v>
          </cell>
        </row>
        <row r="650">
          <cell r="B650" t="str">
            <v>DU0710000101</v>
          </cell>
          <cell r="C650" t="str">
            <v>DU07</v>
          </cell>
          <cell r="D650" t="str">
            <v>ER00</v>
          </cell>
          <cell r="E650">
            <v>10000101</v>
          </cell>
          <cell r="F650" t="str">
            <v>Arena Triturada Caliza Malla 4 -Especial</v>
          </cell>
          <cell r="G650">
            <v>261.11</v>
          </cell>
          <cell r="H650" t="str">
            <v>MXN</v>
          </cell>
          <cell r="I650">
            <v>1</v>
          </cell>
          <cell r="J650" t="str">
            <v>TN</v>
          </cell>
          <cell r="K650" t="str">
            <v>C</v>
          </cell>
          <cell r="M650" t="str">
            <v>31.10.2023</v>
          </cell>
          <cell r="N650" t="str">
            <v>31.03.2025</v>
          </cell>
          <cell r="O650" t="e">
            <v>#N/A</v>
          </cell>
          <cell r="P650" t="e">
            <v>#N/A</v>
          </cell>
        </row>
        <row r="651">
          <cell r="B651" t="str">
            <v>DU0710000110</v>
          </cell>
          <cell r="C651" t="str">
            <v>DU07</v>
          </cell>
          <cell r="D651" t="str">
            <v>ER00</v>
          </cell>
          <cell r="E651">
            <v>10000110</v>
          </cell>
          <cell r="F651" t="str">
            <v>GRAVA TRITURADA CALIZA 20 MM “3/4"–INTEG</v>
          </cell>
          <cell r="G651">
            <v>262.27999999999997</v>
          </cell>
          <cell r="H651" t="str">
            <v>MXN</v>
          </cell>
          <cell r="I651">
            <v>1</v>
          </cell>
          <cell r="J651" t="str">
            <v>TN</v>
          </cell>
          <cell r="K651" t="str">
            <v>C</v>
          </cell>
          <cell r="M651" t="str">
            <v>31.10.2023</v>
          </cell>
          <cell r="N651" t="str">
            <v>31.03.2025</v>
          </cell>
          <cell r="O651" t="e">
            <v>#N/A</v>
          </cell>
          <cell r="P651" t="e">
            <v>#N/A</v>
          </cell>
        </row>
        <row r="652">
          <cell r="B652" t="str">
            <v>DU0710251742</v>
          </cell>
          <cell r="C652" t="str">
            <v>DU07</v>
          </cell>
          <cell r="D652" t="str">
            <v>ER00</v>
          </cell>
          <cell r="E652">
            <v>10251742</v>
          </cell>
          <cell r="F652" t="str">
            <v>ARENA TRITURADA CALIZA 10MM -3/8"-CMX</v>
          </cell>
          <cell r="G652">
            <v>325.32</v>
          </cell>
          <cell r="H652" t="str">
            <v>MXN</v>
          </cell>
          <cell r="I652">
            <v>1</v>
          </cell>
          <cell r="J652" t="str">
            <v>TN</v>
          </cell>
          <cell r="K652" t="str">
            <v>C</v>
          </cell>
          <cell r="M652" t="str">
            <v>05.12.2023</v>
          </cell>
          <cell r="N652" t="str">
            <v>31.03.2025</v>
          </cell>
          <cell r="O652" t="e">
            <v>#N/A</v>
          </cell>
          <cell r="P652" t="e">
            <v>#N/A</v>
          </cell>
        </row>
        <row r="653">
          <cell r="B653" t="str">
            <v>DU0710264038</v>
          </cell>
          <cell r="C653" t="str">
            <v>DU07</v>
          </cell>
          <cell r="D653" t="str">
            <v>ER00</v>
          </cell>
          <cell r="E653">
            <v>10264038</v>
          </cell>
          <cell r="F653" t="str">
            <v>MOV ARENA TRITURADA CALIZA MALLA 4</v>
          </cell>
          <cell r="G653">
            <v>261.11</v>
          </cell>
          <cell r="H653" t="str">
            <v>MXN</v>
          </cell>
          <cell r="I653">
            <v>1</v>
          </cell>
          <cell r="J653" t="str">
            <v>TN</v>
          </cell>
          <cell r="K653" t="str">
            <v>C</v>
          </cell>
          <cell r="M653" t="str">
            <v>11.03.2025</v>
          </cell>
          <cell r="N653" t="str">
            <v>31.03.2025</v>
          </cell>
          <cell r="O653" t="e">
            <v>#N/A</v>
          </cell>
          <cell r="P653" t="e">
            <v>#N/A</v>
          </cell>
        </row>
        <row r="654">
          <cell r="B654" t="str">
            <v>DU0710264039</v>
          </cell>
          <cell r="C654" t="str">
            <v>DU07</v>
          </cell>
          <cell r="D654" t="str">
            <v>ER00</v>
          </cell>
          <cell r="E654">
            <v>10264039</v>
          </cell>
          <cell r="F654" t="str">
            <v>MOV GRAVA TRITURADA CALIZA 20MM 3/4 INTE</v>
          </cell>
          <cell r="G654">
            <v>262.27999999999997</v>
          </cell>
          <cell r="H654" t="str">
            <v>MXN</v>
          </cell>
          <cell r="I654">
            <v>1</v>
          </cell>
          <cell r="J654" t="str">
            <v>TN</v>
          </cell>
          <cell r="K654" t="str">
            <v>C</v>
          </cell>
          <cell r="M654" t="str">
            <v>11.03.2025</v>
          </cell>
          <cell r="N654" t="str">
            <v>31.03.2025</v>
          </cell>
          <cell r="O654" t="e">
            <v>#N/A</v>
          </cell>
          <cell r="P654" t="e">
            <v>#N/A</v>
          </cell>
        </row>
        <row r="655">
          <cell r="B655" t="str">
            <v>DU0710000101</v>
          </cell>
          <cell r="C655" t="str">
            <v>DU07</v>
          </cell>
          <cell r="D655" t="str">
            <v>ER68</v>
          </cell>
          <cell r="E655">
            <v>10000101</v>
          </cell>
          <cell r="F655" t="str">
            <v>Arena Triturada Caliza Malla 4 -Especial</v>
          </cell>
          <cell r="G655">
            <v>261.11</v>
          </cell>
          <cell r="H655" t="str">
            <v>MXN</v>
          </cell>
          <cell r="I655">
            <v>1</v>
          </cell>
          <cell r="J655" t="str">
            <v>TN</v>
          </cell>
          <cell r="K655" t="str">
            <v>C</v>
          </cell>
          <cell r="M655" t="str">
            <v>01.06.2023</v>
          </cell>
          <cell r="N655" t="str">
            <v>31.03.2025</v>
          </cell>
          <cell r="O655" t="e">
            <v>#N/A</v>
          </cell>
          <cell r="P655" t="e">
            <v>#N/A</v>
          </cell>
        </row>
        <row r="656">
          <cell r="B656" t="str">
            <v>DU0710000110</v>
          </cell>
          <cell r="C656" t="str">
            <v>DU07</v>
          </cell>
          <cell r="D656" t="str">
            <v>ER68</v>
          </cell>
          <cell r="E656">
            <v>10000110</v>
          </cell>
          <cell r="F656" t="str">
            <v>GRAVA TRITURADA CALIZA 20 MM “3/4"–INTEG</v>
          </cell>
          <cell r="G656">
            <v>262.27999999999997</v>
          </cell>
          <cell r="H656" t="str">
            <v>MXN</v>
          </cell>
          <cell r="I656">
            <v>1</v>
          </cell>
          <cell r="J656" t="str">
            <v>TN</v>
          </cell>
          <cell r="K656" t="str">
            <v>C</v>
          </cell>
          <cell r="M656" t="str">
            <v>01.06.2023</v>
          </cell>
          <cell r="N656" t="str">
            <v>31.03.2025</v>
          </cell>
          <cell r="O656" t="e">
            <v>#N/A</v>
          </cell>
          <cell r="P656" t="e">
            <v>#N/A</v>
          </cell>
        </row>
        <row r="657">
          <cell r="B657" t="str">
            <v>DU0710000112</v>
          </cell>
          <cell r="C657" t="str">
            <v>DU07</v>
          </cell>
          <cell r="D657" t="str">
            <v>ER68</v>
          </cell>
          <cell r="E657">
            <v>10000112</v>
          </cell>
          <cell r="F657" t="str">
            <v>Grava Triturada Caliza 13 mm -1/2" -Esp</v>
          </cell>
          <cell r="G657">
            <v>263.82</v>
          </cell>
          <cell r="H657" t="str">
            <v>MXN</v>
          </cell>
          <cell r="I657">
            <v>1</v>
          </cell>
          <cell r="J657" t="str">
            <v>TN</v>
          </cell>
          <cell r="K657" t="str">
            <v>C</v>
          </cell>
          <cell r="M657" t="str">
            <v>01.06.2023</v>
          </cell>
          <cell r="N657" t="str">
            <v>31.03.2025</v>
          </cell>
          <cell r="O657" t="e">
            <v>#N/A</v>
          </cell>
          <cell r="P657" t="e">
            <v>#N/A</v>
          </cell>
        </row>
        <row r="658">
          <cell r="B658" t="str">
            <v>DU0710251742</v>
          </cell>
          <cell r="C658" t="str">
            <v>DU07</v>
          </cell>
          <cell r="D658" t="str">
            <v>ER68</v>
          </cell>
          <cell r="E658">
            <v>10251742</v>
          </cell>
          <cell r="F658" t="str">
            <v>ARENA TRITURADA CALIZA 10MM -3/8"-CMX</v>
          </cell>
          <cell r="G658">
            <v>325.32</v>
          </cell>
          <cell r="H658" t="str">
            <v>MXN</v>
          </cell>
          <cell r="I658">
            <v>1</v>
          </cell>
          <cell r="J658" t="str">
            <v>TN</v>
          </cell>
          <cell r="K658" t="str">
            <v>C</v>
          </cell>
          <cell r="M658" t="str">
            <v>05.12.2023</v>
          </cell>
          <cell r="N658" t="str">
            <v>31.03.2025</v>
          </cell>
          <cell r="O658" t="e">
            <v>#N/A</v>
          </cell>
          <cell r="P658" t="e">
            <v>#N/A</v>
          </cell>
        </row>
        <row r="659">
          <cell r="B659" t="str">
            <v>DU0710264038</v>
          </cell>
          <cell r="C659" t="str">
            <v>DU07</v>
          </cell>
          <cell r="D659" t="str">
            <v>ER68</v>
          </cell>
          <cell r="E659">
            <v>10264038</v>
          </cell>
          <cell r="F659" t="str">
            <v>MOV ARENA TRITURADA CALIZA MALLA 4</v>
          </cell>
          <cell r="G659">
            <v>261.11</v>
          </cell>
          <cell r="H659" t="str">
            <v>MXN</v>
          </cell>
          <cell r="I659">
            <v>1</v>
          </cell>
          <cell r="J659" t="str">
            <v>TN</v>
          </cell>
          <cell r="K659" t="str">
            <v>C</v>
          </cell>
          <cell r="M659" t="str">
            <v>11.03.2025</v>
          </cell>
          <cell r="N659" t="str">
            <v>31.03.2025</v>
          </cell>
          <cell r="O659" t="e">
            <v>#N/A</v>
          </cell>
          <cell r="P659" t="e">
            <v>#N/A</v>
          </cell>
        </row>
        <row r="660">
          <cell r="B660" t="str">
            <v>DU0710264039</v>
          </cell>
          <cell r="C660" t="str">
            <v>DU07</v>
          </cell>
          <cell r="D660" t="str">
            <v>ER68</v>
          </cell>
          <cell r="E660">
            <v>10264039</v>
          </cell>
          <cell r="F660" t="str">
            <v>MOV GRAVA TRITURADA CALIZA 20MM 3/4 INTE</v>
          </cell>
          <cell r="G660">
            <v>262.27999999999997</v>
          </cell>
          <cell r="H660" t="str">
            <v>MXN</v>
          </cell>
          <cell r="I660">
            <v>1</v>
          </cell>
          <cell r="J660" t="str">
            <v>TN</v>
          </cell>
          <cell r="K660" t="str">
            <v>C</v>
          </cell>
          <cell r="M660" t="str">
            <v>11.03.2025</v>
          </cell>
          <cell r="N660" t="str">
            <v>31.03.2025</v>
          </cell>
          <cell r="O660" t="e">
            <v>#N/A</v>
          </cell>
          <cell r="P660" t="e">
            <v>#N/A</v>
          </cell>
        </row>
      </sheetData>
      <sheetData sheetId="1"/>
      <sheetData sheetId="2"/>
      <sheetData sheetId="3">
        <row r="1">
          <cell r="H1" t="str">
            <v xml:space="preserve">Materia prima </v>
          </cell>
          <cell r="I1"/>
          <cell r="J1" t="str">
            <v>Integral MP</v>
          </cell>
        </row>
        <row r="2">
          <cell r="B2" t="str">
            <v>Llave 2</v>
          </cell>
          <cell r="C2" t="str">
            <v>Emisor</v>
          </cell>
          <cell r="D2" t="str">
            <v>Centro</v>
          </cell>
          <cell r="E2" t="str">
            <v>Centro Desc</v>
          </cell>
          <cell r="F2" t="str">
            <v>Material</v>
          </cell>
          <cell r="G2" t="str">
            <v>Denominación</v>
          </cell>
          <cell r="H2" t="str">
            <v>ZICP</v>
          </cell>
          <cell r="I2" t="str">
            <v>ZMIF</v>
          </cell>
          <cell r="J2" t="str">
            <v>ZICP+ZMIF</v>
          </cell>
        </row>
        <row r="3">
          <cell r="B3" t="str">
            <v>D81310000252</v>
          </cell>
          <cell r="C3" t="str">
            <v>D813</v>
          </cell>
          <cell r="D3" t="str">
            <v>D073</v>
          </cell>
          <cell r="E3" t="str">
            <v>MX-PD0037 TULA V</v>
          </cell>
          <cell r="F3">
            <v>10000252</v>
          </cell>
          <cell r="G3" t="str">
            <v>Grava Triturada Andesita 10 mm</v>
          </cell>
          <cell r="H3">
            <v>77.33</v>
          </cell>
          <cell r="I3">
            <v>37.6</v>
          </cell>
          <cell r="J3">
            <v>114.93</v>
          </cell>
        </row>
        <row r="4">
          <cell r="B4" t="str">
            <v>D81310000253</v>
          </cell>
          <cell r="C4" t="str">
            <v>D813</v>
          </cell>
          <cell r="D4" t="str">
            <v>D073</v>
          </cell>
          <cell r="E4" t="str">
            <v>MX-PD0037 TULA V</v>
          </cell>
          <cell r="F4">
            <v>10000253</v>
          </cell>
          <cell r="G4" t="str">
            <v>Grava Triturada Andesita 20 mm</v>
          </cell>
          <cell r="H4">
            <v>77.33</v>
          </cell>
          <cell r="I4">
            <v>26.67</v>
          </cell>
          <cell r="J4">
            <v>104</v>
          </cell>
        </row>
        <row r="5">
          <cell r="B5" t="str">
            <v>D81310000255</v>
          </cell>
          <cell r="C5" t="str">
            <v>D813</v>
          </cell>
          <cell r="D5" t="str">
            <v>D073</v>
          </cell>
          <cell r="E5" t="str">
            <v>MX-PD0037 TULA V</v>
          </cell>
          <cell r="F5">
            <v>10000255</v>
          </cell>
          <cell r="G5" t="str">
            <v>Arena Triturada Andesita Malla</v>
          </cell>
          <cell r="H5">
            <v>77.66</v>
          </cell>
          <cell r="I5">
            <v>26.48</v>
          </cell>
          <cell r="J5">
            <v>104.14</v>
          </cell>
        </row>
        <row r="6">
          <cell r="B6" t="str">
            <v>D81310001091</v>
          </cell>
          <cell r="C6" t="str">
            <v>D813</v>
          </cell>
          <cell r="D6" t="str">
            <v>D073</v>
          </cell>
          <cell r="E6" t="str">
            <v>MX-PD0037 TULA V</v>
          </cell>
          <cell r="F6">
            <v>10001091</v>
          </cell>
          <cell r="G6" t="str">
            <v>Balasto Triturado Andesita 150</v>
          </cell>
          <cell r="H6">
            <v>49.14</v>
          </cell>
          <cell r="I6">
            <v>-3.67</v>
          </cell>
          <cell r="J6">
            <v>45.47</v>
          </cell>
        </row>
        <row r="7">
          <cell r="B7" t="str">
            <v>D81310002350</v>
          </cell>
          <cell r="C7" t="str">
            <v>D813</v>
          </cell>
          <cell r="D7" t="str">
            <v>D073</v>
          </cell>
          <cell r="E7" t="str">
            <v>MX-PD0037 TULA V</v>
          </cell>
          <cell r="F7">
            <v>10002350</v>
          </cell>
          <cell r="G7" t="str">
            <v>Grava Triturada Andesita 10mm-</v>
          </cell>
          <cell r="H7">
            <v>77.33</v>
          </cell>
          <cell r="I7">
            <v>43.16</v>
          </cell>
          <cell r="J7">
            <v>120.49</v>
          </cell>
        </row>
        <row r="8">
          <cell r="B8" t="str">
            <v>D81310000252</v>
          </cell>
          <cell r="C8" t="str">
            <v>D813</v>
          </cell>
          <cell r="D8" t="str">
            <v>D074</v>
          </cell>
          <cell r="E8" t="str">
            <v>MX-PD-063 CENTRAL</v>
          </cell>
          <cell r="F8">
            <v>10000252</v>
          </cell>
          <cell r="G8" t="str">
            <v>Grava Triturada Andesita 10 mm</v>
          </cell>
          <cell r="H8">
            <v>77.33</v>
          </cell>
          <cell r="I8">
            <v>37.6</v>
          </cell>
          <cell r="J8">
            <v>114.93</v>
          </cell>
        </row>
        <row r="9">
          <cell r="B9" t="str">
            <v>D81310000253</v>
          </cell>
          <cell r="C9" t="str">
            <v>D813</v>
          </cell>
          <cell r="D9" t="str">
            <v>D074</v>
          </cell>
          <cell r="E9" t="str">
            <v>MX-PD-063 CENTRAL</v>
          </cell>
          <cell r="F9">
            <v>10000253</v>
          </cell>
          <cell r="G9" t="str">
            <v>Grava Triturada Andesita 20 mm</v>
          </cell>
          <cell r="H9">
            <v>77.33</v>
          </cell>
          <cell r="I9">
            <v>26.67</v>
          </cell>
          <cell r="J9">
            <v>104</v>
          </cell>
        </row>
        <row r="10">
          <cell r="B10" t="str">
            <v>D81310000255</v>
          </cell>
          <cell r="C10" t="str">
            <v>D813</v>
          </cell>
          <cell r="D10" t="str">
            <v>D074</v>
          </cell>
          <cell r="E10" t="str">
            <v>MX-PD-063 CENTRAL</v>
          </cell>
          <cell r="F10">
            <v>10000255</v>
          </cell>
          <cell r="G10" t="str">
            <v>Arena Triturada Andesita Malla</v>
          </cell>
          <cell r="H10">
            <v>77.66</v>
          </cell>
          <cell r="I10">
            <v>26.48</v>
          </cell>
          <cell r="J10">
            <v>104.14</v>
          </cell>
        </row>
        <row r="11">
          <cell r="B11" t="str">
            <v>D81310001091</v>
          </cell>
          <cell r="C11" t="str">
            <v>D813</v>
          </cell>
          <cell r="D11" t="str">
            <v>D074</v>
          </cell>
          <cell r="E11" t="str">
            <v>MX-PD-063 CENTRAL</v>
          </cell>
          <cell r="F11">
            <v>10001091</v>
          </cell>
          <cell r="G11" t="str">
            <v>Balasto Triturado Andesita 150</v>
          </cell>
          <cell r="H11">
            <v>49.14</v>
          </cell>
          <cell r="I11">
            <v>-3.67</v>
          </cell>
          <cell r="J11">
            <v>45.47</v>
          </cell>
        </row>
        <row r="12">
          <cell r="B12" t="str">
            <v>D81310002350</v>
          </cell>
          <cell r="C12" t="str">
            <v>D813</v>
          </cell>
          <cell r="D12" t="str">
            <v>D074</v>
          </cell>
          <cell r="E12" t="str">
            <v>MX-PD-063 CENTRAL</v>
          </cell>
          <cell r="F12">
            <v>10002350</v>
          </cell>
          <cell r="G12" t="str">
            <v>Grava Triturada Andesita 10mm-</v>
          </cell>
          <cell r="H12">
            <v>77.33</v>
          </cell>
          <cell r="I12">
            <v>43.16</v>
          </cell>
          <cell r="J12">
            <v>120.49</v>
          </cell>
        </row>
        <row r="13">
          <cell r="B13" t="str">
            <v>D81310029946</v>
          </cell>
          <cell r="C13" t="str">
            <v>D813</v>
          </cell>
          <cell r="D13" t="str">
            <v>D074</v>
          </cell>
          <cell r="E13" t="str">
            <v>MX-PD-063 CENTRAL</v>
          </cell>
          <cell r="F13">
            <v>10029946</v>
          </cell>
          <cell r="G13" t="str">
            <v>Arena Triturada Andesita Malla</v>
          </cell>
          <cell r="H13">
            <v>77.66</v>
          </cell>
          <cell r="I13">
            <v>29.47</v>
          </cell>
          <cell r="J13">
            <v>107.13</v>
          </cell>
        </row>
        <row r="14">
          <cell r="B14" t="str">
            <v>D81310032959</v>
          </cell>
          <cell r="C14" t="str">
            <v>D813</v>
          </cell>
          <cell r="D14" t="str">
            <v>D074</v>
          </cell>
          <cell r="E14" t="str">
            <v>MX-PD-063 CENTRAL</v>
          </cell>
          <cell r="F14">
            <v>10032959</v>
          </cell>
          <cell r="G14" t="str">
            <v>Grava Triturada Andesita 50 mm</v>
          </cell>
          <cell r="H14">
            <v>77.33</v>
          </cell>
          <cell r="I14">
            <v>-4.6900000000000004</v>
          </cell>
          <cell r="J14">
            <v>72.64</v>
          </cell>
        </row>
        <row r="15">
          <cell r="B15" t="str">
            <v>D81310000252</v>
          </cell>
          <cell r="C15" t="str">
            <v>D813</v>
          </cell>
          <cell r="D15" t="str">
            <v>D075</v>
          </cell>
          <cell r="E15" t="str">
            <v>MX-PD-065 CEYLAN</v>
          </cell>
          <cell r="F15">
            <v>10000252</v>
          </cell>
          <cell r="G15" t="str">
            <v>Grava Triturada Andesita 10 mm</v>
          </cell>
          <cell r="H15">
            <v>77.33</v>
          </cell>
          <cell r="I15">
            <v>37.6</v>
          </cell>
          <cell r="J15">
            <v>114.93</v>
          </cell>
        </row>
        <row r="16">
          <cell r="B16" t="str">
            <v>D81310000253</v>
          </cell>
          <cell r="C16" t="str">
            <v>D813</v>
          </cell>
          <cell r="D16" t="str">
            <v>D075</v>
          </cell>
          <cell r="E16" t="str">
            <v>MX-PD-065 CEYLAN</v>
          </cell>
          <cell r="F16">
            <v>10000253</v>
          </cell>
          <cell r="G16" t="str">
            <v>Grava Triturada Andesita 20 mm</v>
          </cell>
          <cell r="H16">
            <v>77.33</v>
          </cell>
          <cell r="I16">
            <v>26.67</v>
          </cell>
          <cell r="J16">
            <v>104</v>
          </cell>
        </row>
        <row r="17">
          <cell r="B17" t="str">
            <v>D81310000255</v>
          </cell>
          <cell r="C17" t="str">
            <v>D813</v>
          </cell>
          <cell r="D17" t="str">
            <v>D075</v>
          </cell>
          <cell r="E17" t="str">
            <v>MX-PD-065 CEYLAN</v>
          </cell>
          <cell r="F17">
            <v>10000255</v>
          </cell>
          <cell r="G17" t="str">
            <v>Arena Triturada Andesita Malla</v>
          </cell>
          <cell r="H17">
            <v>77.66</v>
          </cell>
          <cell r="I17">
            <v>26.48</v>
          </cell>
          <cell r="J17">
            <v>104.14</v>
          </cell>
        </row>
        <row r="18">
          <cell r="B18" t="str">
            <v>D81310001091</v>
          </cell>
          <cell r="C18" t="str">
            <v>D813</v>
          </cell>
          <cell r="D18" t="str">
            <v>D075</v>
          </cell>
          <cell r="E18" t="str">
            <v>MX-PD-065 CEYLAN</v>
          </cell>
          <cell r="F18">
            <v>10001091</v>
          </cell>
          <cell r="G18" t="str">
            <v>Balasto Triturado Andesita 150</v>
          </cell>
          <cell r="H18">
            <v>49.14</v>
          </cell>
          <cell r="I18">
            <v>-3.67</v>
          </cell>
          <cell r="J18">
            <v>45.47</v>
          </cell>
        </row>
        <row r="19">
          <cell r="B19" t="str">
            <v>D81310002350</v>
          </cell>
          <cell r="C19" t="str">
            <v>D813</v>
          </cell>
          <cell r="D19" t="str">
            <v>D075</v>
          </cell>
          <cell r="E19" t="str">
            <v>MX-PD-065 CEYLAN</v>
          </cell>
          <cell r="F19">
            <v>10002350</v>
          </cell>
          <cell r="G19" t="str">
            <v>Grava Triturada Andesita 10mm-</v>
          </cell>
          <cell r="H19">
            <v>77.33</v>
          </cell>
          <cell r="I19">
            <v>43.16</v>
          </cell>
          <cell r="J19">
            <v>120.49</v>
          </cell>
        </row>
        <row r="20">
          <cell r="B20" t="str">
            <v>D81310029946</v>
          </cell>
          <cell r="C20" t="str">
            <v>D813</v>
          </cell>
          <cell r="D20" t="str">
            <v>D075</v>
          </cell>
          <cell r="E20" t="str">
            <v>MX-PD-065 CEYLAN</v>
          </cell>
          <cell r="F20">
            <v>10029946</v>
          </cell>
          <cell r="G20" t="str">
            <v>Arena Triturada Andesita Malla</v>
          </cell>
          <cell r="H20">
            <v>77.66</v>
          </cell>
          <cell r="I20">
            <v>29.47</v>
          </cell>
          <cell r="J20">
            <v>107.13</v>
          </cell>
        </row>
        <row r="21">
          <cell r="B21" t="str">
            <v>D81310032959</v>
          </cell>
          <cell r="C21" t="str">
            <v>D813</v>
          </cell>
          <cell r="D21" t="str">
            <v>D075</v>
          </cell>
          <cell r="E21" t="str">
            <v>MX-PD-065 CEYLAN</v>
          </cell>
          <cell r="F21">
            <v>10032959</v>
          </cell>
          <cell r="G21" t="str">
            <v>Grava Triturada Andesita 50 mm</v>
          </cell>
          <cell r="H21">
            <v>77.33</v>
          </cell>
          <cell r="I21">
            <v>-4.6900000000000004</v>
          </cell>
          <cell r="J21">
            <v>72.64</v>
          </cell>
        </row>
        <row r="22">
          <cell r="B22" t="str">
            <v>D81310000252</v>
          </cell>
          <cell r="C22" t="str">
            <v>D813</v>
          </cell>
          <cell r="D22" t="str">
            <v>D077</v>
          </cell>
          <cell r="E22" t="str">
            <v>MX-PD-067 LOS REYES</v>
          </cell>
          <cell r="F22">
            <v>10000252</v>
          </cell>
          <cell r="G22" t="str">
            <v>Grava Triturada Andesita 10 mm</v>
          </cell>
          <cell r="H22">
            <v>77.33</v>
          </cell>
          <cell r="I22">
            <v>37.6</v>
          </cell>
          <cell r="J22">
            <v>114.93</v>
          </cell>
        </row>
        <row r="23">
          <cell r="B23" t="str">
            <v>D81310000253</v>
          </cell>
          <cell r="C23" t="str">
            <v>D813</v>
          </cell>
          <cell r="D23" t="str">
            <v>D077</v>
          </cell>
          <cell r="E23" t="str">
            <v>MX-PD-067 LOS REYES</v>
          </cell>
          <cell r="F23">
            <v>10000253</v>
          </cell>
          <cell r="G23" t="str">
            <v>Grava Triturada Andesita 20 mm</v>
          </cell>
          <cell r="H23">
            <v>77.33</v>
          </cell>
          <cell r="I23">
            <v>26.67</v>
          </cell>
          <cell r="J23">
            <v>104</v>
          </cell>
        </row>
        <row r="24">
          <cell r="B24" t="str">
            <v>D81310000255</v>
          </cell>
          <cell r="C24" t="str">
            <v>D813</v>
          </cell>
          <cell r="D24" t="str">
            <v>D077</v>
          </cell>
          <cell r="E24" t="str">
            <v>MX-PD-067 LOS REYES</v>
          </cell>
          <cell r="F24">
            <v>10000255</v>
          </cell>
          <cell r="G24" t="str">
            <v>Arena Triturada Andesita Malla</v>
          </cell>
          <cell r="H24">
            <v>77.66</v>
          </cell>
          <cell r="I24">
            <v>26.48</v>
          </cell>
          <cell r="J24">
            <v>104.14</v>
          </cell>
        </row>
        <row r="25">
          <cell r="B25" t="str">
            <v>D81310001091</v>
          </cell>
          <cell r="C25" t="str">
            <v>D813</v>
          </cell>
          <cell r="D25" t="str">
            <v>D077</v>
          </cell>
          <cell r="E25" t="str">
            <v>MX-PD-067 LOS REYES</v>
          </cell>
          <cell r="F25">
            <v>10001091</v>
          </cell>
          <cell r="G25" t="str">
            <v>Balasto Triturado Andesita 150</v>
          </cell>
          <cell r="H25">
            <v>49.14</v>
          </cell>
          <cell r="I25">
            <v>-3.67</v>
          </cell>
          <cell r="J25">
            <v>45.47</v>
          </cell>
        </row>
        <row r="26">
          <cell r="B26" t="str">
            <v>D81310002350</v>
          </cell>
          <cell r="C26" t="str">
            <v>D813</v>
          </cell>
          <cell r="D26" t="str">
            <v>D077</v>
          </cell>
          <cell r="E26" t="str">
            <v>MX-PD-067 LOS REYES</v>
          </cell>
          <cell r="F26">
            <v>10002350</v>
          </cell>
          <cell r="G26" t="str">
            <v>Grava Triturada Andesita 10mm-</v>
          </cell>
          <cell r="H26">
            <v>77.33</v>
          </cell>
          <cell r="I26">
            <v>43.16</v>
          </cell>
          <cell r="J26">
            <v>120.49</v>
          </cell>
        </row>
        <row r="27">
          <cell r="B27" t="str">
            <v>D81310029946</v>
          </cell>
          <cell r="C27" t="str">
            <v>D813</v>
          </cell>
          <cell r="D27" t="str">
            <v>D077</v>
          </cell>
          <cell r="E27" t="str">
            <v>MX-PD-067 LOS REYES</v>
          </cell>
          <cell r="F27">
            <v>10029946</v>
          </cell>
          <cell r="G27" t="str">
            <v>Arena Triturada Andesita Malla</v>
          </cell>
          <cell r="H27">
            <v>77.66</v>
          </cell>
          <cell r="I27">
            <v>29.47</v>
          </cell>
          <cell r="J27">
            <v>107.13</v>
          </cell>
        </row>
        <row r="28">
          <cell r="B28" t="str">
            <v>D81310032959</v>
          </cell>
          <cell r="C28" t="str">
            <v>D813</v>
          </cell>
          <cell r="D28" t="str">
            <v>D077</v>
          </cell>
          <cell r="E28" t="str">
            <v>MX-PD-067 LOS REYES</v>
          </cell>
          <cell r="F28">
            <v>10032959</v>
          </cell>
          <cell r="G28" t="str">
            <v>Grava Triturada Andesita 50 mm</v>
          </cell>
          <cell r="H28">
            <v>77.33</v>
          </cell>
          <cell r="I28">
            <v>-4.6900000000000004</v>
          </cell>
          <cell r="J28">
            <v>72.64</v>
          </cell>
        </row>
        <row r="29">
          <cell r="B29" t="str">
            <v>D81310000252</v>
          </cell>
          <cell r="C29" t="str">
            <v>D813</v>
          </cell>
          <cell r="D29" t="str">
            <v>D079</v>
          </cell>
          <cell r="E29" t="str">
            <v>MX-PD-071 XOCHIMILCO</v>
          </cell>
          <cell r="F29">
            <v>10000252</v>
          </cell>
          <cell r="G29" t="str">
            <v>Grava Triturada Andesita 10 mm</v>
          </cell>
          <cell r="H29">
            <v>77.33</v>
          </cell>
          <cell r="I29">
            <v>37.6</v>
          </cell>
          <cell r="J29">
            <v>114.93</v>
          </cell>
        </row>
        <row r="30">
          <cell r="B30" t="str">
            <v>D81310000253</v>
          </cell>
          <cell r="C30" t="str">
            <v>D813</v>
          </cell>
          <cell r="D30" t="str">
            <v>D079</v>
          </cell>
          <cell r="E30" t="str">
            <v>MX-PD-071 XOCHIMILCO</v>
          </cell>
          <cell r="F30">
            <v>10000253</v>
          </cell>
          <cell r="G30" t="str">
            <v>Grava Triturada Andesita 20 mm</v>
          </cell>
          <cell r="H30">
            <v>77.33</v>
          </cell>
          <cell r="I30">
            <v>26.67</v>
          </cell>
          <cell r="J30">
            <v>104</v>
          </cell>
        </row>
        <row r="31">
          <cell r="B31" t="str">
            <v>D81310000255</v>
          </cell>
          <cell r="C31" t="str">
            <v>D813</v>
          </cell>
          <cell r="D31" t="str">
            <v>D079</v>
          </cell>
          <cell r="E31" t="str">
            <v>MX-PD-071 XOCHIMILCO</v>
          </cell>
          <cell r="F31">
            <v>10000255</v>
          </cell>
          <cell r="G31" t="str">
            <v>Arena Triturada Andesita Malla</v>
          </cell>
          <cell r="H31">
            <v>77.66</v>
          </cell>
          <cell r="I31">
            <v>26.48</v>
          </cell>
          <cell r="J31">
            <v>104.14</v>
          </cell>
        </row>
        <row r="32">
          <cell r="B32" t="str">
            <v>D81310001091</v>
          </cell>
          <cell r="C32" t="str">
            <v>D813</v>
          </cell>
          <cell r="D32" t="str">
            <v>D079</v>
          </cell>
          <cell r="E32" t="str">
            <v>MX-PD-071 XOCHIMILCO</v>
          </cell>
          <cell r="F32">
            <v>10001091</v>
          </cell>
          <cell r="G32" t="str">
            <v>Balasto Triturado Andesita 150</v>
          </cell>
          <cell r="H32">
            <v>49.14</v>
          </cell>
          <cell r="I32">
            <v>-3.67</v>
          </cell>
          <cell r="J32">
            <v>45.47</v>
          </cell>
        </row>
        <row r="33">
          <cell r="B33" t="str">
            <v>D81310002350</v>
          </cell>
          <cell r="C33" t="str">
            <v>D813</v>
          </cell>
          <cell r="D33" t="str">
            <v>D079</v>
          </cell>
          <cell r="E33" t="str">
            <v>MX-PD-071 XOCHIMILCO</v>
          </cell>
          <cell r="F33">
            <v>10002350</v>
          </cell>
          <cell r="G33" t="str">
            <v>Grava Triturada Andesita 10mm-</v>
          </cell>
          <cell r="H33">
            <v>77.33</v>
          </cell>
          <cell r="I33">
            <v>43.16</v>
          </cell>
          <cell r="J33">
            <v>120.49</v>
          </cell>
        </row>
        <row r="34">
          <cell r="B34" t="str">
            <v>D81310029946</v>
          </cell>
          <cell r="C34" t="str">
            <v>D813</v>
          </cell>
          <cell r="D34" t="str">
            <v>D079</v>
          </cell>
          <cell r="E34" t="str">
            <v>MX-PD-071 XOCHIMILCO</v>
          </cell>
          <cell r="F34">
            <v>10029946</v>
          </cell>
          <cell r="G34" t="str">
            <v>Arena Triturada Andesita Malla</v>
          </cell>
          <cell r="H34">
            <v>77.66</v>
          </cell>
          <cell r="I34">
            <v>29.47</v>
          </cell>
          <cell r="J34">
            <v>107.13</v>
          </cell>
        </row>
        <row r="35">
          <cell r="B35" t="str">
            <v>D81310032959</v>
          </cell>
          <cell r="C35" t="str">
            <v>D813</v>
          </cell>
          <cell r="D35" t="str">
            <v>D079</v>
          </cell>
          <cell r="E35" t="str">
            <v>MX-PD-071 XOCHIMILCO</v>
          </cell>
          <cell r="F35">
            <v>10032959</v>
          </cell>
          <cell r="G35" t="str">
            <v>Grava Triturada Andesita 50 mm</v>
          </cell>
          <cell r="H35">
            <v>77.33</v>
          </cell>
          <cell r="I35">
            <v>-4.6900000000000004</v>
          </cell>
          <cell r="J35">
            <v>72.64</v>
          </cell>
        </row>
        <row r="36">
          <cell r="B36" t="str">
            <v>D81310000252</v>
          </cell>
          <cell r="C36" t="str">
            <v>D813</v>
          </cell>
          <cell r="D36" t="str">
            <v>D080</v>
          </cell>
          <cell r="E36" t="str">
            <v>MX-PD-086 VALLEJO</v>
          </cell>
          <cell r="F36">
            <v>10000252</v>
          </cell>
          <cell r="G36" t="str">
            <v>Grava Triturada Andesita 10 mm</v>
          </cell>
          <cell r="H36">
            <v>77.33</v>
          </cell>
          <cell r="I36">
            <v>37.6</v>
          </cell>
          <cell r="J36">
            <v>114.93</v>
          </cell>
        </row>
        <row r="37">
          <cell r="B37" t="str">
            <v>D81310000253</v>
          </cell>
          <cell r="C37" t="str">
            <v>D813</v>
          </cell>
          <cell r="D37" t="str">
            <v>D080</v>
          </cell>
          <cell r="E37" t="str">
            <v>MX-PD-086 VALLEJO</v>
          </cell>
          <cell r="F37">
            <v>10000253</v>
          </cell>
          <cell r="G37" t="str">
            <v>Grava Triturada Andesita 20 mm</v>
          </cell>
          <cell r="H37">
            <v>77.33</v>
          </cell>
          <cell r="I37">
            <v>26.67</v>
          </cell>
          <cell r="J37">
            <v>104</v>
          </cell>
        </row>
        <row r="38">
          <cell r="B38" t="str">
            <v>D81310000255</v>
          </cell>
          <cell r="C38" t="str">
            <v>D813</v>
          </cell>
          <cell r="D38" t="str">
            <v>D080</v>
          </cell>
          <cell r="E38" t="str">
            <v>MX-PD-086 VALLEJO</v>
          </cell>
          <cell r="F38">
            <v>10000255</v>
          </cell>
          <cell r="G38" t="str">
            <v>Arena Triturada Andesita Malla</v>
          </cell>
          <cell r="H38">
            <v>77.66</v>
          </cell>
          <cell r="I38">
            <v>26.48</v>
          </cell>
          <cell r="J38">
            <v>104.14</v>
          </cell>
        </row>
        <row r="39">
          <cell r="B39" t="str">
            <v>D81310001091</v>
          </cell>
          <cell r="C39" t="str">
            <v>D813</v>
          </cell>
          <cell r="D39" t="str">
            <v>D080</v>
          </cell>
          <cell r="E39" t="str">
            <v>MX-PD-086 VALLEJO</v>
          </cell>
          <cell r="F39">
            <v>10001091</v>
          </cell>
          <cell r="G39" t="str">
            <v>Balasto Triturado Andesita 150</v>
          </cell>
          <cell r="H39">
            <v>49.14</v>
          </cell>
          <cell r="I39">
            <v>-3.67</v>
          </cell>
          <cell r="J39">
            <v>45.47</v>
          </cell>
        </row>
        <row r="40">
          <cell r="B40" t="str">
            <v>D81310002350</v>
          </cell>
          <cell r="C40" t="str">
            <v>D813</v>
          </cell>
          <cell r="D40" t="str">
            <v>D080</v>
          </cell>
          <cell r="E40" t="str">
            <v>MX-PD-086 VALLEJO</v>
          </cell>
          <cell r="F40">
            <v>10002350</v>
          </cell>
          <cell r="G40" t="str">
            <v>Grava Triturada Andesita 10mm-</v>
          </cell>
          <cell r="H40">
            <v>77.33</v>
          </cell>
          <cell r="I40">
            <v>43.16</v>
          </cell>
          <cell r="J40">
            <v>120.49</v>
          </cell>
        </row>
        <row r="41">
          <cell r="B41" t="str">
            <v>D81310029946</v>
          </cell>
          <cell r="C41" t="str">
            <v>D813</v>
          </cell>
          <cell r="D41" t="str">
            <v>D080</v>
          </cell>
          <cell r="E41" t="str">
            <v>MX-PD-086 VALLEJO</v>
          </cell>
          <cell r="F41">
            <v>10029946</v>
          </cell>
          <cell r="G41" t="str">
            <v>Arena Triturada Andesita Malla</v>
          </cell>
          <cell r="H41">
            <v>77.66</v>
          </cell>
          <cell r="I41">
            <v>29.47</v>
          </cell>
          <cell r="J41">
            <v>107.13</v>
          </cell>
        </row>
        <row r="42">
          <cell r="B42" t="str">
            <v>D81310032959</v>
          </cell>
          <cell r="C42" t="str">
            <v>D813</v>
          </cell>
          <cell r="D42" t="str">
            <v>D080</v>
          </cell>
          <cell r="E42" t="str">
            <v>MX-PD-086 VALLEJO</v>
          </cell>
          <cell r="F42">
            <v>10032959</v>
          </cell>
          <cell r="G42" t="str">
            <v>Grava Triturada Andesita 50 mm</v>
          </cell>
          <cell r="H42">
            <v>77.33</v>
          </cell>
          <cell r="I42">
            <v>-4.6900000000000004</v>
          </cell>
          <cell r="J42">
            <v>72.64</v>
          </cell>
        </row>
        <row r="43">
          <cell r="B43" t="str">
            <v>D81310000252</v>
          </cell>
          <cell r="C43" t="str">
            <v>D813</v>
          </cell>
          <cell r="D43" t="str">
            <v>D081</v>
          </cell>
          <cell r="E43" t="str">
            <v>MX-PD-088 ARMAS</v>
          </cell>
          <cell r="F43">
            <v>10000252</v>
          </cell>
          <cell r="G43" t="str">
            <v>Grava Triturada Andesita 10 mm</v>
          </cell>
          <cell r="H43">
            <v>77.33</v>
          </cell>
          <cell r="I43">
            <v>37.6</v>
          </cell>
          <cell r="J43">
            <v>114.93</v>
          </cell>
        </row>
        <row r="44">
          <cell r="B44" t="str">
            <v>D81310000253</v>
          </cell>
          <cell r="C44" t="str">
            <v>D813</v>
          </cell>
          <cell r="D44" t="str">
            <v>D081</v>
          </cell>
          <cell r="E44" t="str">
            <v>MX-PD-088 ARMAS</v>
          </cell>
          <cell r="F44">
            <v>10000253</v>
          </cell>
          <cell r="G44" t="str">
            <v>Grava Triturada Andesita 20 mm</v>
          </cell>
          <cell r="H44">
            <v>77.33</v>
          </cell>
          <cell r="I44">
            <v>26.67</v>
          </cell>
          <cell r="J44">
            <v>104</v>
          </cell>
        </row>
        <row r="45">
          <cell r="B45" t="str">
            <v>D81310000255</v>
          </cell>
          <cell r="C45" t="str">
            <v>D813</v>
          </cell>
          <cell r="D45" t="str">
            <v>D081</v>
          </cell>
          <cell r="E45" t="str">
            <v>MX-PD-088 ARMAS</v>
          </cell>
          <cell r="F45">
            <v>10000255</v>
          </cell>
          <cell r="G45" t="str">
            <v>Arena Triturada Andesita Malla</v>
          </cell>
          <cell r="H45">
            <v>77.66</v>
          </cell>
          <cell r="I45">
            <v>26.48</v>
          </cell>
          <cell r="J45">
            <v>104.14</v>
          </cell>
        </row>
        <row r="46">
          <cell r="B46" t="str">
            <v>D81310001091</v>
          </cell>
          <cell r="C46" t="str">
            <v>D813</v>
          </cell>
          <cell r="D46" t="str">
            <v>D081</v>
          </cell>
          <cell r="E46" t="str">
            <v>MX-PD-088 ARMAS</v>
          </cell>
          <cell r="F46">
            <v>10001091</v>
          </cell>
          <cell r="G46" t="str">
            <v>Balasto Triturado Andesita 150</v>
          </cell>
          <cell r="H46">
            <v>49.14</v>
          </cell>
          <cell r="I46">
            <v>-3.67</v>
          </cell>
          <cell r="J46">
            <v>45.47</v>
          </cell>
        </row>
        <row r="47">
          <cell r="B47" t="str">
            <v>D81310002350</v>
          </cell>
          <cell r="C47" t="str">
            <v>D813</v>
          </cell>
          <cell r="D47" t="str">
            <v>D081</v>
          </cell>
          <cell r="E47" t="str">
            <v>MX-PD-088 ARMAS</v>
          </cell>
          <cell r="F47">
            <v>10002350</v>
          </cell>
          <cell r="G47" t="str">
            <v>Grava Triturada Andesita 10mm-</v>
          </cell>
          <cell r="H47">
            <v>77.33</v>
          </cell>
          <cell r="I47">
            <v>43.16</v>
          </cell>
          <cell r="J47">
            <v>120.49</v>
          </cell>
        </row>
        <row r="48">
          <cell r="B48" t="str">
            <v>D81310029946</v>
          </cell>
          <cell r="C48" t="str">
            <v>D813</v>
          </cell>
          <cell r="D48" t="str">
            <v>D081</v>
          </cell>
          <cell r="E48" t="str">
            <v>MX-PD-088 ARMAS</v>
          </cell>
          <cell r="F48">
            <v>10029946</v>
          </cell>
          <cell r="G48" t="str">
            <v>Arena Triturada Andesita Malla</v>
          </cell>
          <cell r="H48">
            <v>77.66</v>
          </cell>
          <cell r="I48">
            <v>29.47</v>
          </cell>
          <cell r="J48">
            <v>107.13</v>
          </cell>
        </row>
        <row r="49">
          <cell r="B49" t="str">
            <v>D81310032959</v>
          </cell>
          <cell r="C49" t="str">
            <v>D813</v>
          </cell>
          <cell r="D49" t="str">
            <v>D081</v>
          </cell>
          <cell r="E49" t="str">
            <v>MX-PD-088 ARMAS</v>
          </cell>
          <cell r="F49">
            <v>10032959</v>
          </cell>
          <cell r="G49" t="str">
            <v>Grava Triturada Andesita 50 mm</v>
          </cell>
          <cell r="H49">
            <v>77.33</v>
          </cell>
          <cell r="I49">
            <v>-4.6900000000000004</v>
          </cell>
          <cell r="J49">
            <v>72.64</v>
          </cell>
        </row>
        <row r="50">
          <cell r="B50" t="str">
            <v>D81310000252</v>
          </cell>
          <cell r="C50" t="str">
            <v>D813</v>
          </cell>
          <cell r="D50" t="str">
            <v>D083</v>
          </cell>
          <cell r="E50" t="str">
            <v>MX-PD-099 MINAS</v>
          </cell>
          <cell r="F50">
            <v>10000252</v>
          </cell>
          <cell r="G50" t="str">
            <v>Grava Triturada Andesita 10 mm</v>
          </cell>
          <cell r="H50">
            <v>77.33</v>
          </cell>
          <cell r="I50">
            <v>37.6</v>
          </cell>
          <cell r="J50">
            <v>114.93</v>
          </cell>
        </row>
        <row r="51">
          <cell r="B51" t="str">
            <v>D81310000253</v>
          </cell>
          <cell r="C51" t="str">
            <v>D813</v>
          </cell>
          <cell r="D51" t="str">
            <v>D083</v>
          </cell>
          <cell r="E51" t="str">
            <v>MX-PD-099 MINAS</v>
          </cell>
          <cell r="F51">
            <v>10000253</v>
          </cell>
          <cell r="G51" t="str">
            <v>Grava Triturada Andesita 20 mm</v>
          </cell>
          <cell r="H51">
            <v>77.33</v>
          </cell>
          <cell r="I51">
            <v>26.67</v>
          </cell>
          <cell r="J51">
            <v>104</v>
          </cell>
        </row>
        <row r="52">
          <cell r="B52" t="str">
            <v>D81310000255</v>
          </cell>
          <cell r="C52" t="str">
            <v>D813</v>
          </cell>
          <cell r="D52" t="str">
            <v>D083</v>
          </cell>
          <cell r="E52" t="str">
            <v>MX-PD-099 MINAS</v>
          </cell>
          <cell r="F52">
            <v>10000255</v>
          </cell>
          <cell r="G52" t="str">
            <v>Arena Triturada Andesita Malla</v>
          </cell>
          <cell r="H52">
            <v>77.66</v>
          </cell>
          <cell r="I52">
            <v>26.48</v>
          </cell>
          <cell r="J52">
            <v>104.14</v>
          </cell>
        </row>
        <row r="53">
          <cell r="B53" t="str">
            <v>D81310001091</v>
          </cell>
          <cell r="C53" t="str">
            <v>D813</v>
          </cell>
          <cell r="D53" t="str">
            <v>D083</v>
          </cell>
          <cell r="E53" t="str">
            <v>MX-PD-099 MINAS</v>
          </cell>
          <cell r="F53">
            <v>10001091</v>
          </cell>
          <cell r="G53" t="str">
            <v>Balasto Triturado Andesita 150</v>
          </cell>
          <cell r="H53">
            <v>49.14</v>
          </cell>
          <cell r="I53">
            <v>-3.67</v>
          </cell>
          <cell r="J53">
            <v>45.47</v>
          </cell>
        </row>
        <row r="54">
          <cell r="B54" t="str">
            <v>D81310002350</v>
          </cell>
          <cell r="C54" t="str">
            <v>D813</v>
          </cell>
          <cell r="D54" t="str">
            <v>D083</v>
          </cell>
          <cell r="E54" t="str">
            <v>MX-PD-099 MINAS</v>
          </cell>
          <cell r="F54">
            <v>10002350</v>
          </cell>
          <cell r="G54" t="str">
            <v>Grava Triturada Andesita 10mm-</v>
          </cell>
          <cell r="H54">
            <v>77.33</v>
          </cell>
          <cell r="I54">
            <v>43.16</v>
          </cell>
          <cell r="J54">
            <v>120.49</v>
          </cell>
        </row>
        <row r="55">
          <cell r="B55" t="str">
            <v>D81310029946</v>
          </cell>
          <cell r="C55" t="str">
            <v>D813</v>
          </cell>
          <cell r="D55" t="str">
            <v>D083</v>
          </cell>
          <cell r="E55" t="str">
            <v>MX-PD-099 MINAS</v>
          </cell>
          <cell r="F55">
            <v>10029946</v>
          </cell>
          <cell r="G55" t="str">
            <v>Arena Triturada Andesita Malla</v>
          </cell>
          <cell r="H55">
            <v>77.66</v>
          </cell>
          <cell r="I55">
            <v>29.47</v>
          </cell>
          <cell r="J55">
            <v>107.13</v>
          </cell>
        </row>
        <row r="56">
          <cell r="B56" t="str">
            <v>D81310032959</v>
          </cell>
          <cell r="C56" t="str">
            <v>D813</v>
          </cell>
          <cell r="D56" t="str">
            <v>D083</v>
          </cell>
          <cell r="E56" t="str">
            <v>MX-PD-099 MINAS</v>
          </cell>
          <cell r="F56">
            <v>10032959</v>
          </cell>
          <cell r="G56" t="str">
            <v>Grava Triturada Andesita 50 mm</v>
          </cell>
          <cell r="H56">
            <v>77.33</v>
          </cell>
          <cell r="I56">
            <v>-4.6900000000000004</v>
          </cell>
          <cell r="J56">
            <v>72.64</v>
          </cell>
        </row>
        <row r="57">
          <cell r="B57" t="str">
            <v>D81310000252</v>
          </cell>
          <cell r="C57" t="str">
            <v>D813</v>
          </cell>
          <cell r="D57" t="str">
            <v>D084</v>
          </cell>
          <cell r="E57" t="str">
            <v>MX-PD-186 IZTAPALAPA</v>
          </cell>
          <cell r="F57">
            <v>10000252</v>
          </cell>
          <cell r="G57" t="str">
            <v>Grava Triturada Andesita 10 mm</v>
          </cell>
          <cell r="H57">
            <v>77.33</v>
          </cell>
          <cell r="I57">
            <v>37.6</v>
          </cell>
          <cell r="J57">
            <v>114.93</v>
          </cell>
        </row>
        <row r="58">
          <cell r="B58" t="str">
            <v>D81310000253</v>
          </cell>
          <cell r="C58" t="str">
            <v>D813</v>
          </cell>
          <cell r="D58" t="str">
            <v>D084</v>
          </cell>
          <cell r="E58" t="str">
            <v>MX-PD-186 IZTAPALAPA</v>
          </cell>
          <cell r="F58">
            <v>10000253</v>
          </cell>
          <cell r="G58" t="str">
            <v>Grava Triturada Andesita 20 mm</v>
          </cell>
          <cell r="H58">
            <v>77.33</v>
          </cell>
          <cell r="I58">
            <v>26.67</v>
          </cell>
          <cell r="J58">
            <v>104</v>
          </cell>
        </row>
        <row r="59">
          <cell r="B59" t="str">
            <v>D81310000255</v>
          </cell>
          <cell r="C59" t="str">
            <v>D813</v>
          </cell>
          <cell r="D59" t="str">
            <v>D084</v>
          </cell>
          <cell r="E59" t="str">
            <v>MX-PD-186 IZTAPALAPA</v>
          </cell>
          <cell r="F59">
            <v>10000255</v>
          </cell>
          <cell r="G59" t="str">
            <v>Arena Triturada Andesita Malla</v>
          </cell>
          <cell r="H59">
            <v>77.66</v>
          </cell>
          <cell r="I59">
            <v>26.48</v>
          </cell>
          <cell r="J59">
            <v>104.14</v>
          </cell>
        </row>
        <row r="60">
          <cell r="B60" t="str">
            <v>D81310001091</v>
          </cell>
          <cell r="C60" t="str">
            <v>D813</v>
          </cell>
          <cell r="D60" t="str">
            <v>D084</v>
          </cell>
          <cell r="E60" t="str">
            <v>MX-PD-186 IZTAPALAPA</v>
          </cell>
          <cell r="F60">
            <v>10001091</v>
          </cell>
          <cell r="G60" t="str">
            <v>Balasto Triturado Andesita 150</v>
          </cell>
          <cell r="H60">
            <v>49.14</v>
          </cell>
          <cell r="I60">
            <v>-3.67</v>
          </cell>
          <cell r="J60">
            <v>45.47</v>
          </cell>
        </row>
        <row r="61">
          <cell r="B61" t="str">
            <v>D81310002350</v>
          </cell>
          <cell r="C61" t="str">
            <v>D813</v>
          </cell>
          <cell r="D61" t="str">
            <v>D084</v>
          </cell>
          <cell r="E61" t="str">
            <v>MX-PD-186 IZTAPALAPA</v>
          </cell>
          <cell r="F61">
            <v>10002350</v>
          </cell>
          <cell r="G61" t="str">
            <v>Grava Triturada Andesita 10mm-</v>
          </cell>
          <cell r="H61">
            <v>77.33</v>
          </cell>
          <cell r="I61">
            <v>43.16</v>
          </cell>
          <cell r="J61">
            <v>120.49</v>
          </cell>
        </row>
        <row r="62">
          <cell r="B62" t="str">
            <v>D81310029946</v>
          </cell>
          <cell r="C62" t="str">
            <v>D813</v>
          </cell>
          <cell r="D62" t="str">
            <v>D084</v>
          </cell>
          <cell r="E62" t="str">
            <v>MX-PD-186 IZTAPALAPA</v>
          </cell>
          <cell r="F62">
            <v>10029946</v>
          </cell>
          <cell r="G62" t="str">
            <v>Arena Triturada Andesita Malla</v>
          </cell>
          <cell r="H62">
            <v>77.66</v>
          </cell>
          <cell r="I62">
            <v>29.47</v>
          </cell>
          <cell r="J62">
            <v>107.13</v>
          </cell>
        </row>
        <row r="63">
          <cell r="B63" t="str">
            <v>D81310032959</v>
          </cell>
          <cell r="C63" t="str">
            <v>D813</v>
          </cell>
          <cell r="D63" t="str">
            <v>D084</v>
          </cell>
          <cell r="E63" t="str">
            <v>MX-PD-186 IZTAPALAPA</v>
          </cell>
          <cell r="F63">
            <v>10032959</v>
          </cell>
          <cell r="G63" t="str">
            <v>Grava Triturada Andesita 50 mm</v>
          </cell>
          <cell r="H63">
            <v>77.33</v>
          </cell>
          <cell r="I63">
            <v>-4.6900000000000004</v>
          </cell>
          <cell r="J63">
            <v>72.64</v>
          </cell>
        </row>
        <row r="64">
          <cell r="B64" t="str">
            <v>D81310000252</v>
          </cell>
          <cell r="C64" t="str">
            <v>D813</v>
          </cell>
          <cell r="D64" t="str">
            <v>D085</v>
          </cell>
          <cell r="E64" t="str">
            <v>MX-PD0189 ROJO GOMEZ</v>
          </cell>
          <cell r="F64">
            <v>10000252</v>
          </cell>
          <cell r="G64" t="str">
            <v>Grava Triturada Andesita 10 mm</v>
          </cell>
          <cell r="H64">
            <v>77.33</v>
          </cell>
          <cell r="I64">
            <v>37.6</v>
          </cell>
          <cell r="J64">
            <v>114.93</v>
          </cell>
        </row>
        <row r="65">
          <cell r="B65" t="str">
            <v>D81310000253</v>
          </cell>
          <cell r="C65" t="str">
            <v>D813</v>
          </cell>
          <cell r="D65" t="str">
            <v>D085</v>
          </cell>
          <cell r="E65" t="str">
            <v>MX-PD0189 ROJO GOMEZ</v>
          </cell>
          <cell r="F65">
            <v>10000253</v>
          </cell>
          <cell r="G65" t="str">
            <v>Grava Triturada Andesita 20 mm</v>
          </cell>
          <cell r="H65">
            <v>77.33</v>
          </cell>
          <cell r="I65">
            <v>26.67</v>
          </cell>
          <cell r="J65">
            <v>104</v>
          </cell>
        </row>
        <row r="66">
          <cell r="B66" t="str">
            <v>D81310000255</v>
          </cell>
          <cell r="C66" t="str">
            <v>D813</v>
          </cell>
          <cell r="D66" t="str">
            <v>D085</v>
          </cell>
          <cell r="E66" t="str">
            <v>MX-PD0189 ROJO GOMEZ</v>
          </cell>
          <cell r="F66">
            <v>10000255</v>
          </cell>
          <cell r="G66" t="str">
            <v>Arena Triturada Andesita Malla</v>
          </cell>
          <cell r="H66">
            <v>77.66</v>
          </cell>
          <cell r="I66">
            <v>26.48</v>
          </cell>
          <cell r="J66">
            <v>104.14</v>
          </cell>
        </row>
        <row r="67">
          <cell r="B67" t="str">
            <v>D81310001091</v>
          </cell>
          <cell r="C67" t="str">
            <v>D813</v>
          </cell>
          <cell r="D67" t="str">
            <v>D085</v>
          </cell>
          <cell r="E67" t="str">
            <v>MX-PD0189 ROJO GOMEZ</v>
          </cell>
          <cell r="F67">
            <v>10001091</v>
          </cell>
          <cell r="G67" t="str">
            <v>Balasto Triturado Andesita 150</v>
          </cell>
          <cell r="H67">
            <v>49.14</v>
          </cell>
          <cell r="I67">
            <v>-3.67</v>
          </cell>
          <cell r="J67">
            <v>45.47</v>
          </cell>
        </row>
        <row r="68">
          <cell r="B68" t="str">
            <v>D81310002350</v>
          </cell>
          <cell r="C68" t="str">
            <v>D813</v>
          </cell>
          <cell r="D68" t="str">
            <v>D085</v>
          </cell>
          <cell r="E68" t="str">
            <v>MX-PD0189 ROJO GOMEZ</v>
          </cell>
          <cell r="F68">
            <v>10002350</v>
          </cell>
          <cell r="G68" t="str">
            <v>Grava Triturada Andesita 10mm-</v>
          </cell>
          <cell r="H68">
            <v>77.33</v>
          </cell>
          <cell r="I68">
            <v>43.16</v>
          </cell>
          <cell r="J68">
            <v>120.49</v>
          </cell>
        </row>
        <row r="69">
          <cell r="B69" t="str">
            <v>D81310029946</v>
          </cell>
          <cell r="C69" t="str">
            <v>D813</v>
          </cell>
          <cell r="D69" t="str">
            <v>D085</v>
          </cell>
          <cell r="E69" t="str">
            <v>MX-PD0189 ROJO GOMEZ</v>
          </cell>
          <cell r="F69">
            <v>10029946</v>
          </cell>
          <cell r="G69" t="str">
            <v>Arena Triturada Andesita Malla</v>
          </cell>
          <cell r="H69">
            <v>77.66</v>
          </cell>
          <cell r="I69">
            <v>29.47</v>
          </cell>
          <cell r="J69">
            <v>107.13</v>
          </cell>
        </row>
        <row r="70">
          <cell r="B70" t="str">
            <v>D81310032959</v>
          </cell>
          <cell r="C70" t="str">
            <v>D813</v>
          </cell>
          <cell r="D70" t="str">
            <v>D085</v>
          </cell>
          <cell r="E70" t="str">
            <v>MX-PD0189 ROJO GOMEZ</v>
          </cell>
          <cell r="F70">
            <v>10032959</v>
          </cell>
          <cell r="G70" t="str">
            <v>Grava Triturada Andesita 50 mm</v>
          </cell>
          <cell r="H70">
            <v>77.33</v>
          </cell>
          <cell r="I70">
            <v>-4.6900000000000004</v>
          </cell>
          <cell r="J70">
            <v>72.64</v>
          </cell>
        </row>
        <row r="71">
          <cell r="B71" t="str">
            <v>D81310000252</v>
          </cell>
          <cell r="C71" t="str">
            <v>D813</v>
          </cell>
          <cell r="D71" t="str">
            <v>D086</v>
          </cell>
          <cell r="E71" t="str">
            <v>MX-PD-190 XALOSTC</v>
          </cell>
          <cell r="F71">
            <v>10000252</v>
          </cell>
          <cell r="G71" t="str">
            <v>Grava Triturada Andesita 10 mm</v>
          </cell>
          <cell r="H71">
            <v>77.33</v>
          </cell>
          <cell r="I71">
            <v>37.6</v>
          </cell>
          <cell r="J71">
            <v>114.93</v>
          </cell>
        </row>
        <row r="72">
          <cell r="B72" t="str">
            <v>D81310000253</v>
          </cell>
          <cell r="C72" t="str">
            <v>D813</v>
          </cell>
          <cell r="D72" t="str">
            <v>D086</v>
          </cell>
          <cell r="E72" t="str">
            <v>MX-PD-190 XALOSTC</v>
          </cell>
          <cell r="F72">
            <v>10000253</v>
          </cell>
          <cell r="G72" t="str">
            <v>Grava Triturada Andesita 20 mm</v>
          </cell>
          <cell r="H72">
            <v>77.33</v>
          </cell>
          <cell r="I72">
            <v>26.67</v>
          </cell>
          <cell r="J72">
            <v>104</v>
          </cell>
        </row>
        <row r="73">
          <cell r="B73" t="str">
            <v>D81310000255</v>
          </cell>
          <cell r="C73" t="str">
            <v>D813</v>
          </cell>
          <cell r="D73" t="str">
            <v>D086</v>
          </cell>
          <cell r="E73" t="str">
            <v>MX-PD-190 XALOSTC</v>
          </cell>
          <cell r="F73">
            <v>10000255</v>
          </cell>
          <cell r="G73" t="str">
            <v>Arena Triturada Andesita Malla</v>
          </cell>
          <cell r="H73">
            <v>77.66</v>
          </cell>
          <cell r="I73">
            <v>26.48</v>
          </cell>
          <cell r="J73">
            <v>104.14</v>
          </cell>
        </row>
        <row r="74">
          <cell r="B74" t="str">
            <v>D81310001091</v>
          </cell>
          <cell r="C74" t="str">
            <v>D813</v>
          </cell>
          <cell r="D74" t="str">
            <v>D086</v>
          </cell>
          <cell r="E74" t="str">
            <v>MX-PD-190 XALOSTC</v>
          </cell>
          <cell r="F74">
            <v>10001091</v>
          </cell>
          <cell r="G74" t="str">
            <v>Balasto Triturado Andesita 150</v>
          </cell>
          <cell r="H74">
            <v>49.14</v>
          </cell>
          <cell r="I74">
            <v>-3.67</v>
          </cell>
          <cell r="J74">
            <v>45.47</v>
          </cell>
        </row>
        <row r="75">
          <cell r="B75" t="str">
            <v>D81310002350</v>
          </cell>
          <cell r="C75" t="str">
            <v>D813</v>
          </cell>
          <cell r="D75" t="str">
            <v>D086</v>
          </cell>
          <cell r="E75" t="str">
            <v>MX-PD-190 XALOSTC</v>
          </cell>
          <cell r="F75">
            <v>10002350</v>
          </cell>
          <cell r="G75" t="str">
            <v>Grava Triturada Andesita 10mm-</v>
          </cell>
          <cell r="H75">
            <v>77.33</v>
          </cell>
          <cell r="I75">
            <v>43.16</v>
          </cell>
          <cell r="J75">
            <v>120.49</v>
          </cell>
        </row>
        <row r="76">
          <cell r="B76" t="str">
            <v>D81310029946</v>
          </cell>
          <cell r="C76" t="str">
            <v>D813</v>
          </cell>
          <cell r="D76" t="str">
            <v>D086</v>
          </cell>
          <cell r="E76" t="str">
            <v>MX-PD-190 XALOSTC</v>
          </cell>
          <cell r="F76">
            <v>10029946</v>
          </cell>
          <cell r="G76" t="str">
            <v>Arena Triturada Andesita Malla</v>
          </cell>
          <cell r="H76">
            <v>77.66</v>
          </cell>
          <cell r="I76">
            <v>29.47</v>
          </cell>
          <cell r="J76">
            <v>107.13</v>
          </cell>
        </row>
        <row r="77">
          <cell r="B77" t="str">
            <v>D81310032959</v>
          </cell>
          <cell r="C77" t="str">
            <v>D813</v>
          </cell>
          <cell r="D77" t="str">
            <v>D086</v>
          </cell>
          <cell r="E77" t="str">
            <v>MX-PD-190 XALOSTC</v>
          </cell>
          <cell r="F77">
            <v>10032959</v>
          </cell>
          <cell r="G77" t="str">
            <v>Grava Triturada Andesita 50 mm</v>
          </cell>
          <cell r="H77">
            <v>77.33</v>
          </cell>
          <cell r="I77">
            <v>-4.6900000000000004</v>
          </cell>
          <cell r="J77">
            <v>72.64</v>
          </cell>
        </row>
        <row r="78">
          <cell r="B78" t="str">
            <v>D81310000252</v>
          </cell>
          <cell r="C78" t="str">
            <v>D813</v>
          </cell>
          <cell r="D78" t="str">
            <v>D087</v>
          </cell>
          <cell r="E78" t="str">
            <v>MX-PD0192 AEROPUERTO QRO</v>
          </cell>
          <cell r="F78">
            <v>10000252</v>
          </cell>
          <cell r="G78" t="str">
            <v>Grava Triturada Andesita 10 mm</v>
          </cell>
          <cell r="H78">
            <v>77.33</v>
          </cell>
          <cell r="I78">
            <v>37.6</v>
          </cell>
          <cell r="J78">
            <v>114.93</v>
          </cell>
        </row>
        <row r="79">
          <cell r="B79" t="str">
            <v>D81310000253</v>
          </cell>
          <cell r="C79" t="str">
            <v>D813</v>
          </cell>
          <cell r="D79" t="str">
            <v>D087</v>
          </cell>
          <cell r="E79" t="str">
            <v>MX-PD0192 AEROPUERTO QRO</v>
          </cell>
          <cell r="F79">
            <v>10000253</v>
          </cell>
          <cell r="G79" t="str">
            <v>Grava Triturada Andesita 20 mm</v>
          </cell>
          <cell r="H79">
            <v>77.33</v>
          </cell>
          <cell r="I79">
            <v>26.67</v>
          </cell>
          <cell r="J79">
            <v>104</v>
          </cell>
        </row>
        <row r="80">
          <cell r="B80" t="str">
            <v>D81310000255</v>
          </cell>
          <cell r="C80" t="str">
            <v>D813</v>
          </cell>
          <cell r="D80" t="str">
            <v>D087</v>
          </cell>
          <cell r="E80" t="str">
            <v>MX-PD0192 AEROPUERTO QRO</v>
          </cell>
          <cell r="F80">
            <v>10000255</v>
          </cell>
          <cell r="G80" t="str">
            <v>Arena Triturada Andesita Malla</v>
          </cell>
          <cell r="H80">
            <v>77.66</v>
          </cell>
          <cell r="I80">
            <v>26.48</v>
          </cell>
          <cell r="J80">
            <v>104.14</v>
          </cell>
        </row>
        <row r="81">
          <cell r="B81" t="str">
            <v>D81310001091</v>
          </cell>
          <cell r="C81" t="str">
            <v>D813</v>
          </cell>
          <cell r="D81" t="str">
            <v>D087</v>
          </cell>
          <cell r="E81" t="str">
            <v>MX-PD0192 AEROPUERTO QRO</v>
          </cell>
          <cell r="F81">
            <v>10001091</v>
          </cell>
          <cell r="G81" t="str">
            <v>Balasto Triturado Andesita 150</v>
          </cell>
          <cell r="H81">
            <v>49.14</v>
          </cell>
          <cell r="I81">
            <v>-3.67</v>
          </cell>
          <cell r="J81">
            <v>45.47</v>
          </cell>
        </row>
        <row r="82">
          <cell r="B82" t="str">
            <v>D81310002350</v>
          </cell>
          <cell r="C82" t="str">
            <v>D813</v>
          </cell>
          <cell r="D82" t="str">
            <v>D087</v>
          </cell>
          <cell r="E82" t="str">
            <v>MX-PD0192 AEROPUERTO QRO</v>
          </cell>
          <cell r="F82">
            <v>10002350</v>
          </cell>
          <cell r="G82" t="str">
            <v>Grava Triturada Andesita 10mm-</v>
          </cell>
          <cell r="H82">
            <v>77.33</v>
          </cell>
          <cell r="I82">
            <v>43.16</v>
          </cell>
          <cell r="J82">
            <v>120.49</v>
          </cell>
        </row>
        <row r="83">
          <cell r="B83" t="str">
            <v>D81310000252</v>
          </cell>
          <cell r="C83" t="str">
            <v>D813</v>
          </cell>
          <cell r="D83" t="str">
            <v>D088</v>
          </cell>
          <cell r="E83" t="str">
            <v>MX-PD-081 HUEHUETOCA V</v>
          </cell>
          <cell r="F83">
            <v>10000252</v>
          </cell>
          <cell r="G83" t="str">
            <v>Grava Triturada Andesita 10 mm</v>
          </cell>
          <cell r="H83">
            <v>77.33</v>
          </cell>
          <cell r="I83">
            <v>37.6</v>
          </cell>
          <cell r="J83">
            <v>114.93</v>
          </cell>
        </row>
        <row r="84">
          <cell r="B84" t="str">
            <v>D81310000253</v>
          </cell>
          <cell r="C84" t="str">
            <v>D813</v>
          </cell>
          <cell r="D84" t="str">
            <v>D088</v>
          </cell>
          <cell r="E84" t="str">
            <v>MX-PD-081 HUEHUETOCA V</v>
          </cell>
          <cell r="F84">
            <v>10000253</v>
          </cell>
          <cell r="G84" t="str">
            <v>Grava Triturada Andesita 20 mm</v>
          </cell>
          <cell r="H84">
            <v>77.33</v>
          </cell>
          <cell r="I84">
            <v>26.67</v>
          </cell>
          <cell r="J84">
            <v>104</v>
          </cell>
        </row>
        <row r="85">
          <cell r="B85" t="str">
            <v>D81310000255</v>
          </cell>
          <cell r="C85" t="str">
            <v>D813</v>
          </cell>
          <cell r="D85" t="str">
            <v>D088</v>
          </cell>
          <cell r="E85" t="str">
            <v>MX-PD-081 HUEHUETOCA V</v>
          </cell>
          <cell r="F85">
            <v>10000255</v>
          </cell>
          <cell r="G85" t="str">
            <v>Arena Triturada Andesita Malla</v>
          </cell>
          <cell r="H85">
            <v>77.66</v>
          </cell>
          <cell r="I85">
            <v>26.48</v>
          </cell>
          <cell r="J85">
            <v>104.14</v>
          </cell>
        </row>
        <row r="86">
          <cell r="B86" t="str">
            <v>D81310001091</v>
          </cell>
          <cell r="C86" t="str">
            <v>D813</v>
          </cell>
          <cell r="D86" t="str">
            <v>D088</v>
          </cell>
          <cell r="E86" t="str">
            <v>MX-PD-081 HUEHUETOCA V</v>
          </cell>
          <cell r="F86">
            <v>10001091</v>
          </cell>
          <cell r="G86" t="str">
            <v>Balasto Triturado Andesita 150</v>
          </cell>
          <cell r="H86">
            <v>49.14</v>
          </cell>
          <cell r="I86">
            <v>-3.67</v>
          </cell>
          <cell r="J86">
            <v>45.47</v>
          </cell>
        </row>
        <row r="87">
          <cell r="B87" t="str">
            <v>D81310002350</v>
          </cell>
          <cell r="C87" t="str">
            <v>D813</v>
          </cell>
          <cell r="D87" t="str">
            <v>D088</v>
          </cell>
          <cell r="E87" t="str">
            <v>MX-PD-081 HUEHUETOCA V</v>
          </cell>
          <cell r="F87">
            <v>10002350</v>
          </cell>
          <cell r="G87" t="str">
            <v>Grava Triturada Andesita 10mm-</v>
          </cell>
          <cell r="H87">
            <v>77.33</v>
          </cell>
          <cell r="I87">
            <v>43.16</v>
          </cell>
          <cell r="J87">
            <v>120.49</v>
          </cell>
        </row>
        <row r="88">
          <cell r="B88" t="str">
            <v>D81310029946</v>
          </cell>
          <cell r="C88" t="str">
            <v>D813</v>
          </cell>
          <cell r="D88" t="str">
            <v>D088</v>
          </cell>
          <cell r="E88" t="str">
            <v>MX-PD-081 HUEHUETOCA V</v>
          </cell>
          <cell r="F88">
            <v>10029946</v>
          </cell>
          <cell r="G88" t="str">
            <v>Arena Triturada Andesita Malla</v>
          </cell>
          <cell r="H88">
            <v>77.66</v>
          </cell>
          <cell r="I88">
            <v>29.47</v>
          </cell>
          <cell r="J88">
            <v>107.13</v>
          </cell>
        </row>
        <row r="89">
          <cell r="B89" t="str">
            <v>D81310032959</v>
          </cell>
          <cell r="C89" t="str">
            <v>D813</v>
          </cell>
          <cell r="D89" t="str">
            <v>D088</v>
          </cell>
          <cell r="E89" t="str">
            <v>MX-PD-081 HUEHUETOCA V</v>
          </cell>
          <cell r="F89">
            <v>10032959</v>
          </cell>
          <cell r="G89" t="str">
            <v>Grava Triturada Andesita 50 mm</v>
          </cell>
          <cell r="H89">
            <v>77.33</v>
          </cell>
          <cell r="I89">
            <v>-4.6900000000000004</v>
          </cell>
          <cell r="J89">
            <v>72.64</v>
          </cell>
        </row>
        <row r="90">
          <cell r="B90" t="str">
            <v>D81310000253</v>
          </cell>
          <cell r="C90" t="str">
            <v>D813</v>
          </cell>
          <cell r="D90" t="str">
            <v>D089</v>
          </cell>
          <cell r="E90" t="str">
            <v>MX-PD-091 TULA IV</v>
          </cell>
          <cell r="F90">
            <v>10000253</v>
          </cell>
          <cell r="G90" t="str">
            <v>Grava Triturada Andesita 20 mm</v>
          </cell>
          <cell r="H90">
            <v>77.33</v>
          </cell>
          <cell r="I90">
            <v>26.67</v>
          </cell>
          <cell r="J90">
            <v>104</v>
          </cell>
        </row>
        <row r="91">
          <cell r="B91" t="str">
            <v>D81310000255</v>
          </cell>
          <cell r="C91" t="str">
            <v>D813</v>
          </cell>
          <cell r="D91" t="str">
            <v>D089</v>
          </cell>
          <cell r="E91" t="str">
            <v>MX-PD-091 TULA IV</v>
          </cell>
          <cell r="F91">
            <v>10000255</v>
          </cell>
          <cell r="G91" t="str">
            <v>Arena Triturada Andesita Malla</v>
          </cell>
          <cell r="H91">
            <v>77.66</v>
          </cell>
          <cell r="I91">
            <v>26.48</v>
          </cell>
          <cell r="J91">
            <v>104.14</v>
          </cell>
        </row>
        <row r="92">
          <cell r="B92" t="str">
            <v>D81310002350</v>
          </cell>
          <cell r="C92" t="str">
            <v>D813</v>
          </cell>
          <cell r="D92" t="str">
            <v>D089</v>
          </cell>
          <cell r="E92" t="str">
            <v>MX-PD-091 TULA IV</v>
          </cell>
          <cell r="F92">
            <v>10002350</v>
          </cell>
          <cell r="G92" t="str">
            <v>Grava Triturada Andesita 10mm-</v>
          </cell>
          <cell r="H92">
            <v>77.33</v>
          </cell>
          <cell r="I92">
            <v>43.16</v>
          </cell>
          <cell r="J92">
            <v>120.49</v>
          </cell>
        </row>
        <row r="93">
          <cell r="B93" t="str">
            <v>D81310029946</v>
          </cell>
          <cell r="C93" t="str">
            <v>D813</v>
          </cell>
          <cell r="D93" t="str">
            <v>D089</v>
          </cell>
          <cell r="E93" t="str">
            <v>MX-PD-091 TULA IV</v>
          </cell>
          <cell r="F93">
            <v>10029946</v>
          </cell>
          <cell r="G93" t="str">
            <v>Arena Triturada Andesita Malla</v>
          </cell>
          <cell r="H93">
            <v>77.66</v>
          </cell>
          <cell r="I93">
            <v>29.47</v>
          </cell>
          <cell r="J93">
            <v>107.13</v>
          </cell>
        </row>
        <row r="94">
          <cell r="B94" t="str">
            <v>D81310000253</v>
          </cell>
          <cell r="C94" t="str">
            <v>D813</v>
          </cell>
          <cell r="D94" t="str">
            <v>D093</v>
          </cell>
          <cell r="E94" t="str">
            <v>MX-PD0556 ZUMPANGO</v>
          </cell>
          <cell r="F94">
            <v>10000253</v>
          </cell>
          <cell r="G94" t="str">
            <v>Grava Triturada Andesita 20 mm</v>
          </cell>
          <cell r="H94">
            <v>77.33</v>
          </cell>
          <cell r="I94">
            <v>26.67</v>
          </cell>
          <cell r="J94">
            <v>104</v>
          </cell>
        </row>
        <row r="95">
          <cell r="B95" t="str">
            <v>D81310000255</v>
          </cell>
          <cell r="C95" t="str">
            <v>D813</v>
          </cell>
          <cell r="D95" t="str">
            <v>D093</v>
          </cell>
          <cell r="E95" t="str">
            <v>MX-PD0556 ZUMPANGO</v>
          </cell>
          <cell r="F95">
            <v>10000255</v>
          </cell>
          <cell r="G95" t="str">
            <v>Arena Triturada Andesita Malla</v>
          </cell>
          <cell r="H95">
            <v>77.66</v>
          </cell>
          <cell r="I95">
            <v>26.48</v>
          </cell>
          <cell r="J95">
            <v>104.14</v>
          </cell>
        </row>
        <row r="96">
          <cell r="B96" t="str">
            <v>D81310001091</v>
          </cell>
          <cell r="C96" t="str">
            <v>D813</v>
          </cell>
          <cell r="D96" t="str">
            <v>D093</v>
          </cell>
          <cell r="E96" t="str">
            <v>MX-PD0556 ZUMPANGO</v>
          </cell>
          <cell r="F96">
            <v>10001091</v>
          </cell>
          <cell r="G96" t="str">
            <v>Balasto Triturado Andesita 150</v>
          </cell>
          <cell r="H96">
            <v>49.14</v>
          </cell>
          <cell r="I96">
            <v>-3.67</v>
          </cell>
          <cell r="J96">
            <v>45.47</v>
          </cell>
        </row>
        <row r="97">
          <cell r="B97" t="str">
            <v>D81310002350</v>
          </cell>
          <cell r="C97" t="str">
            <v>D813</v>
          </cell>
          <cell r="D97" t="str">
            <v>D093</v>
          </cell>
          <cell r="E97" t="str">
            <v>MX-PD0556 ZUMPANGO</v>
          </cell>
          <cell r="F97">
            <v>10002350</v>
          </cell>
          <cell r="G97" t="str">
            <v>Grava Triturada Andesita 10mm-</v>
          </cell>
          <cell r="H97">
            <v>77.33</v>
          </cell>
          <cell r="I97">
            <v>43.16</v>
          </cell>
          <cell r="J97">
            <v>120.49</v>
          </cell>
        </row>
        <row r="98">
          <cell r="B98" t="str">
            <v>D81310029946</v>
          </cell>
          <cell r="C98" t="str">
            <v>D813</v>
          </cell>
          <cell r="D98" t="str">
            <v>D093</v>
          </cell>
          <cell r="E98" t="str">
            <v>MX-PD0556 ZUMPANGO</v>
          </cell>
          <cell r="F98">
            <v>10029946</v>
          </cell>
          <cell r="G98" t="str">
            <v>Arena Triturada Andesita Malla</v>
          </cell>
          <cell r="H98">
            <v>77.66</v>
          </cell>
          <cell r="I98">
            <v>29.47</v>
          </cell>
          <cell r="J98">
            <v>107.13</v>
          </cell>
        </row>
        <row r="99">
          <cell r="B99" t="str">
            <v>D81310032959</v>
          </cell>
          <cell r="C99" t="str">
            <v>D813</v>
          </cell>
          <cell r="D99" t="str">
            <v>D093</v>
          </cell>
          <cell r="E99" t="str">
            <v>MX-PD0556 ZUMPANGO</v>
          </cell>
          <cell r="F99">
            <v>10032959</v>
          </cell>
          <cell r="G99" t="str">
            <v>Grava Triturada Andesita 50 mm</v>
          </cell>
          <cell r="H99">
            <v>77.33</v>
          </cell>
          <cell r="I99">
            <v>-4.6900000000000004</v>
          </cell>
          <cell r="J99">
            <v>72.64</v>
          </cell>
        </row>
        <row r="100">
          <cell r="B100" t="str">
            <v>D81310029946</v>
          </cell>
          <cell r="C100" t="str">
            <v>D813</v>
          </cell>
          <cell r="D100" t="str">
            <v>D095</v>
          </cell>
          <cell r="E100" t="str">
            <v>MX-PD-482 TIZAYUCA</v>
          </cell>
          <cell r="F100">
            <v>10029946</v>
          </cell>
          <cell r="G100" t="str">
            <v>Arena Triturada Andesita Malla</v>
          </cell>
          <cell r="H100">
            <v>77.66</v>
          </cell>
          <cell r="I100">
            <v>29.47</v>
          </cell>
          <cell r="J100">
            <v>107.13</v>
          </cell>
        </row>
        <row r="101">
          <cell r="B101" t="str">
            <v>D81310000252</v>
          </cell>
          <cell r="C101" t="str">
            <v>D813</v>
          </cell>
          <cell r="D101" t="str">
            <v>D098</v>
          </cell>
          <cell r="E101" t="str">
            <v>MX-PD-315 CUAUTITLAN II</v>
          </cell>
          <cell r="F101">
            <v>10000252</v>
          </cell>
          <cell r="G101" t="str">
            <v>Grava Triturada Andesita 10 mm</v>
          </cell>
          <cell r="H101">
            <v>77.33</v>
          </cell>
          <cell r="I101">
            <v>37.6</v>
          </cell>
          <cell r="J101">
            <v>114.93</v>
          </cell>
        </row>
        <row r="102">
          <cell r="B102" t="str">
            <v>D81310000253</v>
          </cell>
          <cell r="C102" t="str">
            <v>D813</v>
          </cell>
          <cell r="D102" t="str">
            <v>D098</v>
          </cell>
          <cell r="E102" t="str">
            <v>MX-PD-315 CUAUTITLAN II</v>
          </cell>
          <cell r="F102">
            <v>10000253</v>
          </cell>
          <cell r="G102" t="str">
            <v>Grava Triturada Andesita 20 mm</v>
          </cell>
          <cell r="H102">
            <v>77.33</v>
          </cell>
          <cell r="I102">
            <v>26.67</v>
          </cell>
          <cell r="J102">
            <v>104</v>
          </cell>
        </row>
        <row r="103">
          <cell r="B103" t="str">
            <v>D81310000255</v>
          </cell>
          <cell r="C103" t="str">
            <v>D813</v>
          </cell>
          <cell r="D103" t="str">
            <v>D098</v>
          </cell>
          <cell r="E103" t="str">
            <v>MX-PD-315 CUAUTITLAN II</v>
          </cell>
          <cell r="F103">
            <v>10000255</v>
          </cell>
          <cell r="G103" t="str">
            <v>Arena Triturada Andesita Malla</v>
          </cell>
          <cell r="H103">
            <v>77.66</v>
          </cell>
          <cell r="I103">
            <v>26.48</v>
          </cell>
          <cell r="J103">
            <v>104.14</v>
          </cell>
        </row>
        <row r="104">
          <cell r="B104" t="str">
            <v>D81310001091</v>
          </cell>
          <cell r="C104" t="str">
            <v>D813</v>
          </cell>
          <cell r="D104" t="str">
            <v>D098</v>
          </cell>
          <cell r="E104" t="str">
            <v>MX-PD-315 CUAUTITLAN II</v>
          </cell>
          <cell r="F104">
            <v>10001091</v>
          </cell>
          <cell r="G104" t="str">
            <v>Balasto Triturado Andesita 150</v>
          </cell>
          <cell r="H104">
            <v>49.14</v>
          </cell>
          <cell r="I104">
            <v>-3.67</v>
          </cell>
          <cell r="J104">
            <v>45.47</v>
          </cell>
        </row>
        <row r="105">
          <cell r="B105" t="str">
            <v>D81310002350</v>
          </cell>
          <cell r="C105" t="str">
            <v>D813</v>
          </cell>
          <cell r="D105" t="str">
            <v>D098</v>
          </cell>
          <cell r="E105" t="str">
            <v>MX-PD-315 CUAUTITLAN II</v>
          </cell>
          <cell r="F105">
            <v>10002350</v>
          </cell>
          <cell r="G105" t="str">
            <v>Grava Triturada Andesita 10mm-</v>
          </cell>
          <cell r="H105">
            <v>77.33</v>
          </cell>
          <cell r="I105">
            <v>43.16</v>
          </cell>
          <cell r="J105">
            <v>120.49</v>
          </cell>
        </row>
        <row r="106">
          <cell r="B106" t="str">
            <v>D81310029946</v>
          </cell>
          <cell r="C106" t="str">
            <v>D813</v>
          </cell>
          <cell r="D106" t="str">
            <v>D098</v>
          </cell>
          <cell r="E106" t="str">
            <v>MX-PD-315 CUAUTITLAN II</v>
          </cell>
          <cell r="F106">
            <v>10029946</v>
          </cell>
          <cell r="G106" t="str">
            <v>Arena Triturada Andesita Malla</v>
          </cell>
          <cell r="H106">
            <v>77.66</v>
          </cell>
          <cell r="I106">
            <v>29.47</v>
          </cell>
          <cell r="J106">
            <v>107.13</v>
          </cell>
        </row>
        <row r="107">
          <cell r="B107" t="str">
            <v>D81310032959</v>
          </cell>
          <cell r="C107" t="str">
            <v>D813</v>
          </cell>
          <cell r="D107" t="str">
            <v>D098</v>
          </cell>
          <cell r="E107" t="str">
            <v>MX-PD-315 CUAUTITLAN II</v>
          </cell>
          <cell r="F107">
            <v>10032959</v>
          </cell>
          <cell r="G107" t="str">
            <v>Grava Triturada Andesita 50 mm</v>
          </cell>
          <cell r="H107">
            <v>77.33</v>
          </cell>
          <cell r="I107">
            <v>-4.6900000000000004</v>
          </cell>
          <cell r="J107">
            <v>72.64</v>
          </cell>
        </row>
        <row r="108">
          <cell r="B108" t="str">
            <v>D81310000252</v>
          </cell>
          <cell r="C108" t="str">
            <v>D813</v>
          </cell>
          <cell r="D108" t="str">
            <v>D104</v>
          </cell>
          <cell r="E108" t="str">
            <v>MX-PD0397 PLAN DE LOS AMATES</v>
          </cell>
          <cell r="F108">
            <v>10000252</v>
          </cell>
          <cell r="G108" t="str">
            <v>Grava Triturada Andesita 10 mm</v>
          </cell>
          <cell r="H108">
            <v>77.33</v>
          </cell>
          <cell r="I108">
            <v>37.6</v>
          </cell>
          <cell r="J108">
            <v>114.93</v>
          </cell>
        </row>
        <row r="109">
          <cell r="B109" t="str">
            <v>D81310000253</v>
          </cell>
          <cell r="C109" t="str">
            <v>D813</v>
          </cell>
          <cell r="D109" t="str">
            <v>D104</v>
          </cell>
          <cell r="E109" t="str">
            <v>MX-PD0397 PLAN DE LOS AMATES</v>
          </cell>
          <cell r="F109">
            <v>10000253</v>
          </cell>
          <cell r="G109" t="str">
            <v>Grava Triturada Andesita 20 mm</v>
          </cell>
          <cell r="H109">
            <v>77.33</v>
          </cell>
          <cell r="I109">
            <v>26.67</v>
          </cell>
          <cell r="J109">
            <v>104</v>
          </cell>
        </row>
        <row r="110">
          <cell r="B110" t="str">
            <v>D81310000255</v>
          </cell>
          <cell r="C110" t="str">
            <v>D813</v>
          </cell>
          <cell r="D110" t="str">
            <v>D104</v>
          </cell>
          <cell r="E110" t="str">
            <v>MX-PD0397 PLAN DE LOS AMATES</v>
          </cell>
          <cell r="F110">
            <v>10000255</v>
          </cell>
          <cell r="G110" t="str">
            <v>Arena Triturada Andesita Malla</v>
          </cell>
          <cell r="H110">
            <v>77.66</v>
          </cell>
          <cell r="I110">
            <v>26.48</v>
          </cell>
          <cell r="J110">
            <v>104.14</v>
          </cell>
        </row>
        <row r="111">
          <cell r="B111" t="str">
            <v>D81310001091</v>
          </cell>
          <cell r="C111" t="str">
            <v>D813</v>
          </cell>
          <cell r="D111" t="str">
            <v>D104</v>
          </cell>
          <cell r="E111" t="str">
            <v>MX-PD0397 PLAN DE LOS AMATES</v>
          </cell>
          <cell r="F111">
            <v>10001091</v>
          </cell>
          <cell r="G111" t="str">
            <v>Balasto Triturado Andesita 150</v>
          </cell>
          <cell r="H111">
            <v>49.14</v>
          </cell>
          <cell r="I111">
            <v>-3.67</v>
          </cell>
          <cell r="J111">
            <v>45.47</v>
          </cell>
        </row>
        <row r="112">
          <cell r="B112" t="str">
            <v>D81310029946</v>
          </cell>
          <cell r="C112" t="str">
            <v>D813</v>
          </cell>
          <cell r="D112" t="str">
            <v>D104</v>
          </cell>
          <cell r="E112" t="str">
            <v>MX-PD0397 PLAN DE LOS AMATES</v>
          </cell>
          <cell r="F112">
            <v>10029946</v>
          </cell>
          <cell r="G112" t="str">
            <v>Arena Triturada Andesita Malla</v>
          </cell>
          <cell r="H112">
            <v>77.66</v>
          </cell>
          <cell r="I112">
            <v>29.47</v>
          </cell>
          <cell r="J112">
            <v>107.13</v>
          </cell>
        </row>
        <row r="113">
          <cell r="B113" t="str">
            <v>D81310000252</v>
          </cell>
          <cell r="C113" t="str">
            <v>D813</v>
          </cell>
          <cell r="D113" t="str">
            <v>D105</v>
          </cell>
          <cell r="E113" t="str">
            <v>MX-PD-331 NAUCALPAN II</v>
          </cell>
          <cell r="F113">
            <v>10000252</v>
          </cell>
          <cell r="G113" t="str">
            <v>Grava Triturada Andesita 10 mm</v>
          </cell>
          <cell r="H113">
            <v>77.33</v>
          </cell>
          <cell r="I113">
            <v>37.6</v>
          </cell>
          <cell r="J113">
            <v>114.93</v>
          </cell>
        </row>
        <row r="114">
          <cell r="B114" t="str">
            <v>D81310000253</v>
          </cell>
          <cell r="C114" t="str">
            <v>D813</v>
          </cell>
          <cell r="D114" t="str">
            <v>D105</v>
          </cell>
          <cell r="E114" t="str">
            <v>MX-PD-331 NAUCALPAN II</v>
          </cell>
          <cell r="F114">
            <v>10000253</v>
          </cell>
          <cell r="G114" t="str">
            <v>Grava Triturada Andesita 20 mm</v>
          </cell>
          <cell r="H114">
            <v>77.33</v>
          </cell>
          <cell r="I114">
            <v>26.67</v>
          </cell>
          <cell r="J114">
            <v>104</v>
          </cell>
        </row>
        <row r="115">
          <cell r="B115" t="str">
            <v>D81310000255</v>
          </cell>
          <cell r="C115" t="str">
            <v>D813</v>
          </cell>
          <cell r="D115" t="str">
            <v>D105</v>
          </cell>
          <cell r="E115" t="str">
            <v>MX-PD-331 NAUCALPAN II</v>
          </cell>
          <cell r="F115">
            <v>10000255</v>
          </cell>
          <cell r="G115" t="str">
            <v>Arena Triturada Andesita Malla</v>
          </cell>
          <cell r="H115">
            <v>77.66</v>
          </cell>
          <cell r="I115">
            <v>26.48</v>
          </cell>
          <cell r="J115">
            <v>104.14</v>
          </cell>
        </row>
        <row r="116">
          <cell r="B116" t="str">
            <v>D81310001091</v>
          </cell>
          <cell r="C116" t="str">
            <v>D813</v>
          </cell>
          <cell r="D116" t="str">
            <v>D105</v>
          </cell>
          <cell r="E116" t="str">
            <v>MX-PD-331 NAUCALPAN II</v>
          </cell>
          <cell r="F116">
            <v>10001091</v>
          </cell>
          <cell r="G116" t="str">
            <v>Balasto Triturado Andesita 150</v>
          </cell>
          <cell r="H116">
            <v>49.14</v>
          </cell>
          <cell r="I116">
            <v>-3.67</v>
          </cell>
          <cell r="J116">
            <v>45.47</v>
          </cell>
        </row>
        <row r="117">
          <cell r="B117" t="str">
            <v>D81310002350</v>
          </cell>
          <cell r="C117" t="str">
            <v>D813</v>
          </cell>
          <cell r="D117" t="str">
            <v>D105</v>
          </cell>
          <cell r="E117" t="str">
            <v>MX-PD-331 NAUCALPAN II</v>
          </cell>
          <cell r="F117">
            <v>10002350</v>
          </cell>
          <cell r="G117" t="str">
            <v>Grava Triturada Andesita 10mm-</v>
          </cell>
          <cell r="H117">
            <v>77.33</v>
          </cell>
          <cell r="I117">
            <v>43.16</v>
          </cell>
          <cell r="J117">
            <v>120.49</v>
          </cell>
        </row>
        <row r="118">
          <cell r="B118" t="str">
            <v>D81310029946</v>
          </cell>
          <cell r="C118" t="str">
            <v>D813</v>
          </cell>
          <cell r="D118" t="str">
            <v>D105</v>
          </cell>
          <cell r="E118" t="str">
            <v>MX-PD-331 NAUCALPAN II</v>
          </cell>
          <cell r="F118">
            <v>10029946</v>
          </cell>
          <cell r="G118" t="str">
            <v>Arena Triturada Andesita Malla</v>
          </cell>
          <cell r="H118">
            <v>77.66</v>
          </cell>
          <cell r="I118">
            <v>29.47</v>
          </cell>
          <cell r="J118">
            <v>107.13</v>
          </cell>
        </row>
        <row r="119">
          <cell r="B119" t="str">
            <v>D81310032959</v>
          </cell>
          <cell r="C119" t="str">
            <v>D813</v>
          </cell>
          <cell r="D119" t="str">
            <v>D105</v>
          </cell>
          <cell r="E119" t="str">
            <v>MX-PD-331 NAUCALPAN II</v>
          </cell>
          <cell r="F119">
            <v>10032959</v>
          </cell>
          <cell r="G119" t="str">
            <v>Grava Triturada Andesita 50 mm</v>
          </cell>
          <cell r="H119">
            <v>77.33</v>
          </cell>
          <cell r="I119">
            <v>-4.6900000000000004</v>
          </cell>
          <cell r="J119">
            <v>72.64</v>
          </cell>
        </row>
        <row r="120">
          <cell r="B120" t="str">
            <v>D81310000305</v>
          </cell>
          <cell r="C120" t="str">
            <v>D813</v>
          </cell>
          <cell r="D120" t="str">
            <v>D110</v>
          </cell>
          <cell r="E120" t="str">
            <v>MX-PD0338 TEPEJI 2</v>
          </cell>
          <cell r="F120">
            <v>10000305</v>
          </cell>
          <cell r="G120" t="str">
            <v>Tepetate Clasificado Tierra</v>
          </cell>
          <cell r="H120">
            <v>1.1499999999999999</v>
          </cell>
          <cell r="I120">
            <v>23.23</v>
          </cell>
          <cell r="J120">
            <v>24.38</v>
          </cell>
        </row>
        <row r="121">
          <cell r="B121" t="str">
            <v>D81310001091</v>
          </cell>
          <cell r="C121" t="str">
            <v>D813</v>
          </cell>
          <cell r="D121" t="str">
            <v>D110</v>
          </cell>
          <cell r="E121" t="str">
            <v>MX-PD0338 TEPEJI 2</v>
          </cell>
          <cell r="F121">
            <v>10001091</v>
          </cell>
          <cell r="G121" t="str">
            <v>Balasto Triturado Andesita 150</v>
          </cell>
          <cell r="H121">
            <v>49.14</v>
          </cell>
          <cell r="I121">
            <v>-3.67</v>
          </cell>
          <cell r="J121">
            <v>45.47</v>
          </cell>
        </row>
        <row r="122">
          <cell r="B122" t="str">
            <v>D81310002350</v>
          </cell>
          <cell r="C122" t="str">
            <v>D813</v>
          </cell>
          <cell r="D122" t="str">
            <v>D110</v>
          </cell>
          <cell r="E122" t="str">
            <v>MX-PD0338 TEPEJI 2</v>
          </cell>
          <cell r="F122">
            <v>10002350</v>
          </cell>
          <cell r="G122" t="str">
            <v>Grava Triturada Andesita 10mm-</v>
          </cell>
          <cell r="H122">
            <v>77.33</v>
          </cell>
          <cell r="I122">
            <v>43.16</v>
          </cell>
          <cell r="J122">
            <v>120.49</v>
          </cell>
        </row>
        <row r="123">
          <cell r="B123" t="str">
            <v>D81310029946</v>
          </cell>
          <cell r="C123" t="str">
            <v>D813</v>
          </cell>
          <cell r="D123" t="str">
            <v>D110</v>
          </cell>
          <cell r="E123" t="str">
            <v>MX-PD0338 TEPEJI 2</v>
          </cell>
          <cell r="F123">
            <v>10029946</v>
          </cell>
          <cell r="G123" t="str">
            <v>Arena Triturada Andesita Malla</v>
          </cell>
          <cell r="H123">
            <v>77.66</v>
          </cell>
          <cell r="I123">
            <v>29.47</v>
          </cell>
          <cell r="J123">
            <v>107.13</v>
          </cell>
        </row>
        <row r="124">
          <cell r="B124" t="str">
            <v>D81310032959</v>
          </cell>
          <cell r="C124" t="str">
            <v>D813</v>
          </cell>
          <cell r="D124" t="str">
            <v>D110</v>
          </cell>
          <cell r="E124" t="str">
            <v>MX-PD0338 TEPEJI 2</v>
          </cell>
          <cell r="F124">
            <v>10032959</v>
          </cell>
          <cell r="G124" t="str">
            <v>Grava Triturada Andesita 50 mm</v>
          </cell>
          <cell r="H124">
            <v>77.33</v>
          </cell>
          <cell r="I124">
            <v>-4.6900000000000004</v>
          </cell>
          <cell r="J124">
            <v>72.64</v>
          </cell>
        </row>
        <row r="125">
          <cell r="B125" t="str">
            <v>D81310000253</v>
          </cell>
          <cell r="C125" t="str">
            <v>D813</v>
          </cell>
          <cell r="D125" t="str">
            <v>D111</v>
          </cell>
          <cell r="E125" t="str">
            <v>MX-PD0317 TOLUCA LERMA 2</v>
          </cell>
          <cell r="F125">
            <v>10000253</v>
          </cell>
          <cell r="G125" t="str">
            <v>Grava Triturada Andesita 20 mm</v>
          </cell>
          <cell r="H125">
            <v>77.33</v>
          </cell>
          <cell r="I125">
            <v>26.67</v>
          </cell>
          <cell r="J125">
            <v>104</v>
          </cell>
        </row>
        <row r="126">
          <cell r="B126" t="str">
            <v>D81310000255</v>
          </cell>
          <cell r="C126" t="str">
            <v>D813</v>
          </cell>
          <cell r="D126" t="str">
            <v>D111</v>
          </cell>
          <cell r="E126" t="str">
            <v>MX-PD0317 TOLUCA LERMA 2</v>
          </cell>
          <cell r="F126">
            <v>10000255</v>
          </cell>
          <cell r="G126" t="str">
            <v>Arena Triturada Andesita Malla</v>
          </cell>
          <cell r="H126">
            <v>77.66</v>
          </cell>
          <cell r="I126">
            <v>26.48</v>
          </cell>
          <cell r="J126">
            <v>104.14</v>
          </cell>
        </row>
        <row r="127">
          <cell r="B127" t="str">
            <v>D81310002350</v>
          </cell>
          <cell r="C127" t="str">
            <v>D813</v>
          </cell>
          <cell r="D127" t="str">
            <v>D111</v>
          </cell>
          <cell r="E127" t="str">
            <v>MX-PD0317 TOLUCA LERMA 2</v>
          </cell>
          <cell r="F127">
            <v>10002350</v>
          </cell>
          <cell r="G127" t="str">
            <v>Grava Triturada Andesita 10mm-</v>
          </cell>
          <cell r="H127">
            <v>77.33</v>
          </cell>
          <cell r="I127">
            <v>43.16</v>
          </cell>
          <cell r="J127">
            <v>120.49</v>
          </cell>
        </row>
        <row r="128">
          <cell r="B128" t="str">
            <v>D81310029946</v>
          </cell>
          <cell r="C128" t="str">
            <v>D813</v>
          </cell>
          <cell r="D128" t="str">
            <v>D111</v>
          </cell>
          <cell r="E128" t="str">
            <v>MX-PD0317 TOLUCA LERMA 2</v>
          </cell>
          <cell r="F128">
            <v>10029946</v>
          </cell>
          <cell r="G128" t="str">
            <v>Arena Triturada Andesita Malla</v>
          </cell>
          <cell r="H128">
            <v>77.66</v>
          </cell>
          <cell r="I128">
            <v>29.47</v>
          </cell>
          <cell r="J128">
            <v>107.13</v>
          </cell>
        </row>
        <row r="129">
          <cell r="B129" t="str">
            <v>D81310029946</v>
          </cell>
          <cell r="C129" t="str">
            <v>D813</v>
          </cell>
          <cell r="D129" t="str">
            <v>D117</v>
          </cell>
          <cell r="E129" t="str">
            <v>MX-PD0481 PACHUCA</v>
          </cell>
          <cell r="F129">
            <v>10029946</v>
          </cell>
          <cell r="G129" t="str">
            <v>Arena Triturada Andesita Malla</v>
          </cell>
          <cell r="H129">
            <v>77.66</v>
          </cell>
          <cell r="I129">
            <v>29.47</v>
          </cell>
          <cell r="J129">
            <v>107.13</v>
          </cell>
        </row>
        <row r="130">
          <cell r="B130" t="str">
            <v>D81310000252</v>
          </cell>
          <cell r="C130" t="str">
            <v>D813</v>
          </cell>
          <cell r="D130" t="str">
            <v>D132</v>
          </cell>
          <cell r="E130" t="str">
            <v>MX-PD0208 SAHAGUN</v>
          </cell>
          <cell r="F130">
            <v>10000252</v>
          </cell>
          <cell r="G130" t="str">
            <v>Grava Triturada Andesita 10 mm</v>
          </cell>
          <cell r="H130">
            <v>77.33</v>
          </cell>
          <cell r="I130">
            <v>37.6</v>
          </cell>
          <cell r="J130">
            <v>114.93</v>
          </cell>
        </row>
        <row r="131">
          <cell r="B131" t="str">
            <v>D81310000253</v>
          </cell>
          <cell r="C131" t="str">
            <v>D813</v>
          </cell>
          <cell r="D131" t="str">
            <v>D132</v>
          </cell>
          <cell r="E131" t="str">
            <v>MX-PD0208 SAHAGUN</v>
          </cell>
          <cell r="F131">
            <v>10000253</v>
          </cell>
          <cell r="G131" t="str">
            <v>Grava Triturada Andesita 20 mm</v>
          </cell>
          <cell r="H131">
            <v>77.33</v>
          </cell>
          <cell r="I131">
            <v>26.67</v>
          </cell>
          <cell r="J131">
            <v>104</v>
          </cell>
        </row>
        <row r="132">
          <cell r="B132" t="str">
            <v>D81310000255</v>
          </cell>
          <cell r="C132" t="str">
            <v>D813</v>
          </cell>
          <cell r="D132" t="str">
            <v>D132</v>
          </cell>
          <cell r="E132" t="str">
            <v>MX-PD0208 SAHAGUN</v>
          </cell>
          <cell r="F132">
            <v>10000255</v>
          </cell>
          <cell r="G132" t="str">
            <v>Arena Triturada Andesita Malla</v>
          </cell>
          <cell r="H132">
            <v>77.66</v>
          </cell>
          <cell r="I132">
            <v>26.48</v>
          </cell>
          <cell r="J132">
            <v>104.14</v>
          </cell>
        </row>
        <row r="133">
          <cell r="B133" t="str">
            <v>D81310001091</v>
          </cell>
          <cell r="C133" t="str">
            <v>D813</v>
          </cell>
          <cell r="D133" t="str">
            <v>D132</v>
          </cell>
          <cell r="E133" t="str">
            <v>MX-PD0208 SAHAGUN</v>
          </cell>
          <cell r="F133">
            <v>10001091</v>
          </cell>
          <cell r="G133" t="str">
            <v>Balasto Triturado Andesita 150</v>
          </cell>
          <cell r="H133">
            <v>49.14</v>
          </cell>
          <cell r="I133">
            <v>-3.67</v>
          </cell>
          <cell r="J133">
            <v>45.47</v>
          </cell>
        </row>
        <row r="134">
          <cell r="B134" t="str">
            <v>D81310000253</v>
          </cell>
          <cell r="C134" t="str">
            <v>D813</v>
          </cell>
          <cell r="D134" t="str">
            <v>D134</v>
          </cell>
          <cell r="E134" t="str">
            <v>MX-PD0255 CASAS ARA 2</v>
          </cell>
          <cell r="F134">
            <v>10000253</v>
          </cell>
          <cell r="G134" t="str">
            <v>Grava Triturada Andesita 20 mm</v>
          </cell>
          <cell r="H134">
            <v>77.33</v>
          </cell>
          <cell r="I134">
            <v>26.67</v>
          </cell>
          <cell r="J134">
            <v>104</v>
          </cell>
        </row>
        <row r="135">
          <cell r="B135" t="str">
            <v>D81310000255</v>
          </cell>
          <cell r="C135" t="str">
            <v>D813</v>
          </cell>
          <cell r="D135" t="str">
            <v>D134</v>
          </cell>
          <cell r="E135" t="str">
            <v>MX-PD0255 CASAS ARA 2</v>
          </cell>
          <cell r="F135">
            <v>10000255</v>
          </cell>
          <cell r="G135" t="str">
            <v>Arena Triturada Andesita Malla</v>
          </cell>
          <cell r="H135">
            <v>77.66</v>
          </cell>
          <cell r="I135">
            <v>26.48</v>
          </cell>
          <cell r="J135">
            <v>104.14</v>
          </cell>
        </row>
        <row r="136">
          <cell r="B136" t="str">
            <v>D81310001091</v>
          </cell>
          <cell r="C136" t="str">
            <v>D813</v>
          </cell>
          <cell r="D136" t="str">
            <v>D134</v>
          </cell>
          <cell r="E136" t="str">
            <v>MX-PD0255 CASAS ARA 2</v>
          </cell>
          <cell r="F136">
            <v>10001091</v>
          </cell>
          <cell r="G136" t="str">
            <v>Balasto Triturado Andesita 150</v>
          </cell>
          <cell r="H136">
            <v>49.14</v>
          </cell>
          <cell r="I136">
            <v>-3.67</v>
          </cell>
          <cell r="J136">
            <v>45.47</v>
          </cell>
        </row>
        <row r="137">
          <cell r="B137" t="str">
            <v>D81310000252</v>
          </cell>
          <cell r="C137" t="str">
            <v>D813</v>
          </cell>
          <cell r="D137" t="str">
            <v>D136</v>
          </cell>
          <cell r="E137" t="str">
            <v>MX-PD0237 LA ESTRELLA</v>
          </cell>
          <cell r="F137">
            <v>10000252</v>
          </cell>
          <cell r="G137" t="str">
            <v>Grava Triturada Andesita 10 mm</v>
          </cell>
          <cell r="H137">
            <v>77.33</v>
          </cell>
          <cell r="I137">
            <v>37.6</v>
          </cell>
          <cell r="J137">
            <v>114.93</v>
          </cell>
        </row>
        <row r="138">
          <cell r="B138" t="str">
            <v>D81310000253</v>
          </cell>
          <cell r="C138" t="str">
            <v>D813</v>
          </cell>
          <cell r="D138" t="str">
            <v>D136</v>
          </cell>
          <cell r="E138" t="str">
            <v>MX-PD0237 LA ESTRELLA</v>
          </cell>
          <cell r="F138">
            <v>10000253</v>
          </cell>
          <cell r="G138" t="str">
            <v>Grava Triturada Andesita 20 mm</v>
          </cell>
          <cell r="H138">
            <v>77.33</v>
          </cell>
          <cell r="I138">
            <v>26.67</v>
          </cell>
          <cell r="J138">
            <v>104</v>
          </cell>
        </row>
        <row r="139">
          <cell r="B139" t="str">
            <v>D81310000255</v>
          </cell>
          <cell r="C139" t="str">
            <v>D813</v>
          </cell>
          <cell r="D139" t="str">
            <v>D136</v>
          </cell>
          <cell r="E139" t="str">
            <v>MX-PD0237 LA ESTRELLA</v>
          </cell>
          <cell r="F139">
            <v>10000255</v>
          </cell>
          <cell r="G139" t="str">
            <v>Arena Triturada Andesita Malla</v>
          </cell>
          <cell r="H139">
            <v>77.66</v>
          </cell>
          <cell r="I139">
            <v>26.48</v>
          </cell>
          <cell r="J139">
            <v>104.14</v>
          </cell>
        </row>
        <row r="140">
          <cell r="B140" t="str">
            <v>D81310001091</v>
          </cell>
          <cell r="C140" t="str">
            <v>D813</v>
          </cell>
          <cell r="D140" t="str">
            <v>D136</v>
          </cell>
          <cell r="E140" t="str">
            <v>MX-PD0237 LA ESTRELLA</v>
          </cell>
          <cell r="F140">
            <v>10001091</v>
          </cell>
          <cell r="G140" t="str">
            <v>Balasto Triturado Andesita 150</v>
          </cell>
          <cell r="H140">
            <v>49.14</v>
          </cell>
          <cell r="I140">
            <v>-3.67</v>
          </cell>
          <cell r="J140">
            <v>45.47</v>
          </cell>
        </row>
        <row r="141">
          <cell r="B141" t="str">
            <v>D81310002350</v>
          </cell>
          <cell r="C141" t="str">
            <v>D813</v>
          </cell>
          <cell r="D141" t="str">
            <v>D136</v>
          </cell>
          <cell r="E141" t="str">
            <v>MX-PD0237 LA ESTRELLA</v>
          </cell>
          <cell r="F141">
            <v>10002350</v>
          </cell>
          <cell r="G141" t="str">
            <v>Grava Triturada Andesita 10mm-</v>
          </cell>
          <cell r="H141">
            <v>77.33</v>
          </cell>
          <cell r="I141">
            <v>43.16</v>
          </cell>
          <cell r="J141">
            <v>120.49</v>
          </cell>
        </row>
        <row r="142">
          <cell r="B142" t="str">
            <v>D81310029946</v>
          </cell>
          <cell r="C142" t="str">
            <v>D813</v>
          </cell>
          <cell r="D142" t="str">
            <v>D136</v>
          </cell>
          <cell r="E142" t="str">
            <v>MX-PD0237 LA ESTRELLA</v>
          </cell>
          <cell r="F142">
            <v>10029946</v>
          </cell>
          <cell r="G142" t="str">
            <v>Arena Triturada Andesita Malla</v>
          </cell>
          <cell r="H142">
            <v>77.66</v>
          </cell>
          <cell r="I142">
            <v>29.47</v>
          </cell>
          <cell r="J142">
            <v>107.13</v>
          </cell>
        </row>
        <row r="143">
          <cell r="B143" t="str">
            <v>D81310032959</v>
          </cell>
          <cell r="C143" t="str">
            <v>D813</v>
          </cell>
          <cell r="D143" t="str">
            <v>D136</v>
          </cell>
          <cell r="E143" t="str">
            <v>MX-PD0237 LA ESTRELLA</v>
          </cell>
          <cell r="F143">
            <v>10032959</v>
          </cell>
          <cell r="G143" t="str">
            <v>Grava Triturada Andesita 50 mm</v>
          </cell>
          <cell r="H143">
            <v>77.33</v>
          </cell>
          <cell r="I143">
            <v>-4.6900000000000004</v>
          </cell>
          <cell r="J143">
            <v>72.64</v>
          </cell>
        </row>
        <row r="144">
          <cell r="B144" t="str">
            <v>D81310000253</v>
          </cell>
          <cell r="C144" t="str">
            <v>D813</v>
          </cell>
          <cell r="D144" t="str">
            <v>D137</v>
          </cell>
          <cell r="E144" t="str">
            <v>MX-PD0215 TUXPAN 2</v>
          </cell>
          <cell r="F144">
            <v>10000253</v>
          </cell>
          <cell r="G144" t="str">
            <v>Grava Triturada Andesita 20 mm</v>
          </cell>
          <cell r="H144">
            <v>77.33</v>
          </cell>
          <cell r="I144">
            <v>26.67</v>
          </cell>
          <cell r="J144">
            <v>104</v>
          </cell>
        </row>
        <row r="145">
          <cell r="B145" t="str">
            <v>D81310000255</v>
          </cell>
          <cell r="C145" t="str">
            <v>D813</v>
          </cell>
          <cell r="D145" t="str">
            <v>D137</v>
          </cell>
          <cell r="E145" t="str">
            <v>MX-PD0215 TUXPAN 2</v>
          </cell>
          <cell r="F145">
            <v>10000255</v>
          </cell>
          <cell r="G145" t="str">
            <v>Arena Triturada Andesita Malla</v>
          </cell>
          <cell r="H145">
            <v>77.66</v>
          </cell>
          <cell r="I145">
            <v>26.48</v>
          </cell>
          <cell r="J145">
            <v>104.14</v>
          </cell>
        </row>
        <row r="146">
          <cell r="B146" t="str">
            <v>D81310002350</v>
          </cell>
          <cell r="C146" t="str">
            <v>D813</v>
          </cell>
          <cell r="D146" t="str">
            <v>D137</v>
          </cell>
          <cell r="E146" t="str">
            <v>MX-PD0215 TUXPAN 2</v>
          </cell>
          <cell r="F146">
            <v>10002350</v>
          </cell>
          <cell r="G146" t="str">
            <v>Grava Triturada Andesita 10mm-</v>
          </cell>
          <cell r="H146">
            <v>77.33</v>
          </cell>
          <cell r="I146">
            <v>43.16</v>
          </cell>
          <cell r="J146">
            <v>120.49</v>
          </cell>
        </row>
        <row r="147">
          <cell r="B147" t="str">
            <v>D81310000252</v>
          </cell>
          <cell r="C147" t="str">
            <v>D813</v>
          </cell>
          <cell r="D147" t="str">
            <v>D140</v>
          </cell>
          <cell r="E147" t="str">
            <v>MX-PD0283 LA ESTANCIA</v>
          </cell>
          <cell r="F147">
            <v>10000252</v>
          </cell>
          <cell r="G147" t="str">
            <v>Grava Triturada Andesita 10 mm</v>
          </cell>
          <cell r="H147">
            <v>77.33</v>
          </cell>
          <cell r="I147">
            <v>37.6</v>
          </cell>
          <cell r="J147">
            <v>114.93</v>
          </cell>
        </row>
        <row r="148">
          <cell r="B148" t="str">
            <v>D81310000253</v>
          </cell>
          <cell r="C148" t="str">
            <v>D813</v>
          </cell>
          <cell r="D148" t="str">
            <v>D140</v>
          </cell>
          <cell r="E148" t="str">
            <v>MX-PD0283 LA ESTANCIA</v>
          </cell>
          <cell r="F148">
            <v>10000253</v>
          </cell>
          <cell r="G148" t="str">
            <v>Grava Triturada Andesita 20 mm</v>
          </cell>
          <cell r="H148">
            <v>77.33</v>
          </cell>
          <cell r="I148">
            <v>26.67</v>
          </cell>
          <cell r="J148">
            <v>104</v>
          </cell>
        </row>
        <row r="149">
          <cell r="B149" t="str">
            <v>D81310000255</v>
          </cell>
          <cell r="C149" t="str">
            <v>D813</v>
          </cell>
          <cell r="D149" t="str">
            <v>D140</v>
          </cell>
          <cell r="E149" t="str">
            <v>MX-PD0283 LA ESTANCIA</v>
          </cell>
          <cell r="F149">
            <v>10000255</v>
          </cell>
          <cell r="G149" t="str">
            <v>Arena Triturada Andesita Malla</v>
          </cell>
          <cell r="H149">
            <v>77.66</v>
          </cell>
          <cell r="I149">
            <v>26.48</v>
          </cell>
          <cell r="J149">
            <v>104.14</v>
          </cell>
        </row>
        <row r="150">
          <cell r="B150" t="str">
            <v>D81310001091</v>
          </cell>
          <cell r="C150" t="str">
            <v>D813</v>
          </cell>
          <cell r="D150" t="str">
            <v>D140</v>
          </cell>
          <cell r="E150" t="str">
            <v>MX-PD0283 LA ESTANCIA</v>
          </cell>
          <cell r="F150">
            <v>10001091</v>
          </cell>
          <cell r="G150" t="str">
            <v>Balasto Triturado Andesita 150</v>
          </cell>
          <cell r="H150">
            <v>49.14</v>
          </cell>
          <cell r="I150">
            <v>-3.67</v>
          </cell>
          <cell r="J150">
            <v>45.47</v>
          </cell>
        </row>
        <row r="151">
          <cell r="B151" t="str">
            <v>D81310002350</v>
          </cell>
          <cell r="C151" t="str">
            <v>D813</v>
          </cell>
          <cell r="D151" t="str">
            <v>D140</v>
          </cell>
          <cell r="E151" t="str">
            <v>MX-PD0283 LA ESTANCIA</v>
          </cell>
          <cell r="F151">
            <v>10002350</v>
          </cell>
          <cell r="G151" t="str">
            <v>Grava Triturada Andesita 10mm-</v>
          </cell>
          <cell r="H151">
            <v>77.33</v>
          </cell>
          <cell r="I151">
            <v>43.16</v>
          </cell>
          <cell r="J151">
            <v>120.49</v>
          </cell>
        </row>
        <row r="152">
          <cell r="B152" t="str">
            <v>D81310000252</v>
          </cell>
          <cell r="C152" t="str">
            <v>D813</v>
          </cell>
          <cell r="D152" t="str">
            <v>D145</v>
          </cell>
          <cell r="E152" t="str">
            <v>MX-PD-458 ECATEPEC II</v>
          </cell>
          <cell r="F152">
            <v>10000252</v>
          </cell>
          <cell r="G152" t="str">
            <v>Grava Triturada Andesita 10 mm</v>
          </cell>
          <cell r="H152">
            <v>77.33</v>
          </cell>
          <cell r="I152">
            <v>37.6</v>
          </cell>
          <cell r="J152">
            <v>114.93</v>
          </cell>
        </row>
        <row r="153">
          <cell r="B153" t="str">
            <v>D81310000253</v>
          </cell>
          <cell r="C153" t="str">
            <v>D813</v>
          </cell>
          <cell r="D153" t="str">
            <v>D145</v>
          </cell>
          <cell r="E153" t="str">
            <v>MX-PD-458 ECATEPEC II</v>
          </cell>
          <cell r="F153">
            <v>10000253</v>
          </cell>
          <cell r="G153" t="str">
            <v>Grava Triturada Andesita 20 mm</v>
          </cell>
          <cell r="H153">
            <v>77.33</v>
          </cell>
          <cell r="I153">
            <v>26.67</v>
          </cell>
          <cell r="J153">
            <v>104</v>
          </cell>
        </row>
        <row r="154">
          <cell r="B154" t="str">
            <v>D81310000255</v>
          </cell>
          <cell r="C154" t="str">
            <v>D813</v>
          </cell>
          <cell r="D154" t="str">
            <v>D145</v>
          </cell>
          <cell r="E154" t="str">
            <v>MX-PD-458 ECATEPEC II</v>
          </cell>
          <cell r="F154">
            <v>10000255</v>
          </cell>
          <cell r="G154" t="str">
            <v>Arena Triturada Andesita Malla</v>
          </cell>
          <cell r="H154">
            <v>77.66</v>
          </cell>
          <cell r="I154">
            <v>26.48</v>
          </cell>
          <cell r="J154">
            <v>104.14</v>
          </cell>
        </row>
        <row r="155">
          <cell r="B155" t="str">
            <v>D81310001091</v>
          </cell>
          <cell r="C155" t="str">
            <v>D813</v>
          </cell>
          <cell r="D155" t="str">
            <v>D145</v>
          </cell>
          <cell r="E155" t="str">
            <v>MX-PD-458 ECATEPEC II</v>
          </cell>
          <cell r="F155">
            <v>10001091</v>
          </cell>
          <cell r="G155" t="str">
            <v>Balasto Triturado Andesita 150</v>
          </cell>
          <cell r="H155">
            <v>49.14</v>
          </cell>
          <cell r="I155">
            <v>-3.67</v>
          </cell>
          <cell r="J155">
            <v>45.47</v>
          </cell>
        </row>
        <row r="156">
          <cell r="B156" t="str">
            <v>D81310002350</v>
          </cell>
          <cell r="C156" t="str">
            <v>D813</v>
          </cell>
          <cell r="D156" t="str">
            <v>D145</v>
          </cell>
          <cell r="E156" t="str">
            <v>MX-PD-458 ECATEPEC II</v>
          </cell>
          <cell r="F156">
            <v>10002350</v>
          </cell>
          <cell r="G156" t="str">
            <v>Grava Triturada Andesita 10mm-</v>
          </cell>
          <cell r="H156">
            <v>77.33</v>
          </cell>
          <cell r="I156">
            <v>43.16</v>
          </cell>
          <cell r="J156">
            <v>120.49</v>
          </cell>
        </row>
        <row r="157">
          <cell r="B157" t="str">
            <v>D81310029946</v>
          </cell>
          <cell r="C157" t="str">
            <v>D813</v>
          </cell>
          <cell r="D157" t="str">
            <v>D145</v>
          </cell>
          <cell r="E157" t="str">
            <v>MX-PD-458 ECATEPEC II</v>
          </cell>
          <cell r="F157">
            <v>10029946</v>
          </cell>
          <cell r="G157" t="str">
            <v>Arena Triturada Andesita Malla</v>
          </cell>
          <cell r="H157">
            <v>77.66</v>
          </cell>
          <cell r="I157">
            <v>29.47</v>
          </cell>
          <cell r="J157">
            <v>107.13</v>
          </cell>
        </row>
        <row r="158">
          <cell r="B158" t="str">
            <v>D81310032959</v>
          </cell>
          <cell r="C158" t="str">
            <v>D813</v>
          </cell>
          <cell r="D158" t="str">
            <v>D145</v>
          </cell>
          <cell r="E158" t="str">
            <v>MX-PD-458 ECATEPEC II</v>
          </cell>
          <cell r="F158">
            <v>10032959</v>
          </cell>
          <cell r="G158" t="str">
            <v>Grava Triturada Andesita 50 mm</v>
          </cell>
          <cell r="H158">
            <v>77.33</v>
          </cell>
          <cell r="I158">
            <v>-4.6900000000000004</v>
          </cell>
          <cell r="J158">
            <v>72.64</v>
          </cell>
        </row>
        <row r="159">
          <cell r="B159" t="str">
            <v>D81310000253</v>
          </cell>
          <cell r="C159" t="str">
            <v>D813</v>
          </cell>
          <cell r="D159" t="str">
            <v>D681</v>
          </cell>
          <cell r="E159" t="str">
            <v>MX-PD0639 TULTEPEC</v>
          </cell>
          <cell r="F159">
            <v>10000253</v>
          </cell>
          <cell r="G159" t="str">
            <v>Grava Triturada Andesita 20 mm</v>
          </cell>
          <cell r="H159">
            <v>77.33</v>
          </cell>
          <cell r="I159">
            <v>26.67</v>
          </cell>
          <cell r="J159">
            <v>104</v>
          </cell>
        </row>
        <row r="160">
          <cell r="B160" t="str">
            <v>D81310000255</v>
          </cell>
          <cell r="C160" t="str">
            <v>D813</v>
          </cell>
          <cell r="D160" t="str">
            <v>D681</v>
          </cell>
          <cell r="E160" t="str">
            <v>MX-PD0639 TULTEPEC</v>
          </cell>
          <cell r="F160">
            <v>10000255</v>
          </cell>
          <cell r="G160" t="str">
            <v>Arena Triturada Andesita Malla</v>
          </cell>
          <cell r="H160">
            <v>77.66</v>
          </cell>
          <cell r="I160">
            <v>26.48</v>
          </cell>
          <cell r="J160">
            <v>104.14</v>
          </cell>
        </row>
        <row r="161">
          <cell r="B161" t="str">
            <v>D81310002350</v>
          </cell>
          <cell r="C161" t="str">
            <v>D813</v>
          </cell>
          <cell r="D161" t="str">
            <v>D681</v>
          </cell>
          <cell r="E161" t="str">
            <v>MX-PD0639 TULTEPEC</v>
          </cell>
          <cell r="F161">
            <v>10002350</v>
          </cell>
          <cell r="G161" t="str">
            <v>Grava Triturada Andesita 10mm-</v>
          </cell>
          <cell r="H161">
            <v>77.33</v>
          </cell>
          <cell r="I161">
            <v>43.16</v>
          </cell>
          <cell r="J161">
            <v>120.49</v>
          </cell>
        </row>
        <row r="162">
          <cell r="B162" t="str">
            <v>D86110000229</v>
          </cell>
          <cell r="C162" t="str">
            <v>D861</v>
          </cell>
          <cell r="D162" t="str">
            <v>D059</v>
          </cell>
          <cell r="E162" t="str">
            <v>MX-PD0286 SAN MIGUEL DE ALLEND</v>
          </cell>
          <cell r="F162">
            <v>10000229</v>
          </cell>
          <cell r="G162" t="str">
            <v>Grava Triturada Basalto  10 mm</v>
          </cell>
          <cell r="H162">
            <v>147.72</v>
          </cell>
          <cell r="I162">
            <v>92.05</v>
          </cell>
          <cell r="J162">
            <v>239.76999999999998</v>
          </cell>
        </row>
        <row r="163">
          <cell r="B163" t="str">
            <v>D86110000231</v>
          </cell>
          <cell r="C163" t="str">
            <v>D861</v>
          </cell>
          <cell r="D163" t="str">
            <v>D059</v>
          </cell>
          <cell r="E163" t="str">
            <v>MX-PD0286 SAN MIGUEL DE ALLEND</v>
          </cell>
          <cell r="F163">
            <v>10000231</v>
          </cell>
          <cell r="G163" t="str">
            <v>Grava Triturada Basalto 20 mm</v>
          </cell>
          <cell r="H163">
            <v>147.72</v>
          </cell>
          <cell r="I163">
            <v>68.260000000000005</v>
          </cell>
          <cell r="J163">
            <v>215.98000000000002</v>
          </cell>
        </row>
        <row r="164">
          <cell r="B164" t="str">
            <v>D86110000233</v>
          </cell>
          <cell r="C164" t="str">
            <v>D861</v>
          </cell>
          <cell r="D164" t="str">
            <v>D059</v>
          </cell>
          <cell r="E164" t="str">
            <v>MX-PD0286 SAN MIGUEL DE ALLEND</v>
          </cell>
          <cell r="F164">
            <v>10000233</v>
          </cell>
          <cell r="G164" t="str">
            <v>Grava Triturada Basalto  40 mm</v>
          </cell>
          <cell r="H164">
            <v>147.72</v>
          </cell>
          <cell r="I164">
            <v>30.28</v>
          </cell>
          <cell r="J164">
            <v>178</v>
          </cell>
        </row>
        <row r="165">
          <cell r="B165" t="str">
            <v>D86110000311</v>
          </cell>
          <cell r="C165" t="str">
            <v>D861</v>
          </cell>
          <cell r="D165" t="str">
            <v>D059</v>
          </cell>
          <cell r="E165" t="str">
            <v>MX-PD0286 SAN MIGUEL DE ALLEND</v>
          </cell>
          <cell r="F165">
            <v>10000311</v>
          </cell>
          <cell r="G165" t="str">
            <v>Arena Triturada Basalto  Malla</v>
          </cell>
          <cell r="H165">
            <v>146.4</v>
          </cell>
          <cell r="I165">
            <v>57.38</v>
          </cell>
          <cell r="J165">
            <v>203.78</v>
          </cell>
        </row>
        <row r="166">
          <cell r="B166" t="str">
            <v>D86110000229</v>
          </cell>
          <cell r="C166" t="str">
            <v>D861</v>
          </cell>
          <cell r="D166" t="str">
            <v>D074</v>
          </cell>
          <cell r="E166" t="str">
            <v>MX-PD-063 CENTRAL</v>
          </cell>
          <cell r="F166">
            <v>10000229</v>
          </cell>
          <cell r="G166" t="str">
            <v>Grava Triturada Basalto  10 mm</v>
          </cell>
          <cell r="H166">
            <v>147.72</v>
          </cell>
          <cell r="I166">
            <v>92.05</v>
          </cell>
          <cell r="J166">
            <v>239.76999999999998</v>
          </cell>
        </row>
        <row r="167">
          <cell r="B167" t="str">
            <v>D86110000231</v>
          </cell>
          <cell r="C167" t="str">
            <v>D861</v>
          </cell>
          <cell r="D167" t="str">
            <v>D074</v>
          </cell>
          <cell r="E167" t="str">
            <v>MX-PD-063 CENTRAL</v>
          </cell>
          <cell r="F167">
            <v>10000231</v>
          </cell>
          <cell r="G167" t="str">
            <v>Grava Triturada Basalto 20 mm</v>
          </cell>
          <cell r="H167">
            <v>147.72</v>
          </cell>
          <cell r="I167">
            <v>68.260000000000005</v>
          </cell>
          <cell r="J167">
            <v>215.98000000000002</v>
          </cell>
        </row>
        <row r="168">
          <cell r="B168" t="str">
            <v>D86110000233</v>
          </cell>
          <cell r="C168" t="str">
            <v>D861</v>
          </cell>
          <cell r="D168" t="str">
            <v>D074</v>
          </cell>
          <cell r="E168" t="str">
            <v>MX-PD-063 CENTRAL</v>
          </cell>
          <cell r="F168">
            <v>10000233</v>
          </cell>
          <cell r="G168" t="str">
            <v>Grava Triturada Basalto  40 mm</v>
          </cell>
          <cell r="H168">
            <v>147.72</v>
          </cell>
          <cell r="I168">
            <v>30.28</v>
          </cell>
          <cell r="J168">
            <v>178</v>
          </cell>
        </row>
        <row r="169">
          <cell r="B169" t="str">
            <v>D86110000231</v>
          </cell>
          <cell r="C169" t="str">
            <v>D861</v>
          </cell>
          <cell r="D169" t="str">
            <v>D077</v>
          </cell>
          <cell r="E169" t="str">
            <v>MX-PD-067 LOS REYES</v>
          </cell>
          <cell r="F169">
            <v>10000231</v>
          </cell>
          <cell r="G169" t="str">
            <v>Grava Triturada Basalto 20 mm</v>
          </cell>
          <cell r="H169">
            <v>147.72</v>
          </cell>
          <cell r="I169">
            <v>68.260000000000005</v>
          </cell>
          <cell r="J169">
            <v>215.98000000000002</v>
          </cell>
        </row>
        <row r="170">
          <cell r="B170" t="str">
            <v>D86110000229</v>
          </cell>
          <cell r="C170" t="str">
            <v>D861</v>
          </cell>
          <cell r="D170" t="str">
            <v>D079</v>
          </cell>
          <cell r="E170" t="str">
            <v>MX-PD-071 XOCHIMILCO</v>
          </cell>
          <cell r="F170">
            <v>10000229</v>
          </cell>
          <cell r="G170" t="str">
            <v>Grava Triturada Basalto  10 mm</v>
          </cell>
          <cell r="H170">
            <v>147.72</v>
          </cell>
          <cell r="I170">
            <v>92.05</v>
          </cell>
          <cell r="J170">
            <v>239.76999999999998</v>
          </cell>
        </row>
        <row r="171">
          <cell r="B171" t="str">
            <v>D86110000231</v>
          </cell>
          <cell r="C171" t="str">
            <v>D861</v>
          </cell>
          <cell r="D171" t="str">
            <v>D079</v>
          </cell>
          <cell r="E171" t="str">
            <v>MX-PD-071 XOCHIMILCO</v>
          </cell>
          <cell r="F171">
            <v>10000231</v>
          </cell>
          <cell r="G171" t="str">
            <v>Grava Triturada Basalto 20 mm</v>
          </cell>
          <cell r="H171">
            <v>147.72</v>
          </cell>
          <cell r="I171">
            <v>68.260000000000005</v>
          </cell>
          <cell r="J171">
            <v>215.98000000000002</v>
          </cell>
        </row>
        <row r="172">
          <cell r="B172" t="str">
            <v>D86110000233</v>
          </cell>
          <cell r="C172" t="str">
            <v>D861</v>
          </cell>
          <cell r="D172" t="str">
            <v>D079</v>
          </cell>
          <cell r="E172" t="str">
            <v>MX-PD-071 XOCHIMILCO</v>
          </cell>
          <cell r="F172">
            <v>10000233</v>
          </cell>
          <cell r="G172" t="str">
            <v>Grava Triturada Basalto  40 mm</v>
          </cell>
          <cell r="H172">
            <v>147.72</v>
          </cell>
          <cell r="I172">
            <v>30.28</v>
          </cell>
          <cell r="J172">
            <v>178</v>
          </cell>
        </row>
        <row r="173">
          <cell r="B173" t="str">
            <v>D86110000229</v>
          </cell>
          <cell r="C173" t="str">
            <v>D861</v>
          </cell>
          <cell r="D173" t="str">
            <v>D080</v>
          </cell>
          <cell r="E173" t="str">
            <v>MX-PD-086 VALLEJO</v>
          </cell>
          <cell r="F173">
            <v>10000229</v>
          </cell>
          <cell r="G173" t="str">
            <v>Grava Triturada Basalto  10 mm</v>
          </cell>
          <cell r="H173">
            <v>147.72</v>
          </cell>
          <cell r="I173">
            <v>92.05</v>
          </cell>
          <cell r="J173">
            <v>239.76999999999998</v>
          </cell>
        </row>
        <row r="174">
          <cell r="B174" t="str">
            <v>D86110000231</v>
          </cell>
          <cell r="C174" t="str">
            <v>D861</v>
          </cell>
          <cell r="D174" t="str">
            <v>D080</v>
          </cell>
          <cell r="E174" t="str">
            <v>MX-PD-086 VALLEJO</v>
          </cell>
          <cell r="F174">
            <v>10000231</v>
          </cell>
          <cell r="G174" t="str">
            <v>Grava Triturada Basalto 20 mm</v>
          </cell>
          <cell r="H174">
            <v>147.72</v>
          </cell>
          <cell r="I174">
            <v>68.260000000000005</v>
          </cell>
          <cell r="J174">
            <v>215.98000000000002</v>
          </cell>
        </row>
        <row r="175">
          <cell r="B175" t="str">
            <v>D86110000233</v>
          </cell>
          <cell r="C175" t="str">
            <v>D861</v>
          </cell>
          <cell r="D175" t="str">
            <v>D080</v>
          </cell>
          <cell r="E175" t="str">
            <v>MX-PD-086 VALLEJO</v>
          </cell>
          <cell r="F175">
            <v>10000233</v>
          </cell>
          <cell r="G175" t="str">
            <v>Grava Triturada Basalto  40 mm</v>
          </cell>
          <cell r="H175">
            <v>147.72</v>
          </cell>
          <cell r="I175">
            <v>30.28</v>
          </cell>
          <cell r="J175">
            <v>178</v>
          </cell>
        </row>
        <row r="176">
          <cell r="B176" t="str">
            <v>D86110000311</v>
          </cell>
          <cell r="C176" t="str">
            <v>D861</v>
          </cell>
          <cell r="D176" t="str">
            <v>D080</v>
          </cell>
          <cell r="E176" t="str">
            <v>MX-PD-086 VALLEJO</v>
          </cell>
          <cell r="F176">
            <v>10000311</v>
          </cell>
          <cell r="G176" t="str">
            <v>Arena Triturada Basalto  Malla</v>
          </cell>
          <cell r="H176">
            <v>146.4</v>
          </cell>
          <cell r="I176">
            <v>57.38</v>
          </cell>
          <cell r="J176">
            <v>203.78</v>
          </cell>
        </row>
        <row r="177">
          <cell r="B177" t="str">
            <v>D86110000229</v>
          </cell>
          <cell r="C177" t="str">
            <v>D861</v>
          </cell>
          <cell r="D177" t="str">
            <v>D081</v>
          </cell>
          <cell r="E177" t="str">
            <v>MX-PD-088 ARMAS</v>
          </cell>
          <cell r="F177">
            <v>10000229</v>
          </cell>
          <cell r="G177" t="str">
            <v>Grava Triturada Basalto  10 mm</v>
          </cell>
          <cell r="H177">
            <v>147.72</v>
          </cell>
          <cell r="I177">
            <v>92.05</v>
          </cell>
          <cell r="J177">
            <v>239.76999999999998</v>
          </cell>
        </row>
        <row r="178">
          <cell r="B178" t="str">
            <v>D86110000231</v>
          </cell>
          <cell r="C178" t="str">
            <v>D861</v>
          </cell>
          <cell r="D178" t="str">
            <v>D081</v>
          </cell>
          <cell r="E178" t="str">
            <v>MX-PD-088 ARMAS</v>
          </cell>
          <cell r="F178">
            <v>10000231</v>
          </cell>
          <cell r="G178" t="str">
            <v>Grava Triturada Basalto 20 mm</v>
          </cell>
          <cell r="H178">
            <v>147.72</v>
          </cell>
          <cell r="I178">
            <v>68.260000000000005</v>
          </cell>
          <cell r="J178">
            <v>215.98000000000002</v>
          </cell>
        </row>
        <row r="179">
          <cell r="B179" t="str">
            <v>D86110000233</v>
          </cell>
          <cell r="C179" t="str">
            <v>D861</v>
          </cell>
          <cell r="D179" t="str">
            <v>D081</v>
          </cell>
          <cell r="E179" t="str">
            <v>MX-PD-088 ARMAS</v>
          </cell>
          <cell r="F179">
            <v>10000233</v>
          </cell>
          <cell r="G179" t="str">
            <v>Grava Triturada Basalto  40 mm</v>
          </cell>
          <cell r="H179">
            <v>147.72</v>
          </cell>
          <cell r="I179">
            <v>30.28</v>
          </cell>
          <cell r="J179">
            <v>178</v>
          </cell>
        </row>
        <row r="180">
          <cell r="B180" t="str">
            <v>D86110000311</v>
          </cell>
          <cell r="C180" t="str">
            <v>D861</v>
          </cell>
          <cell r="D180" t="str">
            <v>D081</v>
          </cell>
          <cell r="E180" t="str">
            <v>MX-PD-088 ARMAS</v>
          </cell>
          <cell r="F180">
            <v>10000311</v>
          </cell>
          <cell r="G180" t="str">
            <v>Arena Triturada Basalto  Malla</v>
          </cell>
          <cell r="H180">
            <v>146.4</v>
          </cell>
          <cell r="I180">
            <v>57.38</v>
          </cell>
          <cell r="J180">
            <v>203.78</v>
          </cell>
        </row>
        <row r="181">
          <cell r="B181" t="str">
            <v>D86110000229</v>
          </cell>
          <cell r="C181" t="str">
            <v>D861</v>
          </cell>
          <cell r="D181" t="str">
            <v>D083</v>
          </cell>
          <cell r="E181" t="str">
            <v>MX-PD-099 MINAS</v>
          </cell>
          <cell r="F181">
            <v>10000229</v>
          </cell>
          <cell r="G181" t="str">
            <v>Grava Triturada Basalto  10 mm</v>
          </cell>
          <cell r="H181">
            <v>147.72</v>
          </cell>
          <cell r="I181">
            <v>92.05</v>
          </cell>
          <cell r="J181">
            <v>239.76999999999998</v>
          </cell>
        </row>
        <row r="182">
          <cell r="B182" t="str">
            <v>D86110000231</v>
          </cell>
          <cell r="C182" t="str">
            <v>D861</v>
          </cell>
          <cell r="D182" t="str">
            <v>D083</v>
          </cell>
          <cell r="E182" t="str">
            <v>MX-PD-099 MINAS</v>
          </cell>
          <cell r="F182">
            <v>10000231</v>
          </cell>
          <cell r="G182" t="str">
            <v>Grava Triturada Basalto 20 mm</v>
          </cell>
          <cell r="H182">
            <v>147.72</v>
          </cell>
          <cell r="I182">
            <v>68.260000000000005</v>
          </cell>
          <cell r="J182">
            <v>215.98000000000002</v>
          </cell>
        </row>
        <row r="183">
          <cell r="B183" t="str">
            <v>D86110000233</v>
          </cell>
          <cell r="C183" t="str">
            <v>D861</v>
          </cell>
          <cell r="D183" t="str">
            <v>D083</v>
          </cell>
          <cell r="E183" t="str">
            <v>MX-PD-099 MINAS</v>
          </cell>
          <cell r="F183">
            <v>10000233</v>
          </cell>
          <cell r="G183" t="str">
            <v>Grava Triturada Basalto  40 mm</v>
          </cell>
          <cell r="H183">
            <v>147.72</v>
          </cell>
          <cell r="I183">
            <v>30.28</v>
          </cell>
          <cell r="J183">
            <v>178</v>
          </cell>
        </row>
        <row r="184">
          <cell r="B184" t="str">
            <v>D86110000311</v>
          </cell>
          <cell r="C184" t="str">
            <v>D861</v>
          </cell>
          <cell r="D184" t="str">
            <v>D083</v>
          </cell>
          <cell r="E184" t="str">
            <v>MX-PD-099 MINAS</v>
          </cell>
          <cell r="F184">
            <v>10000311</v>
          </cell>
          <cell r="G184" t="str">
            <v>Arena Triturada Basalto  Malla</v>
          </cell>
          <cell r="H184">
            <v>146.4</v>
          </cell>
          <cell r="I184">
            <v>57.38</v>
          </cell>
          <cell r="J184">
            <v>203.78</v>
          </cell>
        </row>
        <row r="185">
          <cell r="B185" t="str">
            <v>D86110003153</v>
          </cell>
          <cell r="C185" t="str">
            <v>D861</v>
          </cell>
          <cell r="D185" t="str">
            <v>D083</v>
          </cell>
          <cell r="E185" t="str">
            <v>MX-PD-099 MINAS</v>
          </cell>
          <cell r="F185">
            <v>10003153</v>
          </cell>
          <cell r="G185" t="str">
            <v>Grava Triturada Basalto 13 mm</v>
          </cell>
          <cell r="H185">
            <v>147.72</v>
          </cell>
          <cell r="I185">
            <v>-34.68</v>
          </cell>
          <cell r="J185">
            <v>113.03999999999999</v>
          </cell>
        </row>
        <row r="186">
          <cell r="B186" t="str">
            <v>D86110000311</v>
          </cell>
          <cell r="C186" t="str">
            <v>D861</v>
          </cell>
          <cell r="D186" t="str">
            <v>D084</v>
          </cell>
          <cell r="E186" t="str">
            <v>MX-PD-186 IZTAPALAPA</v>
          </cell>
          <cell r="F186">
            <v>10000311</v>
          </cell>
          <cell r="G186" t="str">
            <v>Arena Triturada Basalto  Malla</v>
          </cell>
          <cell r="H186">
            <v>146.4</v>
          </cell>
          <cell r="I186">
            <v>57.38</v>
          </cell>
          <cell r="J186">
            <v>203.78</v>
          </cell>
        </row>
        <row r="187">
          <cell r="B187" t="str">
            <v>D86110000229</v>
          </cell>
          <cell r="C187" t="str">
            <v>D861</v>
          </cell>
          <cell r="D187" t="str">
            <v>D085</v>
          </cell>
          <cell r="E187" t="str">
            <v>MX-PD0189 ROJO GOMEZ</v>
          </cell>
          <cell r="F187">
            <v>10000229</v>
          </cell>
          <cell r="G187" t="str">
            <v>Grava Triturada Basalto  10 mm</v>
          </cell>
          <cell r="H187">
            <v>147.72</v>
          </cell>
          <cell r="I187">
            <v>92.05</v>
          </cell>
          <cell r="J187">
            <v>239.76999999999998</v>
          </cell>
        </row>
        <row r="188">
          <cell r="B188" t="str">
            <v>D86110000231</v>
          </cell>
          <cell r="C188" t="str">
            <v>D861</v>
          </cell>
          <cell r="D188" t="str">
            <v>D085</v>
          </cell>
          <cell r="E188" t="str">
            <v>MX-PD0189 ROJO GOMEZ</v>
          </cell>
          <cell r="F188">
            <v>10000231</v>
          </cell>
          <cell r="G188" t="str">
            <v>Grava Triturada Basalto 20 mm</v>
          </cell>
          <cell r="H188">
            <v>147.72</v>
          </cell>
          <cell r="I188">
            <v>68.260000000000005</v>
          </cell>
          <cell r="J188">
            <v>215.98000000000002</v>
          </cell>
        </row>
        <row r="189">
          <cell r="B189" t="str">
            <v>D86110000233</v>
          </cell>
          <cell r="C189" t="str">
            <v>D861</v>
          </cell>
          <cell r="D189" t="str">
            <v>D085</v>
          </cell>
          <cell r="E189" t="str">
            <v>MX-PD0189 ROJO GOMEZ</v>
          </cell>
          <cell r="F189">
            <v>10000233</v>
          </cell>
          <cell r="G189" t="str">
            <v>Grava Triturada Basalto  40 mm</v>
          </cell>
          <cell r="H189">
            <v>147.72</v>
          </cell>
          <cell r="I189">
            <v>30.28</v>
          </cell>
          <cell r="J189">
            <v>178</v>
          </cell>
        </row>
        <row r="190">
          <cell r="B190" t="str">
            <v>D86110000229</v>
          </cell>
          <cell r="C190" t="str">
            <v>D861</v>
          </cell>
          <cell r="D190" t="str">
            <v>D086</v>
          </cell>
          <cell r="E190" t="str">
            <v>MX-PD-190 XALOSTC</v>
          </cell>
          <cell r="F190">
            <v>10000229</v>
          </cell>
          <cell r="G190" t="str">
            <v>Grava Triturada Basalto  10 mm</v>
          </cell>
          <cell r="H190">
            <v>147.72</v>
          </cell>
          <cell r="I190">
            <v>92.05</v>
          </cell>
          <cell r="J190">
            <v>239.76999999999998</v>
          </cell>
        </row>
        <row r="191">
          <cell r="B191" t="str">
            <v>D86110000231</v>
          </cell>
          <cell r="C191" t="str">
            <v>D861</v>
          </cell>
          <cell r="D191" t="str">
            <v>D086</v>
          </cell>
          <cell r="E191" t="str">
            <v>MX-PD-190 XALOSTC</v>
          </cell>
          <cell r="F191">
            <v>10000231</v>
          </cell>
          <cell r="G191" t="str">
            <v>Grava Triturada Basalto 20 mm</v>
          </cell>
          <cell r="H191">
            <v>147.72</v>
          </cell>
          <cell r="I191">
            <v>68.260000000000005</v>
          </cell>
          <cell r="J191">
            <v>215.98000000000002</v>
          </cell>
        </row>
        <row r="192">
          <cell r="B192" t="str">
            <v>D86110000233</v>
          </cell>
          <cell r="C192" t="str">
            <v>D861</v>
          </cell>
          <cell r="D192" t="str">
            <v>D086</v>
          </cell>
          <cell r="E192" t="str">
            <v>MX-PD-190 XALOSTC</v>
          </cell>
          <cell r="F192">
            <v>10000233</v>
          </cell>
          <cell r="G192" t="str">
            <v>Grava Triturada Basalto  40 mm</v>
          </cell>
          <cell r="H192">
            <v>147.72</v>
          </cell>
          <cell r="I192">
            <v>30.28</v>
          </cell>
          <cell r="J192">
            <v>178</v>
          </cell>
        </row>
        <row r="193">
          <cell r="B193" t="str">
            <v>D86110000229</v>
          </cell>
          <cell r="C193" t="str">
            <v>D861</v>
          </cell>
          <cell r="D193" t="str">
            <v>D087</v>
          </cell>
          <cell r="E193" t="str">
            <v>MX-PD0192 AEROPUERTO QRO</v>
          </cell>
          <cell r="F193">
            <v>10000229</v>
          </cell>
          <cell r="G193" t="str">
            <v>Grava Triturada Basalto  10 mm</v>
          </cell>
          <cell r="H193">
            <v>147.72</v>
          </cell>
          <cell r="I193">
            <v>92.05</v>
          </cell>
          <cell r="J193">
            <v>239.76999999999998</v>
          </cell>
        </row>
        <row r="194">
          <cell r="B194" t="str">
            <v>D86110000231</v>
          </cell>
          <cell r="C194" t="str">
            <v>D861</v>
          </cell>
          <cell r="D194" t="str">
            <v>D087</v>
          </cell>
          <cell r="E194" t="str">
            <v>MX-PD0192 AEROPUERTO QRO</v>
          </cell>
          <cell r="F194">
            <v>10000231</v>
          </cell>
          <cell r="G194" t="str">
            <v>Grava Triturada Basalto 20 mm</v>
          </cell>
          <cell r="H194">
            <v>147.72</v>
          </cell>
          <cell r="I194">
            <v>68.260000000000005</v>
          </cell>
          <cell r="J194">
            <v>215.98000000000002</v>
          </cell>
        </row>
        <row r="195">
          <cell r="B195" t="str">
            <v>D86110000233</v>
          </cell>
          <cell r="C195" t="str">
            <v>D861</v>
          </cell>
          <cell r="D195" t="str">
            <v>D087</v>
          </cell>
          <cell r="E195" t="str">
            <v>MX-PD0192 AEROPUERTO QRO</v>
          </cell>
          <cell r="F195">
            <v>10000233</v>
          </cell>
          <cell r="G195" t="str">
            <v>Grava Triturada Basalto  40 mm</v>
          </cell>
          <cell r="H195">
            <v>147.72</v>
          </cell>
          <cell r="I195">
            <v>30.28</v>
          </cell>
          <cell r="J195">
            <v>178</v>
          </cell>
        </row>
        <row r="196">
          <cell r="B196" t="str">
            <v>D86110000290</v>
          </cell>
          <cell r="C196" t="str">
            <v>D861</v>
          </cell>
          <cell r="D196" t="str">
            <v>D087</v>
          </cell>
          <cell r="E196" t="str">
            <v>MX-PD0192 AEROPUERTO QRO</v>
          </cell>
          <cell r="F196">
            <v>10000290</v>
          </cell>
          <cell r="G196" t="str">
            <v>Polvos Triturado Basalto 3/4"</v>
          </cell>
          <cell r="H196">
            <v>1.1499999999999999</v>
          </cell>
          <cell r="I196">
            <v>32.049999999999997</v>
          </cell>
          <cell r="J196">
            <v>33.199999999999996</v>
          </cell>
        </row>
        <row r="197">
          <cell r="B197" t="str">
            <v>D86110000311</v>
          </cell>
          <cell r="C197" t="str">
            <v>D861</v>
          </cell>
          <cell r="D197" t="str">
            <v>D087</v>
          </cell>
          <cell r="E197" t="str">
            <v>MX-PD0192 AEROPUERTO QRO</v>
          </cell>
          <cell r="F197">
            <v>10000311</v>
          </cell>
          <cell r="G197" t="str">
            <v>Arena Triturada Basalto  Malla</v>
          </cell>
          <cell r="H197">
            <v>146.4</v>
          </cell>
          <cell r="I197">
            <v>57.38</v>
          </cell>
          <cell r="J197">
            <v>203.78</v>
          </cell>
        </row>
        <row r="198">
          <cell r="B198" t="str">
            <v>D86110155483</v>
          </cell>
          <cell r="C198" t="str">
            <v>D861</v>
          </cell>
          <cell r="D198" t="str">
            <v>D087</v>
          </cell>
          <cell r="E198" t="str">
            <v>MX-PD0192 AEROPUERTO QRO</v>
          </cell>
          <cell r="F198">
            <v>10155483</v>
          </cell>
          <cell r="G198" t="str">
            <v>BALASTRO TRITURADO BASALTO</v>
          </cell>
          <cell r="H198">
            <v>28.18</v>
          </cell>
          <cell r="I198">
            <v>74.61</v>
          </cell>
          <cell r="J198">
            <v>102.78999999999999</v>
          </cell>
        </row>
        <row r="199">
          <cell r="B199" t="str">
            <v>D86110000229</v>
          </cell>
          <cell r="C199" t="str">
            <v>D861</v>
          </cell>
          <cell r="D199" t="str">
            <v>D089</v>
          </cell>
          <cell r="E199" t="str">
            <v>MX-PD-091 TULA IV</v>
          </cell>
          <cell r="F199">
            <v>10000229</v>
          </cell>
          <cell r="G199" t="str">
            <v>Grava Triturada Basalto  10 mm</v>
          </cell>
          <cell r="H199">
            <v>147.72</v>
          </cell>
          <cell r="I199">
            <v>92.05</v>
          </cell>
          <cell r="J199">
            <v>239.76999999999998</v>
          </cell>
        </row>
        <row r="200">
          <cell r="B200" t="str">
            <v>D86110000231</v>
          </cell>
          <cell r="C200" t="str">
            <v>D861</v>
          </cell>
          <cell r="D200" t="str">
            <v>D089</v>
          </cell>
          <cell r="E200" t="str">
            <v>MX-PD-091 TULA IV</v>
          </cell>
          <cell r="F200">
            <v>10000231</v>
          </cell>
          <cell r="G200" t="str">
            <v>Grava Triturada Basalto 20 mm</v>
          </cell>
          <cell r="H200">
            <v>147.72</v>
          </cell>
          <cell r="I200">
            <v>68.260000000000005</v>
          </cell>
          <cell r="J200">
            <v>215.98000000000002</v>
          </cell>
        </row>
        <row r="201">
          <cell r="B201" t="str">
            <v>D86110000233</v>
          </cell>
          <cell r="C201" t="str">
            <v>D861</v>
          </cell>
          <cell r="D201" t="str">
            <v>D089</v>
          </cell>
          <cell r="E201" t="str">
            <v>MX-PD-091 TULA IV</v>
          </cell>
          <cell r="F201">
            <v>10000233</v>
          </cell>
          <cell r="G201" t="str">
            <v>Grava Triturada Basalto  40 mm</v>
          </cell>
          <cell r="H201">
            <v>147.72</v>
          </cell>
          <cell r="I201">
            <v>30.28</v>
          </cell>
          <cell r="J201">
            <v>178</v>
          </cell>
        </row>
        <row r="202">
          <cell r="B202" t="str">
            <v>D86110000311</v>
          </cell>
          <cell r="C202" t="str">
            <v>D861</v>
          </cell>
          <cell r="D202" t="str">
            <v>D089</v>
          </cell>
          <cell r="E202" t="str">
            <v>MX-PD-091 TULA IV</v>
          </cell>
          <cell r="F202">
            <v>10000311</v>
          </cell>
          <cell r="G202" t="str">
            <v>Arena Triturada Basalto  Malla</v>
          </cell>
          <cell r="H202">
            <v>146.4</v>
          </cell>
          <cell r="I202">
            <v>57.38</v>
          </cell>
          <cell r="J202">
            <v>203.78</v>
          </cell>
        </row>
        <row r="203">
          <cell r="B203" t="str">
            <v>D86110000231</v>
          </cell>
          <cell r="C203" t="str">
            <v>D861</v>
          </cell>
          <cell r="D203" t="str">
            <v>D094</v>
          </cell>
          <cell r="E203" t="str">
            <v>MX-PD0284 PLANTA DEACERO</v>
          </cell>
          <cell r="F203">
            <v>10000231</v>
          </cell>
          <cell r="G203" t="str">
            <v>Grava Triturada Basalto 20 mm</v>
          </cell>
          <cell r="H203">
            <v>147.72</v>
          </cell>
          <cell r="I203">
            <v>68.260000000000005</v>
          </cell>
          <cell r="J203">
            <v>215.98000000000002</v>
          </cell>
        </row>
        <row r="204">
          <cell r="B204" t="str">
            <v>D86110000233</v>
          </cell>
          <cell r="C204" t="str">
            <v>D861</v>
          </cell>
          <cell r="D204" t="str">
            <v>D094</v>
          </cell>
          <cell r="E204" t="str">
            <v>MX-PD0284 PLANTA DEACERO</v>
          </cell>
          <cell r="F204">
            <v>10000233</v>
          </cell>
          <cell r="G204" t="str">
            <v>Grava Triturada Basalto  40 mm</v>
          </cell>
          <cell r="H204">
            <v>147.72</v>
          </cell>
          <cell r="I204">
            <v>30.28</v>
          </cell>
          <cell r="J204">
            <v>178</v>
          </cell>
        </row>
        <row r="205">
          <cell r="B205" t="str">
            <v>D86110000290</v>
          </cell>
          <cell r="C205" t="str">
            <v>D861</v>
          </cell>
          <cell r="D205" t="str">
            <v>D094</v>
          </cell>
          <cell r="E205" t="str">
            <v>MX-PD0284 PLANTA DEACERO</v>
          </cell>
          <cell r="F205">
            <v>10000290</v>
          </cell>
          <cell r="G205" t="str">
            <v>Polvos Triturado Basalto 3/4"</v>
          </cell>
          <cell r="H205">
            <v>1.1499999999999999</v>
          </cell>
          <cell r="I205">
            <v>3.85</v>
          </cell>
          <cell r="J205">
            <v>5</v>
          </cell>
        </row>
        <row r="206">
          <cell r="B206" t="str">
            <v>D86110000229</v>
          </cell>
          <cell r="C206" t="str">
            <v>D861</v>
          </cell>
          <cell r="D206" t="str">
            <v>D098</v>
          </cell>
          <cell r="E206" t="str">
            <v>MX-PD-315 CUAUTITLAN II</v>
          </cell>
          <cell r="F206">
            <v>10000229</v>
          </cell>
          <cell r="G206" t="str">
            <v>Grava Triturada Basalto  10 mm</v>
          </cell>
          <cell r="H206">
            <v>147.72</v>
          </cell>
          <cell r="I206">
            <v>92.05</v>
          </cell>
          <cell r="J206">
            <v>239.76999999999998</v>
          </cell>
        </row>
        <row r="207">
          <cell r="B207" t="str">
            <v>D86110000231</v>
          </cell>
          <cell r="C207" t="str">
            <v>D861</v>
          </cell>
          <cell r="D207" t="str">
            <v>D098</v>
          </cell>
          <cell r="E207" t="str">
            <v>MX-PD-315 CUAUTITLAN II</v>
          </cell>
          <cell r="F207">
            <v>10000231</v>
          </cell>
          <cell r="G207" t="str">
            <v>Grava Triturada Basalto 20 mm</v>
          </cell>
          <cell r="H207">
            <v>147.72</v>
          </cell>
          <cell r="I207">
            <v>68.260000000000005</v>
          </cell>
          <cell r="J207">
            <v>215.98000000000002</v>
          </cell>
        </row>
        <row r="208">
          <cell r="B208" t="str">
            <v>D86110000233</v>
          </cell>
          <cell r="C208" t="str">
            <v>D861</v>
          </cell>
          <cell r="D208" t="str">
            <v>D098</v>
          </cell>
          <cell r="E208" t="str">
            <v>MX-PD-315 CUAUTITLAN II</v>
          </cell>
          <cell r="F208">
            <v>10000233</v>
          </cell>
          <cell r="G208" t="str">
            <v>Grava Triturada Basalto  40 mm</v>
          </cell>
          <cell r="H208">
            <v>147.72</v>
          </cell>
          <cell r="I208">
            <v>30.28</v>
          </cell>
          <cell r="J208">
            <v>178</v>
          </cell>
        </row>
        <row r="209">
          <cell r="B209" t="str">
            <v>D86110000229</v>
          </cell>
          <cell r="C209" t="str">
            <v>D861</v>
          </cell>
          <cell r="D209" t="str">
            <v>D103</v>
          </cell>
          <cell r="E209" t="str">
            <v>MX-PD-498 PARQUE INDUSTRIAL</v>
          </cell>
          <cell r="F209">
            <v>10000229</v>
          </cell>
          <cell r="G209" t="str">
            <v>Grava Triturada Basalto  10 mm</v>
          </cell>
          <cell r="H209">
            <v>147.72</v>
          </cell>
          <cell r="I209">
            <v>92.05</v>
          </cell>
          <cell r="J209">
            <v>239.76999999999998</v>
          </cell>
        </row>
        <row r="210">
          <cell r="B210" t="str">
            <v>D86110000231</v>
          </cell>
          <cell r="C210" t="str">
            <v>D861</v>
          </cell>
          <cell r="D210" t="str">
            <v>D103</v>
          </cell>
          <cell r="E210" t="str">
            <v>MX-PD-498 PARQUE INDUSTRIAL</v>
          </cell>
          <cell r="F210">
            <v>10000231</v>
          </cell>
          <cell r="G210" t="str">
            <v>Grava Triturada Basalto 20 mm</v>
          </cell>
          <cell r="H210">
            <v>147.72</v>
          </cell>
          <cell r="I210">
            <v>68.260000000000005</v>
          </cell>
          <cell r="J210">
            <v>215.98000000000002</v>
          </cell>
        </row>
        <row r="211">
          <cell r="B211" t="str">
            <v>D86110000233</v>
          </cell>
          <cell r="C211" t="str">
            <v>D861</v>
          </cell>
          <cell r="D211" t="str">
            <v>D103</v>
          </cell>
          <cell r="E211" t="str">
            <v>MX-PD-498 PARQUE INDUSTRIAL</v>
          </cell>
          <cell r="F211">
            <v>10000233</v>
          </cell>
          <cell r="G211" t="str">
            <v>Grava Triturada Basalto  40 mm</v>
          </cell>
          <cell r="H211">
            <v>147.72</v>
          </cell>
          <cell r="I211">
            <v>30.28</v>
          </cell>
          <cell r="J211">
            <v>178</v>
          </cell>
        </row>
        <row r="212">
          <cell r="B212" t="str">
            <v>D86110000311</v>
          </cell>
          <cell r="C212" t="str">
            <v>D861</v>
          </cell>
          <cell r="D212" t="str">
            <v>D103</v>
          </cell>
          <cell r="E212" t="str">
            <v>MX-PD-498 PARQUE INDUSTRIAL</v>
          </cell>
          <cell r="F212">
            <v>10000311</v>
          </cell>
          <cell r="G212" t="str">
            <v>Arena Triturada Basalto  Malla</v>
          </cell>
          <cell r="H212">
            <v>146.4</v>
          </cell>
          <cell r="I212">
            <v>57.38</v>
          </cell>
          <cell r="J212">
            <v>203.78</v>
          </cell>
        </row>
        <row r="213">
          <cell r="B213" t="str">
            <v>D86110000229</v>
          </cell>
          <cell r="C213" t="str">
            <v>D861</v>
          </cell>
          <cell r="D213" t="str">
            <v>D105</v>
          </cell>
          <cell r="E213" t="str">
            <v>MX-PD-331 NAUCALPAN II</v>
          </cell>
          <cell r="F213">
            <v>10000229</v>
          </cell>
          <cell r="G213" t="str">
            <v>Grava Triturada Basalto  10 mm</v>
          </cell>
          <cell r="H213">
            <v>147.72</v>
          </cell>
          <cell r="I213">
            <v>92.05</v>
          </cell>
          <cell r="J213">
            <v>239.76999999999998</v>
          </cell>
        </row>
        <row r="214">
          <cell r="B214" t="str">
            <v>D86110000231</v>
          </cell>
          <cell r="C214" t="str">
            <v>D861</v>
          </cell>
          <cell r="D214" t="str">
            <v>D105</v>
          </cell>
          <cell r="E214" t="str">
            <v>MX-PD-331 NAUCALPAN II</v>
          </cell>
          <cell r="F214">
            <v>10000231</v>
          </cell>
          <cell r="G214" t="str">
            <v>Grava Triturada Basalto 20 mm</v>
          </cell>
          <cell r="H214">
            <v>147.72</v>
          </cell>
          <cell r="I214">
            <v>68.260000000000005</v>
          </cell>
          <cell r="J214">
            <v>215.98000000000002</v>
          </cell>
        </row>
        <row r="215">
          <cell r="B215" t="str">
            <v>D86110000233</v>
          </cell>
          <cell r="C215" t="str">
            <v>D861</v>
          </cell>
          <cell r="D215" t="str">
            <v>D105</v>
          </cell>
          <cell r="E215" t="str">
            <v>MX-PD-331 NAUCALPAN II</v>
          </cell>
          <cell r="F215">
            <v>10000233</v>
          </cell>
          <cell r="G215" t="str">
            <v>Grava Triturada Basalto  40 mm</v>
          </cell>
          <cell r="H215">
            <v>147.72</v>
          </cell>
          <cell r="I215">
            <v>30.28</v>
          </cell>
          <cell r="J215">
            <v>178</v>
          </cell>
        </row>
        <row r="216">
          <cell r="B216" t="str">
            <v>D86110000229</v>
          </cell>
          <cell r="C216" t="str">
            <v>D861</v>
          </cell>
          <cell r="D216" t="str">
            <v>D106</v>
          </cell>
          <cell r="E216" t="str">
            <v>MX-PD-499 CASAS ARA</v>
          </cell>
          <cell r="F216">
            <v>10000229</v>
          </cell>
          <cell r="G216" t="str">
            <v>Grava Triturada Basalto  10 mm</v>
          </cell>
          <cell r="H216">
            <v>147.72</v>
          </cell>
          <cell r="I216">
            <v>92.05</v>
          </cell>
          <cell r="J216">
            <v>239.76999999999998</v>
          </cell>
        </row>
        <row r="217">
          <cell r="B217" t="str">
            <v>D86110000231</v>
          </cell>
          <cell r="C217" t="str">
            <v>D861</v>
          </cell>
          <cell r="D217" t="str">
            <v>D106</v>
          </cell>
          <cell r="E217" t="str">
            <v>MX-PD-499 CASAS ARA</v>
          </cell>
          <cell r="F217">
            <v>10000231</v>
          </cell>
          <cell r="G217" t="str">
            <v>Grava Triturada Basalto 20 mm</v>
          </cell>
          <cell r="H217">
            <v>147.72</v>
          </cell>
          <cell r="I217">
            <v>68.260000000000005</v>
          </cell>
          <cell r="J217">
            <v>215.98000000000002</v>
          </cell>
        </row>
        <row r="218">
          <cell r="B218" t="str">
            <v>D86110000233</v>
          </cell>
          <cell r="C218" t="str">
            <v>D861</v>
          </cell>
          <cell r="D218" t="str">
            <v>D106</v>
          </cell>
          <cell r="E218" t="str">
            <v>MX-PD-499 CASAS ARA</v>
          </cell>
          <cell r="F218">
            <v>10000233</v>
          </cell>
          <cell r="G218" t="str">
            <v>Grava Triturada Basalto  40 mm</v>
          </cell>
          <cell r="H218">
            <v>147.72</v>
          </cell>
          <cell r="I218">
            <v>30.28</v>
          </cell>
          <cell r="J218">
            <v>178</v>
          </cell>
        </row>
        <row r="219">
          <cell r="B219" t="str">
            <v>D86110000290</v>
          </cell>
          <cell r="C219" t="str">
            <v>D861</v>
          </cell>
          <cell r="D219" t="str">
            <v>D106</v>
          </cell>
          <cell r="E219" t="str">
            <v>MX-PD-499 CASAS ARA</v>
          </cell>
          <cell r="F219">
            <v>10000290</v>
          </cell>
          <cell r="G219" t="str">
            <v>Polvos Triturado Basalto 3/4"</v>
          </cell>
          <cell r="H219">
            <v>1.1499999999999999</v>
          </cell>
          <cell r="I219">
            <v>22.58</v>
          </cell>
          <cell r="J219">
            <v>23.729999999999997</v>
          </cell>
        </row>
        <row r="220">
          <cell r="B220" t="str">
            <v>D86110000311</v>
          </cell>
          <cell r="C220" t="str">
            <v>D861</v>
          </cell>
          <cell r="D220" t="str">
            <v>D106</v>
          </cell>
          <cell r="E220" t="str">
            <v>MX-PD-499 CASAS ARA</v>
          </cell>
          <cell r="F220">
            <v>10000311</v>
          </cell>
          <cell r="G220" t="str">
            <v>Arena Triturada Basalto  Malla</v>
          </cell>
          <cell r="H220">
            <v>146.4</v>
          </cell>
          <cell r="I220">
            <v>57.38</v>
          </cell>
          <cell r="J220">
            <v>203.78</v>
          </cell>
        </row>
        <row r="221">
          <cell r="B221" t="str">
            <v>D86110003153</v>
          </cell>
          <cell r="C221" t="str">
            <v>D861</v>
          </cell>
          <cell r="D221" t="str">
            <v>D106</v>
          </cell>
          <cell r="E221" t="str">
            <v>MX-PD-499 CASAS ARA</v>
          </cell>
          <cell r="F221">
            <v>10003153</v>
          </cell>
          <cell r="G221" t="str">
            <v>Grava Triturada Basalto 13 mm</v>
          </cell>
          <cell r="H221">
            <v>147.72</v>
          </cell>
          <cell r="I221">
            <v>-34.68</v>
          </cell>
          <cell r="J221">
            <v>113.03999999999999</v>
          </cell>
        </row>
        <row r="222">
          <cell r="B222" t="str">
            <v>D86110000229</v>
          </cell>
          <cell r="C222" t="str">
            <v>D861</v>
          </cell>
          <cell r="D222" t="str">
            <v>D107</v>
          </cell>
          <cell r="E222" t="str">
            <v>MX-PD-528 VIVEICA</v>
          </cell>
          <cell r="F222">
            <v>10000229</v>
          </cell>
          <cell r="G222" t="str">
            <v>Grava Triturada Basalto  10 mm</v>
          </cell>
          <cell r="H222">
            <v>147.72</v>
          </cell>
          <cell r="I222">
            <v>92.05</v>
          </cell>
          <cell r="J222">
            <v>239.76999999999998</v>
          </cell>
        </row>
        <row r="223">
          <cell r="B223" t="str">
            <v>D86110000231</v>
          </cell>
          <cell r="C223" t="str">
            <v>D861</v>
          </cell>
          <cell r="D223" t="str">
            <v>D107</v>
          </cell>
          <cell r="E223" t="str">
            <v>MX-PD-528 VIVEICA</v>
          </cell>
          <cell r="F223">
            <v>10000231</v>
          </cell>
          <cell r="G223" t="str">
            <v>Grava Triturada Basalto 20 mm</v>
          </cell>
          <cell r="H223">
            <v>147.72</v>
          </cell>
          <cell r="I223">
            <v>68.260000000000005</v>
          </cell>
          <cell r="J223">
            <v>215.98000000000002</v>
          </cell>
        </row>
        <row r="224">
          <cell r="B224" t="str">
            <v>D86110000233</v>
          </cell>
          <cell r="C224" t="str">
            <v>D861</v>
          </cell>
          <cell r="D224" t="str">
            <v>D107</v>
          </cell>
          <cell r="E224" t="str">
            <v>MX-PD-528 VIVEICA</v>
          </cell>
          <cell r="F224">
            <v>10000233</v>
          </cell>
          <cell r="G224" t="str">
            <v>Grava Triturada Basalto  40 mm</v>
          </cell>
          <cell r="H224">
            <v>147.72</v>
          </cell>
          <cell r="I224">
            <v>30.28</v>
          </cell>
          <cell r="J224">
            <v>178</v>
          </cell>
        </row>
        <row r="225">
          <cell r="B225" t="str">
            <v>D86110000311</v>
          </cell>
          <cell r="C225" t="str">
            <v>D861</v>
          </cell>
          <cell r="D225" t="str">
            <v>D107</v>
          </cell>
          <cell r="E225" t="str">
            <v>MX-PD-528 VIVEICA</v>
          </cell>
          <cell r="F225">
            <v>10000311</v>
          </cell>
          <cell r="G225" t="str">
            <v>Arena Triturada Basalto  Malla</v>
          </cell>
          <cell r="H225">
            <v>146.4</v>
          </cell>
          <cell r="I225">
            <v>57.38</v>
          </cell>
          <cell r="J225">
            <v>203.78</v>
          </cell>
        </row>
        <row r="226">
          <cell r="B226" t="str">
            <v>D86110000229</v>
          </cell>
          <cell r="C226" t="str">
            <v>D861</v>
          </cell>
          <cell r="D226" t="str">
            <v>D115</v>
          </cell>
          <cell r="E226" t="str">
            <v>MX-PD-505 SAN JUAN DEL RÍO</v>
          </cell>
          <cell r="F226">
            <v>10000229</v>
          </cell>
          <cell r="G226" t="str">
            <v>Grava Triturada Basalto  10 mm</v>
          </cell>
          <cell r="H226">
            <v>147.72</v>
          </cell>
          <cell r="I226">
            <v>92.05</v>
          </cell>
          <cell r="J226">
            <v>239.76999999999998</v>
          </cell>
        </row>
        <row r="227">
          <cell r="B227" t="str">
            <v>D86110000231</v>
          </cell>
          <cell r="C227" t="str">
            <v>D861</v>
          </cell>
          <cell r="D227" t="str">
            <v>D115</v>
          </cell>
          <cell r="E227" t="str">
            <v>MX-PD-505 SAN JUAN DEL RÍO</v>
          </cell>
          <cell r="F227">
            <v>10000231</v>
          </cell>
          <cell r="G227" t="str">
            <v>Grava Triturada Basalto 20 mm</v>
          </cell>
          <cell r="H227">
            <v>147.72</v>
          </cell>
          <cell r="I227">
            <v>68.260000000000005</v>
          </cell>
          <cell r="J227">
            <v>215.98000000000002</v>
          </cell>
        </row>
        <row r="228">
          <cell r="B228" t="str">
            <v>D86110000233</v>
          </cell>
          <cell r="C228" t="str">
            <v>D861</v>
          </cell>
          <cell r="D228" t="str">
            <v>D115</v>
          </cell>
          <cell r="E228" t="str">
            <v>MX-PD-505 SAN JUAN DEL RÍO</v>
          </cell>
          <cell r="F228">
            <v>10000233</v>
          </cell>
          <cell r="G228" t="str">
            <v>Grava Triturada Basalto  40 mm</v>
          </cell>
          <cell r="H228">
            <v>147.72</v>
          </cell>
          <cell r="I228">
            <v>30.28</v>
          </cell>
          <cell r="J228">
            <v>178</v>
          </cell>
        </row>
        <row r="229">
          <cell r="B229" t="str">
            <v>D86110000311</v>
          </cell>
          <cell r="C229" t="str">
            <v>D861</v>
          </cell>
          <cell r="D229" t="str">
            <v>D115</v>
          </cell>
          <cell r="E229" t="str">
            <v>MX-PD-505 SAN JUAN DEL RÍO</v>
          </cell>
          <cell r="F229">
            <v>10000311</v>
          </cell>
          <cell r="G229" t="str">
            <v>Arena Triturada Basalto  Malla</v>
          </cell>
          <cell r="H229">
            <v>146.4</v>
          </cell>
          <cell r="I229">
            <v>57.38</v>
          </cell>
          <cell r="J229">
            <v>203.78</v>
          </cell>
        </row>
        <row r="230">
          <cell r="B230" t="str">
            <v>D86110066861</v>
          </cell>
          <cell r="C230" t="str">
            <v>D861</v>
          </cell>
          <cell r="D230" t="str">
            <v>D115</v>
          </cell>
          <cell r="E230" t="str">
            <v>MX-PD-505 SAN JUAN DEL RÍO</v>
          </cell>
          <cell r="F230">
            <v>10066861</v>
          </cell>
          <cell r="G230" t="str">
            <v>GRAVA TRITURADA BASALTO DE 40</v>
          </cell>
          <cell r="H230">
            <v>147.72</v>
          </cell>
          <cell r="I230">
            <v>30.28</v>
          </cell>
          <cell r="J230">
            <v>178</v>
          </cell>
        </row>
        <row r="231">
          <cell r="B231" t="str">
            <v>D86110000229</v>
          </cell>
          <cell r="C231" t="str">
            <v>D861</v>
          </cell>
          <cell r="D231" t="str">
            <v>D117</v>
          </cell>
          <cell r="E231" t="str">
            <v>MX-PD0481 PACHUCA</v>
          </cell>
          <cell r="F231">
            <v>10000229</v>
          </cell>
          <cell r="G231" t="str">
            <v>Grava Triturada Basalto  10 mm</v>
          </cell>
          <cell r="H231">
            <v>147.72</v>
          </cell>
          <cell r="I231">
            <v>92.05</v>
          </cell>
          <cell r="J231">
            <v>239.76999999999998</v>
          </cell>
        </row>
        <row r="232">
          <cell r="B232" t="str">
            <v>D86110000231</v>
          </cell>
          <cell r="C232" t="str">
            <v>D861</v>
          </cell>
          <cell r="D232" t="str">
            <v>D117</v>
          </cell>
          <cell r="E232" t="str">
            <v>MX-PD0481 PACHUCA</v>
          </cell>
          <cell r="F232">
            <v>10000231</v>
          </cell>
          <cell r="G232" t="str">
            <v>Grava Triturada Basalto 20 mm</v>
          </cell>
          <cell r="H232">
            <v>147.72</v>
          </cell>
          <cell r="I232">
            <v>68.260000000000005</v>
          </cell>
          <cell r="J232">
            <v>215.98000000000002</v>
          </cell>
        </row>
        <row r="233">
          <cell r="B233" t="str">
            <v>D86110000233</v>
          </cell>
          <cell r="C233" t="str">
            <v>D861</v>
          </cell>
          <cell r="D233" t="str">
            <v>D117</v>
          </cell>
          <cell r="E233" t="str">
            <v>MX-PD0481 PACHUCA</v>
          </cell>
          <cell r="F233">
            <v>10000233</v>
          </cell>
          <cell r="G233" t="str">
            <v>Grava Triturada Basalto  40 mm</v>
          </cell>
          <cell r="H233">
            <v>147.72</v>
          </cell>
          <cell r="I233">
            <v>30.28</v>
          </cell>
          <cell r="J233">
            <v>178</v>
          </cell>
        </row>
        <row r="234">
          <cell r="B234" t="str">
            <v>D86110000229</v>
          </cell>
          <cell r="C234" t="str">
            <v>D861</v>
          </cell>
          <cell r="D234" t="str">
            <v>D134</v>
          </cell>
          <cell r="E234" t="str">
            <v>MX-PD0255 CASAS ARA 2</v>
          </cell>
          <cell r="F234">
            <v>10000229</v>
          </cell>
          <cell r="G234" t="str">
            <v>Grava Triturada Basalto  10 mm</v>
          </cell>
          <cell r="H234">
            <v>147.72</v>
          </cell>
          <cell r="I234">
            <v>92.05</v>
          </cell>
          <cell r="J234">
            <v>239.76999999999998</v>
          </cell>
        </row>
        <row r="235">
          <cell r="B235" t="str">
            <v>D86110000231</v>
          </cell>
          <cell r="C235" t="str">
            <v>D861</v>
          </cell>
          <cell r="D235" t="str">
            <v>D134</v>
          </cell>
          <cell r="E235" t="str">
            <v>MX-PD0255 CASAS ARA 2</v>
          </cell>
          <cell r="F235">
            <v>10000231</v>
          </cell>
          <cell r="G235" t="str">
            <v>Grava Triturada Basalto 20 mm</v>
          </cell>
          <cell r="H235">
            <v>147.72</v>
          </cell>
          <cell r="I235">
            <v>68.260000000000005</v>
          </cell>
          <cell r="J235">
            <v>215.98000000000002</v>
          </cell>
        </row>
        <row r="236">
          <cell r="B236" t="str">
            <v>D86110000233</v>
          </cell>
          <cell r="C236" t="str">
            <v>D861</v>
          </cell>
          <cell r="D236" t="str">
            <v>D134</v>
          </cell>
          <cell r="E236" t="str">
            <v>MX-PD0255 CASAS ARA 2</v>
          </cell>
          <cell r="F236">
            <v>10000233</v>
          </cell>
          <cell r="G236" t="str">
            <v>Grava Triturada Basalto  40 mm</v>
          </cell>
          <cell r="H236">
            <v>147.72</v>
          </cell>
          <cell r="I236">
            <v>30.28</v>
          </cell>
          <cell r="J236">
            <v>178</v>
          </cell>
        </row>
        <row r="237">
          <cell r="B237" t="str">
            <v>D86110000290</v>
          </cell>
          <cell r="C237" t="str">
            <v>D861</v>
          </cell>
          <cell r="D237" t="str">
            <v>D134</v>
          </cell>
          <cell r="E237" t="str">
            <v>MX-PD0255 CASAS ARA 2</v>
          </cell>
          <cell r="F237">
            <v>10000290</v>
          </cell>
          <cell r="G237" t="str">
            <v>Polvos Triturado Basalto 3/4"</v>
          </cell>
          <cell r="H237">
            <v>1.1499999999999999</v>
          </cell>
          <cell r="I237">
            <v>22.58</v>
          </cell>
          <cell r="J237">
            <v>23.729999999999997</v>
          </cell>
        </row>
        <row r="238">
          <cell r="B238" t="str">
            <v>D86110000311</v>
          </cell>
          <cell r="C238" t="str">
            <v>D861</v>
          </cell>
          <cell r="D238" t="str">
            <v>D134</v>
          </cell>
          <cell r="E238" t="str">
            <v>MX-PD0255 CASAS ARA 2</v>
          </cell>
          <cell r="F238">
            <v>10000311</v>
          </cell>
          <cell r="G238" t="str">
            <v>Arena Triturada Basalto  Malla</v>
          </cell>
          <cell r="H238">
            <v>146.4</v>
          </cell>
          <cell r="I238">
            <v>57.38</v>
          </cell>
          <cell r="J238">
            <v>203.78</v>
          </cell>
        </row>
        <row r="239">
          <cell r="B239" t="str">
            <v>D86110003153</v>
          </cell>
          <cell r="C239" t="str">
            <v>D861</v>
          </cell>
          <cell r="D239" t="str">
            <v>D134</v>
          </cell>
          <cell r="E239" t="str">
            <v>MX-PD0255 CASAS ARA 2</v>
          </cell>
          <cell r="F239">
            <v>10003153</v>
          </cell>
          <cell r="G239" t="str">
            <v>Grava Triturada Basalto 13 mm</v>
          </cell>
          <cell r="H239">
            <v>147.72</v>
          </cell>
          <cell r="I239">
            <v>-34.68</v>
          </cell>
          <cell r="J239">
            <v>113.03999999999999</v>
          </cell>
        </row>
        <row r="240">
          <cell r="B240" t="str">
            <v>D86110000229</v>
          </cell>
          <cell r="C240" t="str">
            <v>D861</v>
          </cell>
          <cell r="D240" t="str">
            <v>D136</v>
          </cell>
          <cell r="E240" t="str">
            <v>MX-PD0237 LA ESTRELLA</v>
          </cell>
          <cell r="F240">
            <v>10000229</v>
          </cell>
          <cell r="G240" t="str">
            <v>Grava Triturada Basalto  10 mm</v>
          </cell>
          <cell r="H240">
            <v>147.72</v>
          </cell>
          <cell r="I240">
            <v>92.05</v>
          </cell>
          <cell r="J240">
            <v>239.76999999999998</v>
          </cell>
        </row>
        <row r="241">
          <cell r="B241" t="str">
            <v>D86110000231</v>
          </cell>
          <cell r="C241" t="str">
            <v>D861</v>
          </cell>
          <cell r="D241" t="str">
            <v>D136</v>
          </cell>
          <cell r="E241" t="str">
            <v>MX-PD0237 LA ESTRELLA</v>
          </cell>
          <cell r="F241">
            <v>10000231</v>
          </cell>
          <cell r="G241" t="str">
            <v>Grava Triturada Basalto 20 mm</v>
          </cell>
          <cell r="H241">
            <v>147.72</v>
          </cell>
          <cell r="I241">
            <v>68.260000000000005</v>
          </cell>
          <cell r="J241">
            <v>215.98000000000002</v>
          </cell>
        </row>
        <row r="242">
          <cell r="B242" t="str">
            <v>D86110000233</v>
          </cell>
          <cell r="C242" t="str">
            <v>D861</v>
          </cell>
          <cell r="D242" t="str">
            <v>D136</v>
          </cell>
          <cell r="E242" t="str">
            <v>MX-PD0237 LA ESTRELLA</v>
          </cell>
          <cell r="F242">
            <v>10000233</v>
          </cell>
          <cell r="G242" t="str">
            <v>Grava Triturada Basalto  40 mm</v>
          </cell>
          <cell r="H242">
            <v>147.72</v>
          </cell>
          <cell r="I242">
            <v>30.28</v>
          </cell>
          <cell r="J242">
            <v>178</v>
          </cell>
        </row>
        <row r="243">
          <cell r="B243" t="str">
            <v>D86110000229</v>
          </cell>
          <cell r="C243" t="str">
            <v>D861</v>
          </cell>
          <cell r="D243" t="str">
            <v>D140</v>
          </cell>
          <cell r="E243" t="str">
            <v>MX-PD0283 LA ESTANCIA</v>
          </cell>
          <cell r="F243">
            <v>10000229</v>
          </cell>
          <cell r="G243" t="str">
            <v>Grava Triturada Basalto  10 mm</v>
          </cell>
          <cell r="H243">
            <v>147.72</v>
          </cell>
          <cell r="I243">
            <v>92.05</v>
          </cell>
          <cell r="J243">
            <v>239.76999999999998</v>
          </cell>
        </row>
        <row r="244">
          <cell r="B244" t="str">
            <v>D86110000231</v>
          </cell>
          <cell r="C244" t="str">
            <v>D861</v>
          </cell>
          <cell r="D244" t="str">
            <v>D140</v>
          </cell>
          <cell r="E244" t="str">
            <v>MX-PD0283 LA ESTANCIA</v>
          </cell>
          <cell r="F244">
            <v>10000231</v>
          </cell>
          <cell r="G244" t="str">
            <v>Grava Triturada Basalto 20 mm</v>
          </cell>
          <cell r="H244">
            <v>147.72</v>
          </cell>
          <cell r="I244">
            <v>68.260000000000005</v>
          </cell>
          <cell r="J244">
            <v>215.98000000000002</v>
          </cell>
        </row>
        <row r="245">
          <cell r="B245" t="str">
            <v>D86110000233</v>
          </cell>
          <cell r="C245" t="str">
            <v>D861</v>
          </cell>
          <cell r="D245" t="str">
            <v>D140</v>
          </cell>
          <cell r="E245" t="str">
            <v>MX-PD0283 LA ESTANCIA</v>
          </cell>
          <cell r="F245">
            <v>10000233</v>
          </cell>
          <cell r="G245" t="str">
            <v>Grava Triturada Basalto  40 mm</v>
          </cell>
          <cell r="H245">
            <v>147.72</v>
          </cell>
          <cell r="I245">
            <v>30.28</v>
          </cell>
          <cell r="J245">
            <v>178</v>
          </cell>
        </row>
        <row r="246">
          <cell r="B246" t="str">
            <v>D86110000290</v>
          </cell>
          <cell r="C246" t="str">
            <v>D861</v>
          </cell>
          <cell r="D246" t="str">
            <v>D140</v>
          </cell>
          <cell r="E246" t="str">
            <v>MX-PD0283 LA ESTANCIA</v>
          </cell>
          <cell r="F246">
            <v>10000290</v>
          </cell>
          <cell r="G246" t="str">
            <v>Polvos Triturado Basalto 3/4"</v>
          </cell>
          <cell r="H246">
            <v>1.1499999999999999</v>
          </cell>
          <cell r="I246">
            <v>22.58</v>
          </cell>
          <cell r="J246">
            <v>23.729999999999997</v>
          </cell>
        </row>
        <row r="247">
          <cell r="B247" t="str">
            <v>D86110000311</v>
          </cell>
          <cell r="C247" t="str">
            <v>D861</v>
          </cell>
          <cell r="D247" t="str">
            <v>D140</v>
          </cell>
          <cell r="E247" t="str">
            <v>MX-PD0283 LA ESTANCIA</v>
          </cell>
          <cell r="F247">
            <v>10000311</v>
          </cell>
          <cell r="G247" t="str">
            <v>Arena Triturada Basalto  Malla</v>
          </cell>
          <cell r="H247">
            <v>146.4</v>
          </cell>
          <cell r="I247">
            <v>57.38</v>
          </cell>
          <cell r="J247">
            <v>203.78</v>
          </cell>
        </row>
        <row r="248">
          <cell r="B248" t="str">
            <v>D86110000231</v>
          </cell>
          <cell r="C248" t="str">
            <v>D861</v>
          </cell>
          <cell r="D248" t="str">
            <v>D145</v>
          </cell>
          <cell r="E248" t="str">
            <v>MX-PD-458 ECATEPEC II</v>
          </cell>
          <cell r="F248">
            <v>10000231</v>
          </cell>
          <cell r="G248" t="str">
            <v>Grava Triturada Basalto 20 mm</v>
          </cell>
          <cell r="H248">
            <v>147.72</v>
          </cell>
          <cell r="I248">
            <v>68.260000000000005</v>
          </cell>
          <cell r="J248">
            <v>215.98000000000002</v>
          </cell>
        </row>
        <row r="249">
          <cell r="B249" t="str">
            <v>D86110000233</v>
          </cell>
          <cell r="C249" t="str">
            <v>D861</v>
          </cell>
          <cell r="D249" t="str">
            <v>D145</v>
          </cell>
          <cell r="E249" t="str">
            <v>MX-PD-458 ECATEPEC II</v>
          </cell>
          <cell r="F249">
            <v>10000233</v>
          </cell>
          <cell r="G249" t="str">
            <v>Grava Triturada Basalto  40 mm</v>
          </cell>
          <cell r="H249">
            <v>147.72</v>
          </cell>
          <cell r="I249">
            <v>30.28</v>
          </cell>
          <cell r="J249">
            <v>178</v>
          </cell>
        </row>
        <row r="250">
          <cell r="B250" t="str">
            <v>D86110000229</v>
          </cell>
          <cell r="C250" t="str">
            <v>D861</v>
          </cell>
          <cell r="D250" t="str">
            <v>D206</v>
          </cell>
          <cell r="E250" t="str">
            <v>MX-PD0444 SAN JOSE DE ITURBIDE</v>
          </cell>
          <cell r="F250">
            <v>10000229</v>
          </cell>
          <cell r="G250" t="str">
            <v>Grava Triturada Basalto  10 mm</v>
          </cell>
          <cell r="H250">
            <v>147.72</v>
          </cell>
          <cell r="I250">
            <v>92.05</v>
          </cell>
          <cell r="J250">
            <v>239.76999999999998</v>
          </cell>
        </row>
        <row r="251">
          <cell r="B251" t="str">
            <v>D86110000231</v>
          </cell>
          <cell r="C251" t="str">
            <v>D861</v>
          </cell>
          <cell r="D251" t="str">
            <v>D206</v>
          </cell>
          <cell r="E251" t="str">
            <v>MX-PD0444 SAN JOSE DE ITURBIDE</v>
          </cell>
          <cell r="F251">
            <v>10000231</v>
          </cell>
          <cell r="G251" t="str">
            <v>Grava Triturada Basalto 20 mm</v>
          </cell>
          <cell r="H251">
            <v>147.72</v>
          </cell>
          <cell r="I251">
            <v>68.260000000000005</v>
          </cell>
          <cell r="J251">
            <v>215.98000000000002</v>
          </cell>
        </row>
        <row r="252">
          <cell r="B252" t="str">
            <v>D86110000233</v>
          </cell>
          <cell r="C252" t="str">
            <v>D861</v>
          </cell>
          <cell r="D252" t="str">
            <v>D206</v>
          </cell>
          <cell r="E252" t="str">
            <v>MX-PD0444 SAN JOSE DE ITURBIDE</v>
          </cell>
          <cell r="F252">
            <v>10000233</v>
          </cell>
          <cell r="G252" t="str">
            <v>Grava Triturada Basalto  40 mm</v>
          </cell>
          <cell r="H252">
            <v>147.72</v>
          </cell>
          <cell r="I252">
            <v>30.28</v>
          </cell>
          <cell r="J252">
            <v>178</v>
          </cell>
        </row>
        <row r="253">
          <cell r="B253" t="str">
            <v>D86110000311</v>
          </cell>
          <cell r="C253" t="str">
            <v>D861</v>
          </cell>
          <cell r="D253" t="str">
            <v>D206</v>
          </cell>
          <cell r="E253" t="str">
            <v>MX-PD0444 SAN JOSE DE ITURBIDE</v>
          </cell>
          <cell r="F253">
            <v>10000311</v>
          </cell>
          <cell r="G253" t="str">
            <v>Arena Triturada Basalto  Malla</v>
          </cell>
          <cell r="H253">
            <v>146.4</v>
          </cell>
          <cell r="I253">
            <v>57.38</v>
          </cell>
          <cell r="J253">
            <v>203.78</v>
          </cell>
        </row>
        <row r="254">
          <cell r="B254" t="str">
            <v>D86110000229</v>
          </cell>
          <cell r="C254" t="str">
            <v>D861</v>
          </cell>
          <cell r="D254" t="str">
            <v>D259</v>
          </cell>
          <cell r="E254" t="str">
            <v>MX-PD0228 CARRETERA INTERSERRA</v>
          </cell>
          <cell r="F254">
            <v>10000229</v>
          </cell>
          <cell r="G254" t="str">
            <v>Grava Triturada Basalto  10 mm</v>
          </cell>
          <cell r="H254">
            <v>147.72</v>
          </cell>
          <cell r="I254">
            <v>92.05</v>
          </cell>
          <cell r="J254">
            <v>239.76999999999998</v>
          </cell>
        </row>
        <row r="255">
          <cell r="B255" t="str">
            <v>D86110000231</v>
          </cell>
          <cell r="C255" t="str">
            <v>D861</v>
          </cell>
          <cell r="D255" t="str">
            <v>D259</v>
          </cell>
          <cell r="E255" t="str">
            <v>MX-PD0228 CARRETERA INTERSERRA</v>
          </cell>
          <cell r="F255">
            <v>10000231</v>
          </cell>
          <cell r="G255" t="str">
            <v>Grava Triturada Basalto 20 mm</v>
          </cell>
          <cell r="H255">
            <v>147.72</v>
          </cell>
          <cell r="I255">
            <v>68.260000000000005</v>
          </cell>
          <cell r="J255">
            <v>215.98000000000002</v>
          </cell>
        </row>
        <row r="256">
          <cell r="B256" t="str">
            <v>D86110000233</v>
          </cell>
          <cell r="C256" t="str">
            <v>D861</v>
          </cell>
          <cell r="D256" t="str">
            <v>D259</v>
          </cell>
          <cell r="E256" t="str">
            <v>MX-PD0228 CARRETERA INTERSERRA</v>
          </cell>
          <cell r="F256">
            <v>10000233</v>
          </cell>
          <cell r="G256" t="str">
            <v>Grava Triturada Basalto  40 mm</v>
          </cell>
          <cell r="H256">
            <v>147.72</v>
          </cell>
          <cell r="I256">
            <v>30.28</v>
          </cell>
          <cell r="J256">
            <v>178</v>
          </cell>
        </row>
        <row r="257">
          <cell r="B257" t="str">
            <v>D86110000311</v>
          </cell>
          <cell r="C257" t="str">
            <v>D861</v>
          </cell>
          <cell r="D257" t="str">
            <v>D259</v>
          </cell>
          <cell r="E257" t="str">
            <v>MX-PD0228 CARRETERA INTERSERRA</v>
          </cell>
          <cell r="F257">
            <v>10000311</v>
          </cell>
          <cell r="G257" t="str">
            <v>Arena Triturada Basalto  Malla</v>
          </cell>
          <cell r="H257">
            <v>146.4</v>
          </cell>
          <cell r="I257">
            <v>57.38</v>
          </cell>
          <cell r="J257">
            <v>203.78</v>
          </cell>
        </row>
        <row r="258">
          <cell r="B258" t="str">
            <v>D86110000229</v>
          </cell>
          <cell r="C258" t="str">
            <v>D861</v>
          </cell>
          <cell r="D258" t="str">
            <v>D690</v>
          </cell>
          <cell r="E258" t="str">
            <v>MX-PD0643 CELAYA</v>
          </cell>
          <cell r="F258">
            <v>10000229</v>
          </cell>
          <cell r="G258" t="str">
            <v>Grava Triturada Basalto  10 mm</v>
          </cell>
          <cell r="H258">
            <v>147.72</v>
          </cell>
          <cell r="I258">
            <v>92.05</v>
          </cell>
          <cell r="J258">
            <v>239.76999999999998</v>
          </cell>
        </row>
        <row r="259">
          <cell r="B259" t="str">
            <v>D86110000231</v>
          </cell>
          <cell r="C259" t="str">
            <v>D861</v>
          </cell>
          <cell r="D259" t="str">
            <v>D690</v>
          </cell>
          <cell r="E259" t="str">
            <v>MX-PD0643 CELAYA</v>
          </cell>
          <cell r="F259">
            <v>10000231</v>
          </cell>
          <cell r="G259" t="str">
            <v>Grava Triturada Basalto 20 mm</v>
          </cell>
          <cell r="H259">
            <v>147.72</v>
          </cell>
          <cell r="I259">
            <v>68.260000000000005</v>
          </cell>
          <cell r="J259">
            <v>215.98000000000002</v>
          </cell>
        </row>
        <row r="260">
          <cell r="B260" t="str">
            <v>D86110000233</v>
          </cell>
          <cell r="C260" t="str">
            <v>D861</v>
          </cell>
          <cell r="D260" t="str">
            <v>D690</v>
          </cell>
          <cell r="E260" t="str">
            <v>MX-PD0643 CELAYA</v>
          </cell>
          <cell r="F260">
            <v>10000233</v>
          </cell>
          <cell r="G260" t="str">
            <v>Grava Triturada Basalto  40 mm</v>
          </cell>
          <cell r="H260">
            <v>147.72</v>
          </cell>
          <cell r="I260">
            <v>30.28</v>
          </cell>
          <cell r="J260">
            <v>178</v>
          </cell>
        </row>
        <row r="261">
          <cell r="B261" t="str">
            <v>D86110000311</v>
          </cell>
          <cell r="C261" t="str">
            <v>D861</v>
          </cell>
          <cell r="D261" t="str">
            <v>D690</v>
          </cell>
          <cell r="E261" t="str">
            <v>MX-PD0643 CELAYA</v>
          </cell>
          <cell r="F261">
            <v>10000311</v>
          </cell>
          <cell r="G261" t="str">
            <v>Arena Triturada Basalto  Malla</v>
          </cell>
          <cell r="H261">
            <v>146.4</v>
          </cell>
          <cell r="I261">
            <v>57.38</v>
          </cell>
          <cell r="J261">
            <v>203.78</v>
          </cell>
        </row>
        <row r="262">
          <cell r="B262" t="str">
            <v>D86110000229</v>
          </cell>
          <cell r="C262" t="str">
            <v>D861</v>
          </cell>
          <cell r="D262" t="str">
            <v>DA03</v>
          </cell>
          <cell r="E262" t="str">
            <v>MX-PD0990 DICOSA</v>
          </cell>
          <cell r="F262">
            <v>10000229</v>
          </cell>
          <cell r="G262" t="str">
            <v>Grava Triturada Basalto  10 mm</v>
          </cell>
          <cell r="H262">
            <v>147.72</v>
          </cell>
          <cell r="I262">
            <v>92.05</v>
          </cell>
          <cell r="J262">
            <v>239.76999999999998</v>
          </cell>
        </row>
        <row r="263">
          <cell r="B263" t="str">
            <v>D86110000231</v>
          </cell>
          <cell r="C263" t="str">
            <v>D861</v>
          </cell>
          <cell r="D263" t="str">
            <v>DA03</v>
          </cell>
          <cell r="E263" t="str">
            <v>MX-PD0990 DICOSA</v>
          </cell>
          <cell r="F263">
            <v>10000231</v>
          </cell>
          <cell r="G263" t="str">
            <v>Grava Triturada Basalto 20 mm</v>
          </cell>
          <cell r="H263">
            <v>147.72</v>
          </cell>
          <cell r="I263">
            <v>68.260000000000005</v>
          </cell>
          <cell r="J263">
            <v>215.98000000000002</v>
          </cell>
        </row>
        <row r="264">
          <cell r="B264" t="str">
            <v>D86110000233</v>
          </cell>
          <cell r="C264" t="str">
            <v>D861</v>
          </cell>
          <cell r="D264" t="str">
            <v>DA03</v>
          </cell>
          <cell r="E264" t="str">
            <v>MX-PD0990 DICOSA</v>
          </cell>
          <cell r="F264">
            <v>10000233</v>
          </cell>
          <cell r="G264" t="str">
            <v>Grava Triturada Basalto  40 mm</v>
          </cell>
          <cell r="H264">
            <v>147.72</v>
          </cell>
          <cell r="I264">
            <v>30.28</v>
          </cell>
          <cell r="J264">
            <v>178</v>
          </cell>
        </row>
        <row r="265">
          <cell r="B265" t="str">
            <v>D86110000311</v>
          </cell>
          <cell r="C265" t="str">
            <v>D861</v>
          </cell>
          <cell r="D265" t="str">
            <v>ENL0</v>
          </cell>
          <cell r="E265" t="str">
            <v>MX-PD0680 AUT. MEX - QRO III</v>
          </cell>
          <cell r="F265">
            <v>10000311</v>
          </cell>
          <cell r="G265" t="str">
            <v>Arena Triturada Basalto  Malla</v>
          </cell>
          <cell r="H265">
            <v>190</v>
          </cell>
          <cell r="I265" t="e">
            <v>#N/A</v>
          </cell>
          <cell r="J265" t="e">
            <v>#N/A</v>
          </cell>
        </row>
        <row r="266">
          <cell r="B266" t="str">
            <v>D86110066861</v>
          </cell>
          <cell r="C266" t="str">
            <v>D861</v>
          </cell>
          <cell r="D266" t="str">
            <v>ENL0</v>
          </cell>
          <cell r="E266" t="str">
            <v>MX-PD0680 AUT. MEX - QRO III</v>
          </cell>
          <cell r="F266">
            <v>10066861</v>
          </cell>
          <cell r="G266" t="str">
            <v>GRAVA TRITURADA BASALTO DE 40</v>
          </cell>
          <cell r="H266">
            <v>190</v>
          </cell>
          <cell r="I266" t="e">
            <v>#N/A</v>
          </cell>
          <cell r="J266" t="e">
            <v>#N/A</v>
          </cell>
        </row>
        <row r="267">
          <cell r="B267" t="str">
            <v>D86110066861</v>
          </cell>
          <cell r="C267" t="str">
            <v>D861</v>
          </cell>
          <cell r="D267" t="str">
            <v>ENL1</v>
          </cell>
          <cell r="E267" t="str">
            <v>MX-PD0681 SAN MIGUEL ALLENDE</v>
          </cell>
          <cell r="F267">
            <v>10066861</v>
          </cell>
          <cell r="G267" t="str">
            <v>GRAVA TRITURADA BASALTO DE 40</v>
          </cell>
          <cell r="H267">
            <v>170</v>
          </cell>
          <cell r="I267" t="e">
            <v>#N/A</v>
          </cell>
          <cell r="J267" t="e">
            <v>#N/A</v>
          </cell>
        </row>
        <row r="268">
          <cell r="B268" t="str">
            <v>D86410000240</v>
          </cell>
          <cell r="C268" t="str">
            <v>D864</v>
          </cell>
          <cell r="D268" t="str">
            <v>D072</v>
          </cell>
          <cell r="E268" t="str">
            <v>MX-PD-187 TOLUCA</v>
          </cell>
          <cell r="F268">
            <v>10000240</v>
          </cell>
          <cell r="G268" t="str">
            <v>Grava Triturada Caliza 20 mm -</v>
          </cell>
          <cell r="H268">
            <v>96.98</v>
          </cell>
          <cell r="I268">
            <v>60.19</v>
          </cell>
          <cell r="J268">
            <v>157.17000000000002</v>
          </cell>
        </row>
        <row r="269">
          <cell r="B269" t="str">
            <v>D86410000269</v>
          </cell>
          <cell r="C269" t="str">
            <v>D864</v>
          </cell>
          <cell r="D269" t="str">
            <v>D072</v>
          </cell>
          <cell r="E269" t="str">
            <v>MX-PD-187 TOLUCA</v>
          </cell>
          <cell r="F269">
            <v>10000269</v>
          </cell>
          <cell r="G269" t="str">
            <v>Grava Triturada Caliza 13 mm -</v>
          </cell>
          <cell r="H269">
            <v>96.98</v>
          </cell>
          <cell r="I269">
            <v>70.36</v>
          </cell>
          <cell r="J269">
            <v>167.34</v>
          </cell>
        </row>
        <row r="270">
          <cell r="B270" t="str">
            <v>D86410001073</v>
          </cell>
          <cell r="C270" t="str">
            <v>D864</v>
          </cell>
          <cell r="D270" t="str">
            <v>D072</v>
          </cell>
          <cell r="E270" t="str">
            <v>MX-PD-187 TOLUCA</v>
          </cell>
          <cell r="F270">
            <v>10001073</v>
          </cell>
          <cell r="G270" t="str">
            <v>Arena Triturada Caliza Malla 4</v>
          </cell>
          <cell r="H270">
            <v>95.43</v>
          </cell>
          <cell r="I270">
            <v>-3.95</v>
          </cell>
          <cell r="J270">
            <v>91.48</v>
          </cell>
        </row>
        <row r="271">
          <cell r="B271" t="str">
            <v>D86410001074</v>
          </cell>
          <cell r="C271" t="str">
            <v>D864</v>
          </cell>
          <cell r="D271" t="str">
            <v>D072</v>
          </cell>
          <cell r="E271" t="str">
            <v>MX-PD-187 TOLUCA</v>
          </cell>
          <cell r="F271">
            <v>10001074</v>
          </cell>
          <cell r="G271" t="str">
            <v>Grava Triturada Caliza 40 mm -</v>
          </cell>
          <cell r="H271">
            <v>96.98</v>
          </cell>
          <cell r="I271">
            <v>89.66</v>
          </cell>
          <cell r="J271">
            <v>186.64</v>
          </cell>
        </row>
        <row r="272">
          <cell r="B272" t="str">
            <v>D86410000236</v>
          </cell>
          <cell r="C272" t="str">
            <v>D864</v>
          </cell>
          <cell r="D272" t="str">
            <v>D073</v>
          </cell>
          <cell r="E272" t="str">
            <v>MX-PD0037 TULA V</v>
          </cell>
          <cell r="F272">
            <v>10000236</v>
          </cell>
          <cell r="G272" t="str">
            <v>Grava Triturada Caliza 10 mm -</v>
          </cell>
          <cell r="H272">
            <v>96.98</v>
          </cell>
          <cell r="I272">
            <v>53.46</v>
          </cell>
          <cell r="J272">
            <v>150.44</v>
          </cell>
        </row>
        <row r="273">
          <cell r="B273" t="str">
            <v>D86410000240</v>
          </cell>
          <cell r="C273" t="str">
            <v>D864</v>
          </cell>
          <cell r="D273" t="str">
            <v>D073</v>
          </cell>
          <cell r="E273" t="str">
            <v>MX-PD0037 TULA V</v>
          </cell>
          <cell r="F273">
            <v>10000240</v>
          </cell>
          <cell r="G273" t="str">
            <v>Grava Triturada Caliza 20 mm -</v>
          </cell>
          <cell r="H273">
            <v>96.98</v>
          </cell>
          <cell r="I273">
            <v>60.19</v>
          </cell>
          <cell r="J273">
            <v>157.17000000000002</v>
          </cell>
        </row>
        <row r="274">
          <cell r="B274" t="str">
            <v>D86410000269</v>
          </cell>
          <cell r="C274" t="str">
            <v>D864</v>
          </cell>
          <cell r="D274" t="str">
            <v>D073</v>
          </cell>
          <cell r="E274" t="str">
            <v>MX-PD0037 TULA V</v>
          </cell>
          <cell r="F274">
            <v>10000269</v>
          </cell>
          <cell r="G274" t="str">
            <v>Grava Triturada Caliza 13 mm -</v>
          </cell>
          <cell r="H274">
            <v>96.98</v>
          </cell>
          <cell r="I274">
            <v>70.36</v>
          </cell>
          <cell r="J274">
            <v>167.34</v>
          </cell>
        </row>
        <row r="275">
          <cell r="B275" t="str">
            <v>D86410001073</v>
          </cell>
          <cell r="C275" t="str">
            <v>D864</v>
          </cell>
          <cell r="D275" t="str">
            <v>D073</v>
          </cell>
          <cell r="E275" t="str">
            <v>MX-PD0037 TULA V</v>
          </cell>
          <cell r="F275">
            <v>10001073</v>
          </cell>
          <cell r="G275" t="str">
            <v>Arena Triturada Caliza Malla 4</v>
          </cell>
          <cell r="H275">
            <v>95.43</v>
          </cell>
          <cell r="I275">
            <v>-3.95</v>
          </cell>
          <cell r="J275">
            <v>91.48</v>
          </cell>
        </row>
        <row r="276">
          <cell r="B276" t="str">
            <v>D86410001074</v>
          </cell>
          <cell r="C276" t="str">
            <v>D864</v>
          </cell>
          <cell r="D276" t="str">
            <v>D073</v>
          </cell>
          <cell r="E276" t="str">
            <v>MX-PD0037 TULA V</v>
          </cell>
          <cell r="F276">
            <v>10001074</v>
          </cell>
          <cell r="G276" t="str">
            <v>Grava Triturada Caliza 40 mm -</v>
          </cell>
          <cell r="H276">
            <v>96.98</v>
          </cell>
          <cell r="I276">
            <v>89.66</v>
          </cell>
          <cell r="J276">
            <v>186.64</v>
          </cell>
        </row>
        <row r="277">
          <cell r="B277" t="str">
            <v>D86410001203</v>
          </cell>
          <cell r="C277" t="str">
            <v>D864</v>
          </cell>
          <cell r="D277" t="str">
            <v>D073</v>
          </cell>
          <cell r="E277" t="str">
            <v>MX-PD0037 TULA V</v>
          </cell>
          <cell r="F277">
            <v>10001203</v>
          </cell>
          <cell r="G277" t="str">
            <v>Desperdicio Triturado Caliza</v>
          </cell>
          <cell r="H277">
            <v>1.1499999999999999</v>
          </cell>
          <cell r="I277">
            <v>21.41</v>
          </cell>
          <cell r="J277">
            <v>22.56</v>
          </cell>
        </row>
        <row r="278">
          <cell r="B278" t="str">
            <v>D86410000236</v>
          </cell>
          <cell r="C278" t="str">
            <v>D864</v>
          </cell>
          <cell r="D278" t="str">
            <v>D074</v>
          </cell>
          <cell r="E278" t="str">
            <v>MX-PD-063 CENTRAL</v>
          </cell>
          <cell r="F278">
            <v>10000236</v>
          </cell>
          <cell r="G278" t="str">
            <v>Grava Triturada Caliza 10 mm -</v>
          </cell>
          <cell r="H278">
            <v>96.98</v>
          </cell>
          <cell r="I278">
            <v>53.46</v>
          </cell>
          <cell r="J278">
            <v>150.44</v>
          </cell>
        </row>
        <row r="279">
          <cell r="B279" t="str">
            <v>D86410000240</v>
          </cell>
          <cell r="C279" t="str">
            <v>D864</v>
          </cell>
          <cell r="D279" t="str">
            <v>D074</v>
          </cell>
          <cell r="E279" t="str">
            <v>MX-PD-063 CENTRAL</v>
          </cell>
          <cell r="F279">
            <v>10000240</v>
          </cell>
          <cell r="G279" t="str">
            <v>Grava Triturada Caliza 20 mm -</v>
          </cell>
          <cell r="H279">
            <v>96.98</v>
          </cell>
          <cell r="I279">
            <v>60.19</v>
          </cell>
          <cell r="J279">
            <v>157.17000000000002</v>
          </cell>
        </row>
        <row r="280">
          <cell r="B280" t="str">
            <v>D86410000269</v>
          </cell>
          <cell r="C280" t="str">
            <v>D864</v>
          </cell>
          <cell r="D280" t="str">
            <v>D074</v>
          </cell>
          <cell r="E280" t="str">
            <v>MX-PD-063 CENTRAL</v>
          </cell>
          <cell r="F280">
            <v>10000269</v>
          </cell>
          <cell r="G280" t="str">
            <v>Grava Triturada Caliza 13 mm -</v>
          </cell>
          <cell r="H280">
            <v>96.98</v>
          </cell>
          <cell r="I280">
            <v>70.36</v>
          </cell>
          <cell r="J280">
            <v>167.34</v>
          </cell>
        </row>
        <row r="281">
          <cell r="B281" t="str">
            <v>D86410001073</v>
          </cell>
          <cell r="C281" t="str">
            <v>D864</v>
          </cell>
          <cell r="D281" t="str">
            <v>D074</v>
          </cell>
          <cell r="E281" t="str">
            <v>MX-PD-063 CENTRAL</v>
          </cell>
          <cell r="F281">
            <v>10001073</v>
          </cell>
          <cell r="G281" t="str">
            <v>Arena Triturada Caliza Malla 4</v>
          </cell>
          <cell r="H281">
            <v>95.43</v>
          </cell>
          <cell r="I281">
            <v>-3.95</v>
          </cell>
          <cell r="J281">
            <v>91.48</v>
          </cell>
        </row>
        <row r="282">
          <cell r="B282" t="str">
            <v>D86410001074</v>
          </cell>
          <cell r="C282" t="str">
            <v>D864</v>
          </cell>
          <cell r="D282" t="str">
            <v>D074</v>
          </cell>
          <cell r="E282" t="str">
            <v>MX-PD-063 CENTRAL</v>
          </cell>
          <cell r="F282">
            <v>10001074</v>
          </cell>
          <cell r="G282" t="str">
            <v>Grava Triturada Caliza 40 mm -</v>
          </cell>
          <cell r="H282">
            <v>96.98</v>
          </cell>
          <cell r="I282">
            <v>89.66</v>
          </cell>
          <cell r="J282">
            <v>186.64</v>
          </cell>
        </row>
        <row r="283">
          <cell r="B283" t="str">
            <v>D86410001203</v>
          </cell>
          <cell r="C283" t="str">
            <v>D864</v>
          </cell>
          <cell r="D283" t="str">
            <v>D074</v>
          </cell>
          <cell r="E283" t="str">
            <v>MX-PD-063 CENTRAL</v>
          </cell>
          <cell r="F283">
            <v>10001203</v>
          </cell>
          <cell r="G283" t="str">
            <v>Desperdicio Triturado Caliza</v>
          </cell>
          <cell r="H283">
            <v>1.1499999999999999</v>
          </cell>
          <cell r="I283">
            <v>21.41</v>
          </cell>
          <cell r="J283">
            <v>22.56</v>
          </cell>
        </row>
        <row r="284">
          <cell r="B284" t="str">
            <v>D86410000236</v>
          </cell>
          <cell r="C284" t="str">
            <v>D864</v>
          </cell>
          <cell r="D284" t="str">
            <v>D075</v>
          </cell>
          <cell r="E284" t="str">
            <v>MX-PD-065 CEYLAN</v>
          </cell>
          <cell r="F284">
            <v>10000236</v>
          </cell>
          <cell r="G284" t="str">
            <v>Grava Triturada Caliza 10 mm -</v>
          </cell>
          <cell r="H284">
            <v>96.98</v>
          </cell>
          <cell r="I284">
            <v>53.46</v>
          </cell>
          <cell r="J284">
            <v>150.44</v>
          </cell>
        </row>
        <row r="285">
          <cell r="B285" t="str">
            <v>D86410000240</v>
          </cell>
          <cell r="C285" t="str">
            <v>D864</v>
          </cell>
          <cell r="D285" t="str">
            <v>D075</v>
          </cell>
          <cell r="E285" t="str">
            <v>MX-PD-065 CEYLAN</v>
          </cell>
          <cell r="F285">
            <v>10000240</v>
          </cell>
          <cell r="G285" t="str">
            <v>Grava Triturada Caliza 20 mm -</v>
          </cell>
          <cell r="H285">
            <v>96.98</v>
          </cell>
          <cell r="I285">
            <v>60.19</v>
          </cell>
          <cell r="J285">
            <v>157.17000000000002</v>
          </cell>
        </row>
        <row r="286">
          <cell r="B286" t="str">
            <v>D86410000269</v>
          </cell>
          <cell r="C286" t="str">
            <v>D864</v>
          </cell>
          <cell r="D286" t="str">
            <v>D075</v>
          </cell>
          <cell r="E286" t="str">
            <v>MX-PD-065 CEYLAN</v>
          </cell>
          <cell r="F286">
            <v>10000269</v>
          </cell>
          <cell r="G286" t="str">
            <v>Grava Triturada Caliza 13 mm -</v>
          </cell>
          <cell r="H286">
            <v>96.98</v>
          </cell>
          <cell r="I286">
            <v>54.82</v>
          </cell>
          <cell r="J286">
            <v>151.80000000000001</v>
          </cell>
        </row>
        <row r="287">
          <cell r="B287" t="str">
            <v>D86410001073</v>
          </cell>
          <cell r="C287" t="str">
            <v>D864</v>
          </cell>
          <cell r="D287" t="str">
            <v>D075</v>
          </cell>
          <cell r="E287" t="str">
            <v>MX-PD-065 CEYLAN</v>
          </cell>
          <cell r="F287">
            <v>10001073</v>
          </cell>
          <cell r="G287" t="str">
            <v>Arena Triturada Caliza Malla 4</v>
          </cell>
          <cell r="H287">
            <v>95.43</v>
          </cell>
          <cell r="I287">
            <v>-3.95</v>
          </cell>
          <cell r="J287">
            <v>91.48</v>
          </cell>
        </row>
        <row r="288">
          <cell r="B288" t="str">
            <v>D86410001074</v>
          </cell>
          <cell r="C288" t="str">
            <v>D864</v>
          </cell>
          <cell r="D288" t="str">
            <v>D075</v>
          </cell>
          <cell r="E288" t="str">
            <v>MX-PD-065 CEYLAN</v>
          </cell>
          <cell r="F288">
            <v>10001074</v>
          </cell>
          <cell r="G288" t="str">
            <v>Grava Triturada Caliza 40 mm -</v>
          </cell>
          <cell r="H288">
            <v>96.98</v>
          </cell>
          <cell r="I288">
            <v>89.66</v>
          </cell>
          <cell r="J288">
            <v>186.64</v>
          </cell>
        </row>
        <row r="289">
          <cell r="B289" t="str">
            <v>D86410001203</v>
          </cell>
          <cell r="C289" t="str">
            <v>D864</v>
          </cell>
          <cell r="D289" t="str">
            <v>D075</v>
          </cell>
          <cell r="E289" t="str">
            <v>MX-PD-065 CEYLAN</v>
          </cell>
          <cell r="F289">
            <v>10001203</v>
          </cell>
          <cell r="G289" t="str">
            <v>Desperdicio Triturado Caliza</v>
          </cell>
          <cell r="H289">
            <v>1.1499999999999999</v>
          </cell>
          <cell r="I289">
            <v>21.41</v>
          </cell>
          <cell r="J289">
            <v>22.56</v>
          </cell>
        </row>
        <row r="290">
          <cell r="B290" t="str">
            <v>D86410000236</v>
          </cell>
          <cell r="C290" t="str">
            <v>D864</v>
          </cell>
          <cell r="D290" t="str">
            <v>D077</v>
          </cell>
          <cell r="E290" t="str">
            <v>MX-PD-067 LOS REYES</v>
          </cell>
          <cell r="F290">
            <v>10000236</v>
          </cell>
          <cell r="G290" t="str">
            <v>Grava Triturada Caliza 10 mm -</v>
          </cell>
          <cell r="H290">
            <v>96.98</v>
          </cell>
          <cell r="I290">
            <v>53.46</v>
          </cell>
          <cell r="J290">
            <v>150.44</v>
          </cell>
        </row>
        <row r="291">
          <cell r="B291" t="str">
            <v>D86410000240</v>
          </cell>
          <cell r="C291" t="str">
            <v>D864</v>
          </cell>
          <cell r="D291" t="str">
            <v>D077</v>
          </cell>
          <cell r="E291" t="str">
            <v>MX-PD-067 LOS REYES</v>
          </cell>
          <cell r="F291">
            <v>10000240</v>
          </cell>
          <cell r="G291" t="str">
            <v>Grava Triturada Caliza 20 mm -</v>
          </cell>
          <cell r="H291">
            <v>96.98</v>
          </cell>
          <cell r="I291">
            <v>60.19</v>
          </cell>
          <cell r="J291">
            <v>157.17000000000002</v>
          </cell>
        </row>
        <row r="292">
          <cell r="B292" t="str">
            <v>D86410000269</v>
          </cell>
          <cell r="C292" t="str">
            <v>D864</v>
          </cell>
          <cell r="D292" t="str">
            <v>D077</v>
          </cell>
          <cell r="E292" t="str">
            <v>MX-PD-067 LOS REYES</v>
          </cell>
          <cell r="F292">
            <v>10000269</v>
          </cell>
          <cell r="G292" t="str">
            <v>Grava Triturada Caliza 13 mm -</v>
          </cell>
          <cell r="H292">
            <v>96.98</v>
          </cell>
          <cell r="I292">
            <v>70.36</v>
          </cell>
          <cell r="J292">
            <v>167.34</v>
          </cell>
        </row>
        <row r="293">
          <cell r="B293" t="str">
            <v>D86410001073</v>
          </cell>
          <cell r="C293" t="str">
            <v>D864</v>
          </cell>
          <cell r="D293" t="str">
            <v>D077</v>
          </cell>
          <cell r="E293" t="str">
            <v>MX-PD-067 LOS REYES</v>
          </cell>
          <cell r="F293">
            <v>10001073</v>
          </cell>
          <cell r="G293" t="str">
            <v>Arena Triturada Caliza Malla 4</v>
          </cell>
          <cell r="H293">
            <v>95.43</v>
          </cell>
          <cell r="I293">
            <v>-3.95</v>
          </cell>
          <cell r="J293">
            <v>91.48</v>
          </cell>
        </row>
        <row r="294">
          <cell r="B294" t="str">
            <v>D86410001074</v>
          </cell>
          <cell r="C294" t="str">
            <v>D864</v>
          </cell>
          <cell r="D294" t="str">
            <v>D077</v>
          </cell>
          <cell r="E294" t="str">
            <v>MX-PD-067 LOS REYES</v>
          </cell>
          <cell r="F294">
            <v>10001074</v>
          </cell>
          <cell r="G294" t="str">
            <v>Grava Triturada Caliza 40 mm -</v>
          </cell>
          <cell r="H294">
            <v>96.98</v>
          </cell>
          <cell r="I294">
            <v>89.66</v>
          </cell>
          <cell r="J294">
            <v>186.64</v>
          </cell>
        </row>
        <row r="295">
          <cell r="B295" t="str">
            <v>D86410001203</v>
          </cell>
          <cell r="C295" t="str">
            <v>D864</v>
          </cell>
          <cell r="D295" t="str">
            <v>D077</v>
          </cell>
          <cell r="E295" t="str">
            <v>MX-PD-067 LOS REYES</v>
          </cell>
          <cell r="F295">
            <v>10001203</v>
          </cell>
          <cell r="G295" t="str">
            <v>Desperdicio Triturado Caliza</v>
          </cell>
          <cell r="H295">
            <v>1.1499999999999999</v>
          </cell>
          <cell r="I295">
            <v>21.41</v>
          </cell>
          <cell r="J295">
            <v>22.56</v>
          </cell>
        </row>
        <row r="296">
          <cell r="B296" t="str">
            <v>D86410000236</v>
          </cell>
          <cell r="C296" t="str">
            <v>D864</v>
          </cell>
          <cell r="D296" t="str">
            <v>D079</v>
          </cell>
          <cell r="E296" t="str">
            <v>MX-PD-071 XOCHIMILCO</v>
          </cell>
          <cell r="F296">
            <v>10000236</v>
          </cell>
          <cell r="G296" t="str">
            <v>Grava Triturada Caliza 10 mm -</v>
          </cell>
          <cell r="H296">
            <v>96.98</v>
          </cell>
          <cell r="I296">
            <v>53.46</v>
          </cell>
          <cell r="J296">
            <v>150.44</v>
          </cell>
        </row>
        <row r="297">
          <cell r="B297" t="str">
            <v>D86410000240</v>
          </cell>
          <cell r="C297" t="str">
            <v>D864</v>
          </cell>
          <cell r="D297" t="str">
            <v>D079</v>
          </cell>
          <cell r="E297" t="str">
            <v>MX-PD-071 XOCHIMILCO</v>
          </cell>
          <cell r="F297">
            <v>10000240</v>
          </cell>
          <cell r="G297" t="str">
            <v>Grava Triturada Caliza 20 mm -</v>
          </cell>
          <cell r="H297">
            <v>96.98</v>
          </cell>
          <cell r="I297">
            <v>60.19</v>
          </cell>
          <cell r="J297">
            <v>157.17000000000002</v>
          </cell>
        </row>
        <row r="298">
          <cell r="B298" t="str">
            <v>D86410000269</v>
          </cell>
          <cell r="C298" t="str">
            <v>D864</v>
          </cell>
          <cell r="D298" t="str">
            <v>D079</v>
          </cell>
          <cell r="E298" t="str">
            <v>MX-PD-071 XOCHIMILCO</v>
          </cell>
          <cell r="F298">
            <v>10000269</v>
          </cell>
          <cell r="G298" t="str">
            <v>Grava Triturada Caliza 13 mm -</v>
          </cell>
          <cell r="H298">
            <v>96.98</v>
          </cell>
          <cell r="I298">
            <v>70.36</v>
          </cell>
          <cell r="J298">
            <v>167.34</v>
          </cell>
        </row>
        <row r="299">
          <cell r="B299" t="str">
            <v>D86410001073</v>
          </cell>
          <cell r="C299" t="str">
            <v>D864</v>
          </cell>
          <cell r="D299" t="str">
            <v>D079</v>
          </cell>
          <cell r="E299" t="str">
            <v>MX-PD-071 XOCHIMILCO</v>
          </cell>
          <cell r="F299">
            <v>10001073</v>
          </cell>
          <cell r="G299" t="str">
            <v>Arena Triturada Caliza Malla 4</v>
          </cell>
          <cell r="H299">
            <v>95.43</v>
          </cell>
          <cell r="I299">
            <v>-3.95</v>
          </cell>
          <cell r="J299">
            <v>91.48</v>
          </cell>
        </row>
        <row r="300">
          <cell r="B300" t="str">
            <v>D86410001074</v>
          </cell>
          <cell r="C300" t="str">
            <v>D864</v>
          </cell>
          <cell r="D300" t="str">
            <v>D079</v>
          </cell>
          <cell r="E300" t="str">
            <v>MX-PD-071 XOCHIMILCO</v>
          </cell>
          <cell r="F300">
            <v>10001074</v>
          </cell>
          <cell r="G300" t="str">
            <v>Grava Triturada Caliza 40 mm -</v>
          </cell>
          <cell r="H300">
            <v>96.98</v>
          </cell>
          <cell r="I300">
            <v>89.66</v>
          </cell>
          <cell r="J300">
            <v>186.64</v>
          </cell>
        </row>
        <row r="301">
          <cell r="B301" t="str">
            <v>D86410001203</v>
          </cell>
          <cell r="C301" t="str">
            <v>D864</v>
          </cell>
          <cell r="D301" t="str">
            <v>D079</v>
          </cell>
          <cell r="E301" t="str">
            <v>MX-PD-071 XOCHIMILCO</v>
          </cell>
          <cell r="F301">
            <v>10001203</v>
          </cell>
          <cell r="G301" t="str">
            <v>Desperdicio Triturado Caliza</v>
          </cell>
          <cell r="H301">
            <v>1.1499999999999999</v>
          </cell>
          <cell r="I301">
            <v>21.41</v>
          </cell>
          <cell r="J301">
            <v>22.56</v>
          </cell>
        </row>
        <row r="302">
          <cell r="B302" t="str">
            <v>D86410000236</v>
          </cell>
          <cell r="C302" t="str">
            <v>D864</v>
          </cell>
          <cell r="D302" t="str">
            <v>D080</v>
          </cell>
          <cell r="E302" t="str">
            <v>MX-PD-086 VALLEJO</v>
          </cell>
          <cell r="F302">
            <v>10000236</v>
          </cell>
          <cell r="G302" t="str">
            <v>Grava Triturada Caliza 10 mm -</v>
          </cell>
          <cell r="H302">
            <v>96.98</v>
          </cell>
          <cell r="I302">
            <v>53.46</v>
          </cell>
          <cell r="J302">
            <v>150.44</v>
          </cell>
        </row>
        <row r="303">
          <cell r="B303" t="str">
            <v>D86410000240</v>
          </cell>
          <cell r="C303" t="str">
            <v>D864</v>
          </cell>
          <cell r="D303" t="str">
            <v>D080</v>
          </cell>
          <cell r="E303" t="str">
            <v>MX-PD-086 VALLEJO</v>
          </cell>
          <cell r="F303">
            <v>10000240</v>
          </cell>
          <cell r="G303" t="str">
            <v>Grava Triturada Caliza 20 mm -</v>
          </cell>
          <cell r="H303">
            <v>96.98</v>
          </cell>
          <cell r="I303">
            <v>60.19</v>
          </cell>
          <cell r="J303">
            <v>157.17000000000002</v>
          </cell>
        </row>
        <row r="304">
          <cell r="B304" t="str">
            <v>D86410000269</v>
          </cell>
          <cell r="C304" t="str">
            <v>D864</v>
          </cell>
          <cell r="D304" t="str">
            <v>D080</v>
          </cell>
          <cell r="E304" t="str">
            <v>MX-PD-086 VALLEJO</v>
          </cell>
          <cell r="F304">
            <v>10000269</v>
          </cell>
          <cell r="G304" t="str">
            <v>Grava Triturada Caliza 13 mm -</v>
          </cell>
          <cell r="H304">
            <v>96.98</v>
          </cell>
          <cell r="I304">
            <v>70.36</v>
          </cell>
          <cell r="J304">
            <v>167.34</v>
          </cell>
        </row>
        <row r="305">
          <cell r="B305" t="str">
            <v>D86410001073</v>
          </cell>
          <cell r="C305" t="str">
            <v>D864</v>
          </cell>
          <cell r="D305" t="str">
            <v>D080</v>
          </cell>
          <cell r="E305" t="str">
            <v>MX-PD-086 VALLEJO</v>
          </cell>
          <cell r="F305">
            <v>10001073</v>
          </cell>
          <cell r="G305" t="str">
            <v>Arena Triturada Caliza Malla 4</v>
          </cell>
          <cell r="H305">
            <v>95.43</v>
          </cell>
          <cell r="I305">
            <v>-3.95</v>
          </cell>
          <cell r="J305">
            <v>91.48</v>
          </cell>
        </row>
        <row r="306">
          <cell r="B306" t="str">
            <v>D86410001074</v>
          </cell>
          <cell r="C306" t="str">
            <v>D864</v>
          </cell>
          <cell r="D306" t="str">
            <v>D080</v>
          </cell>
          <cell r="E306" t="str">
            <v>MX-PD-086 VALLEJO</v>
          </cell>
          <cell r="F306">
            <v>10001074</v>
          </cell>
          <cell r="G306" t="str">
            <v>Grava Triturada Caliza 40 mm -</v>
          </cell>
          <cell r="H306">
            <v>96.98</v>
          </cell>
          <cell r="I306">
            <v>89.66</v>
          </cell>
          <cell r="J306">
            <v>186.64</v>
          </cell>
        </row>
        <row r="307">
          <cell r="B307" t="str">
            <v>D86410001203</v>
          </cell>
          <cell r="C307" t="str">
            <v>D864</v>
          </cell>
          <cell r="D307" t="str">
            <v>D080</v>
          </cell>
          <cell r="E307" t="str">
            <v>MX-PD-086 VALLEJO</v>
          </cell>
          <cell r="F307">
            <v>10001203</v>
          </cell>
          <cell r="G307" t="str">
            <v>Desperdicio Triturado Caliza</v>
          </cell>
          <cell r="H307">
            <v>1.1499999999999999</v>
          </cell>
          <cell r="I307">
            <v>21.41</v>
          </cell>
          <cell r="J307">
            <v>22.56</v>
          </cell>
        </row>
        <row r="308">
          <cell r="B308" t="str">
            <v>D86410000236</v>
          </cell>
          <cell r="C308" t="str">
            <v>D864</v>
          </cell>
          <cell r="D308" t="str">
            <v>D081</v>
          </cell>
          <cell r="E308" t="str">
            <v>MX-PD-088 ARMAS</v>
          </cell>
          <cell r="F308">
            <v>10000236</v>
          </cell>
          <cell r="G308" t="str">
            <v>Grava Triturada Caliza 10 mm -</v>
          </cell>
          <cell r="H308">
            <v>96.98</v>
          </cell>
          <cell r="I308">
            <v>53.46</v>
          </cell>
          <cell r="J308">
            <v>150.44</v>
          </cell>
        </row>
        <row r="309">
          <cell r="B309" t="str">
            <v>D86410000240</v>
          </cell>
          <cell r="C309" t="str">
            <v>D864</v>
          </cell>
          <cell r="D309" t="str">
            <v>D081</v>
          </cell>
          <cell r="E309" t="str">
            <v>MX-PD-088 ARMAS</v>
          </cell>
          <cell r="F309">
            <v>10000240</v>
          </cell>
          <cell r="G309" t="str">
            <v>Grava Triturada Caliza 20 mm -</v>
          </cell>
          <cell r="H309">
            <v>96.98</v>
          </cell>
          <cell r="I309">
            <v>60.19</v>
          </cell>
          <cell r="J309">
            <v>157.17000000000002</v>
          </cell>
        </row>
        <row r="310">
          <cell r="B310" t="str">
            <v>D86410000269</v>
          </cell>
          <cell r="C310" t="str">
            <v>D864</v>
          </cell>
          <cell r="D310" t="str">
            <v>D081</v>
          </cell>
          <cell r="E310" t="str">
            <v>MX-PD-088 ARMAS</v>
          </cell>
          <cell r="F310">
            <v>10000269</v>
          </cell>
          <cell r="G310" t="str">
            <v>Grava Triturada Caliza 13 mm -</v>
          </cell>
          <cell r="H310">
            <v>96.98</v>
          </cell>
          <cell r="I310">
            <v>70.36</v>
          </cell>
          <cell r="J310">
            <v>167.34</v>
          </cell>
        </row>
        <row r="311">
          <cell r="B311" t="str">
            <v>D86410001073</v>
          </cell>
          <cell r="C311" t="str">
            <v>D864</v>
          </cell>
          <cell r="D311" t="str">
            <v>D081</v>
          </cell>
          <cell r="E311" t="str">
            <v>MX-PD-088 ARMAS</v>
          </cell>
          <cell r="F311">
            <v>10001073</v>
          </cell>
          <cell r="G311" t="str">
            <v>Arena Triturada Caliza Malla 4</v>
          </cell>
          <cell r="H311">
            <v>95.43</v>
          </cell>
          <cell r="I311">
            <v>-3.95</v>
          </cell>
          <cell r="J311">
            <v>91.48</v>
          </cell>
        </row>
        <row r="312">
          <cell r="B312" t="str">
            <v>D86410001074</v>
          </cell>
          <cell r="C312" t="str">
            <v>D864</v>
          </cell>
          <cell r="D312" t="str">
            <v>D081</v>
          </cell>
          <cell r="E312" t="str">
            <v>MX-PD-088 ARMAS</v>
          </cell>
          <cell r="F312">
            <v>10001074</v>
          </cell>
          <cell r="G312" t="str">
            <v>Grava Triturada Caliza 40 mm -</v>
          </cell>
          <cell r="H312">
            <v>96.98</v>
          </cell>
          <cell r="I312">
            <v>89.66</v>
          </cell>
          <cell r="J312">
            <v>186.64</v>
          </cell>
        </row>
        <row r="313">
          <cell r="B313" t="str">
            <v>D86410001203</v>
          </cell>
          <cell r="C313" t="str">
            <v>D864</v>
          </cell>
          <cell r="D313" t="str">
            <v>D081</v>
          </cell>
          <cell r="E313" t="str">
            <v>MX-PD-088 ARMAS</v>
          </cell>
          <cell r="F313">
            <v>10001203</v>
          </cell>
          <cell r="G313" t="str">
            <v>Desperdicio Triturado Caliza</v>
          </cell>
          <cell r="H313">
            <v>1.1499999999999999</v>
          </cell>
          <cell r="I313">
            <v>21.41</v>
          </cell>
          <cell r="J313">
            <v>22.56</v>
          </cell>
        </row>
        <row r="314">
          <cell r="B314" t="str">
            <v>D86410000236</v>
          </cell>
          <cell r="C314" t="str">
            <v>D864</v>
          </cell>
          <cell r="D314" t="str">
            <v>D083</v>
          </cell>
          <cell r="E314" t="str">
            <v>MX-PD-099 MINAS</v>
          </cell>
          <cell r="F314">
            <v>10000236</v>
          </cell>
          <cell r="G314" t="str">
            <v>Grava Triturada Caliza 10 mm -</v>
          </cell>
          <cell r="H314">
            <v>96.98</v>
          </cell>
          <cell r="I314">
            <v>53.46</v>
          </cell>
          <cell r="J314">
            <v>150.44</v>
          </cell>
        </row>
        <row r="315">
          <cell r="B315" t="str">
            <v>D86410000240</v>
          </cell>
          <cell r="C315" t="str">
            <v>D864</v>
          </cell>
          <cell r="D315" t="str">
            <v>D083</v>
          </cell>
          <cell r="E315" t="str">
            <v>MX-PD-099 MINAS</v>
          </cell>
          <cell r="F315">
            <v>10000240</v>
          </cell>
          <cell r="G315" t="str">
            <v>Grava Triturada Caliza 20 mm -</v>
          </cell>
          <cell r="H315">
            <v>96.98</v>
          </cell>
          <cell r="I315">
            <v>60.19</v>
          </cell>
          <cell r="J315">
            <v>157.17000000000002</v>
          </cell>
        </row>
        <row r="316">
          <cell r="B316" t="str">
            <v>D86410000269</v>
          </cell>
          <cell r="C316" t="str">
            <v>D864</v>
          </cell>
          <cell r="D316" t="str">
            <v>D083</v>
          </cell>
          <cell r="E316" t="str">
            <v>MX-PD-099 MINAS</v>
          </cell>
          <cell r="F316">
            <v>10000269</v>
          </cell>
          <cell r="G316" t="str">
            <v>Grava Triturada Caliza 13 mm -</v>
          </cell>
          <cell r="H316">
            <v>96.98</v>
          </cell>
          <cell r="I316">
            <v>70.36</v>
          </cell>
          <cell r="J316">
            <v>167.34</v>
          </cell>
        </row>
        <row r="317">
          <cell r="B317" t="str">
            <v>D86410001073</v>
          </cell>
          <cell r="C317" t="str">
            <v>D864</v>
          </cell>
          <cell r="D317" t="str">
            <v>D083</v>
          </cell>
          <cell r="E317" t="str">
            <v>MX-PD-099 MINAS</v>
          </cell>
          <cell r="F317">
            <v>10001073</v>
          </cell>
          <cell r="G317" t="str">
            <v>Arena Triturada Caliza Malla 4</v>
          </cell>
          <cell r="H317">
            <v>95.43</v>
          </cell>
          <cell r="I317">
            <v>-3.95</v>
          </cell>
          <cell r="J317">
            <v>91.48</v>
          </cell>
        </row>
        <row r="318">
          <cell r="B318" t="str">
            <v>D86410001074</v>
          </cell>
          <cell r="C318" t="str">
            <v>D864</v>
          </cell>
          <cell r="D318" t="str">
            <v>D083</v>
          </cell>
          <cell r="E318" t="str">
            <v>MX-PD-099 MINAS</v>
          </cell>
          <cell r="F318">
            <v>10001074</v>
          </cell>
          <cell r="G318" t="str">
            <v>Grava Triturada Caliza 40 mm -</v>
          </cell>
          <cell r="H318">
            <v>96.98</v>
          </cell>
          <cell r="I318">
            <v>89.66</v>
          </cell>
          <cell r="J318">
            <v>186.64</v>
          </cell>
        </row>
        <row r="319">
          <cell r="B319" t="str">
            <v>D86410001203</v>
          </cell>
          <cell r="C319" t="str">
            <v>D864</v>
          </cell>
          <cell r="D319" t="str">
            <v>D083</v>
          </cell>
          <cell r="E319" t="str">
            <v>MX-PD-099 MINAS</v>
          </cell>
          <cell r="F319">
            <v>10001203</v>
          </cell>
          <cell r="G319" t="str">
            <v>Desperdicio Triturado Caliza</v>
          </cell>
          <cell r="H319">
            <v>1.1499999999999999</v>
          </cell>
          <cell r="I319">
            <v>21.41</v>
          </cell>
          <cell r="J319">
            <v>22.56</v>
          </cell>
        </row>
        <row r="320">
          <cell r="B320" t="str">
            <v>D86410000236</v>
          </cell>
          <cell r="C320" t="str">
            <v>D864</v>
          </cell>
          <cell r="D320" t="str">
            <v>D084</v>
          </cell>
          <cell r="E320" t="str">
            <v>MX-PD-186 IZTAPALAPA</v>
          </cell>
          <cell r="F320">
            <v>10000236</v>
          </cell>
          <cell r="G320" t="str">
            <v>Grava Triturada Caliza 10 mm -</v>
          </cell>
          <cell r="H320">
            <v>96.98</v>
          </cell>
          <cell r="I320">
            <v>53.46</v>
          </cell>
          <cell r="J320">
            <v>150.44</v>
          </cell>
        </row>
        <row r="321">
          <cell r="B321" t="str">
            <v>D86410000240</v>
          </cell>
          <cell r="C321" t="str">
            <v>D864</v>
          </cell>
          <cell r="D321" t="str">
            <v>D084</v>
          </cell>
          <cell r="E321" t="str">
            <v>MX-PD-186 IZTAPALAPA</v>
          </cell>
          <cell r="F321">
            <v>10000240</v>
          </cell>
          <cell r="G321" t="str">
            <v>Grava Triturada Caliza 20 mm -</v>
          </cell>
          <cell r="H321">
            <v>96.98</v>
          </cell>
          <cell r="I321">
            <v>60.19</v>
          </cell>
          <cell r="J321">
            <v>157.17000000000002</v>
          </cell>
        </row>
        <row r="322">
          <cell r="B322" t="str">
            <v>D86410000269</v>
          </cell>
          <cell r="C322" t="str">
            <v>D864</v>
          </cell>
          <cell r="D322" t="str">
            <v>D084</v>
          </cell>
          <cell r="E322" t="str">
            <v>MX-PD-186 IZTAPALAPA</v>
          </cell>
          <cell r="F322">
            <v>10000269</v>
          </cell>
          <cell r="G322" t="str">
            <v>Grava Triturada Caliza 13 mm -</v>
          </cell>
          <cell r="H322">
            <v>96.98</v>
          </cell>
          <cell r="I322">
            <v>70.36</v>
          </cell>
          <cell r="J322">
            <v>167.34</v>
          </cell>
        </row>
        <row r="323">
          <cell r="B323" t="str">
            <v>D86410001073</v>
          </cell>
          <cell r="C323" t="str">
            <v>D864</v>
          </cell>
          <cell r="D323" t="str">
            <v>D084</v>
          </cell>
          <cell r="E323" t="str">
            <v>MX-PD-186 IZTAPALAPA</v>
          </cell>
          <cell r="F323">
            <v>10001073</v>
          </cell>
          <cell r="G323" t="str">
            <v>Arena Triturada Caliza Malla 4</v>
          </cell>
          <cell r="H323">
            <v>95.43</v>
          </cell>
          <cell r="I323">
            <v>-3.95</v>
          </cell>
          <cell r="J323">
            <v>91.48</v>
          </cell>
        </row>
        <row r="324">
          <cell r="B324" t="str">
            <v>D86410001074</v>
          </cell>
          <cell r="C324" t="str">
            <v>D864</v>
          </cell>
          <cell r="D324" t="str">
            <v>D084</v>
          </cell>
          <cell r="E324" t="str">
            <v>MX-PD-186 IZTAPALAPA</v>
          </cell>
          <cell r="F324">
            <v>10001074</v>
          </cell>
          <cell r="G324" t="str">
            <v>Grava Triturada Caliza 40 mm -</v>
          </cell>
          <cell r="H324">
            <v>96.98</v>
          </cell>
          <cell r="I324">
            <v>89.66</v>
          </cell>
          <cell r="J324">
            <v>186.64</v>
          </cell>
        </row>
        <row r="325">
          <cell r="B325" t="str">
            <v>D86410001203</v>
          </cell>
          <cell r="C325" t="str">
            <v>D864</v>
          </cell>
          <cell r="D325" t="str">
            <v>D084</v>
          </cell>
          <cell r="E325" t="str">
            <v>MX-PD-186 IZTAPALAPA</v>
          </cell>
          <cell r="F325">
            <v>10001203</v>
          </cell>
          <cell r="G325" t="str">
            <v>Desperdicio Triturado Caliza</v>
          </cell>
          <cell r="H325">
            <v>1.1499999999999999</v>
          </cell>
          <cell r="I325">
            <v>21.41</v>
          </cell>
          <cell r="J325">
            <v>22.56</v>
          </cell>
        </row>
        <row r="326">
          <cell r="B326" t="str">
            <v>D86410000236</v>
          </cell>
          <cell r="C326" t="str">
            <v>D864</v>
          </cell>
          <cell r="D326" t="str">
            <v>D085</v>
          </cell>
          <cell r="E326" t="str">
            <v>MX-PD0189 ROJO GOMEZ</v>
          </cell>
          <cell r="F326">
            <v>10000236</v>
          </cell>
          <cell r="G326" t="str">
            <v>Grava Triturada Caliza 10 mm -</v>
          </cell>
          <cell r="H326">
            <v>96.98</v>
          </cell>
          <cell r="I326">
            <v>53.46</v>
          </cell>
          <cell r="J326">
            <v>150.44</v>
          </cell>
        </row>
        <row r="327">
          <cell r="B327" t="str">
            <v>D86410000240</v>
          </cell>
          <cell r="C327" t="str">
            <v>D864</v>
          </cell>
          <cell r="D327" t="str">
            <v>D085</v>
          </cell>
          <cell r="E327" t="str">
            <v>MX-PD0189 ROJO GOMEZ</v>
          </cell>
          <cell r="F327">
            <v>10000240</v>
          </cell>
          <cell r="G327" t="str">
            <v>Grava Triturada Caliza 20 mm -</v>
          </cell>
          <cell r="H327">
            <v>96.98</v>
          </cell>
          <cell r="I327">
            <v>60.19</v>
          </cell>
          <cell r="J327">
            <v>157.17000000000002</v>
          </cell>
        </row>
        <row r="328">
          <cell r="B328" t="str">
            <v>D86410000269</v>
          </cell>
          <cell r="C328" t="str">
            <v>D864</v>
          </cell>
          <cell r="D328" t="str">
            <v>D085</v>
          </cell>
          <cell r="E328" t="str">
            <v>MX-PD0189 ROJO GOMEZ</v>
          </cell>
          <cell r="F328">
            <v>10000269</v>
          </cell>
          <cell r="G328" t="str">
            <v>Grava Triturada Caliza 13 mm -</v>
          </cell>
          <cell r="H328">
            <v>96.98</v>
          </cell>
          <cell r="I328">
            <v>70.36</v>
          </cell>
          <cell r="J328">
            <v>167.34</v>
          </cell>
        </row>
        <row r="329">
          <cell r="B329" t="str">
            <v>D86410001073</v>
          </cell>
          <cell r="C329" t="str">
            <v>D864</v>
          </cell>
          <cell r="D329" t="str">
            <v>D085</v>
          </cell>
          <cell r="E329" t="str">
            <v>MX-PD0189 ROJO GOMEZ</v>
          </cell>
          <cell r="F329">
            <v>10001073</v>
          </cell>
          <cell r="G329" t="str">
            <v>Arena Triturada Caliza Malla 4</v>
          </cell>
          <cell r="H329">
            <v>95.43</v>
          </cell>
          <cell r="I329">
            <v>-3.95</v>
          </cell>
          <cell r="J329">
            <v>91.48</v>
          </cell>
        </row>
        <row r="330">
          <cell r="B330" t="str">
            <v>D86410001074</v>
          </cell>
          <cell r="C330" t="str">
            <v>D864</v>
          </cell>
          <cell r="D330" t="str">
            <v>D085</v>
          </cell>
          <cell r="E330" t="str">
            <v>MX-PD0189 ROJO GOMEZ</v>
          </cell>
          <cell r="F330">
            <v>10001074</v>
          </cell>
          <cell r="G330" t="str">
            <v>Grava Triturada Caliza 40 mm -</v>
          </cell>
          <cell r="H330">
            <v>96.98</v>
          </cell>
          <cell r="I330">
            <v>89.66</v>
          </cell>
          <cell r="J330">
            <v>186.64</v>
          </cell>
        </row>
        <row r="331">
          <cell r="B331" t="str">
            <v>D86410001203</v>
          </cell>
          <cell r="C331" t="str">
            <v>D864</v>
          </cell>
          <cell r="D331" t="str">
            <v>D085</v>
          </cell>
          <cell r="E331" t="str">
            <v>MX-PD0189 ROJO GOMEZ</v>
          </cell>
          <cell r="F331">
            <v>10001203</v>
          </cell>
          <cell r="G331" t="str">
            <v>Desperdicio Triturado Caliza</v>
          </cell>
          <cell r="H331">
            <v>1.1499999999999999</v>
          </cell>
          <cell r="I331">
            <v>21.41</v>
          </cell>
          <cell r="J331">
            <v>22.56</v>
          </cell>
        </row>
        <row r="332">
          <cell r="B332" t="str">
            <v>D86410000236</v>
          </cell>
          <cell r="C332" t="str">
            <v>D864</v>
          </cell>
          <cell r="D332" t="str">
            <v>D086</v>
          </cell>
          <cell r="E332" t="str">
            <v>MX-PD-190 XALOSTC</v>
          </cell>
          <cell r="F332">
            <v>10000236</v>
          </cell>
          <cell r="G332" t="str">
            <v>Grava Triturada Caliza 10 mm -</v>
          </cell>
          <cell r="H332">
            <v>96.98</v>
          </cell>
          <cell r="I332">
            <v>53.46</v>
          </cell>
          <cell r="J332">
            <v>150.44</v>
          </cell>
        </row>
        <row r="333">
          <cell r="B333" t="str">
            <v>D86410000240</v>
          </cell>
          <cell r="C333" t="str">
            <v>D864</v>
          </cell>
          <cell r="D333" t="str">
            <v>D086</v>
          </cell>
          <cell r="E333" t="str">
            <v>MX-PD-190 XALOSTC</v>
          </cell>
          <cell r="F333">
            <v>10000240</v>
          </cell>
          <cell r="G333" t="str">
            <v>Grava Triturada Caliza 20 mm -</v>
          </cell>
          <cell r="H333">
            <v>96.98</v>
          </cell>
          <cell r="I333">
            <v>60.19</v>
          </cell>
          <cell r="J333">
            <v>157.17000000000002</v>
          </cell>
        </row>
        <row r="334">
          <cell r="B334" t="str">
            <v>D86410000269</v>
          </cell>
          <cell r="C334" t="str">
            <v>D864</v>
          </cell>
          <cell r="D334" t="str">
            <v>D086</v>
          </cell>
          <cell r="E334" t="str">
            <v>MX-PD-190 XALOSTC</v>
          </cell>
          <cell r="F334">
            <v>10000269</v>
          </cell>
          <cell r="G334" t="str">
            <v>Grava Triturada Caliza 13 mm -</v>
          </cell>
          <cell r="H334">
            <v>96.98</v>
          </cell>
          <cell r="I334">
            <v>70.36</v>
          </cell>
          <cell r="J334">
            <v>167.34</v>
          </cell>
        </row>
        <row r="335">
          <cell r="B335" t="str">
            <v>D86410001073</v>
          </cell>
          <cell r="C335" t="str">
            <v>D864</v>
          </cell>
          <cell r="D335" t="str">
            <v>D086</v>
          </cell>
          <cell r="E335" t="str">
            <v>MX-PD-190 XALOSTC</v>
          </cell>
          <cell r="F335">
            <v>10001073</v>
          </cell>
          <cell r="G335" t="str">
            <v>Arena Triturada Caliza Malla 4</v>
          </cell>
          <cell r="H335">
            <v>95.43</v>
          </cell>
          <cell r="I335">
            <v>-3.95</v>
          </cell>
          <cell r="J335">
            <v>91.48</v>
          </cell>
        </row>
        <row r="336">
          <cell r="B336" t="str">
            <v>D86410001074</v>
          </cell>
          <cell r="C336" t="str">
            <v>D864</v>
          </cell>
          <cell r="D336" t="str">
            <v>D086</v>
          </cell>
          <cell r="E336" t="str">
            <v>MX-PD-190 XALOSTC</v>
          </cell>
          <cell r="F336">
            <v>10001074</v>
          </cell>
          <cell r="G336" t="str">
            <v>Grava Triturada Caliza 40 mm -</v>
          </cell>
          <cell r="H336">
            <v>96.98</v>
          </cell>
          <cell r="I336">
            <v>89.66</v>
          </cell>
          <cell r="J336">
            <v>186.64</v>
          </cell>
        </row>
        <row r="337">
          <cell r="B337" t="str">
            <v>D86410001203</v>
          </cell>
          <cell r="C337" t="str">
            <v>D864</v>
          </cell>
          <cell r="D337" t="str">
            <v>D086</v>
          </cell>
          <cell r="E337" t="str">
            <v>MX-PD-190 XALOSTC</v>
          </cell>
          <cell r="F337">
            <v>10001203</v>
          </cell>
          <cell r="G337" t="str">
            <v>Desperdicio Triturado Caliza</v>
          </cell>
          <cell r="H337">
            <v>1.1499999999999999</v>
          </cell>
          <cell r="I337">
            <v>21.41</v>
          </cell>
          <cell r="J337">
            <v>22.56</v>
          </cell>
        </row>
        <row r="338">
          <cell r="B338" t="str">
            <v>D86410000236</v>
          </cell>
          <cell r="C338" t="str">
            <v>D864</v>
          </cell>
          <cell r="D338" t="str">
            <v>D087</v>
          </cell>
          <cell r="E338" t="str">
            <v>MX-PD0192 AEROPUERTO QRO</v>
          </cell>
          <cell r="F338">
            <v>10000236</v>
          </cell>
          <cell r="G338" t="str">
            <v>Grava Triturada Caliza 10 mm -</v>
          </cell>
          <cell r="H338">
            <v>96.98</v>
          </cell>
          <cell r="I338">
            <v>53.46</v>
          </cell>
          <cell r="J338">
            <v>150.44</v>
          </cell>
        </row>
        <row r="339">
          <cell r="B339" t="str">
            <v>D86410000240</v>
          </cell>
          <cell r="C339" t="str">
            <v>D864</v>
          </cell>
          <cell r="D339" t="str">
            <v>D087</v>
          </cell>
          <cell r="E339" t="str">
            <v>MX-PD0192 AEROPUERTO QRO</v>
          </cell>
          <cell r="F339">
            <v>10000240</v>
          </cell>
          <cell r="G339" t="str">
            <v>Grava Triturada Caliza 20 mm -</v>
          </cell>
          <cell r="H339">
            <v>96.98</v>
          </cell>
          <cell r="I339">
            <v>60.19</v>
          </cell>
          <cell r="J339">
            <v>157.17000000000002</v>
          </cell>
        </row>
        <row r="340">
          <cell r="B340" t="str">
            <v>D86410000269</v>
          </cell>
          <cell r="C340" t="str">
            <v>D864</v>
          </cell>
          <cell r="D340" t="str">
            <v>D087</v>
          </cell>
          <cell r="E340" t="str">
            <v>MX-PD0192 AEROPUERTO QRO</v>
          </cell>
          <cell r="F340">
            <v>10000269</v>
          </cell>
          <cell r="G340" t="str">
            <v>Grava Triturada Caliza 13 mm -</v>
          </cell>
          <cell r="H340">
            <v>96.98</v>
          </cell>
          <cell r="I340">
            <v>70.36</v>
          </cell>
          <cell r="J340">
            <v>167.34</v>
          </cell>
        </row>
        <row r="341">
          <cell r="B341" t="str">
            <v>D86410001073</v>
          </cell>
          <cell r="C341" t="str">
            <v>D864</v>
          </cell>
          <cell r="D341" t="str">
            <v>D087</v>
          </cell>
          <cell r="E341" t="str">
            <v>MX-PD0192 AEROPUERTO QRO</v>
          </cell>
          <cell r="F341">
            <v>10001073</v>
          </cell>
          <cell r="G341" t="str">
            <v>Arena Triturada Caliza Malla 4</v>
          </cell>
          <cell r="H341">
            <v>95.43</v>
          </cell>
          <cell r="I341">
            <v>-3.95</v>
          </cell>
          <cell r="J341">
            <v>91.48</v>
          </cell>
        </row>
        <row r="342">
          <cell r="B342" t="str">
            <v>D86410001074</v>
          </cell>
          <cell r="C342" t="str">
            <v>D864</v>
          </cell>
          <cell r="D342" t="str">
            <v>D087</v>
          </cell>
          <cell r="E342" t="str">
            <v>MX-PD0192 AEROPUERTO QRO</v>
          </cell>
          <cell r="F342">
            <v>10001074</v>
          </cell>
          <cell r="G342" t="str">
            <v>Grava Triturada Caliza 40 mm -</v>
          </cell>
          <cell r="H342">
            <v>96.98</v>
          </cell>
          <cell r="I342">
            <v>89.66</v>
          </cell>
          <cell r="J342">
            <v>186.64</v>
          </cell>
        </row>
        <row r="343">
          <cell r="B343" t="str">
            <v>D86410001203</v>
          </cell>
          <cell r="C343" t="str">
            <v>D864</v>
          </cell>
          <cell r="D343" t="str">
            <v>D087</v>
          </cell>
          <cell r="E343" t="str">
            <v>MX-PD0192 AEROPUERTO QRO</v>
          </cell>
          <cell r="F343">
            <v>10001203</v>
          </cell>
          <cell r="G343" t="str">
            <v>Desperdicio Triturado Caliza</v>
          </cell>
          <cell r="H343">
            <v>1.1499999999999999</v>
          </cell>
          <cell r="I343">
            <v>21.41</v>
          </cell>
          <cell r="J343">
            <v>22.56</v>
          </cell>
        </row>
        <row r="344">
          <cell r="B344" t="str">
            <v>D86410000236</v>
          </cell>
          <cell r="C344" t="str">
            <v>D864</v>
          </cell>
          <cell r="D344" t="str">
            <v>D088</v>
          </cell>
          <cell r="E344" t="str">
            <v>MX-PD-081 HUEHUETOCA V</v>
          </cell>
          <cell r="F344">
            <v>10000236</v>
          </cell>
          <cell r="G344" t="str">
            <v>Grava Triturada Caliza 10 mm -</v>
          </cell>
          <cell r="H344">
            <v>96.98</v>
          </cell>
          <cell r="I344">
            <v>53.46</v>
          </cell>
          <cell r="J344">
            <v>150.44</v>
          </cell>
        </row>
        <row r="345">
          <cell r="B345" t="str">
            <v>D86410000240</v>
          </cell>
          <cell r="C345" t="str">
            <v>D864</v>
          </cell>
          <cell r="D345" t="str">
            <v>D088</v>
          </cell>
          <cell r="E345" t="str">
            <v>MX-PD-081 HUEHUETOCA V</v>
          </cell>
          <cell r="F345">
            <v>10000240</v>
          </cell>
          <cell r="G345" t="str">
            <v>Grava Triturada Caliza 20 mm -</v>
          </cell>
          <cell r="H345">
            <v>96.98</v>
          </cell>
          <cell r="I345">
            <v>60.19</v>
          </cell>
          <cell r="J345">
            <v>157.17000000000002</v>
          </cell>
        </row>
        <row r="346">
          <cell r="B346" t="str">
            <v>D86410000269</v>
          </cell>
          <cell r="C346" t="str">
            <v>D864</v>
          </cell>
          <cell r="D346" t="str">
            <v>D088</v>
          </cell>
          <cell r="E346" t="str">
            <v>MX-PD-081 HUEHUETOCA V</v>
          </cell>
          <cell r="F346">
            <v>10000269</v>
          </cell>
          <cell r="G346" t="str">
            <v>Grava Triturada Caliza 13 mm -</v>
          </cell>
          <cell r="H346">
            <v>96.98</v>
          </cell>
          <cell r="I346">
            <v>70.36</v>
          </cell>
          <cell r="J346">
            <v>167.34</v>
          </cell>
        </row>
        <row r="347">
          <cell r="B347" t="str">
            <v>D86410001073</v>
          </cell>
          <cell r="C347" t="str">
            <v>D864</v>
          </cell>
          <cell r="D347" t="str">
            <v>D088</v>
          </cell>
          <cell r="E347" t="str">
            <v>MX-PD-081 HUEHUETOCA V</v>
          </cell>
          <cell r="F347">
            <v>10001073</v>
          </cell>
          <cell r="G347" t="str">
            <v>Arena Triturada Caliza Malla 4</v>
          </cell>
          <cell r="H347">
            <v>95.43</v>
          </cell>
          <cell r="I347">
            <v>-3.95</v>
          </cell>
          <cell r="J347">
            <v>91.48</v>
          </cell>
        </row>
        <row r="348">
          <cell r="B348" t="str">
            <v>D86410001074</v>
          </cell>
          <cell r="C348" t="str">
            <v>D864</v>
          </cell>
          <cell r="D348" t="str">
            <v>D088</v>
          </cell>
          <cell r="E348" t="str">
            <v>MX-PD-081 HUEHUETOCA V</v>
          </cell>
          <cell r="F348">
            <v>10001074</v>
          </cell>
          <cell r="G348" t="str">
            <v>Grava Triturada Caliza 40 mm -</v>
          </cell>
          <cell r="H348">
            <v>96.98</v>
          </cell>
          <cell r="I348">
            <v>89.66</v>
          </cell>
          <cell r="J348">
            <v>186.64</v>
          </cell>
        </row>
        <row r="349">
          <cell r="B349" t="str">
            <v>D86410001203</v>
          </cell>
          <cell r="C349" t="str">
            <v>D864</v>
          </cell>
          <cell r="D349" t="str">
            <v>D088</v>
          </cell>
          <cell r="E349" t="str">
            <v>MX-PD-081 HUEHUETOCA V</v>
          </cell>
          <cell r="F349">
            <v>10001203</v>
          </cell>
          <cell r="G349" t="str">
            <v>Desperdicio Triturado Caliza</v>
          </cell>
          <cell r="H349">
            <v>1.1499999999999999</v>
          </cell>
          <cell r="I349">
            <v>21.41</v>
          </cell>
          <cell r="J349">
            <v>22.56</v>
          </cell>
        </row>
        <row r="350">
          <cell r="B350" t="str">
            <v>D8640</v>
          </cell>
          <cell r="C350" t="str">
            <v>D864</v>
          </cell>
          <cell r="D350" t="str">
            <v>D089</v>
          </cell>
          <cell r="E350" t="str">
            <v>MX-PD-091 TULA IV</v>
          </cell>
          <cell r="F350">
            <v>0</v>
          </cell>
          <cell r="G350">
            <v>0</v>
          </cell>
          <cell r="H350">
            <v>0</v>
          </cell>
          <cell r="I350" t="e">
            <v>#N/A</v>
          </cell>
          <cell r="J350" t="e">
            <v>#N/A</v>
          </cell>
        </row>
        <row r="351">
          <cell r="B351" t="str">
            <v>D86410000236</v>
          </cell>
          <cell r="C351" t="str">
            <v>D864</v>
          </cell>
          <cell r="D351" t="str">
            <v>D089</v>
          </cell>
          <cell r="E351" t="str">
            <v>MX-PD-091 TULA IV</v>
          </cell>
          <cell r="F351">
            <v>10000236</v>
          </cell>
          <cell r="G351" t="str">
            <v>Grava Triturada Caliza 10 mm -</v>
          </cell>
          <cell r="H351">
            <v>96.98</v>
          </cell>
          <cell r="I351">
            <v>53.46</v>
          </cell>
          <cell r="J351">
            <v>150.44</v>
          </cell>
        </row>
        <row r="352">
          <cell r="B352" t="str">
            <v>D86410000240</v>
          </cell>
          <cell r="C352" t="str">
            <v>D864</v>
          </cell>
          <cell r="D352" t="str">
            <v>D089</v>
          </cell>
          <cell r="E352" t="str">
            <v>MX-PD-091 TULA IV</v>
          </cell>
          <cell r="F352">
            <v>10000240</v>
          </cell>
          <cell r="G352" t="str">
            <v>Grava Triturada Caliza 20 mm -</v>
          </cell>
          <cell r="H352">
            <v>96.98</v>
          </cell>
          <cell r="I352">
            <v>60.19</v>
          </cell>
          <cell r="J352">
            <v>157.17000000000002</v>
          </cell>
        </row>
        <row r="353">
          <cell r="B353" t="str">
            <v>D86410000269</v>
          </cell>
          <cell r="C353" t="str">
            <v>D864</v>
          </cell>
          <cell r="D353" t="str">
            <v>D089</v>
          </cell>
          <cell r="E353" t="str">
            <v>MX-PD-091 TULA IV</v>
          </cell>
          <cell r="F353">
            <v>10000269</v>
          </cell>
          <cell r="G353" t="str">
            <v>Grava Triturada Caliza 13 mm -</v>
          </cell>
          <cell r="H353">
            <v>96.98</v>
          </cell>
          <cell r="I353">
            <v>70.36</v>
          </cell>
          <cell r="J353">
            <v>167.34</v>
          </cell>
        </row>
        <row r="354">
          <cell r="B354" t="str">
            <v>D86410000301</v>
          </cell>
          <cell r="C354" t="str">
            <v>D864</v>
          </cell>
          <cell r="D354" t="str">
            <v>D089</v>
          </cell>
          <cell r="E354" t="str">
            <v>MX-PD-091 TULA IV</v>
          </cell>
          <cell r="F354">
            <v>10000301</v>
          </cell>
          <cell r="G354" t="str">
            <v>BALASTO DE 3 PULGADAS A FINOS</v>
          </cell>
          <cell r="H354">
            <v>54.06</v>
          </cell>
          <cell r="I354">
            <v>84.24</v>
          </cell>
          <cell r="J354">
            <v>138.30000000000001</v>
          </cell>
        </row>
        <row r="355">
          <cell r="B355" t="str">
            <v>D86410000319</v>
          </cell>
          <cell r="C355" t="str">
            <v>D864</v>
          </cell>
          <cell r="D355" t="str">
            <v>D089</v>
          </cell>
          <cell r="E355" t="str">
            <v>MX-PD-091 TULA IV</v>
          </cell>
          <cell r="F355">
            <v>10000319</v>
          </cell>
          <cell r="G355" t="str">
            <v>Grava Triturada Caliza 40 mm -</v>
          </cell>
          <cell r="H355">
            <v>96.98</v>
          </cell>
          <cell r="I355">
            <v>42.86</v>
          </cell>
          <cell r="J355">
            <v>139.84</v>
          </cell>
        </row>
        <row r="356">
          <cell r="B356" t="str">
            <v>D86410001073</v>
          </cell>
          <cell r="C356" t="str">
            <v>D864</v>
          </cell>
          <cell r="D356" t="str">
            <v>D089</v>
          </cell>
          <cell r="E356" t="str">
            <v>MX-PD-091 TULA IV</v>
          </cell>
          <cell r="F356">
            <v>10001073</v>
          </cell>
          <cell r="G356" t="str">
            <v>Arena Triturada Caliza Malla 4</v>
          </cell>
          <cell r="H356">
            <v>95.43</v>
          </cell>
          <cell r="I356">
            <v>-3.95</v>
          </cell>
          <cell r="J356">
            <v>91.48</v>
          </cell>
        </row>
        <row r="357">
          <cell r="B357" t="str">
            <v>D86410001074</v>
          </cell>
          <cell r="C357" t="str">
            <v>D864</v>
          </cell>
          <cell r="D357" t="str">
            <v>D089</v>
          </cell>
          <cell r="E357" t="str">
            <v>MX-PD-091 TULA IV</v>
          </cell>
          <cell r="F357">
            <v>10001074</v>
          </cell>
          <cell r="G357" t="str">
            <v>Grava Triturada Caliza 40 mm -</v>
          </cell>
          <cell r="H357">
            <v>96.98</v>
          </cell>
          <cell r="I357">
            <v>89.66</v>
          </cell>
          <cell r="J357">
            <v>186.64</v>
          </cell>
        </row>
        <row r="358">
          <cell r="B358" t="str">
            <v>D86410001203</v>
          </cell>
          <cell r="C358" t="str">
            <v>D864</v>
          </cell>
          <cell r="D358" t="str">
            <v>D089</v>
          </cell>
          <cell r="E358" t="str">
            <v>MX-PD-091 TULA IV</v>
          </cell>
          <cell r="F358">
            <v>10001203</v>
          </cell>
          <cell r="G358" t="str">
            <v>Desperdicio Triturado Caliza</v>
          </cell>
          <cell r="H358">
            <v>1.1499999999999999</v>
          </cell>
          <cell r="I358">
            <v>21.41</v>
          </cell>
          <cell r="J358">
            <v>22.56</v>
          </cell>
        </row>
        <row r="359">
          <cell r="B359" t="str">
            <v>D86410070027</v>
          </cell>
          <cell r="C359" t="str">
            <v>D864</v>
          </cell>
          <cell r="D359" t="str">
            <v>D089</v>
          </cell>
          <cell r="E359" t="str">
            <v>MX-PD-091 TULA IV</v>
          </cell>
          <cell r="F359">
            <v>10070027</v>
          </cell>
          <cell r="G359" t="str">
            <v>BALASTO TRITURADO CALIZA 6"</v>
          </cell>
          <cell r="H359">
            <v>54.06</v>
          </cell>
          <cell r="I359">
            <v>17.2</v>
          </cell>
          <cell r="J359">
            <v>71.260000000000005</v>
          </cell>
        </row>
        <row r="360">
          <cell r="B360" t="str">
            <v>D86410000236</v>
          </cell>
          <cell r="C360" t="str">
            <v>D864</v>
          </cell>
          <cell r="D360" t="str">
            <v>D093</v>
          </cell>
          <cell r="E360" t="str">
            <v>MX-PD0556 ZUMPANGO</v>
          </cell>
          <cell r="F360">
            <v>10000236</v>
          </cell>
          <cell r="G360" t="str">
            <v>Grava Triturada Caliza 10 mm -</v>
          </cell>
          <cell r="H360">
            <v>96.98</v>
          </cell>
          <cell r="I360">
            <v>53.46</v>
          </cell>
          <cell r="J360">
            <v>150.44</v>
          </cell>
        </row>
        <row r="361">
          <cell r="B361" t="str">
            <v>D86410000240</v>
          </cell>
          <cell r="C361" t="str">
            <v>D864</v>
          </cell>
          <cell r="D361" t="str">
            <v>D093</v>
          </cell>
          <cell r="E361" t="str">
            <v>MX-PD0556 ZUMPANGO</v>
          </cell>
          <cell r="F361">
            <v>10000240</v>
          </cell>
          <cell r="G361" t="str">
            <v>Grava Triturada Caliza 20 mm -</v>
          </cell>
          <cell r="H361">
            <v>96.98</v>
          </cell>
          <cell r="I361">
            <v>60.19</v>
          </cell>
          <cell r="J361">
            <v>157.17000000000002</v>
          </cell>
        </row>
        <row r="362">
          <cell r="B362" t="str">
            <v>D86410000269</v>
          </cell>
          <cell r="C362" t="str">
            <v>D864</v>
          </cell>
          <cell r="D362" t="str">
            <v>D093</v>
          </cell>
          <cell r="E362" t="str">
            <v>MX-PD0556 ZUMPANGO</v>
          </cell>
          <cell r="F362">
            <v>10000269</v>
          </cell>
          <cell r="G362" t="str">
            <v>Grava Triturada Caliza 13 mm -</v>
          </cell>
          <cell r="H362">
            <v>96.98</v>
          </cell>
          <cell r="I362">
            <v>70.36</v>
          </cell>
          <cell r="J362">
            <v>167.34</v>
          </cell>
        </row>
        <row r="363">
          <cell r="B363" t="str">
            <v>D86410001073</v>
          </cell>
          <cell r="C363" t="str">
            <v>D864</v>
          </cell>
          <cell r="D363" t="str">
            <v>D093</v>
          </cell>
          <cell r="E363" t="str">
            <v>MX-PD0556 ZUMPANGO</v>
          </cell>
          <cell r="F363">
            <v>10001073</v>
          </cell>
          <cell r="G363" t="str">
            <v>Arena Triturada Caliza Malla 4</v>
          </cell>
          <cell r="H363">
            <v>95.43</v>
          </cell>
          <cell r="I363">
            <v>-3.95</v>
          </cell>
          <cell r="J363">
            <v>91.48</v>
          </cell>
        </row>
        <row r="364">
          <cell r="B364" t="str">
            <v>D86410001074</v>
          </cell>
          <cell r="C364" t="str">
            <v>D864</v>
          </cell>
          <cell r="D364" t="str">
            <v>D093</v>
          </cell>
          <cell r="E364" t="str">
            <v>MX-PD0556 ZUMPANGO</v>
          </cell>
          <cell r="F364">
            <v>10001074</v>
          </cell>
          <cell r="G364" t="str">
            <v>Grava Triturada Caliza 40 mm -</v>
          </cell>
          <cell r="H364">
            <v>96.98</v>
          </cell>
          <cell r="I364">
            <v>89.66</v>
          </cell>
          <cell r="J364">
            <v>186.64</v>
          </cell>
        </row>
        <row r="365">
          <cell r="B365" t="str">
            <v>D86410001203</v>
          </cell>
          <cell r="C365" t="str">
            <v>D864</v>
          </cell>
          <cell r="D365" t="str">
            <v>D093</v>
          </cell>
          <cell r="E365" t="str">
            <v>MX-PD0556 ZUMPANGO</v>
          </cell>
          <cell r="F365">
            <v>10001203</v>
          </cell>
          <cell r="G365" t="str">
            <v>Desperdicio Triturado Caliza</v>
          </cell>
          <cell r="H365">
            <v>1.1499999999999999</v>
          </cell>
          <cell r="I365">
            <v>21.41</v>
          </cell>
          <cell r="J365">
            <v>22.56</v>
          </cell>
        </row>
        <row r="366">
          <cell r="B366" t="str">
            <v>D86410000236</v>
          </cell>
          <cell r="C366" t="str">
            <v>D864</v>
          </cell>
          <cell r="D366" t="str">
            <v>D095</v>
          </cell>
          <cell r="E366" t="str">
            <v>MX-PD-482 TIZAYUCA</v>
          </cell>
          <cell r="F366">
            <v>10000236</v>
          </cell>
          <cell r="G366" t="str">
            <v>Grava Triturada Caliza 10 mm -</v>
          </cell>
          <cell r="H366">
            <v>96.98</v>
          </cell>
          <cell r="I366">
            <v>53.46</v>
          </cell>
          <cell r="J366">
            <v>150.44</v>
          </cell>
        </row>
        <row r="367">
          <cell r="B367" t="str">
            <v>D86410000240</v>
          </cell>
          <cell r="C367" t="str">
            <v>D864</v>
          </cell>
          <cell r="D367" t="str">
            <v>D095</v>
          </cell>
          <cell r="E367" t="str">
            <v>MX-PD-482 TIZAYUCA</v>
          </cell>
          <cell r="F367">
            <v>10000240</v>
          </cell>
          <cell r="G367" t="str">
            <v>Grava Triturada Caliza 20 mm -</v>
          </cell>
          <cell r="H367">
            <v>96.98</v>
          </cell>
          <cell r="I367">
            <v>60.19</v>
          </cell>
          <cell r="J367">
            <v>157.17000000000002</v>
          </cell>
        </row>
        <row r="368">
          <cell r="B368" t="str">
            <v>D86410000269</v>
          </cell>
          <cell r="C368" t="str">
            <v>D864</v>
          </cell>
          <cell r="D368" t="str">
            <v>D095</v>
          </cell>
          <cell r="E368" t="str">
            <v>MX-PD-482 TIZAYUCA</v>
          </cell>
          <cell r="F368">
            <v>10000269</v>
          </cell>
          <cell r="G368" t="str">
            <v>Grava Triturada Caliza 13 mm -</v>
          </cell>
          <cell r="H368">
            <v>96.98</v>
          </cell>
          <cell r="I368">
            <v>70.36</v>
          </cell>
          <cell r="J368">
            <v>167.34</v>
          </cell>
        </row>
        <row r="369">
          <cell r="B369" t="str">
            <v>D86410001073</v>
          </cell>
          <cell r="C369" t="str">
            <v>D864</v>
          </cell>
          <cell r="D369" t="str">
            <v>D095</v>
          </cell>
          <cell r="E369" t="str">
            <v>MX-PD-482 TIZAYUCA</v>
          </cell>
          <cell r="F369">
            <v>10001073</v>
          </cell>
          <cell r="G369" t="str">
            <v>Arena Triturada Caliza Malla 4</v>
          </cell>
          <cell r="H369">
            <v>95.43</v>
          </cell>
          <cell r="I369">
            <v>-3.95</v>
          </cell>
          <cell r="J369">
            <v>91.48</v>
          </cell>
        </row>
        <row r="370">
          <cell r="B370" t="str">
            <v>D86410001074</v>
          </cell>
          <cell r="C370" t="str">
            <v>D864</v>
          </cell>
          <cell r="D370" t="str">
            <v>D095</v>
          </cell>
          <cell r="E370" t="str">
            <v>MX-PD-482 TIZAYUCA</v>
          </cell>
          <cell r="F370">
            <v>10001074</v>
          </cell>
          <cell r="G370" t="str">
            <v>Grava Triturada Caliza 40 mm -</v>
          </cell>
          <cell r="H370">
            <v>96.98</v>
          </cell>
          <cell r="I370">
            <v>89.66</v>
          </cell>
          <cell r="J370">
            <v>186.64</v>
          </cell>
        </row>
        <row r="371">
          <cell r="B371" t="str">
            <v>D86410000236</v>
          </cell>
          <cell r="C371" t="str">
            <v>D864</v>
          </cell>
          <cell r="D371" t="str">
            <v>D098</v>
          </cell>
          <cell r="E371" t="str">
            <v>MX-PD-315 CUAUTITLAN II</v>
          </cell>
          <cell r="F371">
            <v>10000236</v>
          </cell>
          <cell r="G371" t="str">
            <v>Grava Triturada Caliza 10 mm -</v>
          </cell>
          <cell r="H371">
            <v>96.98</v>
          </cell>
          <cell r="I371">
            <v>53.46</v>
          </cell>
          <cell r="J371">
            <v>150.44</v>
          </cell>
        </row>
        <row r="372">
          <cell r="B372" t="str">
            <v>D86410000240</v>
          </cell>
          <cell r="C372" t="str">
            <v>D864</v>
          </cell>
          <cell r="D372" t="str">
            <v>D098</v>
          </cell>
          <cell r="E372" t="str">
            <v>MX-PD-315 CUAUTITLAN II</v>
          </cell>
          <cell r="F372">
            <v>10000240</v>
          </cell>
          <cell r="G372" t="str">
            <v>Grava Triturada Caliza 20 mm -</v>
          </cell>
          <cell r="H372">
            <v>96.98</v>
          </cell>
          <cell r="I372">
            <v>60.19</v>
          </cell>
          <cell r="J372">
            <v>157.17000000000002</v>
          </cell>
        </row>
        <row r="373">
          <cell r="B373" t="str">
            <v>D86410000269</v>
          </cell>
          <cell r="C373" t="str">
            <v>D864</v>
          </cell>
          <cell r="D373" t="str">
            <v>D098</v>
          </cell>
          <cell r="E373" t="str">
            <v>MX-PD-315 CUAUTITLAN II</v>
          </cell>
          <cell r="F373">
            <v>10000269</v>
          </cell>
          <cell r="G373" t="str">
            <v>Grava Triturada Caliza 13 mm -</v>
          </cell>
          <cell r="H373">
            <v>96.98</v>
          </cell>
          <cell r="I373">
            <v>70.36</v>
          </cell>
          <cell r="J373">
            <v>167.34</v>
          </cell>
        </row>
        <row r="374">
          <cell r="B374" t="str">
            <v>D86410001073</v>
          </cell>
          <cell r="C374" t="str">
            <v>D864</v>
          </cell>
          <cell r="D374" t="str">
            <v>D098</v>
          </cell>
          <cell r="E374" t="str">
            <v>MX-PD-315 CUAUTITLAN II</v>
          </cell>
          <cell r="F374">
            <v>10001073</v>
          </cell>
          <cell r="G374" t="str">
            <v>Arena Triturada Caliza Malla 4</v>
          </cell>
          <cell r="H374">
            <v>95.43</v>
          </cell>
          <cell r="I374">
            <v>-3.95</v>
          </cell>
          <cell r="J374">
            <v>91.48</v>
          </cell>
        </row>
        <row r="375">
          <cell r="B375" t="str">
            <v>D86410001074</v>
          </cell>
          <cell r="C375" t="str">
            <v>D864</v>
          </cell>
          <cell r="D375" t="str">
            <v>D098</v>
          </cell>
          <cell r="E375" t="str">
            <v>MX-PD-315 CUAUTITLAN II</v>
          </cell>
          <cell r="F375">
            <v>10001074</v>
          </cell>
          <cell r="G375" t="str">
            <v>Grava Triturada Caliza 40 mm -</v>
          </cell>
          <cell r="H375">
            <v>96.98</v>
          </cell>
          <cell r="I375">
            <v>89.66</v>
          </cell>
          <cell r="J375">
            <v>186.64</v>
          </cell>
        </row>
        <row r="376">
          <cell r="B376" t="str">
            <v>D86410001203</v>
          </cell>
          <cell r="C376" t="str">
            <v>D864</v>
          </cell>
          <cell r="D376" t="str">
            <v>D098</v>
          </cell>
          <cell r="E376" t="str">
            <v>MX-PD-315 CUAUTITLAN II</v>
          </cell>
          <cell r="F376">
            <v>10001203</v>
          </cell>
          <cell r="G376" t="str">
            <v>Desperdicio Triturado Caliza</v>
          </cell>
          <cell r="H376">
            <v>1.1499999999999999</v>
          </cell>
          <cell r="I376">
            <v>21.41</v>
          </cell>
          <cell r="J376">
            <v>22.56</v>
          </cell>
        </row>
        <row r="377">
          <cell r="B377" t="str">
            <v>D86410000240</v>
          </cell>
          <cell r="C377" t="str">
            <v>D864</v>
          </cell>
          <cell r="D377" t="str">
            <v>D101</v>
          </cell>
          <cell r="E377" t="str">
            <v>MX-PD0495 ECATEPEC IV</v>
          </cell>
          <cell r="F377">
            <v>10000240</v>
          </cell>
          <cell r="G377" t="str">
            <v>Grava Triturada Caliza 20 mm -</v>
          </cell>
          <cell r="H377">
            <v>96.98</v>
          </cell>
          <cell r="I377">
            <v>60.19</v>
          </cell>
          <cell r="J377">
            <v>157.17000000000002</v>
          </cell>
        </row>
        <row r="378">
          <cell r="B378" t="str">
            <v>D86410000236</v>
          </cell>
          <cell r="C378" t="str">
            <v>D864</v>
          </cell>
          <cell r="D378" t="str">
            <v>D104</v>
          </cell>
          <cell r="E378" t="str">
            <v>MX-PD0397 PLAN DE LOS AMATES</v>
          </cell>
          <cell r="F378">
            <v>10000236</v>
          </cell>
          <cell r="G378" t="str">
            <v>Grava Triturada Caliza 10 mm -</v>
          </cell>
          <cell r="H378">
            <v>96.98</v>
          </cell>
          <cell r="I378">
            <v>53.46</v>
          </cell>
          <cell r="J378">
            <v>150.44</v>
          </cell>
        </row>
        <row r="379">
          <cell r="B379" t="str">
            <v>D86410000240</v>
          </cell>
          <cell r="C379" t="str">
            <v>D864</v>
          </cell>
          <cell r="D379" t="str">
            <v>D104</v>
          </cell>
          <cell r="E379" t="str">
            <v>MX-PD0397 PLAN DE LOS AMATES</v>
          </cell>
          <cell r="F379">
            <v>10000240</v>
          </cell>
          <cell r="G379" t="str">
            <v>Grava Triturada Caliza 20 mm -</v>
          </cell>
          <cell r="H379">
            <v>96.98</v>
          </cell>
          <cell r="I379">
            <v>60.19</v>
          </cell>
          <cell r="J379">
            <v>157.17000000000002</v>
          </cell>
        </row>
        <row r="380">
          <cell r="B380" t="str">
            <v>D86410000269</v>
          </cell>
          <cell r="C380" t="str">
            <v>D864</v>
          </cell>
          <cell r="D380" t="str">
            <v>D104</v>
          </cell>
          <cell r="E380" t="str">
            <v>MX-PD0397 PLAN DE LOS AMATES</v>
          </cell>
          <cell r="F380">
            <v>10000269</v>
          </cell>
          <cell r="G380" t="str">
            <v>Grava Triturada Caliza 13 mm -</v>
          </cell>
          <cell r="H380">
            <v>96.98</v>
          </cell>
          <cell r="I380">
            <v>70.36</v>
          </cell>
          <cell r="J380">
            <v>167.34</v>
          </cell>
        </row>
        <row r="381">
          <cell r="B381" t="str">
            <v>D86410001073</v>
          </cell>
          <cell r="C381" t="str">
            <v>D864</v>
          </cell>
          <cell r="D381" t="str">
            <v>D104</v>
          </cell>
          <cell r="E381" t="str">
            <v>MX-PD0397 PLAN DE LOS AMATES</v>
          </cell>
          <cell r="F381">
            <v>10001073</v>
          </cell>
          <cell r="G381" t="str">
            <v>Arena Triturada Caliza Malla 4</v>
          </cell>
          <cell r="H381">
            <v>95.43</v>
          </cell>
          <cell r="I381">
            <v>-3.95</v>
          </cell>
          <cell r="J381">
            <v>91.48</v>
          </cell>
        </row>
        <row r="382">
          <cell r="B382" t="str">
            <v>D86410001074</v>
          </cell>
          <cell r="C382" t="str">
            <v>D864</v>
          </cell>
          <cell r="D382" t="str">
            <v>D104</v>
          </cell>
          <cell r="E382" t="str">
            <v>MX-PD0397 PLAN DE LOS AMATES</v>
          </cell>
          <cell r="F382">
            <v>10001074</v>
          </cell>
          <cell r="G382" t="str">
            <v>Grava Triturada Caliza 40 mm -</v>
          </cell>
          <cell r="H382">
            <v>96.98</v>
          </cell>
          <cell r="I382">
            <v>89.66</v>
          </cell>
          <cell r="J382">
            <v>186.64</v>
          </cell>
        </row>
        <row r="383">
          <cell r="B383" t="str">
            <v>D86410001203</v>
          </cell>
          <cell r="C383" t="str">
            <v>D864</v>
          </cell>
          <cell r="D383" t="str">
            <v>D104</v>
          </cell>
          <cell r="E383" t="str">
            <v>MX-PD0397 PLAN DE LOS AMATES</v>
          </cell>
          <cell r="F383">
            <v>10001203</v>
          </cell>
          <cell r="G383" t="str">
            <v>Desperdicio Triturado Caliza</v>
          </cell>
          <cell r="H383">
            <v>1.1499999999999999</v>
          </cell>
          <cell r="I383">
            <v>21.41</v>
          </cell>
          <cell r="J383">
            <v>22.56</v>
          </cell>
        </row>
        <row r="384">
          <cell r="B384" t="str">
            <v>D86410000236</v>
          </cell>
          <cell r="C384" t="str">
            <v>D864</v>
          </cell>
          <cell r="D384" t="str">
            <v>D105</v>
          </cell>
          <cell r="E384" t="str">
            <v>MX-PD-331 NAUCALPAN II</v>
          </cell>
          <cell r="F384">
            <v>10000236</v>
          </cell>
          <cell r="G384" t="str">
            <v>Grava Triturada Caliza 10 mm -</v>
          </cell>
          <cell r="H384">
            <v>96.98</v>
          </cell>
          <cell r="I384">
            <v>53.46</v>
          </cell>
          <cell r="J384">
            <v>150.44</v>
          </cell>
        </row>
        <row r="385">
          <cell r="B385" t="str">
            <v>D86410000240</v>
          </cell>
          <cell r="C385" t="str">
            <v>D864</v>
          </cell>
          <cell r="D385" t="str">
            <v>D105</v>
          </cell>
          <cell r="E385" t="str">
            <v>MX-PD-331 NAUCALPAN II</v>
          </cell>
          <cell r="F385">
            <v>10000240</v>
          </cell>
          <cell r="G385" t="str">
            <v>Grava Triturada Caliza 20 mm -</v>
          </cell>
          <cell r="H385">
            <v>96.98</v>
          </cell>
          <cell r="I385">
            <v>60.19</v>
          </cell>
          <cell r="J385">
            <v>157.17000000000002</v>
          </cell>
        </row>
        <row r="386">
          <cell r="B386" t="str">
            <v>D86410000269</v>
          </cell>
          <cell r="C386" t="str">
            <v>D864</v>
          </cell>
          <cell r="D386" t="str">
            <v>D105</v>
          </cell>
          <cell r="E386" t="str">
            <v>MX-PD-331 NAUCALPAN II</v>
          </cell>
          <cell r="F386">
            <v>10000269</v>
          </cell>
          <cell r="G386" t="str">
            <v>Grava Triturada Caliza 13 mm -</v>
          </cell>
          <cell r="H386">
            <v>96.98</v>
          </cell>
          <cell r="I386">
            <v>70.36</v>
          </cell>
          <cell r="J386">
            <v>167.34</v>
          </cell>
        </row>
        <row r="387">
          <cell r="B387" t="str">
            <v>D86410001073</v>
          </cell>
          <cell r="C387" t="str">
            <v>D864</v>
          </cell>
          <cell r="D387" t="str">
            <v>D105</v>
          </cell>
          <cell r="E387" t="str">
            <v>MX-PD-331 NAUCALPAN II</v>
          </cell>
          <cell r="F387">
            <v>10001073</v>
          </cell>
          <cell r="G387" t="str">
            <v>Arena Triturada Caliza Malla 4</v>
          </cell>
          <cell r="H387">
            <v>95.43</v>
          </cell>
          <cell r="I387">
            <v>-3.95</v>
          </cell>
          <cell r="J387">
            <v>91.48</v>
          </cell>
        </row>
        <row r="388">
          <cell r="B388" t="str">
            <v>D86410001074</v>
          </cell>
          <cell r="C388" t="str">
            <v>D864</v>
          </cell>
          <cell r="D388" t="str">
            <v>D105</v>
          </cell>
          <cell r="E388" t="str">
            <v>MX-PD-331 NAUCALPAN II</v>
          </cell>
          <cell r="F388">
            <v>10001074</v>
          </cell>
          <cell r="G388" t="str">
            <v>Grava Triturada Caliza 40 mm -</v>
          </cell>
          <cell r="H388">
            <v>96.98</v>
          </cell>
          <cell r="I388">
            <v>89.66</v>
          </cell>
          <cell r="J388">
            <v>186.64</v>
          </cell>
        </row>
        <row r="389">
          <cell r="B389" t="str">
            <v>D86410001203</v>
          </cell>
          <cell r="C389" t="str">
            <v>D864</v>
          </cell>
          <cell r="D389" t="str">
            <v>D105</v>
          </cell>
          <cell r="E389" t="str">
            <v>MX-PD-331 NAUCALPAN II</v>
          </cell>
          <cell r="F389">
            <v>10001203</v>
          </cell>
          <cell r="G389" t="str">
            <v>Desperdicio Triturado Caliza</v>
          </cell>
          <cell r="H389">
            <v>1.1499999999999999</v>
          </cell>
          <cell r="I389">
            <v>21.41</v>
          </cell>
          <cell r="J389">
            <v>22.56</v>
          </cell>
        </row>
        <row r="390">
          <cell r="B390" t="str">
            <v>D86410000236</v>
          </cell>
          <cell r="C390" t="str">
            <v>D864</v>
          </cell>
          <cell r="D390" t="str">
            <v>D110</v>
          </cell>
          <cell r="E390" t="str">
            <v>MX-PD0338 TEPEJI 2</v>
          </cell>
          <cell r="F390">
            <v>10000236</v>
          </cell>
          <cell r="G390" t="str">
            <v>Grava Triturada Caliza 10 mm -</v>
          </cell>
          <cell r="H390">
            <v>96.98</v>
          </cell>
          <cell r="I390">
            <v>53.46</v>
          </cell>
          <cell r="J390">
            <v>150.44</v>
          </cell>
        </row>
        <row r="391">
          <cell r="B391" t="str">
            <v>D86410000240</v>
          </cell>
          <cell r="C391" t="str">
            <v>D864</v>
          </cell>
          <cell r="D391" t="str">
            <v>D110</v>
          </cell>
          <cell r="E391" t="str">
            <v>MX-PD0338 TEPEJI 2</v>
          </cell>
          <cell r="F391">
            <v>10000240</v>
          </cell>
          <cell r="G391" t="str">
            <v>Grava Triturada Caliza 20 mm -</v>
          </cell>
          <cell r="H391">
            <v>96.98</v>
          </cell>
          <cell r="I391">
            <v>60.19</v>
          </cell>
          <cell r="J391">
            <v>157.17000000000002</v>
          </cell>
        </row>
        <row r="392">
          <cell r="B392" t="str">
            <v>D86410000269</v>
          </cell>
          <cell r="C392" t="str">
            <v>D864</v>
          </cell>
          <cell r="D392" t="str">
            <v>D110</v>
          </cell>
          <cell r="E392" t="str">
            <v>MX-PD0338 TEPEJI 2</v>
          </cell>
          <cell r="F392">
            <v>10000269</v>
          </cell>
          <cell r="G392" t="str">
            <v>Grava Triturada Caliza 13 mm -</v>
          </cell>
          <cell r="H392">
            <v>96.98</v>
          </cell>
          <cell r="I392">
            <v>70.36</v>
          </cell>
          <cell r="J392">
            <v>167.34</v>
          </cell>
        </row>
        <row r="393">
          <cell r="B393" t="str">
            <v>D86410001073</v>
          </cell>
          <cell r="C393" t="str">
            <v>D864</v>
          </cell>
          <cell r="D393" t="str">
            <v>D110</v>
          </cell>
          <cell r="E393" t="str">
            <v>MX-PD0338 TEPEJI 2</v>
          </cell>
          <cell r="F393">
            <v>10001073</v>
          </cell>
          <cell r="G393" t="str">
            <v>Arena Triturada Caliza Malla 4</v>
          </cell>
          <cell r="H393">
            <v>95.43</v>
          </cell>
          <cell r="I393">
            <v>-3.95</v>
          </cell>
          <cell r="J393">
            <v>91.48</v>
          </cell>
        </row>
        <row r="394">
          <cell r="B394" t="str">
            <v>D86410001074</v>
          </cell>
          <cell r="C394" t="str">
            <v>D864</v>
          </cell>
          <cell r="D394" t="str">
            <v>D110</v>
          </cell>
          <cell r="E394" t="str">
            <v>MX-PD0338 TEPEJI 2</v>
          </cell>
          <cell r="F394">
            <v>10001074</v>
          </cell>
          <cell r="G394" t="str">
            <v>Grava Triturada Caliza 40 mm -</v>
          </cell>
          <cell r="H394">
            <v>96.98</v>
          </cell>
          <cell r="I394">
            <v>89.66</v>
          </cell>
          <cell r="J394">
            <v>186.64</v>
          </cell>
        </row>
        <row r="395">
          <cell r="B395" t="str">
            <v>D86410001203</v>
          </cell>
          <cell r="C395" t="str">
            <v>D864</v>
          </cell>
          <cell r="D395" t="str">
            <v>D110</v>
          </cell>
          <cell r="E395" t="str">
            <v>MX-PD0338 TEPEJI 2</v>
          </cell>
          <cell r="F395">
            <v>10001203</v>
          </cell>
          <cell r="G395" t="str">
            <v>Desperdicio Triturado Caliza</v>
          </cell>
          <cell r="H395">
            <v>1.1499999999999999</v>
          </cell>
          <cell r="I395">
            <v>21.41</v>
          </cell>
          <cell r="J395">
            <v>22.56</v>
          </cell>
        </row>
        <row r="396">
          <cell r="B396" t="str">
            <v>D86410000236</v>
          </cell>
          <cell r="C396" t="str">
            <v>D864</v>
          </cell>
          <cell r="D396" t="str">
            <v>D111</v>
          </cell>
          <cell r="E396" t="str">
            <v>MX-PD0317 TOLUCA LERMA 2</v>
          </cell>
          <cell r="F396">
            <v>10000236</v>
          </cell>
          <cell r="G396" t="str">
            <v>Grava Triturada Caliza 10 mm -</v>
          </cell>
          <cell r="H396">
            <v>96.98</v>
          </cell>
          <cell r="I396">
            <v>53.46</v>
          </cell>
          <cell r="J396">
            <v>150.44</v>
          </cell>
        </row>
        <row r="397">
          <cell r="B397" t="str">
            <v>D86410000240</v>
          </cell>
          <cell r="C397" t="str">
            <v>D864</v>
          </cell>
          <cell r="D397" t="str">
            <v>D111</v>
          </cell>
          <cell r="E397" t="str">
            <v>MX-PD0317 TOLUCA LERMA 2</v>
          </cell>
          <cell r="F397">
            <v>10000240</v>
          </cell>
          <cell r="G397" t="str">
            <v>Grava Triturada Caliza 20 mm -</v>
          </cell>
          <cell r="H397">
            <v>96.98</v>
          </cell>
          <cell r="I397">
            <v>60.19</v>
          </cell>
          <cell r="J397">
            <v>157.17000000000002</v>
          </cell>
        </row>
        <row r="398">
          <cell r="B398" t="str">
            <v>D86410000269</v>
          </cell>
          <cell r="C398" t="str">
            <v>D864</v>
          </cell>
          <cell r="D398" t="str">
            <v>D111</v>
          </cell>
          <cell r="E398" t="str">
            <v>MX-PD0317 TOLUCA LERMA 2</v>
          </cell>
          <cell r="F398">
            <v>10000269</v>
          </cell>
          <cell r="G398" t="str">
            <v>Grava Triturada Caliza 13 mm -</v>
          </cell>
          <cell r="H398">
            <v>96.98</v>
          </cell>
          <cell r="I398">
            <v>70.36</v>
          </cell>
          <cell r="J398">
            <v>167.34</v>
          </cell>
        </row>
        <row r="399">
          <cell r="B399" t="str">
            <v>D86410001073</v>
          </cell>
          <cell r="C399" t="str">
            <v>D864</v>
          </cell>
          <cell r="D399" t="str">
            <v>D111</v>
          </cell>
          <cell r="E399" t="str">
            <v>MX-PD0317 TOLUCA LERMA 2</v>
          </cell>
          <cell r="F399">
            <v>10001073</v>
          </cell>
          <cell r="G399" t="str">
            <v>Arena Triturada Caliza Malla 4</v>
          </cell>
          <cell r="H399">
            <v>95.43</v>
          </cell>
          <cell r="I399">
            <v>-3.95</v>
          </cell>
          <cell r="J399">
            <v>91.48</v>
          </cell>
        </row>
        <row r="400">
          <cell r="B400" t="str">
            <v>D86410001074</v>
          </cell>
          <cell r="C400" t="str">
            <v>D864</v>
          </cell>
          <cell r="D400" t="str">
            <v>D111</v>
          </cell>
          <cell r="E400" t="str">
            <v>MX-PD0317 TOLUCA LERMA 2</v>
          </cell>
          <cell r="F400">
            <v>10001074</v>
          </cell>
          <cell r="G400" t="str">
            <v>Grava Triturada Caliza 40 mm -</v>
          </cell>
          <cell r="H400">
            <v>96.98</v>
          </cell>
          <cell r="I400">
            <v>89.66</v>
          </cell>
          <cell r="J400">
            <v>186.64</v>
          </cell>
        </row>
        <row r="401">
          <cell r="B401" t="str">
            <v>D86410001203</v>
          </cell>
          <cell r="C401" t="str">
            <v>D864</v>
          </cell>
          <cell r="D401" t="str">
            <v>D111</v>
          </cell>
          <cell r="E401" t="str">
            <v>MX-PD0317 TOLUCA LERMA 2</v>
          </cell>
          <cell r="F401">
            <v>10001203</v>
          </cell>
          <cell r="G401" t="str">
            <v>Desperdicio Triturado Caliza</v>
          </cell>
          <cell r="H401">
            <v>1.1499999999999999</v>
          </cell>
          <cell r="I401">
            <v>21.41</v>
          </cell>
          <cell r="J401">
            <v>22.56</v>
          </cell>
        </row>
        <row r="402">
          <cell r="B402" t="str">
            <v>D86410000240</v>
          </cell>
          <cell r="C402" t="str">
            <v>D864</v>
          </cell>
          <cell r="D402" t="str">
            <v>D116</v>
          </cell>
          <cell r="E402" t="str">
            <v>MX-PD0527 TEPEJI</v>
          </cell>
          <cell r="F402">
            <v>10000240</v>
          </cell>
          <cell r="G402" t="str">
            <v>Grava Triturada Caliza 20 mm -</v>
          </cell>
          <cell r="H402">
            <v>96.98</v>
          </cell>
          <cell r="I402">
            <v>60.19</v>
          </cell>
          <cell r="J402">
            <v>157.17000000000002</v>
          </cell>
        </row>
        <row r="403">
          <cell r="B403" t="str">
            <v>D86410000269</v>
          </cell>
          <cell r="C403" t="str">
            <v>D864</v>
          </cell>
          <cell r="D403" t="str">
            <v>D116</v>
          </cell>
          <cell r="E403" t="str">
            <v>MX-PD0527 TEPEJI</v>
          </cell>
          <cell r="F403">
            <v>10000269</v>
          </cell>
          <cell r="G403" t="str">
            <v>Grava Triturada Caliza 13 mm -</v>
          </cell>
          <cell r="H403">
            <v>96.98</v>
          </cell>
          <cell r="I403">
            <v>70.36</v>
          </cell>
          <cell r="J403">
            <v>167.34</v>
          </cell>
        </row>
        <row r="404">
          <cell r="B404" t="str">
            <v>D86410001073</v>
          </cell>
          <cell r="C404" t="str">
            <v>D864</v>
          </cell>
          <cell r="D404" t="str">
            <v>D116</v>
          </cell>
          <cell r="E404" t="str">
            <v>MX-PD0527 TEPEJI</v>
          </cell>
          <cell r="F404">
            <v>10001073</v>
          </cell>
          <cell r="G404" t="str">
            <v>Arena Triturada Caliza Malla 4</v>
          </cell>
          <cell r="H404">
            <v>95.43</v>
          </cell>
          <cell r="I404">
            <v>-3.95</v>
          </cell>
          <cell r="J404">
            <v>91.48</v>
          </cell>
        </row>
        <row r="405">
          <cell r="B405" t="str">
            <v>D86410001074</v>
          </cell>
          <cell r="C405" t="str">
            <v>D864</v>
          </cell>
          <cell r="D405" t="str">
            <v>D116</v>
          </cell>
          <cell r="E405" t="str">
            <v>MX-PD0527 TEPEJI</v>
          </cell>
          <cell r="F405">
            <v>10001074</v>
          </cell>
          <cell r="G405" t="str">
            <v>Grava Triturada Caliza 40 mm -</v>
          </cell>
          <cell r="H405">
            <v>96.98</v>
          </cell>
          <cell r="I405">
            <v>89.66</v>
          </cell>
          <cell r="J405">
            <v>186.64</v>
          </cell>
        </row>
        <row r="406">
          <cell r="B406" t="str">
            <v>D86410000236</v>
          </cell>
          <cell r="C406" t="str">
            <v>D864</v>
          </cell>
          <cell r="D406" t="str">
            <v>D117</v>
          </cell>
          <cell r="E406" t="str">
            <v>MX-PD0481 PACHUCA</v>
          </cell>
          <cell r="F406">
            <v>10000236</v>
          </cell>
          <cell r="G406" t="str">
            <v>Grava Triturada Caliza 10 mm -</v>
          </cell>
          <cell r="H406">
            <v>96.98</v>
          </cell>
          <cell r="I406">
            <v>53.46</v>
          </cell>
          <cell r="J406">
            <v>150.44</v>
          </cell>
        </row>
        <row r="407">
          <cell r="B407" t="str">
            <v>D86410000240</v>
          </cell>
          <cell r="C407" t="str">
            <v>D864</v>
          </cell>
          <cell r="D407" t="str">
            <v>D117</v>
          </cell>
          <cell r="E407" t="str">
            <v>MX-PD0481 PACHUCA</v>
          </cell>
          <cell r="F407">
            <v>10000240</v>
          </cell>
          <cell r="G407" t="str">
            <v>Grava Triturada Caliza 20 mm -</v>
          </cell>
          <cell r="H407">
            <v>96.98</v>
          </cell>
          <cell r="I407">
            <v>60.19</v>
          </cell>
          <cell r="J407">
            <v>157.17000000000002</v>
          </cell>
        </row>
        <row r="408">
          <cell r="B408" t="str">
            <v>D86410000269</v>
          </cell>
          <cell r="C408" t="str">
            <v>D864</v>
          </cell>
          <cell r="D408" t="str">
            <v>D117</v>
          </cell>
          <cell r="E408" t="str">
            <v>MX-PD0481 PACHUCA</v>
          </cell>
          <cell r="F408">
            <v>10000269</v>
          </cell>
          <cell r="G408" t="str">
            <v>Grava Triturada Caliza 13 mm -</v>
          </cell>
          <cell r="H408">
            <v>96.98</v>
          </cell>
          <cell r="I408">
            <v>70.36</v>
          </cell>
          <cell r="J408">
            <v>167.34</v>
          </cell>
        </row>
        <row r="409">
          <cell r="B409" t="str">
            <v>D86410001073</v>
          </cell>
          <cell r="C409" t="str">
            <v>D864</v>
          </cell>
          <cell r="D409" t="str">
            <v>D117</v>
          </cell>
          <cell r="E409" t="str">
            <v>MX-PD0481 PACHUCA</v>
          </cell>
          <cell r="F409">
            <v>10001073</v>
          </cell>
          <cell r="G409" t="str">
            <v>Arena Triturada Caliza Malla 4</v>
          </cell>
          <cell r="H409">
            <v>95.43</v>
          </cell>
          <cell r="I409">
            <v>-3.95</v>
          </cell>
          <cell r="J409">
            <v>91.48</v>
          </cell>
        </row>
        <row r="410">
          <cell r="B410" t="str">
            <v>D86410001074</v>
          </cell>
          <cell r="C410" t="str">
            <v>D864</v>
          </cell>
          <cell r="D410" t="str">
            <v>D117</v>
          </cell>
          <cell r="E410" t="str">
            <v>MX-PD0481 PACHUCA</v>
          </cell>
          <cell r="F410">
            <v>10001074</v>
          </cell>
          <cell r="G410" t="str">
            <v>Grava Triturada Caliza 40 mm -</v>
          </cell>
          <cell r="H410">
            <v>96.98</v>
          </cell>
          <cell r="I410">
            <v>89.66</v>
          </cell>
          <cell r="J410">
            <v>186.64</v>
          </cell>
        </row>
        <row r="411">
          <cell r="B411" t="str">
            <v>D86410000240</v>
          </cell>
          <cell r="C411" t="str">
            <v>D864</v>
          </cell>
          <cell r="D411" t="str">
            <v>D119</v>
          </cell>
          <cell r="E411" t="str">
            <v>MX-PD-404 TOLUCA LERMAS</v>
          </cell>
          <cell r="F411">
            <v>10000240</v>
          </cell>
          <cell r="G411" t="str">
            <v>Grava Triturada Caliza 20 mm -</v>
          </cell>
          <cell r="H411">
            <v>96.98</v>
          </cell>
          <cell r="I411">
            <v>60.19</v>
          </cell>
          <cell r="J411">
            <v>157.17000000000002</v>
          </cell>
        </row>
        <row r="412">
          <cell r="B412" t="str">
            <v>D86410000269</v>
          </cell>
          <cell r="C412" t="str">
            <v>D864</v>
          </cell>
          <cell r="D412" t="str">
            <v>D119</v>
          </cell>
          <cell r="E412" t="str">
            <v>MX-PD-404 TOLUCA LERMAS</v>
          </cell>
          <cell r="F412">
            <v>10000269</v>
          </cell>
          <cell r="G412" t="str">
            <v>Grava Triturada Caliza 13 mm -</v>
          </cell>
          <cell r="H412">
            <v>96.98</v>
          </cell>
          <cell r="I412">
            <v>70.36</v>
          </cell>
          <cell r="J412">
            <v>167.34</v>
          </cell>
        </row>
        <row r="413">
          <cell r="B413" t="str">
            <v>D86410001073</v>
          </cell>
          <cell r="C413" t="str">
            <v>D864</v>
          </cell>
          <cell r="D413" t="str">
            <v>D119</v>
          </cell>
          <cell r="E413" t="str">
            <v>MX-PD-404 TOLUCA LERMAS</v>
          </cell>
          <cell r="F413">
            <v>10001073</v>
          </cell>
          <cell r="G413" t="str">
            <v>Arena Triturada Caliza Malla 4</v>
          </cell>
          <cell r="H413">
            <v>95.43</v>
          </cell>
          <cell r="I413">
            <v>-3.95</v>
          </cell>
          <cell r="J413">
            <v>91.48</v>
          </cell>
        </row>
        <row r="414">
          <cell r="B414" t="str">
            <v>D86410001074</v>
          </cell>
          <cell r="C414" t="str">
            <v>D864</v>
          </cell>
          <cell r="D414" t="str">
            <v>D119</v>
          </cell>
          <cell r="E414" t="str">
            <v>MX-PD-404 TOLUCA LERMAS</v>
          </cell>
          <cell r="F414">
            <v>10001074</v>
          </cell>
          <cell r="G414" t="str">
            <v>Grava Triturada Caliza 40 mm -</v>
          </cell>
          <cell r="H414">
            <v>96.98</v>
          </cell>
          <cell r="I414">
            <v>89.66</v>
          </cell>
          <cell r="J414">
            <v>186.64</v>
          </cell>
        </row>
        <row r="415">
          <cell r="B415" t="str">
            <v>D86410000236</v>
          </cell>
          <cell r="C415" t="str">
            <v>D864</v>
          </cell>
          <cell r="D415" t="str">
            <v>D132</v>
          </cell>
          <cell r="E415" t="str">
            <v>MX-PD0208 SAHAGUN</v>
          </cell>
          <cell r="F415">
            <v>10000236</v>
          </cell>
          <cell r="G415" t="str">
            <v>Grava Triturada Caliza 10 mm -</v>
          </cell>
          <cell r="H415">
            <v>96.98</v>
          </cell>
          <cell r="I415">
            <v>53.46</v>
          </cell>
          <cell r="J415">
            <v>150.44</v>
          </cell>
        </row>
        <row r="416">
          <cell r="B416" t="str">
            <v>D86410000240</v>
          </cell>
          <cell r="C416" t="str">
            <v>D864</v>
          </cell>
          <cell r="D416" t="str">
            <v>D132</v>
          </cell>
          <cell r="E416" t="str">
            <v>MX-PD0208 SAHAGUN</v>
          </cell>
          <cell r="F416">
            <v>10000240</v>
          </cell>
          <cell r="G416" t="str">
            <v>Grava Triturada Caliza 20 mm -</v>
          </cell>
          <cell r="H416">
            <v>96.98</v>
          </cell>
          <cell r="I416">
            <v>60.19</v>
          </cell>
          <cell r="J416">
            <v>157.17000000000002</v>
          </cell>
        </row>
        <row r="417">
          <cell r="B417" t="str">
            <v>D86410000269</v>
          </cell>
          <cell r="C417" t="str">
            <v>D864</v>
          </cell>
          <cell r="D417" t="str">
            <v>D132</v>
          </cell>
          <cell r="E417" t="str">
            <v>MX-PD0208 SAHAGUN</v>
          </cell>
          <cell r="F417">
            <v>10000269</v>
          </cell>
          <cell r="G417" t="str">
            <v>Grava Triturada Caliza 13 mm -</v>
          </cell>
          <cell r="H417">
            <v>96.98</v>
          </cell>
          <cell r="I417">
            <v>70.36</v>
          </cell>
          <cell r="J417">
            <v>167.34</v>
          </cell>
        </row>
        <row r="418">
          <cell r="B418" t="str">
            <v>D86410001073</v>
          </cell>
          <cell r="C418" t="str">
            <v>D864</v>
          </cell>
          <cell r="D418" t="str">
            <v>D132</v>
          </cell>
          <cell r="E418" t="str">
            <v>MX-PD0208 SAHAGUN</v>
          </cell>
          <cell r="F418">
            <v>10001073</v>
          </cell>
          <cell r="G418" t="str">
            <v>Arena Triturada Caliza Malla 4</v>
          </cell>
          <cell r="H418">
            <v>95.43</v>
          </cell>
          <cell r="I418">
            <v>-3.95</v>
          </cell>
          <cell r="J418">
            <v>91.48</v>
          </cell>
        </row>
        <row r="419">
          <cell r="B419" t="str">
            <v>D86410001074</v>
          </cell>
          <cell r="C419" t="str">
            <v>D864</v>
          </cell>
          <cell r="D419" t="str">
            <v>D132</v>
          </cell>
          <cell r="E419" t="str">
            <v>MX-PD0208 SAHAGUN</v>
          </cell>
          <cell r="F419">
            <v>10001074</v>
          </cell>
          <cell r="G419" t="str">
            <v>Grava Triturada Caliza 40 mm -</v>
          </cell>
          <cell r="H419">
            <v>96.98</v>
          </cell>
          <cell r="I419">
            <v>89.66</v>
          </cell>
          <cell r="J419">
            <v>186.64</v>
          </cell>
        </row>
        <row r="420">
          <cell r="B420" t="str">
            <v>D86410001203</v>
          </cell>
          <cell r="C420" t="str">
            <v>D864</v>
          </cell>
          <cell r="D420" t="str">
            <v>D132</v>
          </cell>
          <cell r="E420" t="str">
            <v>MX-PD0208 SAHAGUN</v>
          </cell>
          <cell r="F420">
            <v>10001203</v>
          </cell>
          <cell r="G420" t="str">
            <v>Desperdicio Triturado Caliza</v>
          </cell>
          <cell r="H420">
            <v>1.1499999999999999</v>
          </cell>
          <cell r="I420">
            <v>21.41</v>
          </cell>
          <cell r="J420">
            <v>22.56</v>
          </cell>
        </row>
        <row r="421">
          <cell r="B421" t="str">
            <v>D86410000240</v>
          </cell>
          <cell r="C421" t="str">
            <v>D864</v>
          </cell>
          <cell r="D421" t="str">
            <v>D134</v>
          </cell>
          <cell r="E421" t="str">
            <v>MX-PD0255 CASAS ARA 2</v>
          </cell>
          <cell r="F421">
            <v>10000240</v>
          </cell>
          <cell r="G421" t="str">
            <v>Grava Triturada Caliza 20 mm -</v>
          </cell>
          <cell r="H421">
            <v>96.98</v>
          </cell>
          <cell r="I421">
            <v>60.19</v>
          </cell>
          <cell r="J421">
            <v>157.17000000000002</v>
          </cell>
        </row>
        <row r="422">
          <cell r="B422" t="str">
            <v>D86410000236</v>
          </cell>
          <cell r="C422" t="str">
            <v>D864</v>
          </cell>
          <cell r="D422" t="str">
            <v>D136</v>
          </cell>
          <cell r="E422" t="str">
            <v>MX-PD0237 LA ESTRELLA</v>
          </cell>
          <cell r="F422">
            <v>10000236</v>
          </cell>
          <cell r="G422" t="str">
            <v>Grava Triturada Caliza 10 mm -</v>
          </cell>
          <cell r="H422">
            <v>96.98</v>
          </cell>
          <cell r="I422">
            <v>53.46</v>
          </cell>
          <cell r="J422">
            <v>150.44</v>
          </cell>
        </row>
        <row r="423">
          <cell r="B423" t="str">
            <v>D86410000240</v>
          </cell>
          <cell r="C423" t="str">
            <v>D864</v>
          </cell>
          <cell r="D423" t="str">
            <v>D136</v>
          </cell>
          <cell r="E423" t="str">
            <v>MX-PD0237 LA ESTRELLA</v>
          </cell>
          <cell r="F423">
            <v>10000240</v>
          </cell>
          <cell r="G423" t="str">
            <v>Grava Triturada Caliza 20 mm -</v>
          </cell>
          <cell r="H423">
            <v>96.98</v>
          </cell>
          <cell r="I423">
            <v>60.19</v>
          </cell>
          <cell r="J423">
            <v>157.17000000000002</v>
          </cell>
        </row>
        <row r="424">
          <cell r="B424" t="str">
            <v>D86410000269</v>
          </cell>
          <cell r="C424" t="str">
            <v>D864</v>
          </cell>
          <cell r="D424" t="str">
            <v>D136</v>
          </cell>
          <cell r="E424" t="str">
            <v>MX-PD0237 LA ESTRELLA</v>
          </cell>
          <cell r="F424">
            <v>10000269</v>
          </cell>
          <cell r="G424" t="str">
            <v>Grava Triturada Caliza 13 mm -</v>
          </cell>
          <cell r="H424">
            <v>96.98</v>
          </cell>
          <cell r="I424">
            <v>70.36</v>
          </cell>
          <cell r="J424">
            <v>167.34</v>
          </cell>
        </row>
        <row r="425">
          <cell r="B425" t="str">
            <v>D86410001073</v>
          </cell>
          <cell r="C425" t="str">
            <v>D864</v>
          </cell>
          <cell r="D425" t="str">
            <v>D136</v>
          </cell>
          <cell r="E425" t="str">
            <v>MX-PD0237 LA ESTRELLA</v>
          </cell>
          <cell r="F425">
            <v>10001073</v>
          </cell>
          <cell r="G425" t="str">
            <v>Arena Triturada Caliza Malla 4</v>
          </cell>
          <cell r="H425">
            <v>95.43</v>
          </cell>
          <cell r="I425">
            <v>-3.95</v>
          </cell>
          <cell r="J425">
            <v>91.48</v>
          </cell>
        </row>
        <row r="426">
          <cell r="B426" t="str">
            <v>D86410001074</v>
          </cell>
          <cell r="C426" t="str">
            <v>D864</v>
          </cell>
          <cell r="D426" t="str">
            <v>D136</v>
          </cell>
          <cell r="E426" t="str">
            <v>MX-PD0237 LA ESTRELLA</v>
          </cell>
          <cell r="F426">
            <v>10001074</v>
          </cell>
          <cell r="G426" t="str">
            <v>Grava Triturada Caliza 40 mm -</v>
          </cell>
          <cell r="H426">
            <v>96.98</v>
          </cell>
          <cell r="I426">
            <v>89.66</v>
          </cell>
          <cell r="J426">
            <v>186.64</v>
          </cell>
        </row>
        <row r="427">
          <cell r="B427" t="str">
            <v>D86410001203</v>
          </cell>
          <cell r="C427" t="str">
            <v>D864</v>
          </cell>
          <cell r="D427" t="str">
            <v>D136</v>
          </cell>
          <cell r="E427" t="str">
            <v>MX-PD0237 LA ESTRELLA</v>
          </cell>
          <cell r="F427">
            <v>10001203</v>
          </cell>
          <cell r="G427" t="str">
            <v>Desperdicio Triturado Caliza</v>
          </cell>
          <cell r="H427">
            <v>1.1499999999999999</v>
          </cell>
          <cell r="I427">
            <v>21.41</v>
          </cell>
          <cell r="J427">
            <v>22.56</v>
          </cell>
        </row>
        <row r="428">
          <cell r="B428" t="str">
            <v>D86410000236</v>
          </cell>
          <cell r="C428" t="str">
            <v>D864</v>
          </cell>
          <cell r="D428" t="str">
            <v>D137</v>
          </cell>
          <cell r="E428" t="str">
            <v>MX-PD0215 TUXPAN 2</v>
          </cell>
          <cell r="F428">
            <v>10000236</v>
          </cell>
          <cell r="G428" t="str">
            <v>Grava Triturada Caliza 10 mm -</v>
          </cell>
          <cell r="H428">
            <v>96.98</v>
          </cell>
          <cell r="I428">
            <v>53.46</v>
          </cell>
          <cell r="J428">
            <v>150.44</v>
          </cell>
        </row>
        <row r="429">
          <cell r="B429" t="str">
            <v>D86410000240</v>
          </cell>
          <cell r="C429" t="str">
            <v>D864</v>
          </cell>
          <cell r="D429" t="str">
            <v>D137</v>
          </cell>
          <cell r="E429" t="str">
            <v>MX-PD0215 TUXPAN 2</v>
          </cell>
          <cell r="F429">
            <v>10000240</v>
          </cell>
          <cell r="G429" t="str">
            <v>Grava Triturada Caliza 20 mm -</v>
          </cell>
          <cell r="H429">
            <v>96.98</v>
          </cell>
          <cell r="I429">
            <v>60.19</v>
          </cell>
          <cell r="J429">
            <v>157.17000000000002</v>
          </cell>
        </row>
        <row r="430">
          <cell r="B430" t="str">
            <v>D86410000269</v>
          </cell>
          <cell r="C430" t="str">
            <v>D864</v>
          </cell>
          <cell r="D430" t="str">
            <v>D137</v>
          </cell>
          <cell r="E430" t="str">
            <v>MX-PD0215 TUXPAN 2</v>
          </cell>
          <cell r="F430">
            <v>10000269</v>
          </cell>
          <cell r="G430" t="str">
            <v>Grava Triturada Caliza 13 mm -</v>
          </cell>
          <cell r="H430">
            <v>96.98</v>
          </cell>
          <cell r="I430">
            <v>70.36</v>
          </cell>
          <cell r="J430">
            <v>167.34</v>
          </cell>
        </row>
        <row r="431">
          <cell r="B431" t="str">
            <v>D86410001073</v>
          </cell>
          <cell r="C431" t="str">
            <v>D864</v>
          </cell>
          <cell r="D431" t="str">
            <v>D137</v>
          </cell>
          <cell r="E431" t="str">
            <v>MX-PD0215 TUXPAN 2</v>
          </cell>
          <cell r="F431">
            <v>10001073</v>
          </cell>
          <cell r="G431" t="str">
            <v>Arena Triturada Caliza Malla 4</v>
          </cell>
          <cell r="H431">
            <v>95.43</v>
          </cell>
          <cell r="I431">
            <v>-3.95</v>
          </cell>
          <cell r="J431">
            <v>91.48</v>
          </cell>
        </row>
        <row r="432">
          <cell r="B432" t="str">
            <v>D86410001074</v>
          </cell>
          <cell r="C432" t="str">
            <v>D864</v>
          </cell>
          <cell r="D432" t="str">
            <v>D137</v>
          </cell>
          <cell r="E432" t="str">
            <v>MX-PD0215 TUXPAN 2</v>
          </cell>
          <cell r="F432">
            <v>10001074</v>
          </cell>
          <cell r="G432" t="str">
            <v>Grava Triturada Caliza 40 mm -</v>
          </cell>
          <cell r="H432">
            <v>96.98</v>
          </cell>
          <cell r="I432">
            <v>89.66</v>
          </cell>
          <cell r="J432">
            <v>186.64</v>
          </cell>
        </row>
        <row r="433">
          <cell r="B433" t="str">
            <v>D86410001203</v>
          </cell>
          <cell r="C433" t="str">
            <v>D864</v>
          </cell>
          <cell r="D433" t="str">
            <v>D137</v>
          </cell>
          <cell r="E433" t="str">
            <v>MX-PD0215 TUXPAN 2</v>
          </cell>
          <cell r="F433">
            <v>10001203</v>
          </cell>
          <cell r="G433" t="str">
            <v>Desperdicio Triturado Caliza</v>
          </cell>
          <cell r="H433">
            <v>1.1499999999999999</v>
          </cell>
          <cell r="I433">
            <v>21.41</v>
          </cell>
          <cell r="J433">
            <v>22.56</v>
          </cell>
        </row>
        <row r="434">
          <cell r="B434" t="str">
            <v>D86410000240</v>
          </cell>
          <cell r="C434" t="str">
            <v>D864</v>
          </cell>
          <cell r="D434" t="str">
            <v>D140</v>
          </cell>
          <cell r="E434" t="str">
            <v>MX-PD0283 LA ESTANCIA</v>
          </cell>
          <cell r="F434">
            <v>10000240</v>
          </cell>
          <cell r="G434" t="str">
            <v>Grava Triturada Caliza 20 mm -</v>
          </cell>
          <cell r="H434">
            <v>96.98</v>
          </cell>
          <cell r="I434">
            <v>60.19</v>
          </cell>
          <cell r="J434">
            <v>157.17000000000002</v>
          </cell>
        </row>
        <row r="435">
          <cell r="B435" t="str">
            <v>D86410000269</v>
          </cell>
          <cell r="C435" t="str">
            <v>D864</v>
          </cell>
          <cell r="D435" t="str">
            <v>D140</v>
          </cell>
          <cell r="E435" t="str">
            <v>MX-PD0283 LA ESTANCIA</v>
          </cell>
          <cell r="F435">
            <v>10000269</v>
          </cell>
          <cell r="G435" t="str">
            <v>Grava Triturada Caliza 13 mm -</v>
          </cell>
          <cell r="H435">
            <v>96.98</v>
          </cell>
          <cell r="I435">
            <v>70.36</v>
          </cell>
          <cell r="J435">
            <v>167.34</v>
          </cell>
        </row>
        <row r="436">
          <cell r="B436" t="str">
            <v>D86410001073</v>
          </cell>
          <cell r="C436" t="str">
            <v>D864</v>
          </cell>
          <cell r="D436" t="str">
            <v>D140</v>
          </cell>
          <cell r="E436" t="str">
            <v>MX-PD0283 LA ESTANCIA</v>
          </cell>
          <cell r="F436">
            <v>10001073</v>
          </cell>
          <cell r="G436" t="str">
            <v>Arena Triturada Caliza Malla 4</v>
          </cell>
          <cell r="H436">
            <v>95.43</v>
          </cell>
          <cell r="I436">
            <v>-3.95</v>
          </cell>
          <cell r="J436">
            <v>91.48</v>
          </cell>
        </row>
        <row r="437">
          <cell r="B437" t="str">
            <v>D86410001074</v>
          </cell>
          <cell r="C437" t="str">
            <v>D864</v>
          </cell>
          <cell r="D437" t="str">
            <v>D140</v>
          </cell>
          <cell r="E437" t="str">
            <v>MX-PD0283 LA ESTANCIA</v>
          </cell>
          <cell r="F437">
            <v>10001074</v>
          </cell>
          <cell r="G437" t="str">
            <v>Grava Triturada Caliza 40 mm -</v>
          </cell>
          <cell r="H437">
            <v>96.98</v>
          </cell>
          <cell r="I437">
            <v>89.66</v>
          </cell>
          <cell r="J437">
            <v>186.64</v>
          </cell>
        </row>
        <row r="438">
          <cell r="B438" t="str">
            <v>D86410001203</v>
          </cell>
          <cell r="C438" t="str">
            <v>D864</v>
          </cell>
          <cell r="D438" t="str">
            <v>D140</v>
          </cell>
          <cell r="E438" t="str">
            <v>MX-PD0283 LA ESTANCIA</v>
          </cell>
          <cell r="F438">
            <v>10001203</v>
          </cell>
          <cell r="G438" t="str">
            <v>Desperdicio Triturado Caliza</v>
          </cell>
          <cell r="H438">
            <v>1.1499999999999999</v>
          </cell>
          <cell r="I438">
            <v>21.41</v>
          </cell>
          <cell r="J438">
            <v>22.56</v>
          </cell>
        </row>
        <row r="439">
          <cell r="B439" t="str">
            <v>D8640</v>
          </cell>
          <cell r="C439" t="str">
            <v>D864</v>
          </cell>
          <cell r="D439" t="str">
            <v>D145</v>
          </cell>
          <cell r="E439" t="str">
            <v>MX-PD-458 ECATEPEC II</v>
          </cell>
          <cell r="F439">
            <v>0</v>
          </cell>
          <cell r="G439">
            <v>0</v>
          </cell>
          <cell r="H439">
            <v>0</v>
          </cell>
          <cell r="I439" t="e">
            <v>#N/A</v>
          </cell>
          <cell r="J439" t="e">
            <v>#N/A</v>
          </cell>
        </row>
        <row r="440">
          <cell r="B440" t="str">
            <v>D86410000236</v>
          </cell>
          <cell r="C440" t="str">
            <v>D864</v>
          </cell>
          <cell r="D440" t="str">
            <v>D145</v>
          </cell>
          <cell r="E440" t="str">
            <v>MX-PD-458 ECATEPEC II</v>
          </cell>
          <cell r="F440">
            <v>10000236</v>
          </cell>
          <cell r="G440" t="str">
            <v>Grava Triturada Caliza 10 mm -</v>
          </cell>
          <cell r="H440">
            <v>96.98</v>
          </cell>
          <cell r="I440">
            <v>53.46</v>
          </cell>
          <cell r="J440">
            <v>150.44</v>
          </cell>
        </row>
        <row r="441">
          <cell r="B441" t="str">
            <v>D86410000240</v>
          </cell>
          <cell r="C441" t="str">
            <v>D864</v>
          </cell>
          <cell r="D441" t="str">
            <v>D145</v>
          </cell>
          <cell r="E441" t="str">
            <v>MX-PD-458 ECATEPEC II</v>
          </cell>
          <cell r="F441">
            <v>10000240</v>
          </cell>
          <cell r="G441" t="str">
            <v>Grava Triturada Caliza 20 mm -</v>
          </cell>
          <cell r="H441">
            <v>96.98</v>
          </cell>
          <cell r="I441">
            <v>60.19</v>
          </cell>
          <cell r="J441">
            <v>157.17000000000002</v>
          </cell>
        </row>
        <row r="442">
          <cell r="B442" t="str">
            <v>D86410000269</v>
          </cell>
          <cell r="C442" t="str">
            <v>D864</v>
          </cell>
          <cell r="D442" t="str">
            <v>D145</v>
          </cell>
          <cell r="E442" t="str">
            <v>MX-PD-458 ECATEPEC II</v>
          </cell>
          <cell r="F442">
            <v>10000269</v>
          </cell>
          <cell r="G442" t="str">
            <v>Grava Triturada Caliza 13 mm -</v>
          </cell>
          <cell r="H442">
            <v>96.98</v>
          </cell>
          <cell r="I442">
            <v>70.36</v>
          </cell>
          <cell r="J442">
            <v>167.34</v>
          </cell>
        </row>
        <row r="443">
          <cell r="B443" t="str">
            <v>D86410000301</v>
          </cell>
          <cell r="C443" t="str">
            <v>D864</v>
          </cell>
          <cell r="D443" t="str">
            <v>D145</v>
          </cell>
          <cell r="E443" t="str">
            <v>MX-PD-458 ECATEPEC II</v>
          </cell>
          <cell r="F443">
            <v>10000301</v>
          </cell>
          <cell r="G443" t="str">
            <v>BALASTO DE 3 PULGADAS A FINOS</v>
          </cell>
          <cell r="H443">
            <v>54.06</v>
          </cell>
          <cell r="I443">
            <v>48.73</v>
          </cell>
          <cell r="J443">
            <v>102.78999999999999</v>
          </cell>
        </row>
        <row r="444">
          <cell r="B444" t="str">
            <v>D86410001073</v>
          </cell>
          <cell r="C444" t="str">
            <v>D864</v>
          </cell>
          <cell r="D444" t="str">
            <v>D145</v>
          </cell>
          <cell r="E444" t="str">
            <v>MX-PD-458 ECATEPEC II</v>
          </cell>
          <cell r="F444">
            <v>10001073</v>
          </cell>
          <cell r="G444" t="str">
            <v>Arena Triturada Caliza Malla 4</v>
          </cell>
          <cell r="H444">
            <v>95.43</v>
          </cell>
          <cell r="I444">
            <v>-3.95</v>
          </cell>
          <cell r="J444">
            <v>91.48</v>
          </cell>
        </row>
        <row r="445">
          <cell r="B445" t="str">
            <v>D86410001074</v>
          </cell>
          <cell r="C445" t="str">
            <v>D864</v>
          </cell>
          <cell r="D445" t="str">
            <v>D145</v>
          </cell>
          <cell r="E445" t="str">
            <v>MX-PD-458 ECATEPEC II</v>
          </cell>
          <cell r="F445">
            <v>10001074</v>
          </cell>
          <cell r="G445" t="str">
            <v>Grava Triturada Caliza 40 mm -</v>
          </cell>
          <cell r="H445">
            <v>96.98</v>
          </cell>
          <cell r="I445">
            <v>89.66</v>
          </cell>
          <cell r="J445">
            <v>186.64</v>
          </cell>
        </row>
        <row r="446">
          <cell r="B446" t="str">
            <v>D86410001203</v>
          </cell>
          <cell r="C446" t="str">
            <v>D864</v>
          </cell>
          <cell r="D446" t="str">
            <v>D145</v>
          </cell>
          <cell r="E446" t="str">
            <v>MX-PD-458 ECATEPEC II</v>
          </cell>
          <cell r="F446">
            <v>10001203</v>
          </cell>
          <cell r="G446" t="str">
            <v>Desperdicio Triturado Caliza</v>
          </cell>
          <cell r="H446">
            <v>1.1499999999999999</v>
          </cell>
          <cell r="I446">
            <v>7.33</v>
          </cell>
          <cell r="J446">
            <v>8.48</v>
          </cell>
        </row>
        <row r="447">
          <cell r="B447" t="str">
            <v>D86410070027</v>
          </cell>
          <cell r="C447" t="str">
            <v>D864</v>
          </cell>
          <cell r="D447" t="str">
            <v>D145</v>
          </cell>
          <cell r="E447" t="str">
            <v>MX-PD-458 ECATEPEC II</v>
          </cell>
          <cell r="F447">
            <v>10070027</v>
          </cell>
          <cell r="G447" t="str">
            <v>BALASTO TRITURADO CALIZA 6"</v>
          </cell>
          <cell r="H447">
            <v>54.06</v>
          </cell>
          <cell r="I447">
            <v>17.2</v>
          </cell>
          <cell r="J447">
            <v>71.260000000000005</v>
          </cell>
        </row>
        <row r="448">
          <cell r="B448" t="str">
            <v>D86410000236</v>
          </cell>
          <cell r="C448" t="str">
            <v>D864</v>
          </cell>
          <cell r="D448" t="str">
            <v>D681</v>
          </cell>
          <cell r="E448" t="str">
            <v>MX-PD0639 TULTEPEC</v>
          </cell>
          <cell r="F448">
            <v>10000236</v>
          </cell>
          <cell r="G448" t="str">
            <v>Grava Triturada Caliza 10 mm -</v>
          </cell>
          <cell r="H448">
            <v>96.98</v>
          </cell>
          <cell r="I448">
            <v>53.46</v>
          </cell>
          <cell r="J448">
            <v>150.44</v>
          </cell>
        </row>
        <row r="449">
          <cell r="B449" t="str">
            <v>D86410000240</v>
          </cell>
          <cell r="C449" t="str">
            <v>D864</v>
          </cell>
          <cell r="D449" t="str">
            <v>D681</v>
          </cell>
          <cell r="E449" t="str">
            <v>MX-PD0639 TULTEPEC</v>
          </cell>
          <cell r="F449">
            <v>10000240</v>
          </cell>
          <cell r="G449" t="str">
            <v>Grava Triturada Caliza 20 mm -</v>
          </cell>
          <cell r="H449">
            <v>96.98</v>
          </cell>
          <cell r="I449">
            <v>60.19</v>
          </cell>
          <cell r="J449">
            <v>157.17000000000002</v>
          </cell>
        </row>
        <row r="450">
          <cell r="B450" t="str">
            <v>D86410000269</v>
          </cell>
          <cell r="C450" t="str">
            <v>D864</v>
          </cell>
          <cell r="D450" t="str">
            <v>D681</v>
          </cell>
          <cell r="E450" t="str">
            <v>MX-PD0639 TULTEPEC</v>
          </cell>
          <cell r="F450">
            <v>10000269</v>
          </cell>
          <cell r="G450" t="str">
            <v>Grava Triturada Caliza 13 mm -</v>
          </cell>
          <cell r="H450">
            <v>96.98</v>
          </cell>
          <cell r="I450">
            <v>70.36</v>
          </cell>
          <cell r="J450">
            <v>167.34</v>
          </cell>
        </row>
        <row r="451">
          <cell r="B451" t="str">
            <v>D86410001073</v>
          </cell>
          <cell r="C451" t="str">
            <v>D864</v>
          </cell>
          <cell r="D451" t="str">
            <v>D681</v>
          </cell>
          <cell r="E451" t="str">
            <v>MX-PD0639 TULTEPEC</v>
          </cell>
          <cell r="F451">
            <v>10001073</v>
          </cell>
          <cell r="G451" t="str">
            <v>Arena Triturada Caliza Malla 4</v>
          </cell>
          <cell r="H451">
            <v>95.43</v>
          </cell>
          <cell r="I451">
            <v>-3.95</v>
          </cell>
          <cell r="J451">
            <v>91.48</v>
          </cell>
        </row>
        <row r="452">
          <cell r="B452" t="str">
            <v>D86410001074</v>
          </cell>
          <cell r="C452" t="str">
            <v>D864</v>
          </cell>
          <cell r="D452" t="str">
            <v>D681</v>
          </cell>
          <cell r="E452" t="str">
            <v>MX-PD0639 TULTEPEC</v>
          </cell>
          <cell r="F452">
            <v>10001074</v>
          </cell>
          <cell r="G452" t="str">
            <v>Grava Triturada Caliza 40 mm -</v>
          </cell>
          <cell r="H452">
            <v>96.98</v>
          </cell>
          <cell r="I452">
            <v>89.66</v>
          </cell>
          <cell r="J452">
            <v>186.64</v>
          </cell>
        </row>
        <row r="453">
          <cell r="B453" t="str">
            <v>D86410172785</v>
          </cell>
          <cell r="C453" t="str">
            <v>D864</v>
          </cell>
          <cell r="D453" t="str">
            <v>ENAN</v>
          </cell>
          <cell r="E453" t="str">
            <v>MX-Hospital General de Zona -</v>
          </cell>
          <cell r="F453">
            <v>10172785</v>
          </cell>
          <cell r="G453" t="str">
            <v>BASE HIDRÁULICA 60%FINOS-40%GR</v>
          </cell>
          <cell r="H453">
            <v>100</v>
          </cell>
          <cell r="I453" t="e">
            <v>#N/A</v>
          </cell>
          <cell r="J453" t="e">
            <v>#N/A</v>
          </cell>
        </row>
        <row r="454">
          <cell r="B454" t="str">
            <v>D86410173784</v>
          </cell>
          <cell r="C454" t="str">
            <v>D864</v>
          </cell>
          <cell r="D454" t="str">
            <v>ENAN</v>
          </cell>
          <cell r="E454" t="str">
            <v>MX-Hospital General de Zona -</v>
          </cell>
          <cell r="F454">
            <v>10173784</v>
          </cell>
          <cell r="G454" t="str">
            <v>BASE HIDRÁULICA 80%FINOS-20%GR</v>
          </cell>
          <cell r="H454">
            <v>100</v>
          </cell>
          <cell r="I454" t="e">
            <v>#N/A</v>
          </cell>
          <cell r="J454" t="e">
            <v>#N/A</v>
          </cell>
        </row>
        <row r="455">
          <cell r="B455" t="str">
            <v>D87310000236</v>
          </cell>
          <cell r="C455" t="str">
            <v>D873</v>
          </cell>
          <cell r="D455" t="str">
            <v>D074</v>
          </cell>
          <cell r="E455" t="str">
            <v>MX-PD-063 CENTRAL</v>
          </cell>
          <cell r="F455">
            <v>10000236</v>
          </cell>
          <cell r="G455" t="str">
            <v>Grava Triturada Caliza 10 mm -</v>
          </cell>
          <cell r="H455">
            <v>111.87</v>
          </cell>
          <cell r="I455">
            <v>173.59</v>
          </cell>
          <cell r="J455">
            <v>285.46000000000004</v>
          </cell>
        </row>
        <row r="456">
          <cell r="B456" t="str">
            <v>D87310000240</v>
          </cell>
          <cell r="C456" t="str">
            <v>D873</v>
          </cell>
          <cell r="D456" t="str">
            <v>D074</v>
          </cell>
          <cell r="E456" t="str">
            <v>MX-PD-063 CENTRAL</v>
          </cell>
          <cell r="F456">
            <v>10000240</v>
          </cell>
          <cell r="G456" t="str">
            <v>Grava Triturada Caliza 20 mm -</v>
          </cell>
          <cell r="H456">
            <v>111.87</v>
          </cell>
          <cell r="I456">
            <v>177.8</v>
          </cell>
          <cell r="J456">
            <v>289.67</v>
          </cell>
        </row>
        <row r="457">
          <cell r="B457" t="str">
            <v>D87310001073</v>
          </cell>
          <cell r="C457" t="str">
            <v>D873</v>
          </cell>
          <cell r="D457" t="str">
            <v>D074</v>
          </cell>
          <cell r="E457" t="str">
            <v>MX-PD-063 CENTRAL</v>
          </cell>
          <cell r="F457">
            <v>10001073</v>
          </cell>
          <cell r="G457" t="str">
            <v>Arena Triturada Caliza Malla 4</v>
          </cell>
          <cell r="H457">
            <v>121.1</v>
          </cell>
          <cell r="I457">
            <v>79.78</v>
          </cell>
          <cell r="J457">
            <v>200.88</v>
          </cell>
        </row>
        <row r="458">
          <cell r="B458" t="str">
            <v>D87310000236</v>
          </cell>
          <cell r="C458" t="str">
            <v>D873</v>
          </cell>
          <cell r="D458" t="str">
            <v>D075</v>
          </cell>
          <cell r="E458" t="str">
            <v>MX-PD-065 CEYLAN</v>
          </cell>
          <cell r="F458">
            <v>10000236</v>
          </cell>
          <cell r="G458" t="str">
            <v>Grava Triturada Caliza 10 mm -</v>
          </cell>
          <cell r="H458">
            <v>111.87</v>
          </cell>
          <cell r="I458">
            <v>173.59</v>
          </cell>
          <cell r="J458">
            <v>285.46000000000004</v>
          </cell>
        </row>
        <row r="459">
          <cell r="B459" t="str">
            <v>D87310000240</v>
          </cell>
          <cell r="C459" t="str">
            <v>D873</v>
          </cell>
          <cell r="D459" t="str">
            <v>D075</v>
          </cell>
          <cell r="E459" t="str">
            <v>MX-PD-065 CEYLAN</v>
          </cell>
          <cell r="F459">
            <v>10000240</v>
          </cell>
          <cell r="G459" t="str">
            <v>Grava Triturada Caliza 20 mm -</v>
          </cell>
          <cell r="H459">
            <v>111.87</v>
          </cell>
          <cell r="I459">
            <v>177.8</v>
          </cell>
          <cell r="J459">
            <v>289.67</v>
          </cell>
        </row>
        <row r="460">
          <cell r="B460" t="str">
            <v>D87310001073</v>
          </cell>
          <cell r="C460" t="str">
            <v>D873</v>
          </cell>
          <cell r="D460" t="str">
            <v>D075</v>
          </cell>
          <cell r="E460" t="str">
            <v>MX-PD-065 CEYLAN</v>
          </cell>
          <cell r="F460">
            <v>10001073</v>
          </cell>
          <cell r="G460" t="str">
            <v>Arena Triturada Caliza Malla 4</v>
          </cell>
          <cell r="H460">
            <v>121.1</v>
          </cell>
          <cell r="I460">
            <v>79.78</v>
          </cell>
          <cell r="J460">
            <v>200.88</v>
          </cell>
        </row>
        <row r="461">
          <cell r="B461" t="str">
            <v>D87310000236</v>
          </cell>
          <cell r="C461" t="str">
            <v>D873</v>
          </cell>
          <cell r="D461" t="str">
            <v>D077</v>
          </cell>
          <cell r="E461" t="str">
            <v>MX-PD-067 LOS REYES</v>
          </cell>
          <cell r="F461">
            <v>10000236</v>
          </cell>
          <cell r="G461" t="str">
            <v>Grava Triturada Caliza 10 mm -</v>
          </cell>
          <cell r="H461">
            <v>111.87</v>
          </cell>
          <cell r="I461">
            <v>173.59</v>
          </cell>
          <cell r="J461">
            <v>285.46000000000004</v>
          </cell>
        </row>
        <row r="462">
          <cell r="B462" t="str">
            <v>D87310000240</v>
          </cell>
          <cell r="C462" t="str">
            <v>D873</v>
          </cell>
          <cell r="D462" t="str">
            <v>D077</v>
          </cell>
          <cell r="E462" t="str">
            <v>MX-PD-067 LOS REYES</v>
          </cell>
          <cell r="F462">
            <v>10000240</v>
          </cell>
          <cell r="G462" t="str">
            <v>Grava Triturada Caliza 20 mm -</v>
          </cell>
          <cell r="H462">
            <v>111.87</v>
          </cell>
          <cell r="I462">
            <v>177.8</v>
          </cell>
          <cell r="J462">
            <v>289.67</v>
          </cell>
        </row>
        <row r="463">
          <cell r="B463" t="str">
            <v>D87310001073</v>
          </cell>
          <cell r="C463" t="str">
            <v>D873</v>
          </cell>
          <cell r="D463" t="str">
            <v>D077</v>
          </cell>
          <cell r="E463" t="str">
            <v>MX-PD-067 LOS REYES</v>
          </cell>
          <cell r="F463">
            <v>10001073</v>
          </cell>
          <cell r="G463" t="str">
            <v>Arena Triturada Caliza Malla 4</v>
          </cell>
          <cell r="H463">
            <v>121.1</v>
          </cell>
          <cell r="I463">
            <v>79.78</v>
          </cell>
          <cell r="J463">
            <v>200.88</v>
          </cell>
        </row>
        <row r="464">
          <cell r="B464" t="str">
            <v>D87310000236</v>
          </cell>
          <cell r="C464" t="str">
            <v>D873</v>
          </cell>
          <cell r="D464" t="str">
            <v>D079</v>
          </cell>
          <cell r="E464" t="str">
            <v>MX-PD-071 XOCHIMILCO</v>
          </cell>
          <cell r="F464">
            <v>10000236</v>
          </cell>
          <cell r="G464" t="str">
            <v>Grava Triturada Caliza 10 mm -</v>
          </cell>
          <cell r="H464">
            <v>111.87</v>
          </cell>
          <cell r="I464">
            <v>173.59</v>
          </cell>
          <cell r="J464">
            <v>285.46000000000004</v>
          </cell>
        </row>
        <row r="465">
          <cell r="B465" t="str">
            <v>D87310000240</v>
          </cell>
          <cell r="C465" t="str">
            <v>D873</v>
          </cell>
          <cell r="D465" t="str">
            <v>D079</v>
          </cell>
          <cell r="E465" t="str">
            <v>MX-PD-071 XOCHIMILCO</v>
          </cell>
          <cell r="F465">
            <v>10000240</v>
          </cell>
          <cell r="G465" t="str">
            <v>Grava Triturada Caliza 20 mm -</v>
          </cell>
          <cell r="H465">
            <v>111.87</v>
          </cell>
          <cell r="I465">
            <v>177.8</v>
          </cell>
          <cell r="J465">
            <v>289.67</v>
          </cell>
        </row>
        <row r="466">
          <cell r="B466" t="str">
            <v>D87310001073</v>
          </cell>
          <cell r="C466" t="str">
            <v>D873</v>
          </cell>
          <cell r="D466" t="str">
            <v>D079</v>
          </cell>
          <cell r="E466" t="str">
            <v>MX-PD-071 XOCHIMILCO</v>
          </cell>
          <cell r="F466">
            <v>10001073</v>
          </cell>
          <cell r="G466" t="str">
            <v>Arena Triturada Caliza Malla 4</v>
          </cell>
          <cell r="H466">
            <v>121.1</v>
          </cell>
          <cell r="I466">
            <v>79.78</v>
          </cell>
          <cell r="J466">
            <v>200.88</v>
          </cell>
        </row>
        <row r="467">
          <cell r="B467" t="str">
            <v>D87310000236</v>
          </cell>
          <cell r="C467" t="str">
            <v>D873</v>
          </cell>
          <cell r="D467" t="str">
            <v>D080</v>
          </cell>
          <cell r="E467" t="str">
            <v>MX-PD-086 VALLEJO</v>
          </cell>
          <cell r="F467">
            <v>10000236</v>
          </cell>
          <cell r="G467" t="str">
            <v>Grava Triturada Caliza 10 mm -</v>
          </cell>
          <cell r="H467">
            <v>111.87</v>
          </cell>
          <cell r="I467">
            <v>173.59</v>
          </cell>
          <cell r="J467">
            <v>285.46000000000004</v>
          </cell>
        </row>
        <row r="468">
          <cell r="B468" t="str">
            <v>D87310000240</v>
          </cell>
          <cell r="C468" t="str">
            <v>D873</v>
          </cell>
          <cell r="D468" t="str">
            <v>D080</v>
          </cell>
          <cell r="E468" t="str">
            <v>MX-PD-086 VALLEJO</v>
          </cell>
          <cell r="F468">
            <v>10000240</v>
          </cell>
          <cell r="G468" t="str">
            <v>Grava Triturada Caliza 20 mm -</v>
          </cell>
          <cell r="H468">
            <v>111.87</v>
          </cell>
          <cell r="I468">
            <v>177.8</v>
          </cell>
          <cell r="J468">
            <v>289.67</v>
          </cell>
        </row>
        <row r="469">
          <cell r="B469" t="str">
            <v>D87310001073</v>
          </cell>
          <cell r="C469" t="str">
            <v>D873</v>
          </cell>
          <cell r="D469" t="str">
            <v>D080</v>
          </cell>
          <cell r="E469" t="str">
            <v>MX-PD-086 VALLEJO</v>
          </cell>
          <cell r="F469">
            <v>10001073</v>
          </cell>
          <cell r="G469" t="str">
            <v>Arena Triturada Caliza Malla 4</v>
          </cell>
          <cell r="H469">
            <v>121.1</v>
          </cell>
          <cell r="I469">
            <v>79.78</v>
          </cell>
          <cell r="J469">
            <v>200.88</v>
          </cell>
        </row>
        <row r="470">
          <cell r="B470" t="str">
            <v>D87310000236</v>
          </cell>
          <cell r="C470" t="str">
            <v>D873</v>
          </cell>
          <cell r="D470" t="str">
            <v>D081</v>
          </cell>
          <cell r="E470" t="str">
            <v>MX-PD-088 ARMAS</v>
          </cell>
          <cell r="F470">
            <v>10000236</v>
          </cell>
          <cell r="G470" t="str">
            <v>Grava Triturada Caliza 10 mm -</v>
          </cell>
          <cell r="H470">
            <v>111.87</v>
          </cell>
          <cell r="I470">
            <v>173.59</v>
          </cell>
          <cell r="J470">
            <v>285.46000000000004</v>
          </cell>
        </row>
        <row r="471">
          <cell r="B471" t="str">
            <v>D87310000240</v>
          </cell>
          <cell r="C471" t="str">
            <v>D873</v>
          </cell>
          <cell r="D471" t="str">
            <v>D081</v>
          </cell>
          <cell r="E471" t="str">
            <v>MX-PD-088 ARMAS</v>
          </cell>
          <cell r="F471">
            <v>10000240</v>
          </cell>
          <cell r="G471" t="str">
            <v>Grava Triturada Caliza 20 mm -</v>
          </cell>
          <cell r="H471">
            <v>111.87</v>
          </cell>
          <cell r="I471">
            <v>177.8</v>
          </cell>
          <cell r="J471">
            <v>289.67</v>
          </cell>
        </row>
        <row r="472">
          <cell r="B472" t="str">
            <v>D87310001073</v>
          </cell>
          <cell r="C472" t="str">
            <v>D873</v>
          </cell>
          <cell r="D472" t="str">
            <v>D081</v>
          </cell>
          <cell r="E472" t="str">
            <v>MX-PD-088 ARMAS</v>
          </cell>
          <cell r="F472">
            <v>10001073</v>
          </cell>
          <cell r="G472" t="str">
            <v>Arena Triturada Caliza Malla 4</v>
          </cell>
          <cell r="H472">
            <v>121.1</v>
          </cell>
          <cell r="I472">
            <v>79.78</v>
          </cell>
          <cell r="J472">
            <v>200.88</v>
          </cell>
        </row>
        <row r="473">
          <cell r="B473" t="str">
            <v>D87310000236</v>
          </cell>
          <cell r="C473" t="str">
            <v>D873</v>
          </cell>
          <cell r="D473" t="str">
            <v>D083</v>
          </cell>
          <cell r="E473" t="str">
            <v>MX-PD-099 MINAS</v>
          </cell>
          <cell r="F473">
            <v>10000236</v>
          </cell>
          <cell r="G473" t="str">
            <v>Grava Triturada Caliza 10 mm -</v>
          </cell>
          <cell r="H473">
            <v>111.87</v>
          </cell>
          <cell r="I473">
            <v>173.59</v>
          </cell>
          <cell r="J473">
            <v>285.46000000000004</v>
          </cell>
        </row>
        <row r="474">
          <cell r="B474" t="str">
            <v>D87310000240</v>
          </cell>
          <cell r="C474" t="str">
            <v>D873</v>
          </cell>
          <cell r="D474" t="str">
            <v>D083</v>
          </cell>
          <cell r="E474" t="str">
            <v>MX-PD-099 MINAS</v>
          </cell>
          <cell r="F474">
            <v>10000240</v>
          </cell>
          <cell r="G474" t="str">
            <v>Grava Triturada Caliza 20 mm -</v>
          </cell>
          <cell r="H474">
            <v>111.87</v>
          </cell>
          <cell r="I474">
            <v>177.8</v>
          </cell>
          <cell r="J474">
            <v>289.67</v>
          </cell>
        </row>
        <row r="475">
          <cell r="B475" t="str">
            <v>D87310001073</v>
          </cell>
          <cell r="C475" t="str">
            <v>D873</v>
          </cell>
          <cell r="D475" t="str">
            <v>D083</v>
          </cell>
          <cell r="E475" t="str">
            <v>MX-PD-099 MINAS</v>
          </cell>
          <cell r="F475">
            <v>10001073</v>
          </cell>
          <cell r="G475" t="str">
            <v>Arena Triturada Caliza Malla 4</v>
          </cell>
          <cell r="H475">
            <v>121.1</v>
          </cell>
          <cell r="I475">
            <v>79.78</v>
          </cell>
          <cell r="J475">
            <v>200.88</v>
          </cell>
        </row>
        <row r="476">
          <cell r="B476" t="str">
            <v>D87310000236</v>
          </cell>
          <cell r="C476" t="str">
            <v>D873</v>
          </cell>
          <cell r="D476" t="str">
            <v>D084</v>
          </cell>
          <cell r="E476" t="str">
            <v>MX-PD-186 IZTAPALAPA</v>
          </cell>
          <cell r="F476">
            <v>10000236</v>
          </cell>
          <cell r="G476" t="str">
            <v>Grava Triturada Caliza 10 mm -</v>
          </cell>
          <cell r="H476">
            <v>111.87</v>
          </cell>
          <cell r="I476">
            <v>173.59</v>
          </cell>
          <cell r="J476">
            <v>285.46000000000004</v>
          </cell>
        </row>
        <row r="477">
          <cell r="B477" t="str">
            <v>D87310000240</v>
          </cell>
          <cell r="C477" t="str">
            <v>D873</v>
          </cell>
          <cell r="D477" t="str">
            <v>D084</v>
          </cell>
          <cell r="E477" t="str">
            <v>MX-PD-186 IZTAPALAPA</v>
          </cell>
          <cell r="F477">
            <v>10000240</v>
          </cell>
          <cell r="G477" t="str">
            <v>Grava Triturada Caliza 20 mm -</v>
          </cell>
          <cell r="H477">
            <v>111.87</v>
          </cell>
          <cell r="I477">
            <v>177.8</v>
          </cell>
          <cell r="J477">
            <v>289.67</v>
          </cell>
        </row>
        <row r="478">
          <cell r="B478" t="str">
            <v>D87310001073</v>
          </cell>
          <cell r="C478" t="str">
            <v>D873</v>
          </cell>
          <cell r="D478" t="str">
            <v>D084</v>
          </cell>
          <cell r="E478" t="str">
            <v>MX-PD-186 IZTAPALAPA</v>
          </cell>
          <cell r="F478">
            <v>10001073</v>
          </cell>
          <cell r="G478" t="str">
            <v>Arena Triturada Caliza Malla 4</v>
          </cell>
          <cell r="H478">
            <v>121.1</v>
          </cell>
          <cell r="I478">
            <v>79.78</v>
          </cell>
          <cell r="J478">
            <v>200.88</v>
          </cell>
        </row>
        <row r="479">
          <cell r="B479" t="str">
            <v>D87310000236</v>
          </cell>
          <cell r="C479" t="str">
            <v>D873</v>
          </cell>
          <cell r="D479" t="str">
            <v>D085</v>
          </cell>
          <cell r="E479" t="str">
            <v>MX-PD0189 ROJO GOMEZ</v>
          </cell>
          <cell r="F479">
            <v>10000236</v>
          </cell>
          <cell r="G479" t="str">
            <v>Grava Triturada Caliza 10 mm -</v>
          </cell>
          <cell r="H479">
            <v>111.87</v>
          </cell>
          <cell r="I479">
            <v>173.59</v>
          </cell>
          <cell r="J479">
            <v>285.46000000000004</v>
          </cell>
        </row>
        <row r="480">
          <cell r="B480" t="str">
            <v>D87310000240</v>
          </cell>
          <cell r="C480" t="str">
            <v>D873</v>
          </cell>
          <cell r="D480" t="str">
            <v>D085</v>
          </cell>
          <cell r="E480" t="str">
            <v>MX-PD0189 ROJO GOMEZ</v>
          </cell>
          <cell r="F480">
            <v>10000240</v>
          </cell>
          <cell r="G480" t="str">
            <v>Grava Triturada Caliza 20 mm -</v>
          </cell>
          <cell r="H480">
            <v>111.87</v>
          </cell>
          <cell r="I480">
            <v>177.8</v>
          </cell>
          <cell r="J480">
            <v>289.67</v>
          </cell>
        </row>
        <row r="481">
          <cell r="B481" t="str">
            <v>D87310001073</v>
          </cell>
          <cell r="C481" t="str">
            <v>D873</v>
          </cell>
          <cell r="D481" t="str">
            <v>D085</v>
          </cell>
          <cell r="E481" t="str">
            <v>MX-PD0189 ROJO GOMEZ</v>
          </cell>
          <cell r="F481">
            <v>10001073</v>
          </cell>
          <cell r="G481" t="str">
            <v>Arena Triturada Caliza Malla 4</v>
          </cell>
          <cell r="H481">
            <v>121.1</v>
          </cell>
          <cell r="I481">
            <v>79.78</v>
          </cell>
          <cell r="J481">
            <v>200.88</v>
          </cell>
        </row>
        <row r="482">
          <cell r="B482" t="str">
            <v>D87310000236</v>
          </cell>
          <cell r="C482" t="str">
            <v>D873</v>
          </cell>
          <cell r="D482" t="str">
            <v>D086</v>
          </cell>
          <cell r="E482" t="str">
            <v>MX-PD-190 XALOSTC</v>
          </cell>
          <cell r="F482">
            <v>10000236</v>
          </cell>
          <cell r="G482" t="str">
            <v>Grava Triturada Caliza 10 mm -</v>
          </cell>
          <cell r="H482">
            <v>111.87</v>
          </cell>
          <cell r="I482">
            <v>173.59</v>
          </cell>
          <cell r="J482">
            <v>285.46000000000004</v>
          </cell>
        </row>
        <row r="483">
          <cell r="B483" t="str">
            <v>D87310000240</v>
          </cell>
          <cell r="C483" t="str">
            <v>D873</v>
          </cell>
          <cell r="D483" t="str">
            <v>D086</v>
          </cell>
          <cell r="E483" t="str">
            <v>MX-PD-190 XALOSTC</v>
          </cell>
          <cell r="F483">
            <v>10000240</v>
          </cell>
          <cell r="G483" t="str">
            <v>Grava Triturada Caliza 20 mm -</v>
          </cell>
          <cell r="H483">
            <v>111.87</v>
          </cell>
          <cell r="I483">
            <v>177.8</v>
          </cell>
          <cell r="J483">
            <v>289.67</v>
          </cell>
        </row>
        <row r="484">
          <cell r="B484" t="str">
            <v>D87310001073</v>
          </cell>
          <cell r="C484" t="str">
            <v>D873</v>
          </cell>
          <cell r="D484" t="str">
            <v>D086</v>
          </cell>
          <cell r="E484" t="str">
            <v>MX-PD-190 XALOSTC</v>
          </cell>
          <cell r="F484">
            <v>10001073</v>
          </cell>
          <cell r="G484" t="str">
            <v>Arena Triturada Caliza Malla 4</v>
          </cell>
          <cell r="H484">
            <v>121.1</v>
          </cell>
          <cell r="I484">
            <v>79.78</v>
          </cell>
          <cell r="J484">
            <v>200.88</v>
          </cell>
        </row>
        <row r="485">
          <cell r="B485" t="str">
            <v>D87310000240</v>
          </cell>
          <cell r="C485" t="str">
            <v>D873</v>
          </cell>
          <cell r="D485" t="str">
            <v>D093</v>
          </cell>
          <cell r="E485" t="str">
            <v>MX-PD0556 ZUMPANGO</v>
          </cell>
          <cell r="F485">
            <v>10000240</v>
          </cell>
          <cell r="G485" t="str">
            <v>Grava Triturada Caliza 20 mm -</v>
          </cell>
          <cell r="H485">
            <v>111.87</v>
          </cell>
          <cell r="I485">
            <v>177.8</v>
          </cell>
          <cell r="J485">
            <v>289.67</v>
          </cell>
        </row>
        <row r="486">
          <cell r="B486" t="str">
            <v>D87310000240</v>
          </cell>
          <cell r="C486" t="str">
            <v>D873</v>
          </cell>
          <cell r="D486" t="str">
            <v>D098</v>
          </cell>
          <cell r="E486" t="str">
            <v>MX-PD-315 CUAUTITLAN II</v>
          </cell>
          <cell r="F486">
            <v>10000240</v>
          </cell>
          <cell r="G486" t="str">
            <v>Grava Triturada Caliza 20 mm -</v>
          </cell>
          <cell r="H486">
            <v>111.87</v>
          </cell>
          <cell r="I486">
            <v>177.8</v>
          </cell>
          <cell r="J486">
            <v>289.67</v>
          </cell>
        </row>
        <row r="487">
          <cell r="B487" t="str">
            <v>D87310001073</v>
          </cell>
          <cell r="C487" t="str">
            <v>D873</v>
          </cell>
          <cell r="D487" t="str">
            <v>D098</v>
          </cell>
          <cell r="E487" t="str">
            <v>MX-PD-315 CUAUTITLAN II</v>
          </cell>
          <cell r="F487">
            <v>10001073</v>
          </cell>
          <cell r="G487" t="str">
            <v>Arena Triturada Caliza Malla 4</v>
          </cell>
          <cell r="H487">
            <v>121.1</v>
          </cell>
          <cell r="I487">
            <v>79.78</v>
          </cell>
          <cell r="J487">
            <v>200.88</v>
          </cell>
        </row>
        <row r="488">
          <cell r="B488" t="str">
            <v>D87310000236</v>
          </cell>
          <cell r="C488" t="str">
            <v>D873</v>
          </cell>
          <cell r="D488" t="str">
            <v>D105</v>
          </cell>
          <cell r="E488" t="str">
            <v>MX-PD-331 NAUCALPAN II</v>
          </cell>
          <cell r="F488">
            <v>10000236</v>
          </cell>
          <cell r="G488" t="str">
            <v>Grava Triturada Caliza 10 mm -</v>
          </cell>
          <cell r="H488">
            <v>111.87</v>
          </cell>
          <cell r="I488">
            <v>173.59</v>
          </cell>
          <cell r="J488">
            <v>285.46000000000004</v>
          </cell>
        </row>
        <row r="489">
          <cell r="B489" t="str">
            <v>D87310000240</v>
          </cell>
          <cell r="C489" t="str">
            <v>D873</v>
          </cell>
          <cell r="D489" t="str">
            <v>D105</v>
          </cell>
          <cell r="E489" t="str">
            <v>MX-PD-331 NAUCALPAN II</v>
          </cell>
          <cell r="F489">
            <v>10000240</v>
          </cell>
          <cell r="G489" t="str">
            <v>Grava Triturada Caliza 20 mm -</v>
          </cell>
          <cell r="H489">
            <v>111.87</v>
          </cell>
          <cell r="I489">
            <v>177.8</v>
          </cell>
          <cell r="J489">
            <v>289.67</v>
          </cell>
        </row>
        <row r="490">
          <cell r="B490" t="str">
            <v>D87310001073</v>
          </cell>
          <cell r="C490" t="str">
            <v>D873</v>
          </cell>
          <cell r="D490" t="str">
            <v>D105</v>
          </cell>
          <cell r="E490" t="str">
            <v>MX-PD-331 NAUCALPAN II</v>
          </cell>
          <cell r="F490">
            <v>10001073</v>
          </cell>
          <cell r="G490" t="str">
            <v>Arena Triturada Caliza Malla 4</v>
          </cell>
          <cell r="H490">
            <v>121.1</v>
          </cell>
          <cell r="I490">
            <v>79.78</v>
          </cell>
          <cell r="J490">
            <v>200.88</v>
          </cell>
        </row>
        <row r="491">
          <cell r="B491" t="str">
            <v>D87310000236</v>
          </cell>
          <cell r="C491" t="str">
            <v>D873</v>
          </cell>
          <cell r="D491" t="str">
            <v>D110</v>
          </cell>
          <cell r="E491" t="str">
            <v>MX-PD0338 TEPEJI 2</v>
          </cell>
          <cell r="F491">
            <v>10000236</v>
          </cell>
          <cell r="G491" t="str">
            <v>Grava Triturada Caliza 10 mm -</v>
          </cell>
          <cell r="H491">
            <v>111.87</v>
          </cell>
          <cell r="I491">
            <v>173.59</v>
          </cell>
          <cell r="J491">
            <v>285.46000000000004</v>
          </cell>
        </row>
        <row r="492">
          <cell r="B492" t="str">
            <v>D87310000240</v>
          </cell>
          <cell r="C492" t="str">
            <v>D873</v>
          </cell>
          <cell r="D492" t="str">
            <v>D110</v>
          </cell>
          <cell r="E492" t="str">
            <v>MX-PD0338 TEPEJI 2</v>
          </cell>
          <cell r="F492">
            <v>10000240</v>
          </cell>
          <cell r="G492" t="str">
            <v>Grava Triturada Caliza 20 mm -</v>
          </cell>
          <cell r="H492">
            <v>111.87</v>
          </cell>
          <cell r="I492">
            <v>177.8</v>
          </cell>
          <cell r="J492">
            <v>289.67</v>
          </cell>
        </row>
        <row r="493">
          <cell r="B493" t="str">
            <v>D87310001073</v>
          </cell>
          <cell r="C493" t="str">
            <v>D873</v>
          </cell>
          <cell r="D493" t="str">
            <v>D110</v>
          </cell>
          <cell r="E493" t="str">
            <v>MX-PD0338 TEPEJI 2</v>
          </cell>
          <cell r="F493">
            <v>10001073</v>
          </cell>
          <cell r="G493" t="str">
            <v>Arena Triturada Caliza Malla 4</v>
          </cell>
          <cell r="H493">
            <v>121.1</v>
          </cell>
          <cell r="I493">
            <v>79.78</v>
          </cell>
          <cell r="J493">
            <v>200.88</v>
          </cell>
        </row>
        <row r="494">
          <cell r="B494" t="str">
            <v>D87310000240</v>
          </cell>
          <cell r="C494" t="str">
            <v>D873</v>
          </cell>
          <cell r="D494" t="str">
            <v>D111</v>
          </cell>
          <cell r="E494" t="str">
            <v>MX-PD0317 TOLUCA LERMA 2</v>
          </cell>
          <cell r="F494">
            <v>10000240</v>
          </cell>
          <cell r="G494" t="str">
            <v>Grava Triturada Caliza 20 mm -</v>
          </cell>
          <cell r="H494">
            <v>111.87</v>
          </cell>
          <cell r="I494">
            <v>177.8</v>
          </cell>
          <cell r="J494">
            <v>289.67</v>
          </cell>
        </row>
        <row r="495">
          <cell r="B495" t="str">
            <v>D87310001073</v>
          </cell>
          <cell r="C495" t="str">
            <v>D873</v>
          </cell>
          <cell r="D495" t="str">
            <v>D111</v>
          </cell>
          <cell r="E495" t="str">
            <v>MX-PD0317 TOLUCA LERMA 2</v>
          </cell>
          <cell r="F495">
            <v>10001073</v>
          </cell>
          <cell r="G495" t="str">
            <v>Arena Triturada Caliza Malla 4</v>
          </cell>
          <cell r="H495">
            <v>121.1</v>
          </cell>
          <cell r="I495">
            <v>79.78</v>
          </cell>
          <cell r="J495">
            <v>200.88</v>
          </cell>
        </row>
        <row r="496">
          <cell r="B496" t="str">
            <v>D87310000236</v>
          </cell>
          <cell r="C496" t="str">
            <v>D873</v>
          </cell>
          <cell r="D496" t="str">
            <v>D136</v>
          </cell>
          <cell r="E496" t="str">
            <v>MX-PD0237 LA ESTRELLA</v>
          </cell>
          <cell r="F496">
            <v>10000236</v>
          </cell>
          <cell r="G496" t="str">
            <v>Grava Triturada Caliza 10 mm -</v>
          </cell>
          <cell r="H496">
            <v>111.87</v>
          </cell>
          <cell r="I496">
            <v>173.59</v>
          </cell>
          <cell r="J496">
            <v>285.46000000000004</v>
          </cell>
        </row>
        <row r="497">
          <cell r="B497" t="str">
            <v>D87310000240</v>
          </cell>
          <cell r="C497" t="str">
            <v>D873</v>
          </cell>
          <cell r="D497" t="str">
            <v>D136</v>
          </cell>
          <cell r="E497" t="str">
            <v>MX-PD0237 LA ESTRELLA</v>
          </cell>
          <cell r="F497">
            <v>10000240</v>
          </cell>
          <cell r="G497" t="str">
            <v>Grava Triturada Caliza 20 mm -</v>
          </cell>
          <cell r="H497">
            <v>111.87</v>
          </cell>
          <cell r="I497">
            <v>177.8</v>
          </cell>
          <cell r="J497">
            <v>289.67</v>
          </cell>
        </row>
        <row r="498">
          <cell r="B498" t="str">
            <v>D87310001073</v>
          </cell>
          <cell r="C498" t="str">
            <v>D873</v>
          </cell>
          <cell r="D498" t="str">
            <v>D136</v>
          </cell>
          <cell r="E498" t="str">
            <v>MX-PD0237 LA ESTRELLA</v>
          </cell>
          <cell r="F498">
            <v>10001073</v>
          </cell>
          <cell r="G498" t="str">
            <v>Arena Triturada Caliza Malla 4</v>
          </cell>
          <cell r="H498">
            <v>121.1</v>
          </cell>
          <cell r="I498">
            <v>79.78</v>
          </cell>
          <cell r="J498">
            <v>200.88</v>
          </cell>
        </row>
        <row r="499">
          <cell r="B499" t="str">
            <v>D87310000240</v>
          </cell>
          <cell r="C499" t="str">
            <v>D873</v>
          </cell>
          <cell r="D499" t="str">
            <v>D145</v>
          </cell>
          <cell r="E499" t="str">
            <v>MX-PD-458 ECATEPEC II</v>
          </cell>
          <cell r="F499">
            <v>10000240</v>
          </cell>
          <cell r="G499" t="str">
            <v>Grava Triturada Caliza 20 mm -</v>
          </cell>
          <cell r="H499">
            <v>111.87</v>
          </cell>
          <cell r="I499">
            <v>177.8</v>
          </cell>
          <cell r="J499">
            <v>289.67</v>
          </cell>
        </row>
        <row r="500">
          <cell r="B500" t="str">
            <v>D87310001073</v>
          </cell>
          <cell r="C500" t="str">
            <v>D873</v>
          </cell>
          <cell r="D500" t="str">
            <v>D145</v>
          </cell>
          <cell r="E500" t="str">
            <v>MX-PD-458 ECATEPEC II</v>
          </cell>
          <cell r="F500">
            <v>10001073</v>
          </cell>
          <cell r="G500" t="str">
            <v>Arena Triturada Caliza Malla 4</v>
          </cell>
          <cell r="H500">
            <v>121.1</v>
          </cell>
          <cell r="I500">
            <v>79.78</v>
          </cell>
          <cell r="J500">
            <v>200.88</v>
          </cell>
        </row>
        <row r="501">
          <cell r="B501" t="str">
            <v>D87310000240</v>
          </cell>
          <cell r="C501" t="str">
            <v>D873</v>
          </cell>
          <cell r="D501" t="str">
            <v>D327</v>
          </cell>
          <cell r="E501" t="str">
            <v>MX-PD0410 CANCUN 2</v>
          </cell>
          <cell r="F501">
            <v>10000240</v>
          </cell>
          <cell r="G501" t="str">
            <v>Grava Triturada Caliza 20 mm -</v>
          </cell>
          <cell r="H501">
            <v>111.87</v>
          </cell>
          <cell r="I501">
            <v>177.8</v>
          </cell>
          <cell r="J501">
            <v>289.67</v>
          </cell>
        </row>
        <row r="502">
          <cell r="B502" t="str">
            <v>D87310000240</v>
          </cell>
          <cell r="C502" t="str">
            <v>D873</v>
          </cell>
          <cell r="D502" t="str">
            <v>D349</v>
          </cell>
          <cell r="E502" t="str">
            <v>MX-PD0300 PETEMPICH</v>
          </cell>
          <cell r="F502">
            <v>10000240</v>
          </cell>
          <cell r="G502" t="str">
            <v>Grava Triturada Caliza 20 mm -</v>
          </cell>
          <cell r="H502">
            <v>111.87</v>
          </cell>
          <cell r="I502">
            <v>177.8</v>
          </cell>
          <cell r="J502">
            <v>289.67</v>
          </cell>
        </row>
        <row r="503">
          <cell r="B503" t="str">
            <v>D87310000240</v>
          </cell>
          <cell r="C503" t="str">
            <v>D873</v>
          </cell>
          <cell r="D503" t="str">
            <v>D681</v>
          </cell>
          <cell r="E503" t="str">
            <v>MX-PD0639 TULTEPEC</v>
          </cell>
          <cell r="F503">
            <v>10000240</v>
          </cell>
          <cell r="G503" t="str">
            <v>Grava Triturada Caliza 20 mm -</v>
          </cell>
          <cell r="H503">
            <v>111.87</v>
          </cell>
          <cell r="I503">
            <v>177.8</v>
          </cell>
          <cell r="J503">
            <v>289.67</v>
          </cell>
        </row>
        <row r="504">
          <cell r="B504" t="str">
            <v>D87310001073</v>
          </cell>
          <cell r="C504" t="str">
            <v>D873</v>
          </cell>
          <cell r="D504" t="str">
            <v>D681</v>
          </cell>
          <cell r="E504" t="str">
            <v>MX-PD0639 TULTEPEC</v>
          </cell>
          <cell r="F504">
            <v>10001073</v>
          </cell>
          <cell r="G504" t="str">
            <v>Arena Triturada Caliza Malla 4</v>
          </cell>
          <cell r="H504">
            <v>121.1</v>
          </cell>
          <cell r="I504">
            <v>79.78</v>
          </cell>
          <cell r="J504">
            <v>200.88</v>
          </cell>
        </row>
        <row r="505">
          <cell r="B505" t="str">
            <v>D90210226085</v>
          </cell>
          <cell r="C505" t="str">
            <v>D902</v>
          </cell>
          <cell r="D505" t="str">
            <v>D304</v>
          </cell>
          <cell r="E505" t="str">
            <v>MX-PD0473 FELIPE CARILLO PUERT</v>
          </cell>
          <cell r="F505">
            <v>10226085</v>
          </cell>
          <cell r="G505" t="str">
            <v>GRAVA 20MM</v>
          </cell>
          <cell r="H505">
            <v>88.4</v>
          </cell>
          <cell r="I505">
            <v>92.5</v>
          </cell>
          <cell r="J505">
            <v>180.9</v>
          </cell>
        </row>
        <row r="506">
          <cell r="B506" t="str">
            <v>D90210226538</v>
          </cell>
          <cell r="C506" t="str">
            <v>D902</v>
          </cell>
          <cell r="D506" t="str">
            <v>D304</v>
          </cell>
          <cell r="E506" t="str">
            <v>MX-PD0473 FELIPE CARILLO PUERT</v>
          </cell>
          <cell r="F506">
            <v>10226538</v>
          </cell>
          <cell r="G506" t="str">
            <v>ARENA 4</v>
          </cell>
          <cell r="H506">
            <v>114.1</v>
          </cell>
          <cell r="I506">
            <v>-99.65</v>
          </cell>
          <cell r="J506">
            <v>14.449999999999989</v>
          </cell>
        </row>
        <row r="507">
          <cell r="B507" t="str">
            <v>D90210226085</v>
          </cell>
          <cell r="C507" t="str">
            <v>D902</v>
          </cell>
          <cell r="D507" t="str">
            <v>D324</v>
          </cell>
          <cell r="E507" t="str">
            <v>MX-PD0400 CAMPECHE II</v>
          </cell>
          <cell r="F507">
            <v>10226085</v>
          </cell>
          <cell r="G507" t="str">
            <v>GRAVA 20MM</v>
          </cell>
          <cell r="H507">
            <v>88.4</v>
          </cell>
          <cell r="I507">
            <v>92.5</v>
          </cell>
          <cell r="J507">
            <v>180.9</v>
          </cell>
        </row>
        <row r="508">
          <cell r="B508" t="str">
            <v>D90210226538</v>
          </cell>
          <cell r="C508" t="str">
            <v>D902</v>
          </cell>
          <cell r="D508" t="str">
            <v>D324</v>
          </cell>
          <cell r="E508" t="str">
            <v>MX-PD0400 CAMPECHE II</v>
          </cell>
          <cell r="F508">
            <v>10226538</v>
          </cell>
          <cell r="G508" t="str">
            <v>ARENA 4</v>
          </cell>
          <cell r="H508">
            <v>114.1</v>
          </cell>
          <cell r="I508">
            <v>-99.65</v>
          </cell>
          <cell r="J508">
            <v>14.449999999999989</v>
          </cell>
        </row>
        <row r="509">
          <cell r="B509" t="str">
            <v>D90210226538</v>
          </cell>
          <cell r="C509" t="str">
            <v>D902</v>
          </cell>
          <cell r="D509" t="str">
            <v>D332</v>
          </cell>
          <cell r="E509" t="str">
            <v>MX-PD0422 PLANTA CALKINI</v>
          </cell>
          <cell r="F509">
            <v>10226538</v>
          </cell>
          <cell r="G509" t="str">
            <v>ARENA 4</v>
          </cell>
          <cell r="H509">
            <v>114.1</v>
          </cell>
          <cell r="I509">
            <v>-99.65</v>
          </cell>
          <cell r="J509">
            <v>14.449999999999989</v>
          </cell>
        </row>
        <row r="510">
          <cell r="B510" t="str">
            <v>D90210226537</v>
          </cell>
          <cell r="C510" t="str">
            <v>D902</v>
          </cell>
          <cell r="D510" t="str">
            <v>EQ86</v>
          </cell>
          <cell r="E510" t="str">
            <v>MX-PD0457 AEROPUERTO CANCUN</v>
          </cell>
          <cell r="F510">
            <v>10226537</v>
          </cell>
          <cell r="G510" t="str">
            <v>SCREEN (DESPOLVE NOCLA)</v>
          </cell>
          <cell r="H510">
            <v>16.309999999999999</v>
          </cell>
          <cell r="I510" t="e">
            <v>#N/A</v>
          </cell>
          <cell r="J510" t="e">
            <v>#N/A</v>
          </cell>
        </row>
        <row r="511">
          <cell r="B511" t="str">
            <v>DU0710000101</v>
          </cell>
          <cell r="C511" t="str">
            <v>DU07</v>
          </cell>
          <cell r="D511" t="str">
            <v>D063</v>
          </cell>
          <cell r="E511" t="str">
            <v>MX-PD0431 SEDENA PREFABRICADOS</v>
          </cell>
          <cell r="F511">
            <v>10000101</v>
          </cell>
          <cell r="G511" t="str">
            <v>Arena Triturada Caliza Malla 4</v>
          </cell>
          <cell r="H511">
            <v>207.91</v>
          </cell>
          <cell r="I511">
            <v>102.19</v>
          </cell>
          <cell r="J511">
            <v>310.10000000000002</v>
          </cell>
        </row>
        <row r="512">
          <cell r="B512" t="str">
            <v>DU0710000110</v>
          </cell>
          <cell r="C512" t="str">
            <v>DU07</v>
          </cell>
          <cell r="D512" t="str">
            <v>D063</v>
          </cell>
          <cell r="E512" t="str">
            <v>MX-PD0431 SEDENA PREFABRICADOS</v>
          </cell>
          <cell r="F512">
            <v>10000110</v>
          </cell>
          <cell r="G512" t="str">
            <v>GRAVA TRITURADA CALIZA 20 MM “</v>
          </cell>
          <cell r="H512">
            <v>203.67</v>
          </cell>
          <cell r="I512">
            <v>79.430000000000007</v>
          </cell>
          <cell r="J512">
            <v>283.10000000000002</v>
          </cell>
        </row>
        <row r="513">
          <cell r="B513" t="str">
            <v>DU0710000111</v>
          </cell>
          <cell r="C513" t="str">
            <v>DU07</v>
          </cell>
          <cell r="D513" t="str">
            <v>D063</v>
          </cell>
          <cell r="E513" t="str">
            <v>MX-PD0431 SEDENA PREFABRICADOS</v>
          </cell>
          <cell r="F513">
            <v>10000111</v>
          </cell>
          <cell r="G513" t="str">
            <v>Grava Triturada Caliza 40mm -1</v>
          </cell>
          <cell r="H513">
            <v>203.67</v>
          </cell>
          <cell r="I513">
            <v>-62.49</v>
          </cell>
          <cell r="J513">
            <v>141.17999999999998</v>
          </cell>
        </row>
        <row r="514">
          <cell r="B514" t="str">
            <v>DU0710000112</v>
          </cell>
          <cell r="C514" t="str">
            <v>DU07</v>
          </cell>
          <cell r="D514" t="str">
            <v>D063</v>
          </cell>
          <cell r="E514" t="str">
            <v>MX-PD0431 SEDENA PREFABRICADOS</v>
          </cell>
          <cell r="F514">
            <v>10000112</v>
          </cell>
          <cell r="G514" t="str">
            <v>Grava Triturada Caliza 13 mm -</v>
          </cell>
          <cell r="H514">
            <v>203.67</v>
          </cell>
          <cell r="I514">
            <v>44.33</v>
          </cell>
          <cell r="J514">
            <v>248</v>
          </cell>
        </row>
        <row r="515">
          <cell r="B515" t="str">
            <v>DU0710000115</v>
          </cell>
          <cell r="C515" t="str">
            <v>DU07</v>
          </cell>
          <cell r="D515" t="str">
            <v>D063</v>
          </cell>
          <cell r="E515" t="str">
            <v>MX-PD0431 SEDENA PREFABRICADOS</v>
          </cell>
          <cell r="F515">
            <v>10000115</v>
          </cell>
          <cell r="G515" t="str">
            <v>Grava Triturada Caliza 10 mm -</v>
          </cell>
          <cell r="H515">
            <v>203.67</v>
          </cell>
          <cell r="I515">
            <v>141.33000000000001</v>
          </cell>
          <cell r="J515">
            <v>345</v>
          </cell>
        </row>
        <row r="516">
          <cell r="B516" t="str">
            <v>DU0710251742</v>
          </cell>
          <cell r="C516" t="str">
            <v>DU07</v>
          </cell>
          <cell r="D516" t="str">
            <v>D063</v>
          </cell>
          <cell r="E516" t="str">
            <v>MX-PD0431 SEDENA PREFABRICADOS</v>
          </cell>
          <cell r="F516">
            <v>10251742</v>
          </cell>
          <cell r="G516" t="str">
            <v>ARENA TRITURADA CALIZA 10MM -3</v>
          </cell>
          <cell r="H516">
            <v>207.91</v>
          </cell>
          <cell r="I516">
            <v>102.23</v>
          </cell>
          <cell r="J516">
            <v>310.14</v>
          </cell>
        </row>
        <row r="517">
          <cell r="B517" t="str">
            <v>DU0710264038</v>
          </cell>
          <cell r="C517" t="str">
            <v>DU07</v>
          </cell>
          <cell r="D517" t="str">
            <v>D063</v>
          </cell>
          <cell r="E517" t="str">
            <v>MX-PD0431 SEDENA PREFABRICADOS</v>
          </cell>
          <cell r="F517">
            <v>10264038</v>
          </cell>
          <cell r="G517" t="str">
            <v>MOV ARENA TRITURADA CALIZA MAL</v>
          </cell>
          <cell r="H517">
            <v>207.91</v>
          </cell>
          <cell r="I517">
            <v>102.19</v>
          </cell>
          <cell r="J517">
            <v>310.10000000000002</v>
          </cell>
        </row>
        <row r="518">
          <cell r="B518" t="str">
            <v>DU0710264039</v>
          </cell>
          <cell r="C518" t="str">
            <v>DU07</v>
          </cell>
          <cell r="D518" t="str">
            <v>D063</v>
          </cell>
          <cell r="E518" t="str">
            <v>MX-PD0431 SEDENA PREFABRICADOS</v>
          </cell>
          <cell r="F518">
            <v>10264039</v>
          </cell>
          <cell r="G518" t="str">
            <v>MOV GRAVA TRITURADA CALIZA 20M</v>
          </cell>
          <cell r="H518">
            <v>203.67</v>
          </cell>
          <cell r="I518">
            <v>79.430000000000007</v>
          </cell>
          <cell r="J518">
            <v>283.10000000000002</v>
          </cell>
        </row>
        <row r="519">
          <cell r="B519" t="str">
            <v>DU0710000101</v>
          </cell>
          <cell r="C519" t="str">
            <v>DU07</v>
          </cell>
          <cell r="D519" t="str">
            <v>D112</v>
          </cell>
          <cell r="E519" t="str">
            <v>MX-PD0502 SEDENA PREFABRICADOS</v>
          </cell>
          <cell r="F519">
            <v>10000101</v>
          </cell>
          <cell r="G519" t="str">
            <v>Arena Triturada Caliza Malla 4</v>
          </cell>
          <cell r="H519">
            <v>207.91</v>
          </cell>
          <cell r="I519">
            <v>102.19</v>
          </cell>
          <cell r="J519">
            <v>310.10000000000002</v>
          </cell>
        </row>
        <row r="520">
          <cell r="B520" t="str">
            <v>DU0710000110</v>
          </cell>
          <cell r="C520" t="str">
            <v>DU07</v>
          </cell>
          <cell r="D520" t="str">
            <v>D112</v>
          </cell>
          <cell r="E520" t="str">
            <v>MX-PD0502 SEDENA PREFABRICADOS</v>
          </cell>
          <cell r="F520">
            <v>10000110</v>
          </cell>
          <cell r="G520" t="str">
            <v>GRAVA TRITURADA CALIZA 20 MM “</v>
          </cell>
          <cell r="H520">
            <v>203.67</v>
          </cell>
          <cell r="I520">
            <v>79.430000000000007</v>
          </cell>
          <cell r="J520">
            <v>283.10000000000002</v>
          </cell>
        </row>
        <row r="521">
          <cell r="B521" t="str">
            <v>DU0710000111</v>
          </cell>
          <cell r="C521" t="str">
            <v>DU07</v>
          </cell>
          <cell r="D521" t="str">
            <v>D112</v>
          </cell>
          <cell r="E521" t="str">
            <v>MX-PD0502 SEDENA PREFABRICADOS</v>
          </cell>
          <cell r="F521">
            <v>10000111</v>
          </cell>
          <cell r="G521" t="str">
            <v>Grava Triturada Caliza 40mm -1</v>
          </cell>
          <cell r="H521">
            <v>203.67</v>
          </cell>
          <cell r="I521">
            <v>-62.49</v>
          </cell>
          <cell r="J521">
            <v>141.17999999999998</v>
          </cell>
        </row>
        <row r="522">
          <cell r="B522" t="str">
            <v>DU0710000112</v>
          </cell>
          <cell r="C522" t="str">
            <v>DU07</v>
          </cell>
          <cell r="D522" t="str">
            <v>D112</v>
          </cell>
          <cell r="E522" t="str">
            <v>MX-PD0502 SEDENA PREFABRICADOS</v>
          </cell>
          <cell r="F522">
            <v>10000112</v>
          </cell>
          <cell r="G522" t="str">
            <v>Grava Triturada Caliza 13 mm -</v>
          </cell>
          <cell r="H522">
            <v>203.67</v>
          </cell>
          <cell r="I522">
            <v>44.33</v>
          </cell>
          <cell r="J522">
            <v>248</v>
          </cell>
        </row>
        <row r="523">
          <cell r="B523" t="str">
            <v>DU0710000115</v>
          </cell>
          <cell r="C523" t="str">
            <v>DU07</v>
          </cell>
          <cell r="D523" t="str">
            <v>D112</v>
          </cell>
          <cell r="E523" t="str">
            <v>MX-PD0502 SEDENA PREFABRICADOS</v>
          </cell>
          <cell r="F523">
            <v>10000115</v>
          </cell>
          <cell r="G523" t="str">
            <v>Grava Triturada Caliza 10 mm -</v>
          </cell>
          <cell r="H523">
            <v>203.67</v>
          </cell>
          <cell r="I523">
            <v>141.33000000000001</v>
          </cell>
          <cell r="J523">
            <v>345</v>
          </cell>
        </row>
        <row r="524">
          <cell r="B524" t="str">
            <v>DU0710251742</v>
          </cell>
          <cell r="C524" t="str">
            <v>DU07</v>
          </cell>
          <cell r="D524" t="str">
            <v>D112</v>
          </cell>
          <cell r="E524" t="str">
            <v>MX-PD0502 SEDENA PREFABRICADOS</v>
          </cell>
          <cell r="F524">
            <v>10251742</v>
          </cell>
          <cell r="G524" t="str">
            <v>ARENA TRITURADA CALIZA 10MM -3</v>
          </cell>
          <cell r="H524">
            <v>207.91</v>
          </cell>
          <cell r="I524">
            <v>102.23</v>
          </cell>
          <cell r="J524">
            <v>310.14</v>
          </cell>
        </row>
        <row r="525">
          <cell r="B525" t="str">
            <v>DU0710264038</v>
          </cell>
          <cell r="C525" t="str">
            <v>DU07</v>
          </cell>
          <cell r="D525" t="str">
            <v>D112</v>
          </cell>
          <cell r="E525" t="str">
            <v>MX-PD0502 SEDENA PREFABRICADOS</v>
          </cell>
          <cell r="F525">
            <v>10264038</v>
          </cell>
          <cell r="G525" t="str">
            <v>MOV ARENA TRITURADA CALIZA MAL</v>
          </cell>
          <cell r="H525">
            <v>207.91</v>
          </cell>
          <cell r="I525">
            <v>102.19</v>
          </cell>
          <cell r="J525">
            <v>310.10000000000002</v>
          </cell>
        </row>
        <row r="526">
          <cell r="B526" t="str">
            <v>DU0710264039</v>
          </cell>
          <cell r="C526" t="str">
            <v>DU07</v>
          </cell>
          <cell r="D526" t="str">
            <v>D112</v>
          </cell>
          <cell r="E526" t="str">
            <v>MX-PD0502 SEDENA PREFABRICADOS</v>
          </cell>
          <cell r="F526">
            <v>10264039</v>
          </cell>
          <cell r="G526" t="str">
            <v>MOV GRAVA TRITURADA CALIZA 20M</v>
          </cell>
          <cell r="H526">
            <v>203.67</v>
          </cell>
          <cell r="I526">
            <v>79.430000000000007</v>
          </cell>
          <cell r="J526">
            <v>283.10000000000002</v>
          </cell>
        </row>
        <row r="527">
          <cell r="B527" t="str">
            <v>DU0710000101</v>
          </cell>
          <cell r="C527" t="str">
            <v>DU07</v>
          </cell>
          <cell r="D527" t="str">
            <v>D278</v>
          </cell>
          <cell r="E527" t="str">
            <v>MX-PD-055 CANCUN</v>
          </cell>
          <cell r="F527">
            <v>10000101</v>
          </cell>
          <cell r="G527" t="str">
            <v>Arena Triturada Caliza Malla 4</v>
          </cell>
          <cell r="H527">
            <v>207.91</v>
          </cell>
          <cell r="I527">
            <v>102.19</v>
          </cell>
          <cell r="J527">
            <v>310.10000000000002</v>
          </cell>
        </row>
        <row r="528">
          <cell r="B528" t="str">
            <v>DU0710000110</v>
          </cell>
          <cell r="C528" t="str">
            <v>DU07</v>
          </cell>
          <cell r="D528" t="str">
            <v>D278</v>
          </cell>
          <cell r="E528" t="str">
            <v>MX-PD-055 CANCUN</v>
          </cell>
          <cell r="F528">
            <v>10000110</v>
          </cell>
          <cell r="G528" t="str">
            <v>GRAVA TRITURADA CALIZA 20 MM “</v>
          </cell>
          <cell r="H528">
            <v>203.67</v>
          </cell>
          <cell r="I528">
            <v>79.430000000000007</v>
          </cell>
          <cell r="J528">
            <v>283.10000000000002</v>
          </cell>
        </row>
        <row r="529">
          <cell r="B529" t="str">
            <v>DU0710000111</v>
          </cell>
          <cell r="C529" t="str">
            <v>DU07</v>
          </cell>
          <cell r="D529" t="str">
            <v>D278</v>
          </cell>
          <cell r="E529" t="str">
            <v>MX-PD-055 CANCUN</v>
          </cell>
          <cell r="F529">
            <v>10000111</v>
          </cell>
          <cell r="G529" t="str">
            <v>Grava Triturada Caliza 40mm -1</v>
          </cell>
          <cell r="H529">
            <v>203.67</v>
          </cell>
          <cell r="I529">
            <v>-62.49</v>
          </cell>
          <cell r="J529">
            <v>141.17999999999998</v>
          </cell>
        </row>
        <row r="530">
          <cell r="B530" t="str">
            <v>DU0710000112</v>
          </cell>
          <cell r="C530" t="str">
            <v>DU07</v>
          </cell>
          <cell r="D530" t="str">
            <v>D278</v>
          </cell>
          <cell r="E530" t="str">
            <v>MX-PD-055 CANCUN</v>
          </cell>
          <cell r="F530">
            <v>10000112</v>
          </cell>
          <cell r="G530" t="str">
            <v>Grava Triturada Caliza 13 mm -</v>
          </cell>
          <cell r="H530">
            <v>203.67</v>
          </cell>
          <cell r="I530">
            <v>44.33</v>
          </cell>
          <cell r="J530">
            <v>248</v>
          </cell>
        </row>
        <row r="531">
          <cell r="B531" t="str">
            <v>DU0710000115</v>
          </cell>
          <cell r="C531" t="str">
            <v>DU07</v>
          </cell>
          <cell r="D531" t="str">
            <v>D278</v>
          </cell>
          <cell r="E531" t="str">
            <v>MX-PD-055 CANCUN</v>
          </cell>
          <cell r="F531">
            <v>10000115</v>
          </cell>
          <cell r="G531" t="str">
            <v>Grava Triturada Caliza 10 mm -</v>
          </cell>
          <cell r="H531">
            <v>203.67</v>
          </cell>
          <cell r="I531">
            <v>141.33000000000001</v>
          </cell>
          <cell r="J531">
            <v>345</v>
          </cell>
        </row>
        <row r="532">
          <cell r="B532" t="str">
            <v>DU0710251742</v>
          </cell>
          <cell r="C532" t="str">
            <v>DU07</v>
          </cell>
          <cell r="D532" t="str">
            <v>D278</v>
          </cell>
          <cell r="E532" t="str">
            <v>MX-PD-055 CANCUN</v>
          </cell>
          <cell r="F532">
            <v>10251742</v>
          </cell>
          <cell r="G532" t="str">
            <v>ARENA TRITURADA CALIZA 10MM -3</v>
          </cell>
          <cell r="H532">
            <v>207.91</v>
          </cell>
          <cell r="I532">
            <v>102.23</v>
          </cell>
          <cell r="J532">
            <v>310.14</v>
          </cell>
        </row>
        <row r="533">
          <cell r="B533" t="str">
            <v>DU0710264038</v>
          </cell>
          <cell r="C533" t="str">
            <v>DU07</v>
          </cell>
          <cell r="D533" t="str">
            <v>D278</v>
          </cell>
          <cell r="E533" t="str">
            <v>MX-PD-055 CANCUN</v>
          </cell>
          <cell r="F533">
            <v>10264038</v>
          </cell>
          <cell r="G533" t="str">
            <v>MOV ARENA TRITURADA CALIZA MAL</v>
          </cell>
          <cell r="H533">
            <v>207.91</v>
          </cell>
          <cell r="I533">
            <v>102.19</v>
          </cell>
          <cell r="J533">
            <v>310.10000000000002</v>
          </cell>
        </row>
        <row r="534">
          <cell r="B534" t="str">
            <v>DU0710264039</v>
          </cell>
          <cell r="C534" t="str">
            <v>DU07</v>
          </cell>
          <cell r="D534" t="str">
            <v>D278</v>
          </cell>
          <cell r="E534" t="str">
            <v>MX-PD-055 CANCUN</v>
          </cell>
          <cell r="F534">
            <v>10264039</v>
          </cell>
          <cell r="G534" t="str">
            <v>MOV GRAVA TRITURADA CALIZA 20M</v>
          </cell>
          <cell r="H534">
            <v>203.67</v>
          </cell>
          <cell r="I534">
            <v>63.01</v>
          </cell>
          <cell r="J534">
            <v>266.68</v>
          </cell>
        </row>
        <row r="535">
          <cell r="B535" t="str">
            <v>DU0710000101</v>
          </cell>
          <cell r="C535" t="str">
            <v>DU07</v>
          </cell>
          <cell r="D535" t="str">
            <v>D285</v>
          </cell>
          <cell r="E535" t="str">
            <v>MX-PD-057 PLAYA DEL CARMEN</v>
          </cell>
          <cell r="F535">
            <v>10000101</v>
          </cell>
          <cell r="G535" t="str">
            <v>Arena Triturada Caliza Malla 4</v>
          </cell>
          <cell r="H535">
            <v>207.91</v>
          </cell>
          <cell r="I535">
            <v>102.19</v>
          </cell>
          <cell r="J535">
            <v>310.10000000000002</v>
          </cell>
        </row>
        <row r="536">
          <cell r="B536" t="str">
            <v>DU0710000110</v>
          </cell>
          <cell r="C536" t="str">
            <v>DU07</v>
          </cell>
          <cell r="D536" t="str">
            <v>D285</v>
          </cell>
          <cell r="E536" t="str">
            <v>MX-PD-057 PLAYA DEL CARMEN</v>
          </cell>
          <cell r="F536">
            <v>10000110</v>
          </cell>
          <cell r="G536" t="str">
            <v>GRAVA TRITURADA CALIZA 20 MM “</v>
          </cell>
          <cell r="H536">
            <v>203.67</v>
          </cell>
          <cell r="I536">
            <v>63.01</v>
          </cell>
          <cell r="J536">
            <v>266.68</v>
          </cell>
        </row>
        <row r="537">
          <cell r="B537" t="str">
            <v>DU0710000112</v>
          </cell>
          <cell r="C537" t="str">
            <v>DU07</v>
          </cell>
          <cell r="D537" t="str">
            <v>D285</v>
          </cell>
          <cell r="E537" t="str">
            <v>MX-PD-057 PLAYA DEL CARMEN</v>
          </cell>
          <cell r="F537">
            <v>10000112</v>
          </cell>
          <cell r="G537" t="str">
            <v>Grava Triturada Caliza 13 mm -</v>
          </cell>
          <cell r="H537">
            <v>203.67</v>
          </cell>
          <cell r="I537">
            <v>44.33</v>
          </cell>
          <cell r="J537">
            <v>248</v>
          </cell>
        </row>
        <row r="538">
          <cell r="B538" t="str">
            <v>DU0710000115</v>
          </cell>
          <cell r="C538" t="str">
            <v>DU07</v>
          </cell>
          <cell r="D538" t="str">
            <v>D285</v>
          </cell>
          <cell r="E538" t="str">
            <v>MX-PD-057 PLAYA DEL CARMEN</v>
          </cell>
          <cell r="F538">
            <v>10000115</v>
          </cell>
          <cell r="G538" t="str">
            <v>Grava Triturada Caliza 10 mm -</v>
          </cell>
          <cell r="H538">
            <v>203.67</v>
          </cell>
          <cell r="I538">
            <v>141.33000000000001</v>
          </cell>
          <cell r="J538">
            <v>345</v>
          </cell>
        </row>
        <row r="539">
          <cell r="B539" t="str">
            <v>DU0710251742</v>
          </cell>
          <cell r="C539" t="str">
            <v>DU07</v>
          </cell>
          <cell r="D539" t="str">
            <v>D285</v>
          </cell>
          <cell r="E539" t="str">
            <v>MX-PD-057 PLAYA DEL CARMEN</v>
          </cell>
          <cell r="F539">
            <v>10251742</v>
          </cell>
          <cell r="G539" t="str">
            <v>ARENA TRITURADA CALIZA 10MM -3</v>
          </cell>
          <cell r="H539">
            <v>207.91</v>
          </cell>
          <cell r="I539">
            <v>102.23</v>
          </cell>
          <cell r="J539">
            <v>310.14</v>
          </cell>
        </row>
        <row r="540">
          <cell r="B540" t="str">
            <v>DU0710264038</v>
          </cell>
          <cell r="C540" t="str">
            <v>DU07</v>
          </cell>
          <cell r="D540" t="str">
            <v>D285</v>
          </cell>
          <cell r="E540" t="str">
            <v>MX-PD-057 PLAYA DEL CARMEN</v>
          </cell>
          <cell r="F540">
            <v>10264038</v>
          </cell>
          <cell r="G540" t="str">
            <v>MOV ARENA TRITURADA CALIZA MAL</v>
          </cell>
          <cell r="H540">
            <v>207.91</v>
          </cell>
          <cell r="I540">
            <v>102.19</v>
          </cell>
          <cell r="J540">
            <v>310.10000000000002</v>
          </cell>
        </row>
        <row r="541">
          <cell r="B541" t="str">
            <v>DU0710264039</v>
          </cell>
          <cell r="C541" t="str">
            <v>DU07</v>
          </cell>
          <cell r="D541" t="str">
            <v>D285</v>
          </cell>
          <cell r="E541" t="str">
            <v>MX-PD-057 PLAYA DEL CARMEN</v>
          </cell>
          <cell r="F541">
            <v>10264039</v>
          </cell>
          <cell r="G541" t="str">
            <v>MOV GRAVA TRITURADA CALIZA 20M</v>
          </cell>
          <cell r="H541">
            <v>203.67</v>
          </cell>
          <cell r="I541">
            <v>79.430000000000007</v>
          </cell>
          <cell r="J541">
            <v>283.10000000000002</v>
          </cell>
        </row>
        <row r="542">
          <cell r="B542" t="str">
            <v>DU0710000101</v>
          </cell>
          <cell r="C542" t="str">
            <v>DU07</v>
          </cell>
          <cell r="D542" t="str">
            <v>D297</v>
          </cell>
          <cell r="E542" t="str">
            <v>MX-PD0455 PAAMUL II</v>
          </cell>
          <cell r="F542">
            <v>10000101</v>
          </cell>
          <cell r="G542" t="str">
            <v>Arena Triturada Caliza Malla 4</v>
          </cell>
          <cell r="H542">
            <v>207.91</v>
          </cell>
          <cell r="I542">
            <v>102.19</v>
          </cell>
          <cell r="J542">
            <v>310.10000000000002</v>
          </cell>
        </row>
        <row r="543">
          <cell r="B543" t="str">
            <v>DU0710000110</v>
          </cell>
          <cell r="C543" t="str">
            <v>DU07</v>
          </cell>
          <cell r="D543" t="str">
            <v>D297</v>
          </cell>
          <cell r="E543" t="str">
            <v>MX-PD0455 PAAMUL II</v>
          </cell>
          <cell r="F543">
            <v>10000110</v>
          </cell>
          <cell r="G543" t="str">
            <v>GRAVA TRITURADA CALIZA 20 MM “</v>
          </cell>
          <cell r="H543">
            <v>203.67</v>
          </cell>
          <cell r="I543">
            <v>63.01</v>
          </cell>
          <cell r="J543">
            <v>266.68</v>
          </cell>
        </row>
        <row r="544">
          <cell r="B544" t="str">
            <v>DU0710000112</v>
          </cell>
          <cell r="C544" t="str">
            <v>DU07</v>
          </cell>
          <cell r="D544" t="str">
            <v>D297</v>
          </cell>
          <cell r="E544" t="str">
            <v>MX-PD0455 PAAMUL II</v>
          </cell>
          <cell r="F544">
            <v>10000112</v>
          </cell>
          <cell r="G544" t="str">
            <v>Grava Triturada Caliza 13 mm -</v>
          </cell>
          <cell r="H544">
            <v>203.67</v>
          </cell>
          <cell r="I544">
            <v>44.33</v>
          </cell>
          <cell r="J544">
            <v>248</v>
          </cell>
        </row>
        <row r="545">
          <cell r="B545" t="str">
            <v>DU0710000115</v>
          </cell>
          <cell r="C545" t="str">
            <v>DU07</v>
          </cell>
          <cell r="D545" t="str">
            <v>D297</v>
          </cell>
          <cell r="E545" t="str">
            <v>MX-PD0455 PAAMUL II</v>
          </cell>
          <cell r="F545">
            <v>10000115</v>
          </cell>
          <cell r="G545" t="str">
            <v>Grava Triturada Caliza 10 mm -</v>
          </cell>
          <cell r="H545">
            <v>203.67</v>
          </cell>
          <cell r="I545">
            <v>141.33000000000001</v>
          </cell>
          <cell r="J545">
            <v>345</v>
          </cell>
        </row>
        <row r="546">
          <cell r="B546" t="str">
            <v>DU0710251742</v>
          </cell>
          <cell r="C546" t="str">
            <v>DU07</v>
          </cell>
          <cell r="D546" t="str">
            <v>D297</v>
          </cell>
          <cell r="E546" t="str">
            <v>MX-PD0455 PAAMUL II</v>
          </cell>
          <cell r="F546">
            <v>10251742</v>
          </cell>
          <cell r="G546" t="str">
            <v>ARENA TRITURADA CALIZA 10MM -3</v>
          </cell>
          <cell r="H546">
            <v>207.91</v>
          </cell>
          <cell r="I546">
            <v>102.23</v>
          </cell>
          <cell r="J546">
            <v>310.14</v>
          </cell>
        </row>
        <row r="547">
          <cell r="B547" t="str">
            <v>DU0710264038</v>
          </cell>
          <cell r="C547" t="str">
            <v>DU07</v>
          </cell>
          <cell r="D547" t="str">
            <v>D297</v>
          </cell>
          <cell r="E547" t="str">
            <v>MX-PD0455 PAAMUL II</v>
          </cell>
          <cell r="F547">
            <v>10264038</v>
          </cell>
          <cell r="G547" t="str">
            <v>MOV ARENA TRITURADA CALIZA MAL</v>
          </cell>
          <cell r="H547">
            <v>207.91</v>
          </cell>
          <cell r="I547">
            <v>102.19</v>
          </cell>
          <cell r="J547">
            <v>310.10000000000002</v>
          </cell>
        </row>
        <row r="548">
          <cell r="B548" t="str">
            <v>DU0710264039</v>
          </cell>
          <cell r="C548" t="str">
            <v>DU07</v>
          </cell>
          <cell r="D548" t="str">
            <v>D297</v>
          </cell>
          <cell r="E548" t="str">
            <v>MX-PD0455 PAAMUL II</v>
          </cell>
          <cell r="F548">
            <v>10264039</v>
          </cell>
          <cell r="G548" t="str">
            <v>MOV GRAVA TRITURADA CALIZA 20M</v>
          </cell>
          <cell r="H548">
            <v>203.67</v>
          </cell>
          <cell r="I548">
            <v>79.430000000000007</v>
          </cell>
          <cell r="J548">
            <v>283.10000000000002</v>
          </cell>
        </row>
        <row r="549">
          <cell r="B549" t="str">
            <v>DU0710000101</v>
          </cell>
          <cell r="C549" t="str">
            <v>DU07</v>
          </cell>
          <cell r="D549" t="str">
            <v>D306</v>
          </cell>
          <cell r="E549" t="str">
            <v>MX-PD0304 MAYACOBA II</v>
          </cell>
          <cell r="F549">
            <v>10000101</v>
          </cell>
          <cell r="G549" t="str">
            <v>Arena Triturada Caliza Malla 4</v>
          </cell>
          <cell r="H549">
            <v>207.91</v>
          </cell>
          <cell r="I549">
            <v>102.19</v>
          </cell>
          <cell r="J549">
            <v>310.10000000000002</v>
          </cell>
        </row>
        <row r="550">
          <cell r="B550" t="str">
            <v>DU0710000110</v>
          </cell>
          <cell r="C550" t="str">
            <v>DU07</v>
          </cell>
          <cell r="D550" t="str">
            <v>D306</v>
          </cell>
          <cell r="E550" t="str">
            <v>MX-PD0304 MAYACOBA II</v>
          </cell>
          <cell r="F550">
            <v>10000110</v>
          </cell>
          <cell r="G550" t="str">
            <v>GRAVA TRITURADA CALIZA 20 MM “</v>
          </cell>
          <cell r="H550">
            <v>203.67</v>
          </cell>
          <cell r="I550">
            <v>79.430000000000007</v>
          </cell>
          <cell r="J550">
            <v>283.10000000000002</v>
          </cell>
        </row>
        <row r="551">
          <cell r="B551" t="str">
            <v>DU0710000111</v>
          </cell>
          <cell r="C551" t="str">
            <v>DU07</v>
          </cell>
          <cell r="D551" t="str">
            <v>D306</v>
          </cell>
          <cell r="E551" t="str">
            <v>MX-PD0304 MAYACOBA II</v>
          </cell>
          <cell r="F551">
            <v>10000111</v>
          </cell>
          <cell r="G551" t="str">
            <v>Grava Triturada Caliza 40mm -1</v>
          </cell>
          <cell r="H551">
            <v>203.67</v>
          </cell>
          <cell r="I551">
            <v>-62.49</v>
          </cell>
          <cell r="J551">
            <v>141.17999999999998</v>
          </cell>
        </row>
        <row r="552">
          <cell r="B552" t="str">
            <v>DU0710000112</v>
          </cell>
          <cell r="C552" t="str">
            <v>DU07</v>
          </cell>
          <cell r="D552" t="str">
            <v>D306</v>
          </cell>
          <cell r="E552" t="str">
            <v>MX-PD0304 MAYACOBA II</v>
          </cell>
          <cell r="F552">
            <v>10000112</v>
          </cell>
          <cell r="G552" t="str">
            <v>Grava Triturada Caliza 13 mm -</v>
          </cell>
          <cell r="H552">
            <v>203.67</v>
          </cell>
          <cell r="I552">
            <v>44.33</v>
          </cell>
          <cell r="J552">
            <v>248</v>
          </cell>
        </row>
        <row r="553">
          <cell r="B553" t="str">
            <v>DU0710000115</v>
          </cell>
          <cell r="C553" t="str">
            <v>DU07</v>
          </cell>
          <cell r="D553" t="str">
            <v>D306</v>
          </cell>
          <cell r="E553" t="str">
            <v>MX-PD0304 MAYACOBA II</v>
          </cell>
          <cell r="F553">
            <v>10000115</v>
          </cell>
          <cell r="G553" t="str">
            <v>Grava Triturada Caliza 10 mm -</v>
          </cell>
          <cell r="H553">
            <v>203.67</v>
          </cell>
          <cell r="I553">
            <v>141.33000000000001</v>
          </cell>
          <cell r="J553">
            <v>345</v>
          </cell>
        </row>
        <row r="554">
          <cell r="B554" t="str">
            <v>DU0710251742</v>
          </cell>
          <cell r="C554" t="str">
            <v>DU07</v>
          </cell>
          <cell r="D554" t="str">
            <v>D306</v>
          </cell>
          <cell r="E554" t="str">
            <v>MX-PD0304 MAYACOBA II</v>
          </cell>
          <cell r="F554">
            <v>10251742</v>
          </cell>
          <cell r="G554" t="str">
            <v>ARENA TRITURADA CALIZA 10MM -3</v>
          </cell>
          <cell r="H554">
            <v>207.91</v>
          </cell>
          <cell r="I554">
            <v>102.23</v>
          </cell>
          <cell r="J554">
            <v>310.14</v>
          </cell>
        </row>
        <row r="555">
          <cell r="B555" t="str">
            <v>DU0710264038</v>
          </cell>
          <cell r="C555" t="str">
            <v>DU07</v>
          </cell>
          <cell r="D555" t="str">
            <v>D306</v>
          </cell>
          <cell r="E555" t="str">
            <v>MX-PD0304 MAYACOBA II</v>
          </cell>
          <cell r="F555">
            <v>10264038</v>
          </cell>
          <cell r="G555" t="str">
            <v>MOV ARENA TRITURADA CALIZA MAL</v>
          </cell>
          <cell r="H555">
            <v>207.91</v>
          </cell>
          <cell r="I555">
            <v>102.19</v>
          </cell>
          <cell r="J555">
            <v>310.10000000000002</v>
          </cell>
        </row>
        <row r="556">
          <cell r="B556" t="str">
            <v>DU0710264039</v>
          </cell>
          <cell r="C556" t="str">
            <v>DU07</v>
          </cell>
          <cell r="D556" t="str">
            <v>D306</v>
          </cell>
          <cell r="E556" t="str">
            <v>MX-PD0304 MAYACOBA II</v>
          </cell>
          <cell r="F556">
            <v>10264039</v>
          </cell>
          <cell r="G556" t="str">
            <v>MOV GRAVA TRITURADA CALIZA 20M</v>
          </cell>
          <cell r="H556">
            <v>203.67</v>
          </cell>
          <cell r="I556">
            <v>63.01</v>
          </cell>
          <cell r="J556">
            <v>266.68</v>
          </cell>
        </row>
        <row r="557">
          <cell r="B557" t="str">
            <v>DU0710000101</v>
          </cell>
          <cell r="C557" t="str">
            <v>DU07</v>
          </cell>
          <cell r="D557" t="str">
            <v>D312</v>
          </cell>
          <cell r="E557" t="str">
            <v>MX-PD0311 PUERTA DEL MAR II</v>
          </cell>
          <cell r="F557">
            <v>10000101</v>
          </cell>
          <cell r="G557" t="str">
            <v>Arena Triturada Caliza Malla 4</v>
          </cell>
          <cell r="H557">
            <v>207.91</v>
          </cell>
          <cell r="I557">
            <v>102.19</v>
          </cell>
          <cell r="J557">
            <v>310.10000000000002</v>
          </cell>
        </row>
        <row r="558">
          <cell r="B558" t="str">
            <v>DU0710000110</v>
          </cell>
          <cell r="C558" t="str">
            <v>DU07</v>
          </cell>
          <cell r="D558" t="str">
            <v>D312</v>
          </cell>
          <cell r="E558" t="str">
            <v>MX-PD0311 PUERTA DEL MAR II</v>
          </cell>
          <cell r="F558">
            <v>10000110</v>
          </cell>
          <cell r="G558" t="str">
            <v>GRAVA TRITURADA CALIZA 20 MM “</v>
          </cell>
          <cell r="H558">
            <v>203.67</v>
          </cell>
          <cell r="I558">
            <v>79.430000000000007</v>
          </cell>
          <cell r="J558">
            <v>283.10000000000002</v>
          </cell>
        </row>
        <row r="559">
          <cell r="B559" t="str">
            <v>DU0710000111</v>
          </cell>
          <cell r="C559" t="str">
            <v>DU07</v>
          </cell>
          <cell r="D559" t="str">
            <v>D312</v>
          </cell>
          <cell r="E559" t="str">
            <v>MX-PD0311 PUERTA DEL MAR II</v>
          </cell>
          <cell r="F559">
            <v>10000111</v>
          </cell>
          <cell r="G559" t="str">
            <v>Grava Triturada Caliza 40mm -1</v>
          </cell>
          <cell r="H559">
            <v>203.67</v>
          </cell>
          <cell r="I559">
            <v>-55.27</v>
          </cell>
          <cell r="J559">
            <v>148.39999999999998</v>
          </cell>
        </row>
        <row r="560">
          <cell r="B560" t="str">
            <v>DU0710000112</v>
          </cell>
          <cell r="C560" t="str">
            <v>DU07</v>
          </cell>
          <cell r="D560" t="str">
            <v>D312</v>
          </cell>
          <cell r="E560" t="str">
            <v>MX-PD0311 PUERTA DEL MAR II</v>
          </cell>
          <cell r="F560">
            <v>10000112</v>
          </cell>
          <cell r="G560" t="str">
            <v>Grava Triturada Caliza 13 mm -</v>
          </cell>
          <cell r="H560">
            <v>203.67</v>
          </cell>
          <cell r="I560">
            <v>44.33</v>
          </cell>
          <cell r="J560">
            <v>248</v>
          </cell>
        </row>
        <row r="561">
          <cell r="B561" t="str">
            <v>DU0710000115</v>
          </cell>
          <cell r="C561" t="str">
            <v>DU07</v>
          </cell>
          <cell r="D561" t="str">
            <v>D312</v>
          </cell>
          <cell r="E561" t="str">
            <v>MX-PD0311 PUERTA DEL MAR II</v>
          </cell>
          <cell r="F561">
            <v>10000115</v>
          </cell>
          <cell r="G561" t="str">
            <v>Grava Triturada Caliza 10 mm -</v>
          </cell>
          <cell r="H561">
            <v>203.67</v>
          </cell>
          <cell r="I561">
            <v>141.33000000000001</v>
          </cell>
          <cell r="J561">
            <v>345</v>
          </cell>
        </row>
        <row r="562">
          <cell r="B562" t="str">
            <v>DU0710264038</v>
          </cell>
          <cell r="C562" t="str">
            <v>DU07</v>
          </cell>
          <cell r="D562" t="str">
            <v>D312</v>
          </cell>
          <cell r="E562" t="str">
            <v>MX-PD0311 PUERTA DEL MAR II</v>
          </cell>
          <cell r="F562">
            <v>10264038</v>
          </cell>
          <cell r="G562" t="str">
            <v>MOV ARENA TRITURADA CALIZA MAL</v>
          </cell>
          <cell r="H562">
            <v>207.91</v>
          </cell>
          <cell r="I562">
            <v>102.19</v>
          </cell>
          <cell r="J562">
            <v>310.10000000000002</v>
          </cell>
        </row>
        <row r="563">
          <cell r="B563" t="str">
            <v>DU0710264039</v>
          </cell>
          <cell r="C563" t="str">
            <v>DU07</v>
          </cell>
          <cell r="D563" t="str">
            <v>D312</v>
          </cell>
          <cell r="E563" t="str">
            <v>MX-PD0311 PUERTA DEL MAR II</v>
          </cell>
          <cell r="F563">
            <v>10264039</v>
          </cell>
          <cell r="G563" t="str">
            <v>MOV GRAVA TRITURADA CALIZA 20M</v>
          </cell>
          <cell r="H563">
            <v>203.67</v>
          </cell>
          <cell r="I563">
            <v>79.430000000000007</v>
          </cell>
          <cell r="J563">
            <v>283.10000000000002</v>
          </cell>
        </row>
        <row r="564">
          <cell r="B564" t="str">
            <v>DU0710000101</v>
          </cell>
          <cell r="C564" t="str">
            <v>DU07</v>
          </cell>
          <cell r="D564" t="str">
            <v>D315</v>
          </cell>
          <cell r="E564" t="str">
            <v>MX-PD0327 RIVIERA MAYA 2</v>
          </cell>
          <cell r="F564">
            <v>10000101</v>
          </cell>
          <cell r="G564" t="str">
            <v>Arena Triturada Caliza Malla 4</v>
          </cell>
          <cell r="H564">
            <v>207.91</v>
          </cell>
          <cell r="I564">
            <v>102.19</v>
          </cell>
          <cell r="J564">
            <v>310.10000000000002</v>
          </cell>
        </row>
        <row r="565">
          <cell r="B565" t="str">
            <v>DU0710000110</v>
          </cell>
          <cell r="C565" t="str">
            <v>DU07</v>
          </cell>
          <cell r="D565" t="str">
            <v>D315</v>
          </cell>
          <cell r="E565" t="str">
            <v>MX-PD0327 RIVIERA MAYA 2</v>
          </cell>
          <cell r="F565">
            <v>10000110</v>
          </cell>
          <cell r="G565" t="str">
            <v>GRAVA TRITURADA CALIZA 20 MM “</v>
          </cell>
          <cell r="H565">
            <v>203.67</v>
          </cell>
          <cell r="I565">
            <v>79.430000000000007</v>
          </cell>
          <cell r="J565">
            <v>283.10000000000002</v>
          </cell>
        </row>
        <row r="566">
          <cell r="B566" t="str">
            <v>DU0710000111</v>
          </cell>
          <cell r="C566" t="str">
            <v>DU07</v>
          </cell>
          <cell r="D566" t="str">
            <v>D315</v>
          </cell>
          <cell r="E566" t="str">
            <v>MX-PD0327 RIVIERA MAYA 2</v>
          </cell>
          <cell r="F566">
            <v>10000111</v>
          </cell>
          <cell r="G566" t="str">
            <v>Grava Triturada Caliza 40mm -1</v>
          </cell>
          <cell r="H566">
            <v>203.67</v>
          </cell>
          <cell r="I566">
            <v>-62.49</v>
          </cell>
          <cell r="J566">
            <v>141.17999999999998</v>
          </cell>
        </row>
        <row r="567">
          <cell r="B567" t="str">
            <v>DU0710000112</v>
          </cell>
          <cell r="C567" t="str">
            <v>DU07</v>
          </cell>
          <cell r="D567" t="str">
            <v>D315</v>
          </cell>
          <cell r="E567" t="str">
            <v>MX-PD0327 RIVIERA MAYA 2</v>
          </cell>
          <cell r="F567">
            <v>10000112</v>
          </cell>
          <cell r="G567" t="str">
            <v>Grava Triturada Caliza 13 mm -</v>
          </cell>
          <cell r="H567">
            <v>203.67</v>
          </cell>
          <cell r="I567">
            <v>44.33</v>
          </cell>
          <cell r="J567">
            <v>248</v>
          </cell>
        </row>
        <row r="568">
          <cell r="B568" t="str">
            <v>DU0710000115</v>
          </cell>
          <cell r="C568" t="str">
            <v>DU07</v>
          </cell>
          <cell r="D568" t="str">
            <v>D315</v>
          </cell>
          <cell r="E568" t="str">
            <v>MX-PD0327 RIVIERA MAYA 2</v>
          </cell>
          <cell r="F568">
            <v>10000115</v>
          </cell>
          <cell r="G568" t="str">
            <v>Grava Triturada Caliza 10 mm -</v>
          </cell>
          <cell r="H568">
            <v>203.67</v>
          </cell>
          <cell r="I568">
            <v>141.33000000000001</v>
          </cell>
          <cell r="J568">
            <v>345</v>
          </cell>
        </row>
        <row r="569">
          <cell r="B569" t="str">
            <v>DU0710264038</v>
          </cell>
          <cell r="C569" t="str">
            <v>DU07</v>
          </cell>
          <cell r="D569" t="str">
            <v>D315</v>
          </cell>
          <cell r="E569" t="str">
            <v>MX-PD0327 RIVIERA MAYA 2</v>
          </cell>
          <cell r="F569">
            <v>10264038</v>
          </cell>
          <cell r="G569" t="str">
            <v>MOV ARENA TRITURADA CALIZA MAL</v>
          </cell>
          <cell r="H569">
            <v>207.91</v>
          </cell>
          <cell r="I569">
            <v>102.19</v>
          </cell>
          <cell r="J569">
            <v>310.10000000000002</v>
          </cell>
        </row>
        <row r="570">
          <cell r="B570" t="str">
            <v>DU0710264039</v>
          </cell>
          <cell r="C570" t="str">
            <v>DU07</v>
          </cell>
          <cell r="D570" t="str">
            <v>D315</v>
          </cell>
          <cell r="E570" t="str">
            <v>MX-PD0327 RIVIERA MAYA 2</v>
          </cell>
          <cell r="F570">
            <v>10264039</v>
          </cell>
          <cell r="G570" t="str">
            <v>MOV GRAVA TRITURADA CALIZA 20M</v>
          </cell>
          <cell r="H570">
            <v>203.67</v>
          </cell>
          <cell r="I570">
            <v>79.430000000000007</v>
          </cell>
          <cell r="J570">
            <v>283.10000000000002</v>
          </cell>
        </row>
        <row r="571">
          <cell r="B571" t="str">
            <v>DU0710000101</v>
          </cell>
          <cell r="C571" t="str">
            <v>DU07</v>
          </cell>
          <cell r="D571" t="str">
            <v>D327</v>
          </cell>
          <cell r="E571" t="str">
            <v>MX-PD0410 CANCUN 2</v>
          </cell>
          <cell r="F571">
            <v>10000101</v>
          </cell>
          <cell r="G571" t="str">
            <v>Arena Triturada Caliza Malla 4</v>
          </cell>
          <cell r="H571">
            <v>207.91</v>
          </cell>
          <cell r="I571">
            <v>102.19</v>
          </cell>
          <cell r="J571">
            <v>310.10000000000002</v>
          </cell>
        </row>
        <row r="572">
          <cell r="B572" t="str">
            <v>DU0710000110</v>
          </cell>
          <cell r="C572" t="str">
            <v>DU07</v>
          </cell>
          <cell r="D572" t="str">
            <v>D327</v>
          </cell>
          <cell r="E572" t="str">
            <v>MX-PD0410 CANCUN 2</v>
          </cell>
          <cell r="F572">
            <v>10000110</v>
          </cell>
          <cell r="G572" t="str">
            <v>GRAVA TRITURADA CALIZA 20 MM “</v>
          </cell>
          <cell r="H572">
            <v>203.67</v>
          </cell>
          <cell r="I572">
            <v>79.430000000000007</v>
          </cell>
          <cell r="J572">
            <v>283.10000000000002</v>
          </cell>
        </row>
        <row r="573">
          <cell r="B573" t="str">
            <v>DU0710000111</v>
          </cell>
          <cell r="C573" t="str">
            <v>DU07</v>
          </cell>
          <cell r="D573" t="str">
            <v>D327</v>
          </cell>
          <cell r="E573" t="str">
            <v>MX-PD0410 CANCUN 2</v>
          </cell>
          <cell r="F573">
            <v>10000111</v>
          </cell>
          <cell r="G573" t="str">
            <v>Grava Triturada Caliza 40mm -1</v>
          </cell>
          <cell r="H573">
            <v>203.67</v>
          </cell>
          <cell r="I573">
            <v>-62.49</v>
          </cell>
          <cell r="J573">
            <v>141.17999999999998</v>
          </cell>
        </row>
        <row r="574">
          <cell r="B574" t="str">
            <v>DU0710000112</v>
          </cell>
          <cell r="C574" t="str">
            <v>DU07</v>
          </cell>
          <cell r="D574" t="str">
            <v>D327</v>
          </cell>
          <cell r="E574" t="str">
            <v>MX-PD0410 CANCUN 2</v>
          </cell>
          <cell r="F574">
            <v>10000112</v>
          </cell>
          <cell r="G574" t="str">
            <v>Grava Triturada Caliza 13 mm -</v>
          </cell>
          <cell r="H574">
            <v>203.67</v>
          </cell>
          <cell r="I574">
            <v>44.33</v>
          </cell>
          <cell r="J574">
            <v>248</v>
          </cell>
        </row>
        <row r="575">
          <cell r="B575" t="str">
            <v>DU0710000115</v>
          </cell>
          <cell r="C575" t="str">
            <v>DU07</v>
          </cell>
          <cell r="D575" t="str">
            <v>D327</v>
          </cell>
          <cell r="E575" t="str">
            <v>MX-PD0410 CANCUN 2</v>
          </cell>
          <cell r="F575">
            <v>10000115</v>
          </cell>
          <cell r="G575" t="str">
            <v>Grava Triturada Caliza 10 mm -</v>
          </cell>
          <cell r="H575">
            <v>203.67</v>
          </cell>
          <cell r="I575">
            <v>141.33000000000001</v>
          </cell>
          <cell r="J575">
            <v>345</v>
          </cell>
        </row>
        <row r="576">
          <cell r="B576" t="str">
            <v>DU0710264038</v>
          </cell>
          <cell r="C576" t="str">
            <v>DU07</v>
          </cell>
          <cell r="D576" t="str">
            <v>D327</v>
          </cell>
          <cell r="E576" t="str">
            <v>MX-PD0410 CANCUN 2</v>
          </cell>
          <cell r="F576">
            <v>10264038</v>
          </cell>
          <cell r="G576" t="str">
            <v>MOV ARENA TRITURADA CALIZA MAL</v>
          </cell>
          <cell r="H576">
            <v>207.91</v>
          </cell>
          <cell r="I576">
            <v>102.19</v>
          </cell>
          <cell r="J576">
            <v>310.10000000000002</v>
          </cell>
        </row>
        <row r="577">
          <cell r="B577" t="str">
            <v>DU0710264039</v>
          </cell>
          <cell r="C577" t="str">
            <v>DU07</v>
          </cell>
          <cell r="D577" t="str">
            <v>D327</v>
          </cell>
          <cell r="E577" t="str">
            <v>MX-PD0410 CANCUN 2</v>
          </cell>
          <cell r="F577">
            <v>10264039</v>
          </cell>
          <cell r="G577" t="str">
            <v>MOV GRAVA TRITURADA CALIZA 20M</v>
          </cell>
          <cell r="H577">
            <v>203.67</v>
          </cell>
          <cell r="I577">
            <v>79.430000000000007</v>
          </cell>
          <cell r="J577">
            <v>283.10000000000002</v>
          </cell>
        </row>
        <row r="578">
          <cell r="B578" t="str">
            <v>DU0710000101</v>
          </cell>
          <cell r="C578" t="str">
            <v>DU07</v>
          </cell>
          <cell r="D578" t="str">
            <v>D331</v>
          </cell>
          <cell r="E578" t="str">
            <v>MX-PD0442 PLANTA TULUM II</v>
          </cell>
          <cell r="F578">
            <v>10000101</v>
          </cell>
          <cell r="G578" t="str">
            <v>Arena Triturada Caliza Malla 4</v>
          </cell>
          <cell r="H578">
            <v>207.91</v>
          </cell>
          <cell r="I578">
            <v>102.19</v>
          </cell>
          <cell r="J578">
            <v>310.10000000000002</v>
          </cell>
        </row>
        <row r="579">
          <cell r="B579" t="str">
            <v>DU0710000110</v>
          </cell>
          <cell r="C579" t="str">
            <v>DU07</v>
          </cell>
          <cell r="D579" t="str">
            <v>D331</v>
          </cell>
          <cell r="E579" t="str">
            <v>MX-PD0442 PLANTA TULUM II</v>
          </cell>
          <cell r="F579">
            <v>10000110</v>
          </cell>
          <cell r="G579" t="str">
            <v>GRAVA TRITURADA CALIZA 20 MM “</v>
          </cell>
          <cell r="H579">
            <v>203.67</v>
          </cell>
          <cell r="I579">
            <v>79.430000000000007</v>
          </cell>
          <cell r="J579">
            <v>283.10000000000002</v>
          </cell>
        </row>
        <row r="580">
          <cell r="B580" t="str">
            <v>DU0710000111</v>
          </cell>
          <cell r="C580" t="str">
            <v>DU07</v>
          </cell>
          <cell r="D580" t="str">
            <v>D331</v>
          </cell>
          <cell r="E580" t="str">
            <v>MX-PD0442 PLANTA TULUM II</v>
          </cell>
          <cell r="F580">
            <v>10000111</v>
          </cell>
          <cell r="G580" t="str">
            <v>Grava Triturada Caliza 40mm -1</v>
          </cell>
          <cell r="H580">
            <v>203.67</v>
          </cell>
          <cell r="I580">
            <v>-62.49</v>
          </cell>
          <cell r="J580">
            <v>141.17999999999998</v>
          </cell>
        </row>
        <row r="581">
          <cell r="B581" t="str">
            <v>DU0710000112</v>
          </cell>
          <cell r="C581" t="str">
            <v>DU07</v>
          </cell>
          <cell r="D581" t="str">
            <v>D331</v>
          </cell>
          <cell r="E581" t="str">
            <v>MX-PD0442 PLANTA TULUM II</v>
          </cell>
          <cell r="F581">
            <v>10000112</v>
          </cell>
          <cell r="G581" t="str">
            <v>Grava Triturada Caliza 13 mm -</v>
          </cell>
          <cell r="H581">
            <v>203.67</v>
          </cell>
          <cell r="I581">
            <v>44.33</v>
          </cell>
          <cell r="J581">
            <v>248</v>
          </cell>
        </row>
        <row r="582">
          <cell r="B582" t="str">
            <v>DU0710000115</v>
          </cell>
          <cell r="C582" t="str">
            <v>DU07</v>
          </cell>
          <cell r="D582" t="str">
            <v>D331</v>
          </cell>
          <cell r="E582" t="str">
            <v>MX-PD0442 PLANTA TULUM II</v>
          </cell>
          <cell r="F582">
            <v>10000115</v>
          </cell>
          <cell r="G582" t="str">
            <v>Grava Triturada Caliza 10 mm -</v>
          </cell>
          <cell r="H582">
            <v>203.67</v>
          </cell>
          <cell r="I582">
            <v>141.33000000000001</v>
          </cell>
          <cell r="J582">
            <v>345</v>
          </cell>
        </row>
        <row r="583">
          <cell r="B583" t="str">
            <v>DU0710264038</v>
          </cell>
          <cell r="C583" t="str">
            <v>DU07</v>
          </cell>
          <cell r="D583" t="str">
            <v>D331</v>
          </cell>
          <cell r="E583" t="str">
            <v>MX-PD0442 PLANTA TULUM II</v>
          </cell>
          <cell r="F583">
            <v>10264038</v>
          </cell>
          <cell r="G583" t="str">
            <v>MOV ARENA TRITURADA CALIZA MAL</v>
          </cell>
          <cell r="H583">
            <v>207.91</v>
          </cell>
          <cell r="I583">
            <v>102.19</v>
          </cell>
          <cell r="J583">
            <v>310.10000000000002</v>
          </cell>
        </row>
        <row r="584">
          <cell r="B584" t="str">
            <v>DU0710264039</v>
          </cell>
          <cell r="C584" t="str">
            <v>DU07</v>
          </cell>
          <cell r="D584" t="str">
            <v>D331</v>
          </cell>
          <cell r="E584" t="str">
            <v>MX-PD0442 PLANTA TULUM II</v>
          </cell>
          <cell r="F584">
            <v>10264039</v>
          </cell>
          <cell r="G584" t="str">
            <v>MOV GRAVA TRITURADA CALIZA 20M</v>
          </cell>
          <cell r="H584">
            <v>203.67</v>
          </cell>
          <cell r="I584">
            <v>79.430000000000007</v>
          </cell>
          <cell r="J584">
            <v>283.10000000000002</v>
          </cell>
        </row>
        <row r="585">
          <cell r="B585" t="str">
            <v>DU0710000101</v>
          </cell>
          <cell r="C585" t="str">
            <v>DU07</v>
          </cell>
          <cell r="D585" t="str">
            <v>D343</v>
          </cell>
          <cell r="E585" t="str">
            <v>MX-PD0270 RIVIERA MAYA</v>
          </cell>
          <cell r="F585">
            <v>10000101</v>
          </cell>
          <cell r="G585" t="str">
            <v>Arena Triturada Caliza Malla 4</v>
          </cell>
          <cell r="H585">
            <v>207.91</v>
          </cell>
          <cell r="I585">
            <v>102.19</v>
          </cell>
          <cell r="J585">
            <v>310.10000000000002</v>
          </cell>
        </row>
        <row r="586">
          <cell r="B586" t="str">
            <v>DU0710000110</v>
          </cell>
          <cell r="C586" t="str">
            <v>DU07</v>
          </cell>
          <cell r="D586" t="str">
            <v>D343</v>
          </cell>
          <cell r="E586" t="str">
            <v>MX-PD0270 RIVIERA MAYA</v>
          </cell>
          <cell r="F586">
            <v>10000110</v>
          </cell>
          <cell r="G586" t="str">
            <v>GRAVA TRITURADA CALIZA 20 MM “</v>
          </cell>
          <cell r="H586">
            <v>203.67</v>
          </cell>
          <cell r="I586">
            <v>79.430000000000007</v>
          </cell>
          <cell r="J586">
            <v>283.10000000000002</v>
          </cell>
        </row>
        <row r="587">
          <cell r="B587" t="str">
            <v>DU0710000112</v>
          </cell>
          <cell r="C587" t="str">
            <v>DU07</v>
          </cell>
          <cell r="D587" t="str">
            <v>D343</v>
          </cell>
          <cell r="E587" t="str">
            <v>MX-PD0270 RIVIERA MAYA</v>
          </cell>
          <cell r="F587">
            <v>10000112</v>
          </cell>
          <cell r="G587" t="str">
            <v>Grava Triturada Caliza 13 mm -</v>
          </cell>
          <cell r="H587">
            <v>203.67</v>
          </cell>
          <cell r="I587">
            <v>44.33</v>
          </cell>
          <cell r="J587">
            <v>248</v>
          </cell>
        </row>
        <row r="588">
          <cell r="B588" t="str">
            <v>DU0710000115</v>
          </cell>
          <cell r="C588" t="str">
            <v>DU07</v>
          </cell>
          <cell r="D588" t="str">
            <v>D343</v>
          </cell>
          <cell r="E588" t="str">
            <v>MX-PD0270 RIVIERA MAYA</v>
          </cell>
          <cell r="F588">
            <v>10000115</v>
          </cell>
          <cell r="G588" t="str">
            <v>Grava Triturada Caliza 10 mm -</v>
          </cell>
          <cell r="H588">
            <v>203.67</v>
          </cell>
          <cell r="I588">
            <v>141.33000000000001</v>
          </cell>
          <cell r="J588">
            <v>345</v>
          </cell>
        </row>
        <row r="589">
          <cell r="B589" t="str">
            <v>DU0710251742</v>
          </cell>
          <cell r="C589" t="str">
            <v>DU07</v>
          </cell>
          <cell r="D589" t="str">
            <v>D343</v>
          </cell>
          <cell r="E589" t="str">
            <v>MX-PD0270 RIVIERA MAYA</v>
          </cell>
          <cell r="F589">
            <v>10251742</v>
          </cell>
          <cell r="G589" t="str">
            <v>ARENA TRITURADA CALIZA 10MM -3</v>
          </cell>
          <cell r="H589">
            <v>207.91</v>
          </cell>
          <cell r="I589">
            <v>102.23</v>
          </cell>
          <cell r="J589">
            <v>310.14</v>
          </cell>
        </row>
        <row r="590">
          <cell r="B590" t="str">
            <v>DU0710264038</v>
          </cell>
          <cell r="C590" t="str">
            <v>DU07</v>
          </cell>
          <cell r="D590" t="str">
            <v>D343</v>
          </cell>
          <cell r="E590" t="str">
            <v>MX-PD0270 RIVIERA MAYA</v>
          </cell>
          <cell r="F590">
            <v>10264038</v>
          </cell>
          <cell r="G590" t="str">
            <v>MOV ARENA TRITURADA CALIZA MAL</v>
          </cell>
          <cell r="H590">
            <v>207.91</v>
          </cell>
          <cell r="I590">
            <v>102.19</v>
          </cell>
          <cell r="J590">
            <v>310.10000000000002</v>
          </cell>
        </row>
        <row r="591">
          <cell r="B591" t="str">
            <v>DU0710264039</v>
          </cell>
          <cell r="C591" t="str">
            <v>DU07</v>
          </cell>
          <cell r="D591" t="str">
            <v>D343</v>
          </cell>
          <cell r="E591" t="str">
            <v>MX-PD0270 RIVIERA MAYA</v>
          </cell>
          <cell r="F591">
            <v>10264039</v>
          </cell>
          <cell r="G591" t="str">
            <v>MOV GRAVA TRITURADA CALIZA 20M</v>
          </cell>
          <cell r="H591">
            <v>203.67</v>
          </cell>
          <cell r="I591">
            <v>79.430000000000007</v>
          </cell>
          <cell r="J591">
            <v>283.10000000000002</v>
          </cell>
        </row>
        <row r="592">
          <cell r="B592" t="str">
            <v>DU0710000101</v>
          </cell>
          <cell r="C592" t="str">
            <v>DU07</v>
          </cell>
          <cell r="D592" t="str">
            <v>D349</v>
          </cell>
          <cell r="E592" t="str">
            <v>MX-PD0300 PETEMPICH</v>
          </cell>
          <cell r="F592">
            <v>10000101</v>
          </cell>
          <cell r="G592" t="str">
            <v>Arena Triturada Caliza Malla 4</v>
          </cell>
          <cell r="H592">
            <v>207.91</v>
          </cell>
          <cell r="I592">
            <v>102.19</v>
          </cell>
          <cell r="J592">
            <v>310.10000000000002</v>
          </cell>
        </row>
        <row r="593">
          <cell r="B593" t="str">
            <v>DU0710000110</v>
          </cell>
          <cell r="C593" t="str">
            <v>DU07</v>
          </cell>
          <cell r="D593" t="str">
            <v>D349</v>
          </cell>
          <cell r="E593" t="str">
            <v>MX-PD0300 PETEMPICH</v>
          </cell>
          <cell r="F593">
            <v>10000110</v>
          </cell>
          <cell r="G593" t="str">
            <v>GRAVA TRITURADA CALIZA 20 MM “</v>
          </cell>
          <cell r="H593">
            <v>203.67</v>
          </cell>
          <cell r="I593">
            <v>79.430000000000007</v>
          </cell>
          <cell r="J593">
            <v>283.10000000000002</v>
          </cell>
        </row>
        <row r="594">
          <cell r="B594" t="str">
            <v>DU0710000111</v>
          </cell>
          <cell r="C594" t="str">
            <v>DU07</v>
          </cell>
          <cell r="D594" t="str">
            <v>D349</v>
          </cell>
          <cell r="E594" t="str">
            <v>MX-PD0300 PETEMPICH</v>
          </cell>
          <cell r="F594">
            <v>10000111</v>
          </cell>
          <cell r="G594" t="str">
            <v>Grava Triturada Caliza 40mm -1</v>
          </cell>
          <cell r="H594">
            <v>203.67</v>
          </cell>
          <cell r="I594">
            <v>-62.49</v>
          </cell>
          <cell r="J594">
            <v>141.17999999999998</v>
          </cell>
        </row>
        <row r="595">
          <cell r="B595" t="str">
            <v>DU0710000112</v>
          </cell>
          <cell r="C595" t="str">
            <v>DU07</v>
          </cell>
          <cell r="D595" t="str">
            <v>D349</v>
          </cell>
          <cell r="E595" t="str">
            <v>MX-PD0300 PETEMPICH</v>
          </cell>
          <cell r="F595">
            <v>10000112</v>
          </cell>
          <cell r="G595" t="str">
            <v>Grava Triturada Caliza 13 mm -</v>
          </cell>
          <cell r="H595">
            <v>203.67</v>
          </cell>
          <cell r="I595">
            <v>44.33</v>
          </cell>
          <cell r="J595">
            <v>248</v>
          </cell>
        </row>
        <row r="596">
          <cell r="B596" t="str">
            <v>DU0710000115</v>
          </cell>
          <cell r="C596" t="str">
            <v>DU07</v>
          </cell>
          <cell r="D596" t="str">
            <v>D349</v>
          </cell>
          <cell r="E596" t="str">
            <v>MX-PD0300 PETEMPICH</v>
          </cell>
          <cell r="F596">
            <v>10000115</v>
          </cell>
          <cell r="G596" t="str">
            <v>Grava Triturada Caliza 10 mm -</v>
          </cell>
          <cell r="H596">
            <v>203.67</v>
          </cell>
          <cell r="I596">
            <v>141.33000000000001</v>
          </cell>
          <cell r="J596">
            <v>345</v>
          </cell>
        </row>
        <row r="597">
          <cell r="B597" t="str">
            <v>DU0710251742</v>
          </cell>
          <cell r="C597" t="str">
            <v>DU07</v>
          </cell>
          <cell r="D597" t="str">
            <v>D349</v>
          </cell>
          <cell r="E597" t="str">
            <v>MX-PD0300 PETEMPICH</v>
          </cell>
          <cell r="F597">
            <v>10251742</v>
          </cell>
          <cell r="G597" t="str">
            <v>ARENA TRITURADA CALIZA 10MM -3</v>
          </cell>
          <cell r="H597">
            <v>207.91</v>
          </cell>
          <cell r="I597">
            <v>102.23</v>
          </cell>
          <cell r="J597">
            <v>310.14</v>
          </cell>
        </row>
        <row r="598">
          <cell r="B598" t="str">
            <v>DU0710264038</v>
          </cell>
          <cell r="C598" t="str">
            <v>DU07</v>
          </cell>
          <cell r="D598" t="str">
            <v>D349</v>
          </cell>
          <cell r="E598" t="str">
            <v>MX-PD0300 PETEMPICH</v>
          </cell>
          <cell r="F598">
            <v>10264038</v>
          </cell>
          <cell r="G598" t="str">
            <v>MOV ARENA TRITURADA CALIZA MAL</v>
          </cell>
          <cell r="H598">
            <v>207.91</v>
          </cell>
          <cell r="I598">
            <v>102.19</v>
          </cell>
          <cell r="J598">
            <v>310.10000000000002</v>
          </cell>
        </row>
        <row r="599">
          <cell r="B599" t="str">
            <v>DU0710264039</v>
          </cell>
          <cell r="C599" t="str">
            <v>DU07</v>
          </cell>
          <cell r="D599" t="str">
            <v>D349</v>
          </cell>
          <cell r="E599" t="str">
            <v>MX-PD0300 PETEMPICH</v>
          </cell>
          <cell r="F599">
            <v>10264039</v>
          </cell>
          <cell r="G599" t="str">
            <v>MOV GRAVA TRITURADA CALIZA 20M</v>
          </cell>
          <cell r="H599">
            <v>203.67</v>
          </cell>
          <cell r="I599">
            <v>79.430000000000007</v>
          </cell>
          <cell r="J599">
            <v>283.10000000000002</v>
          </cell>
        </row>
        <row r="600">
          <cell r="B600" t="str">
            <v>DU0710000101</v>
          </cell>
          <cell r="C600" t="str">
            <v>DU07</v>
          </cell>
          <cell r="D600" t="str">
            <v>D358</v>
          </cell>
          <cell r="E600" t="str">
            <v>MX-PD0509 COLOSIO</v>
          </cell>
          <cell r="F600">
            <v>10000101</v>
          </cell>
          <cell r="G600" t="str">
            <v>Arena Triturada Caliza Malla 4</v>
          </cell>
          <cell r="H600">
            <v>207.91</v>
          </cell>
          <cell r="I600">
            <v>102.19</v>
          </cell>
          <cell r="J600">
            <v>310.10000000000002</v>
          </cell>
        </row>
        <row r="601">
          <cell r="B601" t="str">
            <v>DU0710000110</v>
          </cell>
          <cell r="C601" t="str">
            <v>DU07</v>
          </cell>
          <cell r="D601" t="str">
            <v>D358</v>
          </cell>
          <cell r="E601" t="str">
            <v>MX-PD0509 COLOSIO</v>
          </cell>
          <cell r="F601">
            <v>10000110</v>
          </cell>
          <cell r="G601" t="str">
            <v>GRAVA TRITURADA CALIZA 20 MM “</v>
          </cell>
          <cell r="H601">
            <v>203.67</v>
          </cell>
          <cell r="I601">
            <v>79.430000000000007</v>
          </cell>
          <cell r="J601">
            <v>283.10000000000002</v>
          </cell>
        </row>
        <row r="602">
          <cell r="B602" t="str">
            <v>DU0710000112</v>
          </cell>
          <cell r="C602" t="str">
            <v>DU07</v>
          </cell>
          <cell r="D602" t="str">
            <v>D358</v>
          </cell>
          <cell r="E602" t="str">
            <v>MX-PD0509 COLOSIO</v>
          </cell>
          <cell r="F602">
            <v>10000112</v>
          </cell>
          <cell r="G602" t="str">
            <v>Grava Triturada Caliza 13 mm -</v>
          </cell>
          <cell r="H602">
            <v>203.67</v>
          </cell>
          <cell r="I602">
            <v>44.33</v>
          </cell>
          <cell r="J602">
            <v>248</v>
          </cell>
        </row>
        <row r="603">
          <cell r="B603" t="str">
            <v>DU0710264038</v>
          </cell>
          <cell r="C603" t="str">
            <v>DU07</v>
          </cell>
          <cell r="D603" t="str">
            <v>D358</v>
          </cell>
          <cell r="E603" t="str">
            <v>MX-PD0509 COLOSIO</v>
          </cell>
          <cell r="F603">
            <v>10264038</v>
          </cell>
          <cell r="G603" t="str">
            <v>MOV ARENA TRITURADA CALIZA MAL</v>
          </cell>
          <cell r="H603">
            <v>207.91</v>
          </cell>
          <cell r="I603">
            <v>102.19</v>
          </cell>
          <cell r="J603">
            <v>310.10000000000002</v>
          </cell>
        </row>
        <row r="604">
          <cell r="B604" t="str">
            <v>DU0710264039</v>
          </cell>
          <cell r="C604" t="str">
            <v>DU07</v>
          </cell>
          <cell r="D604" t="str">
            <v>D358</v>
          </cell>
          <cell r="E604" t="str">
            <v>MX-PD0509 COLOSIO</v>
          </cell>
          <cell r="F604">
            <v>10264039</v>
          </cell>
          <cell r="G604" t="str">
            <v>MOV GRAVA TRITURADA CALIZA 20M</v>
          </cell>
          <cell r="H604">
            <v>203.67</v>
          </cell>
          <cell r="I604">
            <v>79.430000000000007</v>
          </cell>
          <cell r="J604">
            <v>283.10000000000002</v>
          </cell>
        </row>
        <row r="605">
          <cell r="B605" t="str">
            <v>DU0710000101</v>
          </cell>
          <cell r="C605" t="str">
            <v>DU07</v>
          </cell>
          <cell r="D605" t="str">
            <v>D678</v>
          </cell>
          <cell r="E605" t="str">
            <v>MX-PD0665 TULUM</v>
          </cell>
          <cell r="F605">
            <v>10000101</v>
          </cell>
          <cell r="G605" t="str">
            <v>Arena Triturada Caliza Malla 4</v>
          </cell>
          <cell r="H605">
            <v>207.91</v>
          </cell>
          <cell r="I605">
            <v>102.19</v>
          </cell>
          <cell r="J605">
            <v>310.10000000000002</v>
          </cell>
        </row>
        <row r="606">
          <cell r="B606" t="str">
            <v>DU0710000110</v>
          </cell>
          <cell r="C606" t="str">
            <v>DU07</v>
          </cell>
          <cell r="D606" t="str">
            <v>D678</v>
          </cell>
          <cell r="E606" t="str">
            <v>MX-PD0665 TULUM</v>
          </cell>
          <cell r="F606">
            <v>10000110</v>
          </cell>
          <cell r="G606" t="str">
            <v>GRAVA TRITURADA CALIZA 20 MM “</v>
          </cell>
          <cell r="H606">
            <v>203.67</v>
          </cell>
          <cell r="I606">
            <v>79.430000000000007</v>
          </cell>
          <cell r="J606">
            <v>283.10000000000002</v>
          </cell>
        </row>
        <row r="607">
          <cell r="B607" t="str">
            <v>DU0710000111</v>
          </cell>
          <cell r="C607" t="str">
            <v>DU07</v>
          </cell>
          <cell r="D607" t="str">
            <v>D678</v>
          </cell>
          <cell r="E607" t="str">
            <v>MX-PD0665 TULUM</v>
          </cell>
          <cell r="F607">
            <v>10000111</v>
          </cell>
          <cell r="G607" t="str">
            <v>Grava Triturada Caliza 40mm -1</v>
          </cell>
          <cell r="H607">
            <v>203.67</v>
          </cell>
          <cell r="I607">
            <v>-62.49</v>
          </cell>
          <cell r="J607">
            <v>141.17999999999998</v>
          </cell>
        </row>
        <row r="608">
          <cell r="B608" t="str">
            <v>DU0710000112</v>
          </cell>
          <cell r="C608" t="str">
            <v>DU07</v>
          </cell>
          <cell r="D608" t="str">
            <v>D678</v>
          </cell>
          <cell r="E608" t="str">
            <v>MX-PD0665 TULUM</v>
          </cell>
          <cell r="F608">
            <v>10000112</v>
          </cell>
          <cell r="G608" t="str">
            <v>Grava Triturada Caliza 13 mm -</v>
          </cell>
          <cell r="H608">
            <v>203.67</v>
          </cell>
          <cell r="I608">
            <v>44.33</v>
          </cell>
          <cell r="J608">
            <v>248</v>
          </cell>
        </row>
        <row r="609">
          <cell r="B609" t="str">
            <v>DU0710000115</v>
          </cell>
          <cell r="C609" t="str">
            <v>DU07</v>
          </cell>
          <cell r="D609" t="str">
            <v>D678</v>
          </cell>
          <cell r="E609" t="str">
            <v>MX-PD0665 TULUM</v>
          </cell>
          <cell r="F609">
            <v>10000115</v>
          </cell>
          <cell r="G609" t="str">
            <v>Grava Triturada Caliza 10 mm -</v>
          </cell>
          <cell r="H609">
            <v>203.67</v>
          </cell>
          <cell r="I609">
            <v>141.33000000000001</v>
          </cell>
          <cell r="J609">
            <v>345</v>
          </cell>
        </row>
        <row r="610">
          <cell r="B610" t="str">
            <v>DU0710251742</v>
          </cell>
          <cell r="C610" t="str">
            <v>DU07</v>
          </cell>
          <cell r="D610" t="str">
            <v>D678</v>
          </cell>
          <cell r="E610" t="str">
            <v>MX-PD0665 TULUM</v>
          </cell>
          <cell r="F610">
            <v>10251742</v>
          </cell>
          <cell r="G610" t="str">
            <v>ARENA TRITURADA CALIZA 10MM -3</v>
          </cell>
          <cell r="H610">
            <v>207.91</v>
          </cell>
          <cell r="I610">
            <v>102.23</v>
          </cell>
          <cell r="J610">
            <v>310.14</v>
          </cell>
        </row>
        <row r="611">
          <cell r="B611" t="str">
            <v>DU0710264038</v>
          </cell>
          <cell r="C611" t="str">
            <v>DU07</v>
          </cell>
          <cell r="D611" t="str">
            <v>D678</v>
          </cell>
          <cell r="E611" t="str">
            <v>MX-PD0665 TULUM</v>
          </cell>
          <cell r="F611">
            <v>10264038</v>
          </cell>
          <cell r="G611" t="str">
            <v>MOV ARENA TRITURADA CALIZA MAL</v>
          </cell>
          <cell r="H611">
            <v>207.91</v>
          </cell>
          <cell r="I611">
            <v>102.19</v>
          </cell>
          <cell r="J611">
            <v>310.10000000000002</v>
          </cell>
        </row>
        <row r="612">
          <cell r="B612" t="str">
            <v>DU0710264039</v>
          </cell>
          <cell r="C612" t="str">
            <v>DU07</v>
          </cell>
          <cell r="D612" t="str">
            <v>D678</v>
          </cell>
          <cell r="E612" t="str">
            <v>MX-PD0665 TULUM</v>
          </cell>
          <cell r="F612">
            <v>10264039</v>
          </cell>
          <cell r="G612" t="str">
            <v>MOV GRAVA TRITURADA CALIZA 20M</v>
          </cell>
          <cell r="H612">
            <v>203.67</v>
          </cell>
          <cell r="I612">
            <v>79.430000000000007</v>
          </cell>
          <cell r="J612">
            <v>283.10000000000002</v>
          </cell>
        </row>
        <row r="613">
          <cell r="B613" t="str">
            <v>DU0710000101</v>
          </cell>
          <cell r="C613" t="str">
            <v>DU07</v>
          </cell>
          <cell r="D613" t="str">
            <v>EQ86</v>
          </cell>
          <cell r="E613" t="str">
            <v>MX-PD0457 AEROPUERTO CANCUN</v>
          </cell>
          <cell r="F613">
            <v>10000101</v>
          </cell>
          <cell r="G613" t="str">
            <v>Arena Triturada Caliza Malla 4</v>
          </cell>
          <cell r="H613">
            <v>345.8</v>
          </cell>
          <cell r="I613" t="e">
            <v>#N/A</v>
          </cell>
          <cell r="J613" t="e">
            <v>#N/A</v>
          </cell>
        </row>
        <row r="614">
          <cell r="B614" t="str">
            <v>DU0710000103</v>
          </cell>
          <cell r="C614" t="str">
            <v>DU07</v>
          </cell>
          <cell r="D614" t="str">
            <v>EQ86</v>
          </cell>
          <cell r="E614" t="str">
            <v>MX-PD0457 AEROPUERTO CANCUN</v>
          </cell>
          <cell r="F614">
            <v>10000103</v>
          </cell>
          <cell r="G614" t="str">
            <v>Base H Triturada Caliza 1 1/2"</v>
          </cell>
          <cell r="H614">
            <v>110.47</v>
          </cell>
          <cell r="I614" t="e">
            <v>#N/A</v>
          </cell>
          <cell r="J614" t="e">
            <v>#N/A</v>
          </cell>
        </row>
        <row r="615">
          <cell r="B615" t="str">
            <v>DU0710000110</v>
          </cell>
          <cell r="C615" t="str">
            <v>DU07</v>
          </cell>
          <cell r="D615" t="str">
            <v>EQ86</v>
          </cell>
          <cell r="E615" t="str">
            <v>MX-PD0457 AEROPUERTO CANCUN</v>
          </cell>
          <cell r="F615">
            <v>10000110</v>
          </cell>
          <cell r="G615" t="str">
            <v>GRAVA TRITURADA CALIZA 20 MM “</v>
          </cell>
          <cell r="H615">
            <v>316.39999999999998</v>
          </cell>
          <cell r="I615" t="e">
            <v>#N/A</v>
          </cell>
          <cell r="J615" t="e">
            <v>#N/A</v>
          </cell>
        </row>
        <row r="616">
          <cell r="B616" t="str">
            <v>DU0710000112</v>
          </cell>
          <cell r="C616" t="str">
            <v>DU07</v>
          </cell>
          <cell r="D616" t="str">
            <v>EQ86</v>
          </cell>
          <cell r="E616" t="str">
            <v>MX-PD0457 AEROPUERTO CANCUN</v>
          </cell>
          <cell r="F616">
            <v>10000112</v>
          </cell>
          <cell r="G616" t="str">
            <v>Grava Triturada Caliza 13 mm -</v>
          </cell>
          <cell r="H616">
            <v>263.82</v>
          </cell>
          <cell r="I616" t="e">
            <v>#N/A</v>
          </cell>
          <cell r="J616" t="e">
            <v>#N/A</v>
          </cell>
        </row>
        <row r="617">
          <cell r="B617" t="str">
            <v>DU0710251742</v>
          </cell>
          <cell r="C617" t="str">
            <v>DU07</v>
          </cell>
          <cell r="D617" t="str">
            <v>EQ86</v>
          </cell>
          <cell r="E617" t="str">
            <v>MX-PD0457 AEROPUERTO CANCUN</v>
          </cell>
          <cell r="F617">
            <v>10251742</v>
          </cell>
          <cell r="G617" t="str">
            <v>ARENA TRITURADA CALIZA 10MM -3</v>
          </cell>
          <cell r="H617">
            <v>325.32</v>
          </cell>
          <cell r="I617" t="e">
            <v>#N/A</v>
          </cell>
          <cell r="J617" t="e">
            <v>#N/A</v>
          </cell>
        </row>
        <row r="618">
          <cell r="B618" t="str">
            <v>DU0710264038</v>
          </cell>
          <cell r="C618" t="str">
            <v>DU07</v>
          </cell>
          <cell r="D618" t="str">
            <v>EQ86</v>
          </cell>
          <cell r="E618" t="str">
            <v>MX-PD0457 AEROPUERTO CANCUN</v>
          </cell>
          <cell r="F618">
            <v>10264038</v>
          </cell>
          <cell r="G618" t="str">
            <v>MOV ARENA TRITURADA CALIZA MAL</v>
          </cell>
          <cell r="H618">
            <v>261.11</v>
          </cell>
          <cell r="I618" t="e">
            <v>#N/A</v>
          </cell>
          <cell r="J618" t="e">
            <v>#N/A</v>
          </cell>
        </row>
        <row r="619">
          <cell r="B619" t="str">
            <v>DU0710264039</v>
          </cell>
          <cell r="C619" t="str">
            <v>DU07</v>
          </cell>
          <cell r="D619" t="str">
            <v>EQ86</v>
          </cell>
          <cell r="E619" t="str">
            <v>MX-PD0457 AEROPUERTO CANCUN</v>
          </cell>
          <cell r="F619">
            <v>10264039</v>
          </cell>
          <cell r="G619" t="str">
            <v>MOV GRAVA TRITURADA CALIZA 20M</v>
          </cell>
          <cell r="H619">
            <v>262.27999999999997</v>
          </cell>
          <cell r="I619" t="e">
            <v>#N/A</v>
          </cell>
          <cell r="J619" t="e">
            <v>#N/A</v>
          </cell>
        </row>
      </sheetData>
      <sheetData sheetId="4"/>
      <sheetData sheetId="5"/>
      <sheetData sheetId="6"/>
      <sheetData sheetId="7"/>
      <sheetData sheetId="8"/>
      <sheetData sheetId="9">
        <row r="1">
          <cell r="H1" t="str">
            <v xml:space="preserve">Materia prima </v>
          </cell>
          <cell r="I1"/>
          <cell r="J1" t="str">
            <v>Integral MP</v>
          </cell>
        </row>
        <row r="2">
          <cell r="B2" t="str">
            <v>Llave 2</v>
          </cell>
          <cell r="C2" t="str">
            <v>Emisor</v>
          </cell>
          <cell r="D2" t="str">
            <v>Centro</v>
          </cell>
          <cell r="E2" t="str">
            <v>Centro Desc</v>
          </cell>
          <cell r="F2" t="str">
            <v>Material</v>
          </cell>
          <cell r="G2" t="str">
            <v>Denominación</v>
          </cell>
          <cell r="H2" t="str">
            <v>ZICP</v>
          </cell>
          <cell r="I2" t="str">
            <v>ZMIF</v>
          </cell>
          <cell r="J2" t="str">
            <v>ZICP+ZMIF</v>
          </cell>
        </row>
        <row r="3">
          <cell r="B3" t="str">
            <v>D81310000252</v>
          </cell>
          <cell r="C3" t="str">
            <v>D813</v>
          </cell>
          <cell r="D3" t="str">
            <v>D073</v>
          </cell>
          <cell r="E3" t="str">
            <v>MX-PD0037 TULA V</v>
          </cell>
          <cell r="F3">
            <v>10000252</v>
          </cell>
          <cell r="G3" t="str">
            <v>Grava Triturada Andesita 10 mm</v>
          </cell>
          <cell r="H3">
            <v>77.33</v>
          </cell>
          <cell r="I3">
            <v>37.6</v>
          </cell>
          <cell r="J3">
            <v>114.93</v>
          </cell>
        </row>
        <row r="4">
          <cell r="B4" t="str">
            <v>D81310000253</v>
          </cell>
          <cell r="C4" t="str">
            <v>D813</v>
          </cell>
          <cell r="D4" t="str">
            <v>D073</v>
          </cell>
          <cell r="E4" t="str">
            <v>MX-PD0037 TULA V</v>
          </cell>
          <cell r="F4">
            <v>10000253</v>
          </cell>
          <cell r="G4" t="str">
            <v>Grava Triturada Andesita 20 mm</v>
          </cell>
          <cell r="H4">
            <v>77.33</v>
          </cell>
          <cell r="I4">
            <v>26.57</v>
          </cell>
          <cell r="J4">
            <v>103.9</v>
          </cell>
        </row>
        <row r="5">
          <cell r="B5" t="str">
            <v>D81310000255</v>
          </cell>
          <cell r="C5" t="str">
            <v>D813</v>
          </cell>
          <cell r="D5" t="str">
            <v>D073</v>
          </cell>
          <cell r="E5" t="str">
            <v>MX-PD0037 TULA V</v>
          </cell>
          <cell r="F5">
            <v>10000255</v>
          </cell>
          <cell r="G5" t="str">
            <v>Arena Triturada Andesita Malla</v>
          </cell>
          <cell r="H5">
            <v>77.66</v>
          </cell>
          <cell r="I5">
            <v>26.48</v>
          </cell>
          <cell r="J5">
            <v>104.14</v>
          </cell>
        </row>
        <row r="6">
          <cell r="B6" t="str">
            <v>D81310001091</v>
          </cell>
          <cell r="C6" t="str">
            <v>D813</v>
          </cell>
          <cell r="D6" t="str">
            <v>D073</v>
          </cell>
          <cell r="E6" t="str">
            <v>MX-PD0037 TULA V</v>
          </cell>
          <cell r="F6">
            <v>10001091</v>
          </cell>
          <cell r="G6" t="str">
            <v>Balasto Triturado Andesita 150</v>
          </cell>
          <cell r="H6">
            <v>49.14</v>
          </cell>
          <cell r="I6">
            <v>-3.67</v>
          </cell>
          <cell r="J6">
            <v>45.47</v>
          </cell>
        </row>
        <row r="7">
          <cell r="B7" t="str">
            <v>D81310002350</v>
          </cell>
          <cell r="C7" t="str">
            <v>D813</v>
          </cell>
          <cell r="D7" t="str">
            <v>D073</v>
          </cell>
          <cell r="E7" t="str">
            <v>MX-PD0037 TULA V</v>
          </cell>
          <cell r="F7">
            <v>10002350</v>
          </cell>
          <cell r="G7" t="str">
            <v>Grava Triturada Andesita 10mm-</v>
          </cell>
          <cell r="H7">
            <v>77.33</v>
          </cell>
          <cell r="I7">
            <v>57.27</v>
          </cell>
          <cell r="J7">
            <v>134.6</v>
          </cell>
        </row>
        <row r="8">
          <cell r="B8" t="str">
            <v>D81310000252</v>
          </cell>
          <cell r="C8" t="str">
            <v>D813</v>
          </cell>
          <cell r="D8" t="str">
            <v>D074</v>
          </cell>
          <cell r="E8" t="str">
            <v>MX-PD-063 CENTRAL</v>
          </cell>
          <cell r="F8">
            <v>10000252</v>
          </cell>
          <cell r="G8" t="str">
            <v>Grava Triturada Andesita 10 mm</v>
          </cell>
          <cell r="H8">
            <v>77.33</v>
          </cell>
          <cell r="I8">
            <v>37.6</v>
          </cell>
          <cell r="J8">
            <v>114.93</v>
          </cell>
        </row>
        <row r="9">
          <cell r="B9" t="str">
            <v>D81310000253</v>
          </cell>
          <cell r="C9" t="str">
            <v>D813</v>
          </cell>
          <cell r="D9" t="str">
            <v>D074</v>
          </cell>
          <cell r="E9" t="str">
            <v>MX-PD-063 CENTRAL</v>
          </cell>
          <cell r="F9">
            <v>10000253</v>
          </cell>
          <cell r="G9" t="str">
            <v>Grava Triturada Andesita 20 mm</v>
          </cell>
          <cell r="H9">
            <v>77.33</v>
          </cell>
          <cell r="I9">
            <v>26.57</v>
          </cell>
          <cell r="J9">
            <v>103.9</v>
          </cell>
        </row>
        <row r="10">
          <cell r="B10" t="str">
            <v>D81310000255</v>
          </cell>
          <cell r="C10" t="str">
            <v>D813</v>
          </cell>
          <cell r="D10" t="str">
            <v>D074</v>
          </cell>
          <cell r="E10" t="str">
            <v>MX-PD-063 CENTRAL</v>
          </cell>
          <cell r="F10">
            <v>10000255</v>
          </cell>
          <cell r="G10" t="str">
            <v>Arena Triturada Andesita Malla</v>
          </cell>
          <cell r="H10">
            <v>77.66</v>
          </cell>
          <cell r="I10">
            <v>26.48</v>
          </cell>
          <cell r="J10">
            <v>104.14</v>
          </cell>
        </row>
        <row r="11">
          <cell r="B11" t="str">
            <v>D81310001091</v>
          </cell>
          <cell r="C11" t="str">
            <v>D813</v>
          </cell>
          <cell r="D11" t="str">
            <v>D074</v>
          </cell>
          <cell r="E11" t="str">
            <v>MX-PD-063 CENTRAL</v>
          </cell>
          <cell r="F11">
            <v>10001091</v>
          </cell>
          <cell r="G11" t="str">
            <v>Balasto Triturado Andesita 150</v>
          </cell>
          <cell r="H11">
            <v>49.14</v>
          </cell>
          <cell r="I11">
            <v>-3.67</v>
          </cell>
          <cell r="J11">
            <v>45.47</v>
          </cell>
        </row>
        <row r="12">
          <cell r="B12" t="str">
            <v>D81310002350</v>
          </cell>
          <cell r="C12" t="str">
            <v>D813</v>
          </cell>
          <cell r="D12" t="str">
            <v>D074</v>
          </cell>
          <cell r="E12" t="str">
            <v>MX-PD-063 CENTRAL</v>
          </cell>
          <cell r="F12">
            <v>10002350</v>
          </cell>
          <cell r="G12" t="str">
            <v>Grava Triturada Andesita 10mm-</v>
          </cell>
          <cell r="H12">
            <v>77.33</v>
          </cell>
          <cell r="I12">
            <v>57.27</v>
          </cell>
          <cell r="J12">
            <v>134.6</v>
          </cell>
        </row>
        <row r="13">
          <cell r="B13" t="str">
            <v>D81310029946</v>
          </cell>
          <cell r="C13" t="str">
            <v>D813</v>
          </cell>
          <cell r="D13" t="str">
            <v>D074</v>
          </cell>
          <cell r="E13" t="str">
            <v>MX-PD-063 CENTRAL</v>
          </cell>
          <cell r="F13">
            <v>10029946</v>
          </cell>
          <cell r="G13" t="str">
            <v>Arena Triturada Andesita Malla</v>
          </cell>
          <cell r="H13">
            <v>77.66</v>
          </cell>
          <cell r="I13">
            <v>29.47</v>
          </cell>
          <cell r="J13">
            <v>107.13</v>
          </cell>
        </row>
        <row r="14">
          <cell r="B14" t="str">
            <v>D81310032959</v>
          </cell>
          <cell r="C14" t="str">
            <v>D813</v>
          </cell>
          <cell r="D14" t="str">
            <v>D074</v>
          </cell>
          <cell r="E14" t="str">
            <v>MX-PD-063 CENTRAL</v>
          </cell>
          <cell r="F14">
            <v>10032959</v>
          </cell>
          <cell r="G14" t="str">
            <v>Grava Triturada Andesita 50 mm</v>
          </cell>
          <cell r="H14">
            <v>77.33</v>
          </cell>
          <cell r="I14">
            <v>-4.6900000000000004</v>
          </cell>
          <cell r="J14">
            <v>72.64</v>
          </cell>
        </row>
        <row r="15">
          <cell r="B15" t="str">
            <v>D81310000252</v>
          </cell>
          <cell r="C15" t="str">
            <v>D813</v>
          </cell>
          <cell r="D15" t="str">
            <v>D075</v>
          </cell>
          <cell r="E15" t="str">
            <v>MX-PD-065 CEYLAN</v>
          </cell>
          <cell r="F15">
            <v>10000252</v>
          </cell>
          <cell r="G15" t="str">
            <v>Grava Triturada Andesita 10 mm</v>
          </cell>
          <cell r="H15">
            <v>77.33</v>
          </cell>
          <cell r="I15">
            <v>37.6</v>
          </cell>
          <cell r="J15">
            <v>114.93</v>
          </cell>
        </row>
        <row r="16">
          <cell r="B16" t="str">
            <v>D81310000253</v>
          </cell>
          <cell r="C16" t="str">
            <v>D813</v>
          </cell>
          <cell r="D16" t="str">
            <v>D075</v>
          </cell>
          <cell r="E16" t="str">
            <v>MX-PD-065 CEYLAN</v>
          </cell>
          <cell r="F16">
            <v>10000253</v>
          </cell>
          <cell r="G16" t="str">
            <v>Grava Triturada Andesita 20 mm</v>
          </cell>
          <cell r="H16">
            <v>77.33</v>
          </cell>
          <cell r="I16">
            <v>26.57</v>
          </cell>
          <cell r="J16">
            <v>103.9</v>
          </cell>
        </row>
        <row r="17">
          <cell r="B17" t="str">
            <v>D81310000255</v>
          </cell>
          <cell r="C17" t="str">
            <v>D813</v>
          </cell>
          <cell r="D17" t="str">
            <v>D075</v>
          </cell>
          <cell r="E17" t="str">
            <v>MX-PD-065 CEYLAN</v>
          </cell>
          <cell r="F17">
            <v>10000255</v>
          </cell>
          <cell r="G17" t="str">
            <v>Arena Triturada Andesita Malla</v>
          </cell>
          <cell r="H17">
            <v>77.66</v>
          </cell>
          <cell r="I17">
            <v>26.48</v>
          </cell>
          <cell r="J17">
            <v>104.14</v>
          </cell>
        </row>
        <row r="18">
          <cell r="B18" t="str">
            <v>D81310001091</v>
          </cell>
          <cell r="C18" t="str">
            <v>D813</v>
          </cell>
          <cell r="D18" t="str">
            <v>D075</v>
          </cell>
          <cell r="E18" t="str">
            <v>MX-PD-065 CEYLAN</v>
          </cell>
          <cell r="F18">
            <v>10001091</v>
          </cell>
          <cell r="G18" t="str">
            <v>Balasto Triturado Andesita 150</v>
          </cell>
          <cell r="H18">
            <v>49.14</v>
          </cell>
          <cell r="I18">
            <v>-3.67</v>
          </cell>
          <cell r="J18">
            <v>45.47</v>
          </cell>
        </row>
        <row r="19">
          <cell r="B19" t="str">
            <v>D81310002350</v>
          </cell>
          <cell r="C19" t="str">
            <v>D813</v>
          </cell>
          <cell r="D19" t="str">
            <v>D075</v>
          </cell>
          <cell r="E19" t="str">
            <v>MX-PD-065 CEYLAN</v>
          </cell>
          <cell r="F19">
            <v>10002350</v>
          </cell>
          <cell r="G19" t="str">
            <v>Grava Triturada Andesita 10mm-</v>
          </cell>
          <cell r="H19">
            <v>77.33</v>
          </cell>
          <cell r="I19">
            <v>57.27</v>
          </cell>
          <cell r="J19">
            <v>134.6</v>
          </cell>
        </row>
        <row r="20">
          <cell r="B20" t="str">
            <v>D81310029946</v>
          </cell>
          <cell r="C20" t="str">
            <v>D813</v>
          </cell>
          <cell r="D20" t="str">
            <v>D075</v>
          </cell>
          <cell r="E20" t="str">
            <v>MX-PD-065 CEYLAN</v>
          </cell>
          <cell r="F20">
            <v>10029946</v>
          </cell>
          <cell r="G20" t="str">
            <v>Arena Triturada Andesita Malla</v>
          </cell>
          <cell r="H20">
            <v>77.66</v>
          </cell>
          <cell r="I20">
            <v>29.47</v>
          </cell>
          <cell r="J20">
            <v>107.13</v>
          </cell>
        </row>
        <row r="21">
          <cell r="B21" t="str">
            <v>D81310032959</v>
          </cell>
          <cell r="C21" t="str">
            <v>D813</v>
          </cell>
          <cell r="D21" t="str">
            <v>D075</v>
          </cell>
          <cell r="E21" t="str">
            <v>MX-PD-065 CEYLAN</v>
          </cell>
          <cell r="F21">
            <v>10032959</v>
          </cell>
          <cell r="G21" t="str">
            <v>Grava Triturada Andesita 50 mm</v>
          </cell>
          <cell r="H21">
            <v>77.33</v>
          </cell>
          <cell r="I21">
            <v>-4.6900000000000004</v>
          </cell>
          <cell r="J21">
            <v>72.64</v>
          </cell>
        </row>
        <row r="22">
          <cell r="B22" t="str">
            <v>D81310000252</v>
          </cell>
          <cell r="C22" t="str">
            <v>D813</v>
          </cell>
          <cell r="D22" t="str">
            <v>D077</v>
          </cell>
          <cell r="E22" t="str">
            <v>MX-PD-067 LOS REYES</v>
          </cell>
          <cell r="F22">
            <v>10000252</v>
          </cell>
          <cell r="G22" t="str">
            <v>Grava Triturada Andesita 10 mm</v>
          </cell>
          <cell r="H22">
            <v>77.33</v>
          </cell>
          <cell r="I22">
            <v>37.6</v>
          </cell>
          <cell r="J22">
            <v>114.93</v>
          </cell>
        </row>
        <row r="23">
          <cell r="B23" t="str">
            <v>D81310000253</v>
          </cell>
          <cell r="C23" t="str">
            <v>D813</v>
          </cell>
          <cell r="D23" t="str">
            <v>D077</v>
          </cell>
          <cell r="E23" t="str">
            <v>MX-PD-067 LOS REYES</v>
          </cell>
          <cell r="F23">
            <v>10000253</v>
          </cell>
          <cell r="G23" t="str">
            <v>Grava Triturada Andesita 20 mm</v>
          </cell>
          <cell r="H23">
            <v>77.33</v>
          </cell>
          <cell r="I23">
            <v>26.57</v>
          </cell>
          <cell r="J23">
            <v>103.9</v>
          </cell>
        </row>
        <row r="24">
          <cell r="B24" t="str">
            <v>D81310000255</v>
          </cell>
          <cell r="C24" t="str">
            <v>D813</v>
          </cell>
          <cell r="D24" t="str">
            <v>D077</v>
          </cell>
          <cell r="E24" t="str">
            <v>MX-PD-067 LOS REYES</v>
          </cell>
          <cell r="F24">
            <v>10000255</v>
          </cell>
          <cell r="G24" t="str">
            <v>Arena Triturada Andesita Malla</v>
          </cell>
          <cell r="H24">
            <v>77.66</v>
          </cell>
          <cell r="I24">
            <v>26.48</v>
          </cell>
          <cell r="J24">
            <v>104.14</v>
          </cell>
        </row>
        <row r="25">
          <cell r="B25" t="str">
            <v>D81310001091</v>
          </cell>
          <cell r="C25" t="str">
            <v>D813</v>
          </cell>
          <cell r="D25" t="str">
            <v>D077</v>
          </cell>
          <cell r="E25" t="str">
            <v>MX-PD-067 LOS REYES</v>
          </cell>
          <cell r="F25">
            <v>10001091</v>
          </cell>
          <cell r="G25" t="str">
            <v>Balasto Triturado Andesita 150</v>
          </cell>
          <cell r="H25">
            <v>49.14</v>
          </cell>
          <cell r="I25">
            <v>-3.67</v>
          </cell>
          <cell r="J25">
            <v>45.47</v>
          </cell>
        </row>
        <row r="26">
          <cell r="B26" t="str">
            <v>D81310002350</v>
          </cell>
          <cell r="C26" t="str">
            <v>D813</v>
          </cell>
          <cell r="D26" t="str">
            <v>D077</v>
          </cell>
          <cell r="E26" t="str">
            <v>MX-PD-067 LOS REYES</v>
          </cell>
          <cell r="F26">
            <v>10002350</v>
          </cell>
          <cell r="G26" t="str">
            <v>Grava Triturada Andesita 10mm-</v>
          </cell>
          <cell r="H26">
            <v>77.33</v>
          </cell>
          <cell r="I26">
            <v>57.27</v>
          </cell>
          <cell r="J26">
            <v>134.6</v>
          </cell>
        </row>
        <row r="27">
          <cell r="B27" t="str">
            <v>D81310029946</v>
          </cell>
          <cell r="C27" t="str">
            <v>D813</v>
          </cell>
          <cell r="D27" t="str">
            <v>D077</v>
          </cell>
          <cell r="E27" t="str">
            <v>MX-PD-067 LOS REYES</v>
          </cell>
          <cell r="F27">
            <v>10029946</v>
          </cell>
          <cell r="G27" t="str">
            <v>Arena Triturada Andesita Malla</v>
          </cell>
          <cell r="H27">
            <v>77.66</v>
          </cell>
          <cell r="I27">
            <v>29.47</v>
          </cell>
          <cell r="J27">
            <v>107.13</v>
          </cell>
        </row>
        <row r="28">
          <cell r="B28" t="str">
            <v>D81310032959</v>
          </cell>
          <cell r="C28" t="str">
            <v>D813</v>
          </cell>
          <cell r="D28" t="str">
            <v>D077</v>
          </cell>
          <cell r="E28" t="str">
            <v>MX-PD-067 LOS REYES</v>
          </cell>
          <cell r="F28">
            <v>10032959</v>
          </cell>
          <cell r="G28" t="str">
            <v>Grava Triturada Andesita 50 mm</v>
          </cell>
          <cell r="H28">
            <v>77.33</v>
          </cell>
          <cell r="I28">
            <v>-4.6900000000000004</v>
          </cell>
          <cell r="J28">
            <v>72.64</v>
          </cell>
        </row>
        <row r="29">
          <cell r="B29" t="str">
            <v>D81310000252</v>
          </cell>
          <cell r="C29" t="str">
            <v>D813</v>
          </cell>
          <cell r="D29" t="str">
            <v>D079</v>
          </cell>
          <cell r="E29" t="str">
            <v>MX-PD-071 XOCHIMILCO</v>
          </cell>
          <cell r="F29">
            <v>10000252</v>
          </cell>
          <cell r="G29" t="str">
            <v>Grava Triturada Andesita 10 mm</v>
          </cell>
          <cell r="H29">
            <v>77.33</v>
          </cell>
          <cell r="I29">
            <v>37.6</v>
          </cell>
          <cell r="J29">
            <v>114.93</v>
          </cell>
        </row>
        <row r="30">
          <cell r="B30" t="str">
            <v>D81310000253</v>
          </cell>
          <cell r="C30" t="str">
            <v>D813</v>
          </cell>
          <cell r="D30" t="str">
            <v>D079</v>
          </cell>
          <cell r="E30" t="str">
            <v>MX-PD-071 XOCHIMILCO</v>
          </cell>
          <cell r="F30">
            <v>10000253</v>
          </cell>
          <cell r="G30" t="str">
            <v>Grava Triturada Andesita 20 mm</v>
          </cell>
          <cell r="H30">
            <v>77.33</v>
          </cell>
          <cell r="I30">
            <v>26.57</v>
          </cell>
          <cell r="J30">
            <v>103.9</v>
          </cell>
        </row>
        <row r="31">
          <cell r="B31" t="str">
            <v>D81310000255</v>
          </cell>
          <cell r="C31" t="str">
            <v>D813</v>
          </cell>
          <cell r="D31" t="str">
            <v>D079</v>
          </cell>
          <cell r="E31" t="str">
            <v>MX-PD-071 XOCHIMILCO</v>
          </cell>
          <cell r="F31">
            <v>10000255</v>
          </cell>
          <cell r="G31" t="str">
            <v>Arena Triturada Andesita Malla</v>
          </cell>
          <cell r="H31">
            <v>77.66</v>
          </cell>
          <cell r="I31">
            <v>26.48</v>
          </cell>
          <cell r="J31">
            <v>104.14</v>
          </cell>
        </row>
        <row r="32">
          <cell r="B32" t="str">
            <v>D81310001091</v>
          </cell>
          <cell r="C32" t="str">
            <v>D813</v>
          </cell>
          <cell r="D32" t="str">
            <v>D079</v>
          </cell>
          <cell r="E32" t="str">
            <v>MX-PD-071 XOCHIMILCO</v>
          </cell>
          <cell r="F32">
            <v>10001091</v>
          </cell>
          <cell r="G32" t="str">
            <v>Balasto Triturado Andesita 150</v>
          </cell>
          <cell r="H32">
            <v>49.14</v>
          </cell>
          <cell r="I32">
            <v>-3.67</v>
          </cell>
          <cell r="J32">
            <v>45.47</v>
          </cell>
        </row>
        <row r="33">
          <cell r="B33" t="str">
            <v>D81310002350</v>
          </cell>
          <cell r="C33" t="str">
            <v>D813</v>
          </cell>
          <cell r="D33" t="str">
            <v>D079</v>
          </cell>
          <cell r="E33" t="str">
            <v>MX-PD-071 XOCHIMILCO</v>
          </cell>
          <cell r="F33">
            <v>10002350</v>
          </cell>
          <cell r="G33" t="str">
            <v>Grava Triturada Andesita 10mm-</v>
          </cell>
          <cell r="H33">
            <v>77.33</v>
          </cell>
          <cell r="I33">
            <v>57.27</v>
          </cell>
          <cell r="J33">
            <v>134.6</v>
          </cell>
        </row>
        <row r="34">
          <cell r="B34" t="str">
            <v>D81310029946</v>
          </cell>
          <cell r="C34" t="str">
            <v>D813</v>
          </cell>
          <cell r="D34" t="str">
            <v>D079</v>
          </cell>
          <cell r="E34" t="str">
            <v>MX-PD-071 XOCHIMILCO</v>
          </cell>
          <cell r="F34">
            <v>10029946</v>
          </cell>
          <cell r="G34" t="str">
            <v>Arena Triturada Andesita Malla</v>
          </cell>
          <cell r="H34">
            <v>77.66</v>
          </cell>
          <cell r="I34">
            <v>29.47</v>
          </cell>
          <cell r="J34">
            <v>107.13</v>
          </cell>
        </row>
        <row r="35">
          <cell r="B35" t="str">
            <v>D81310032959</v>
          </cell>
          <cell r="C35" t="str">
            <v>D813</v>
          </cell>
          <cell r="D35" t="str">
            <v>D079</v>
          </cell>
          <cell r="E35" t="str">
            <v>MX-PD-071 XOCHIMILCO</v>
          </cell>
          <cell r="F35">
            <v>10032959</v>
          </cell>
          <cell r="G35" t="str">
            <v>Grava Triturada Andesita 50 mm</v>
          </cell>
          <cell r="H35">
            <v>77.33</v>
          </cell>
          <cell r="I35">
            <v>-4.6900000000000004</v>
          </cell>
          <cell r="J35">
            <v>72.64</v>
          </cell>
        </row>
        <row r="36">
          <cell r="B36" t="str">
            <v>D81310000252</v>
          </cell>
          <cell r="C36" t="str">
            <v>D813</v>
          </cell>
          <cell r="D36" t="str">
            <v>D080</v>
          </cell>
          <cell r="E36" t="str">
            <v>MX-PD-086 VALLEJO</v>
          </cell>
          <cell r="F36">
            <v>10000252</v>
          </cell>
          <cell r="G36" t="str">
            <v>Grava Triturada Andesita 10 mm</v>
          </cell>
          <cell r="H36">
            <v>77.33</v>
          </cell>
          <cell r="I36">
            <v>37.6</v>
          </cell>
          <cell r="J36">
            <v>114.93</v>
          </cell>
        </row>
        <row r="37">
          <cell r="B37" t="str">
            <v>D81310000253</v>
          </cell>
          <cell r="C37" t="str">
            <v>D813</v>
          </cell>
          <cell r="D37" t="str">
            <v>D080</v>
          </cell>
          <cell r="E37" t="str">
            <v>MX-PD-086 VALLEJO</v>
          </cell>
          <cell r="F37">
            <v>10000253</v>
          </cell>
          <cell r="G37" t="str">
            <v>Grava Triturada Andesita 20 mm</v>
          </cell>
          <cell r="H37">
            <v>77.33</v>
          </cell>
          <cell r="I37">
            <v>26.57</v>
          </cell>
          <cell r="J37">
            <v>103.9</v>
          </cell>
        </row>
        <row r="38">
          <cell r="B38" t="str">
            <v>D81310000255</v>
          </cell>
          <cell r="C38" t="str">
            <v>D813</v>
          </cell>
          <cell r="D38" t="str">
            <v>D080</v>
          </cell>
          <cell r="E38" t="str">
            <v>MX-PD-086 VALLEJO</v>
          </cell>
          <cell r="F38">
            <v>10000255</v>
          </cell>
          <cell r="G38" t="str">
            <v>Arena Triturada Andesita Malla</v>
          </cell>
          <cell r="H38">
            <v>77.66</v>
          </cell>
          <cell r="I38">
            <v>26.48</v>
          </cell>
          <cell r="J38">
            <v>104.14</v>
          </cell>
        </row>
        <row r="39">
          <cell r="B39" t="str">
            <v>D81310001091</v>
          </cell>
          <cell r="C39" t="str">
            <v>D813</v>
          </cell>
          <cell r="D39" t="str">
            <v>D080</v>
          </cell>
          <cell r="E39" t="str">
            <v>MX-PD-086 VALLEJO</v>
          </cell>
          <cell r="F39">
            <v>10001091</v>
          </cell>
          <cell r="G39" t="str">
            <v>Balasto Triturado Andesita 150</v>
          </cell>
          <cell r="H39">
            <v>49.14</v>
          </cell>
          <cell r="I39">
            <v>-3.67</v>
          </cell>
          <cell r="J39">
            <v>45.47</v>
          </cell>
        </row>
        <row r="40">
          <cell r="B40" t="str">
            <v>D81310002350</v>
          </cell>
          <cell r="C40" t="str">
            <v>D813</v>
          </cell>
          <cell r="D40" t="str">
            <v>D080</v>
          </cell>
          <cell r="E40" t="str">
            <v>MX-PD-086 VALLEJO</v>
          </cell>
          <cell r="F40">
            <v>10002350</v>
          </cell>
          <cell r="G40" t="str">
            <v>Grava Triturada Andesita 10mm-</v>
          </cell>
          <cell r="H40">
            <v>77.33</v>
          </cell>
          <cell r="I40">
            <v>57.27</v>
          </cell>
          <cell r="J40">
            <v>134.6</v>
          </cell>
        </row>
        <row r="41">
          <cell r="B41" t="str">
            <v>D81310029946</v>
          </cell>
          <cell r="C41" t="str">
            <v>D813</v>
          </cell>
          <cell r="D41" t="str">
            <v>D080</v>
          </cell>
          <cell r="E41" t="str">
            <v>MX-PD-086 VALLEJO</v>
          </cell>
          <cell r="F41">
            <v>10029946</v>
          </cell>
          <cell r="G41" t="str">
            <v>Arena Triturada Andesita Malla</v>
          </cell>
          <cell r="H41">
            <v>77.66</v>
          </cell>
          <cell r="I41">
            <v>29.47</v>
          </cell>
          <cell r="J41">
            <v>107.13</v>
          </cell>
        </row>
        <row r="42">
          <cell r="B42" t="str">
            <v>D81310032959</v>
          </cell>
          <cell r="C42" t="str">
            <v>D813</v>
          </cell>
          <cell r="D42" t="str">
            <v>D080</v>
          </cell>
          <cell r="E42" t="str">
            <v>MX-PD-086 VALLEJO</v>
          </cell>
          <cell r="F42">
            <v>10032959</v>
          </cell>
          <cell r="G42" t="str">
            <v>Grava Triturada Andesita 50 mm</v>
          </cell>
          <cell r="H42">
            <v>77.33</v>
          </cell>
          <cell r="I42">
            <v>-4.6900000000000004</v>
          </cell>
          <cell r="J42">
            <v>72.64</v>
          </cell>
        </row>
        <row r="43">
          <cell r="B43" t="str">
            <v>D81310000252</v>
          </cell>
          <cell r="C43" t="str">
            <v>D813</v>
          </cell>
          <cell r="D43" t="str">
            <v>D081</v>
          </cell>
          <cell r="E43" t="str">
            <v>MX-PD-088 ARMAS</v>
          </cell>
          <cell r="F43">
            <v>10000252</v>
          </cell>
          <cell r="G43" t="str">
            <v>Grava Triturada Andesita 10 mm</v>
          </cell>
          <cell r="H43">
            <v>77.33</v>
          </cell>
          <cell r="I43">
            <v>37.6</v>
          </cell>
          <cell r="J43">
            <v>114.93</v>
          </cell>
        </row>
        <row r="44">
          <cell r="B44" t="str">
            <v>D81310000253</v>
          </cell>
          <cell r="C44" t="str">
            <v>D813</v>
          </cell>
          <cell r="D44" t="str">
            <v>D081</v>
          </cell>
          <cell r="E44" t="str">
            <v>MX-PD-088 ARMAS</v>
          </cell>
          <cell r="F44">
            <v>10000253</v>
          </cell>
          <cell r="G44" t="str">
            <v>Grava Triturada Andesita 20 mm</v>
          </cell>
          <cell r="H44">
            <v>77.33</v>
          </cell>
          <cell r="I44">
            <v>26.57</v>
          </cell>
          <cell r="J44">
            <v>103.9</v>
          </cell>
        </row>
        <row r="45">
          <cell r="B45" t="str">
            <v>D81310000255</v>
          </cell>
          <cell r="C45" t="str">
            <v>D813</v>
          </cell>
          <cell r="D45" t="str">
            <v>D081</v>
          </cell>
          <cell r="E45" t="str">
            <v>MX-PD-088 ARMAS</v>
          </cell>
          <cell r="F45">
            <v>10000255</v>
          </cell>
          <cell r="G45" t="str">
            <v>Arena Triturada Andesita Malla</v>
          </cell>
          <cell r="H45">
            <v>77.66</v>
          </cell>
          <cell r="I45">
            <v>26.48</v>
          </cell>
          <cell r="J45">
            <v>104.14</v>
          </cell>
        </row>
        <row r="46">
          <cell r="B46" t="str">
            <v>D81310001091</v>
          </cell>
          <cell r="C46" t="str">
            <v>D813</v>
          </cell>
          <cell r="D46" t="str">
            <v>D081</v>
          </cell>
          <cell r="E46" t="str">
            <v>MX-PD-088 ARMAS</v>
          </cell>
          <cell r="F46">
            <v>10001091</v>
          </cell>
          <cell r="G46" t="str">
            <v>Balasto Triturado Andesita 150</v>
          </cell>
          <cell r="H46">
            <v>49.14</v>
          </cell>
          <cell r="I46">
            <v>-3.67</v>
          </cell>
          <cell r="J46">
            <v>45.47</v>
          </cell>
        </row>
        <row r="47">
          <cell r="B47" t="str">
            <v>D81310002350</v>
          </cell>
          <cell r="C47" t="str">
            <v>D813</v>
          </cell>
          <cell r="D47" t="str">
            <v>D081</v>
          </cell>
          <cell r="E47" t="str">
            <v>MX-PD-088 ARMAS</v>
          </cell>
          <cell r="F47">
            <v>10002350</v>
          </cell>
          <cell r="G47" t="str">
            <v>Grava Triturada Andesita 10mm-</v>
          </cell>
          <cell r="H47">
            <v>77.33</v>
          </cell>
          <cell r="I47">
            <v>57.27</v>
          </cell>
          <cell r="J47">
            <v>134.6</v>
          </cell>
        </row>
        <row r="48">
          <cell r="B48" t="str">
            <v>D81310029946</v>
          </cell>
          <cell r="C48" t="str">
            <v>D813</v>
          </cell>
          <cell r="D48" t="str">
            <v>D081</v>
          </cell>
          <cell r="E48" t="str">
            <v>MX-PD-088 ARMAS</v>
          </cell>
          <cell r="F48">
            <v>10029946</v>
          </cell>
          <cell r="G48" t="str">
            <v>Arena Triturada Andesita Malla</v>
          </cell>
          <cell r="H48">
            <v>77.66</v>
          </cell>
          <cell r="I48">
            <v>29.47</v>
          </cell>
          <cell r="J48">
            <v>107.13</v>
          </cell>
        </row>
        <row r="49">
          <cell r="B49" t="str">
            <v>D81310032959</v>
          </cell>
          <cell r="C49" t="str">
            <v>D813</v>
          </cell>
          <cell r="D49" t="str">
            <v>D081</v>
          </cell>
          <cell r="E49" t="str">
            <v>MX-PD-088 ARMAS</v>
          </cell>
          <cell r="F49">
            <v>10032959</v>
          </cell>
          <cell r="G49" t="str">
            <v>Grava Triturada Andesita 50 mm</v>
          </cell>
          <cell r="H49">
            <v>77.33</v>
          </cell>
          <cell r="I49">
            <v>-4.6900000000000004</v>
          </cell>
          <cell r="J49">
            <v>72.64</v>
          </cell>
        </row>
        <row r="50">
          <cell r="B50" t="str">
            <v>D81310000252</v>
          </cell>
          <cell r="C50" t="str">
            <v>D813</v>
          </cell>
          <cell r="D50" t="str">
            <v>D083</v>
          </cell>
          <cell r="E50" t="str">
            <v>MX-PD-099 MINAS</v>
          </cell>
          <cell r="F50">
            <v>10000252</v>
          </cell>
          <cell r="G50" t="str">
            <v>Grava Triturada Andesita 10 mm</v>
          </cell>
          <cell r="H50">
            <v>77.33</v>
          </cell>
          <cell r="I50">
            <v>37.6</v>
          </cell>
          <cell r="J50">
            <v>114.93</v>
          </cell>
        </row>
        <row r="51">
          <cell r="B51" t="str">
            <v>D81310000253</v>
          </cell>
          <cell r="C51" t="str">
            <v>D813</v>
          </cell>
          <cell r="D51" t="str">
            <v>D083</v>
          </cell>
          <cell r="E51" t="str">
            <v>MX-PD-099 MINAS</v>
          </cell>
          <cell r="F51">
            <v>10000253</v>
          </cell>
          <cell r="G51" t="str">
            <v>Grava Triturada Andesita 20 mm</v>
          </cell>
          <cell r="H51">
            <v>77.33</v>
          </cell>
          <cell r="I51">
            <v>26.57</v>
          </cell>
          <cell r="J51">
            <v>103.9</v>
          </cell>
        </row>
        <row r="52">
          <cell r="B52" t="str">
            <v>D81310000255</v>
          </cell>
          <cell r="C52" t="str">
            <v>D813</v>
          </cell>
          <cell r="D52" t="str">
            <v>D083</v>
          </cell>
          <cell r="E52" t="str">
            <v>MX-PD-099 MINAS</v>
          </cell>
          <cell r="F52">
            <v>10000255</v>
          </cell>
          <cell r="G52" t="str">
            <v>Arena Triturada Andesita Malla</v>
          </cell>
          <cell r="H52">
            <v>77.66</v>
          </cell>
          <cell r="I52">
            <v>26.48</v>
          </cell>
          <cell r="J52">
            <v>104.14</v>
          </cell>
        </row>
        <row r="53">
          <cell r="B53" t="str">
            <v>D81310001091</v>
          </cell>
          <cell r="C53" t="str">
            <v>D813</v>
          </cell>
          <cell r="D53" t="str">
            <v>D083</v>
          </cell>
          <cell r="E53" t="str">
            <v>MX-PD-099 MINAS</v>
          </cell>
          <cell r="F53">
            <v>10001091</v>
          </cell>
          <cell r="G53" t="str">
            <v>Balasto Triturado Andesita 150</v>
          </cell>
          <cell r="H53">
            <v>49.14</v>
          </cell>
          <cell r="I53">
            <v>-3.67</v>
          </cell>
          <cell r="J53">
            <v>45.47</v>
          </cell>
        </row>
        <row r="54">
          <cell r="B54" t="str">
            <v>D81310002350</v>
          </cell>
          <cell r="C54" t="str">
            <v>D813</v>
          </cell>
          <cell r="D54" t="str">
            <v>D083</v>
          </cell>
          <cell r="E54" t="str">
            <v>MX-PD-099 MINAS</v>
          </cell>
          <cell r="F54">
            <v>10002350</v>
          </cell>
          <cell r="G54" t="str">
            <v>Grava Triturada Andesita 10mm-</v>
          </cell>
          <cell r="H54">
            <v>77.33</v>
          </cell>
          <cell r="I54">
            <v>57.27</v>
          </cell>
          <cell r="J54">
            <v>134.6</v>
          </cell>
        </row>
        <row r="55">
          <cell r="B55" t="str">
            <v>D81310029946</v>
          </cell>
          <cell r="C55" t="str">
            <v>D813</v>
          </cell>
          <cell r="D55" t="str">
            <v>D083</v>
          </cell>
          <cell r="E55" t="str">
            <v>MX-PD-099 MINAS</v>
          </cell>
          <cell r="F55">
            <v>10029946</v>
          </cell>
          <cell r="G55" t="str">
            <v>Arena Triturada Andesita Malla</v>
          </cell>
          <cell r="H55">
            <v>77.66</v>
          </cell>
          <cell r="I55">
            <v>29.47</v>
          </cell>
          <cell r="J55">
            <v>107.13</v>
          </cell>
        </row>
        <row r="56">
          <cell r="B56" t="str">
            <v>D81310032959</v>
          </cell>
          <cell r="C56" t="str">
            <v>D813</v>
          </cell>
          <cell r="D56" t="str">
            <v>D083</v>
          </cell>
          <cell r="E56" t="str">
            <v>MX-PD-099 MINAS</v>
          </cell>
          <cell r="F56">
            <v>10032959</v>
          </cell>
          <cell r="G56" t="str">
            <v>Grava Triturada Andesita 50 mm</v>
          </cell>
          <cell r="H56">
            <v>77.33</v>
          </cell>
          <cell r="I56">
            <v>-4.6900000000000004</v>
          </cell>
          <cell r="J56">
            <v>72.64</v>
          </cell>
        </row>
        <row r="57">
          <cell r="B57" t="str">
            <v>D81310000252</v>
          </cell>
          <cell r="C57" t="str">
            <v>D813</v>
          </cell>
          <cell r="D57" t="str">
            <v>D084</v>
          </cell>
          <cell r="E57" t="str">
            <v>MX-PD-186 IZTAPALAPA</v>
          </cell>
          <cell r="F57">
            <v>10000252</v>
          </cell>
          <cell r="G57" t="str">
            <v>Grava Triturada Andesita 10 mm</v>
          </cell>
          <cell r="H57">
            <v>77.33</v>
          </cell>
          <cell r="I57">
            <v>37.6</v>
          </cell>
          <cell r="J57">
            <v>114.93</v>
          </cell>
        </row>
        <row r="58">
          <cell r="B58" t="str">
            <v>D81310000253</v>
          </cell>
          <cell r="C58" t="str">
            <v>D813</v>
          </cell>
          <cell r="D58" t="str">
            <v>D084</v>
          </cell>
          <cell r="E58" t="str">
            <v>MX-PD-186 IZTAPALAPA</v>
          </cell>
          <cell r="F58">
            <v>10000253</v>
          </cell>
          <cell r="G58" t="str">
            <v>Grava Triturada Andesita 20 mm</v>
          </cell>
          <cell r="H58">
            <v>77.33</v>
          </cell>
          <cell r="I58">
            <v>26.57</v>
          </cell>
          <cell r="J58">
            <v>103.9</v>
          </cell>
        </row>
        <row r="59">
          <cell r="B59" t="str">
            <v>D81310000255</v>
          </cell>
          <cell r="C59" t="str">
            <v>D813</v>
          </cell>
          <cell r="D59" t="str">
            <v>D084</v>
          </cell>
          <cell r="E59" t="str">
            <v>MX-PD-186 IZTAPALAPA</v>
          </cell>
          <cell r="F59">
            <v>10000255</v>
          </cell>
          <cell r="G59" t="str">
            <v>Arena Triturada Andesita Malla</v>
          </cell>
          <cell r="H59">
            <v>77.66</v>
          </cell>
          <cell r="I59">
            <v>26.48</v>
          </cell>
          <cell r="J59">
            <v>104.14</v>
          </cell>
        </row>
        <row r="60">
          <cell r="B60" t="str">
            <v>D81310001091</v>
          </cell>
          <cell r="C60" t="str">
            <v>D813</v>
          </cell>
          <cell r="D60" t="str">
            <v>D084</v>
          </cell>
          <cell r="E60" t="str">
            <v>MX-PD-186 IZTAPALAPA</v>
          </cell>
          <cell r="F60">
            <v>10001091</v>
          </cell>
          <cell r="G60" t="str">
            <v>Balasto Triturado Andesita 150</v>
          </cell>
          <cell r="H60">
            <v>49.14</v>
          </cell>
          <cell r="I60">
            <v>-3.67</v>
          </cell>
          <cell r="J60">
            <v>45.47</v>
          </cell>
        </row>
        <row r="61">
          <cell r="B61" t="str">
            <v>D81310002350</v>
          </cell>
          <cell r="C61" t="str">
            <v>D813</v>
          </cell>
          <cell r="D61" t="str">
            <v>D084</v>
          </cell>
          <cell r="E61" t="str">
            <v>MX-PD-186 IZTAPALAPA</v>
          </cell>
          <cell r="F61">
            <v>10002350</v>
          </cell>
          <cell r="G61" t="str">
            <v>Grava Triturada Andesita 10mm-</v>
          </cell>
          <cell r="H61">
            <v>77.33</v>
          </cell>
          <cell r="I61">
            <v>57.27</v>
          </cell>
          <cell r="J61">
            <v>134.6</v>
          </cell>
        </row>
        <row r="62">
          <cell r="B62" t="str">
            <v>D81310029946</v>
          </cell>
          <cell r="C62" t="str">
            <v>D813</v>
          </cell>
          <cell r="D62" t="str">
            <v>D084</v>
          </cell>
          <cell r="E62" t="str">
            <v>MX-PD-186 IZTAPALAPA</v>
          </cell>
          <cell r="F62">
            <v>10029946</v>
          </cell>
          <cell r="G62" t="str">
            <v>Arena Triturada Andesita Malla</v>
          </cell>
          <cell r="H62">
            <v>77.66</v>
          </cell>
          <cell r="I62">
            <v>29.47</v>
          </cell>
          <cell r="J62">
            <v>107.13</v>
          </cell>
        </row>
        <row r="63">
          <cell r="B63" t="str">
            <v>D81310032959</v>
          </cell>
          <cell r="C63" t="str">
            <v>D813</v>
          </cell>
          <cell r="D63" t="str">
            <v>D084</v>
          </cell>
          <cell r="E63" t="str">
            <v>MX-PD-186 IZTAPALAPA</v>
          </cell>
          <cell r="F63">
            <v>10032959</v>
          </cell>
          <cell r="G63" t="str">
            <v>Grava Triturada Andesita 50 mm</v>
          </cell>
          <cell r="H63">
            <v>77.33</v>
          </cell>
          <cell r="I63">
            <v>-4.6900000000000004</v>
          </cell>
          <cell r="J63">
            <v>72.64</v>
          </cell>
        </row>
        <row r="64">
          <cell r="B64" t="str">
            <v>D81310000252</v>
          </cell>
          <cell r="C64" t="str">
            <v>D813</v>
          </cell>
          <cell r="D64" t="str">
            <v>D085</v>
          </cell>
          <cell r="E64" t="str">
            <v>MX-PD0189 ROJO GOMEZ</v>
          </cell>
          <cell r="F64">
            <v>10000252</v>
          </cell>
          <cell r="G64" t="str">
            <v>Grava Triturada Andesita 10 mm</v>
          </cell>
          <cell r="H64">
            <v>77.33</v>
          </cell>
          <cell r="I64">
            <v>37.6</v>
          </cell>
          <cell r="J64">
            <v>114.93</v>
          </cell>
        </row>
        <row r="65">
          <cell r="B65" t="str">
            <v>D81310000253</v>
          </cell>
          <cell r="C65" t="str">
            <v>D813</v>
          </cell>
          <cell r="D65" t="str">
            <v>D085</v>
          </cell>
          <cell r="E65" t="str">
            <v>MX-PD0189 ROJO GOMEZ</v>
          </cell>
          <cell r="F65">
            <v>10000253</v>
          </cell>
          <cell r="G65" t="str">
            <v>Grava Triturada Andesita 20 mm</v>
          </cell>
          <cell r="H65">
            <v>77.33</v>
          </cell>
          <cell r="I65">
            <v>26.57</v>
          </cell>
          <cell r="J65">
            <v>103.9</v>
          </cell>
        </row>
        <row r="66">
          <cell r="B66" t="str">
            <v>D81310000255</v>
          </cell>
          <cell r="C66" t="str">
            <v>D813</v>
          </cell>
          <cell r="D66" t="str">
            <v>D085</v>
          </cell>
          <cell r="E66" t="str">
            <v>MX-PD0189 ROJO GOMEZ</v>
          </cell>
          <cell r="F66">
            <v>10000255</v>
          </cell>
          <cell r="G66" t="str">
            <v>Arena Triturada Andesita Malla</v>
          </cell>
          <cell r="H66">
            <v>77.66</v>
          </cell>
          <cell r="I66">
            <v>26.48</v>
          </cell>
          <cell r="J66">
            <v>104.14</v>
          </cell>
        </row>
        <row r="67">
          <cell r="B67" t="str">
            <v>D81310001091</v>
          </cell>
          <cell r="C67" t="str">
            <v>D813</v>
          </cell>
          <cell r="D67" t="str">
            <v>D085</v>
          </cell>
          <cell r="E67" t="str">
            <v>MX-PD0189 ROJO GOMEZ</v>
          </cell>
          <cell r="F67">
            <v>10001091</v>
          </cell>
          <cell r="G67" t="str">
            <v>Balasto Triturado Andesita 150</v>
          </cell>
          <cell r="H67">
            <v>49.14</v>
          </cell>
          <cell r="I67">
            <v>-3.67</v>
          </cell>
          <cell r="J67">
            <v>45.47</v>
          </cell>
        </row>
        <row r="68">
          <cell r="B68" t="str">
            <v>D81310002350</v>
          </cell>
          <cell r="C68" t="str">
            <v>D813</v>
          </cell>
          <cell r="D68" t="str">
            <v>D085</v>
          </cell>
          <cell r="E68" t="str">
            <v>MX-PD0189 ROJO GOMEZ</v>
          </cell>
          <cell r="F68">
            <v>10002350</v>
          </cell>
          <cell r="G68" t="str">
            <v>Grava Triturada Andesita 10mm-</v>
          </cell>
          <cell r="H68">
            <v>77.33</v>
          </cell>
          <cell r="I68">
            <v>57.27</v>
          </cell>
          <cell r="J68">
            <v>134.6</v>
          </cell>
        </row>
        <row r="69">
          <cell r="B69" t="str">
            <v>D81310029946</v>
          </cell>
          <cell r="C69" t="str">
            <v>D813</v>
          </cell>
          <cell r="D69" t="str">
            <v>D085</v>
          </cell>
          <cell r="E69" t="str">
            <v>MX-PD0189 ROJO GOMEZ</v>
          </cell>
          <cell r="F69">
            <v>10029946</v>
          </cell>
          <cell r="G69" t="str">
            <v>Arena Triturada Andesita Malla</v>
          </cell>
          <cell r="H69">
            <v>77.66</v>
          </cell>
          <cell r="I69">
            <v>29.47</v>
          </cell>
          <cell r="J69">
            <v>107.13</v>
          </cell>
        </row>
        <row r="70">
          <cell r="B70" t="str">
            <v>D81310032959</v>
          </cell>
          <cell r="C70" t="str">
            <v>D813</v>
          </cell>
          <cell r="D70" t="str">
            <v>D085</v>
          </cell>
          <cell r="E70" t="str">
            <v>MX-PD0189 ROJO GOMEZ</v>
          </cell>
          <cell r="F70">
            <v>10032959</v>
          </cell>
          <cell r="G70" t="str">
            <v>Grava Triturada Andesita 50 mm</v>
          </cell>
          <cell r="H70">
            <v>77.33</v>
          </cell>
          <cell r="I70">
            <v>-4.6900000000000004</v>
          </cell>
          <cell r="J70">
            <v>72.64</v>
          </cell>
        </row>
        <row r="71">
          <cell r="B71" t="str">
            <v>D81310000252</v>
          </cell>
          <cell r="C71" t="str">
            <v>D813</v>
          </cell>
          <cell r="D71" t="str">
            <v>D086</v>
          </cell>
          <cell r="E71" t="str">
            <v>MX-PD-190 XALOSTC</v>
          </cell>
          <cell r="F71">
            <v>10000252</v>
          </cell>
          <cell r="G71" t="str">
            <v>Grava Triturada Andesita 10 mm</v>
          </cell>
          <cell r="H71">
            <v>77.33</v>
          </cell>
          <cell r="I71">
            <v>37.6</v>
          </cell>
          <cell r="J71">
            <v>114.93</v>
          </cell>
        </row>
        <row r="72">
          <cell r="B72" t="str">
            <v>D81310000253</v>
          </cell>
          <cell r="C72" t="str">
            <v>D813</v>
          </cell>
          <cell r="D72" t="str">
            <v>D086</v>
          </cell>
          <cell r="E72" t="str">
            <v>MX-PD-190 XALOSTC</v>
          </cell>
          <cell r="F72">
            <v>10000253</v>
          </cell>
          <cell r="G72" t="str">
            <v>Grava Triturada Andesita 20 mm</v>
          </cell>
          <cell r="H72">
            <v>77.33</v>
          </cell>
          <cell r="I72">
            <v>26.57</v>
          </cell>
          <cell r="J72">
            <v>103.9</v>
          </cell>
        </row>
        <row r="73">
          <cell r="B73" t="str">
            <v>D81310000255</v>
          </cell>
          <cell r="C73" t="str">
            <v>D813</v>
          </cell>
          <cell r="D73" t="str">
            <v>D086</v>
          </cell>
          <cell r="E73" t="str">
            <v>MX-PD-190 XALOSTC</v>
          </cell>
          <cell r="F73">
            <v>10000255</v>
          </cell>
          <cell r="G73" t="str">
            <v>Arena Triturada Andesita Malla</v>
          </cell>
          <cell r="H73">
            <v>77.66</v>
          </cell>
          <cell r="I73">
            <v>26.48</v>
          </cell>
          <cell r="J73">
            <v>104.14</v>
          </cell>
        </row>
        <row r="74">
          <cell r="B74" t="str">
            <v>D81310001091</v>
          </cell>
          <cell r="C74" t="str">
            <v>D813</v>
          </cell>
          <cell r="D74" t="str">
            <v>D086</v>
          </cell>
          <cell r="E74" t="str">
            <v>MX-PD-190 XALOSTC</v>
          </cell>
          <cell r="F74">
            <v>10001091</v>
          </cell>
          <cell r="G74" t="str">
            <v>Balasto Triturado Andesita 150</v>
          </cell>
          <cell r="H74">
            <v>49.14</v>
          </cell>
          <cell r="I74">
            <v>-3.67</v>
          </cell>
          <cell r="J74">
            <v>45.47</v>
          </cell>
        </row>
        <row r="75">
          <cell r="B75" t="str">
            <v>D81310002350</v>
          </cell>
          <cell r="C75" t="str">
            <v>D813</v>
          </cell>
          <cell r="D75" t="str">
            <v>D086</v>
          </cell>
          <cell r="E75" t="str">
            <v>MX-PD-190 XALOSTC</v>
          </cell>
          <cell r="F75">
            <v>10002350</v>
          </cell>
          <cell r="G75" t="str">
            <v>Grava Triturada Andesita 10mm-</v>
          </cell>
          <cell r="H75">
            <v>77.33</v>
          </cell>
          <cell r="I75">
            <v>57.27</v>
          </cell>
          <cell r="J75">
            <v>134.6</v>
          </cell>
        </row>
        <row r="76">
          <cell r="B76" t="str">
            <v>D81310029946</v>
          </cell>
          <cell r="C76" t="str">
            <v>D813</v>
          </cell>
          <cell r="D76" t="str">
            <v>D086</v>
          </cell>
          <cell r="E76" t="str">
            <v>MX-PD-190 XALOSTC</v>
          </cell>
          <cell r="F76">
            <v>10029946</v>
          </cell>
          <cell r="G76" t="str">
            <v>Arena Triturada Andesita Malla</v>
          </cell>
          <cell r="H76">
            <v>77.66</v>
          </cell>
          <cell r="I76">
            <v>29.47</v>
          </cell>
          <cell r="J76">
            <v>107.13</v>
          </cell>
        </row>
        <row r="77">
          <cell r="B77" t="str">
            <v>D81310032959</v>
          </cell>
          <cell r="C77" t="str">
            <v>D813</v>
          </cell>
          <cell r="D77" t="str">
            <v>D086</v>
          </cell>
          <cell r="E77" t="str">
            <v>MX-PD-190 XALOSTC</v>
          </cell>
          <cell r="F77">
            <v>10032959</v>
          </cell>
          <cell r="G77" t="str">
            <v>Grava Triturada Andesita 50 mm</v>
          </cell>
          <cell r="H77">
            <v>77.33</v>
          </cell>
          <cell r="I77">
            <v>-4.6900000000000004</v>
          </cell>
          <cell r="J77">
            <v>72.64</v>
          </cell>
        </row>
        <row r="78">
          <cell r="B78" t="str">
            <v>D81310000252</v>
          </cell>
          <cell r="C78" t="str">
            <v>D813</v>
          </cell>
          <cell r="D78" t="str">
            <v>D087</v>
          </cell>
          <cell r="E78" t="str">
            <v>MX-PD0192 AEROPUERTO QRO</v>
          </cell>
          <cell r="F78">
            <v>10000252</v>
          </cell>
          <cell r="G78" t="str">
            <v>Grava Triturada Andesita 10 mm</v>
          </cell>
          <cell r="H78">
            <v>77.33</v>
          </cell>
          <cell r="I78">
            <v>37.6</v>
          </cell>
          <cell r="J78">
            <v>114.93</v>
          </cell>
        </row>
        <row r="79">
          <cell r="B79" t="str">
            <v>D81310000253</v>
          </cell>
          <cell r="C79" t="str">
            <v>D813</v>
          </cell>
          <cell r="D79" t="str">
            <v>D087</v>
          </cell>
          <cell r="E79" t="str">
            <v>MX-PD0192 AEROPUERTO QRO</v>
          </cell>
          <cell r="F79">
            <v>10000253</v>
          </cell>
          <cell r="G79" t="str">
            <v>Grava Triturada Andesita 20 mm</v>
          </cell>
          <cell r="H79">
            <v>77.33</v>
          </cell>
          <cell r="I79">
            <v>26.57</v>
          </cell>
          <cell r="J79">
            <v>103.9</v>
          </cell>
        </row>
        <row r="80">
          <cell r="B80" t="str">
            <v>D81310000255</v>
          </cell>
          <cell r="C80" t="str">
            <v>D813</v>
          </cell>
          <cell r="D80" t="str">
            <v>D087</v>
          </cell>
          <cell r="E80" t="str">
            <v>MX-PD0192 AEROPUERTO QRO</v>
          </cell>
          <cell r="F80">
            <v>10000255</v>
          </cell>
          <cell r="G80" t="str">
            <v>Arena Triturada Andesita Malla</v>
          </cell>
          <cell r="H80">
            <v>77.66</v>
          </cell>
          <cell r="I80">
            <v>26.48</v>
          </cell>
          <cell r="J80">
            <v>104.14</v>
          </cell>
        </row>
        <row r="81">
          <cell r="B81" t="str">
            <v>D81310001091</v>
          </cell>
          <cell r="C81" t="str">
            <v>D813</v>
          </cell>
          <cell r="D81" t="str">
            <v>D087</v>
          </cell>
          <cell r="E81" t="str">
            <v>MX-PD0192 AEROPUERTO QRO</v>
          </cell>
          <cell r="F81">
            <v>10001091</v>
          </cell>
          <cell r="G81" t="str">
            <v>Balasto Triturado Andesita 150</v>
          </cell>
          <cell r="H81">
            <v>49.14</v>
          </cell>
          <cell r="I81">
            <v>-3.67</v>
          </cell>
          <cell r="J81">
            <v>45.47</v>
          </cell>
        </row>
        <row r="82">
          <cell r="B82" t="str">
            <v>D81310002350</v>
          </cell>
          <cell r="C82" t="str">
            <v>D813</v>
          </cell>
          <cell r="D82" t="str">
            <v>D087</v>
          </cell>
          <cell r="E82" t="str">
            <v>MX-PD0192 AEROPUERTO QRO</v>
          </cell>
          <cell r="F82">
            <v>10002350</v>
          </cell>
          <cell r="G82" t="str">
            <v>Grava Triturada Andesita 10mm-</v>
          </cell>
          <cell r="H82">
            <v>77.33</v>
          </cell>
          <cell r="I82">
            <v>57.27</v>
          </cell>
          <cell r="J82">
            <v>134.6</v>
          </cell>
        </row>
        <row r="83">
          <cell r="B83" t="str">
            <v>D81310000252</v>
          </cell>
          <cell r="C83" t="str">
            <v>D813</v>
          </cell>
          <cell r="D83" t="str">
            <v>D088</v>
          </cell>
          <cell r="E83" t="str">
            <v>MX-PD-081 HUEHUETOCA V</v>
          </cell>
          <cell r="F83">
            <v>10000252</v>
          </cell>
          <cell r="G83" t="str">
            <v>Grava Triturada Andesita 10 mm</v>
          </cell>
          <cell r="H83">
            <v>77.33</v>
          </cell>
          <cell r="I83">
            <v>37.6</v>
          </cell>
          <cell r="J83">
            <v>114.93</v>
          </cell>
        </row>
        <row r="84">
          <cell r="B84" t="str">
            <v>D81310000253</v>
          </cell>
          <cell r="C84" t="str">
            <v>D813</v>
          </cell>
          <cell r="D84" t="str">
            <v>D088</v>
          </cell>
          <cell r="E84" t="str">
            <v>MX-PD-081 HUEHUETOCA V</v>
          </cell>
          <cell r="F84">
            <v>10000253</v>
          </cell>
          <cell r="G84" t="str">
            <v>Grava Triturada Andesita 20 mm</v>
          </cell>
          <cell r="H84">
            <v>77.33</v>
          </cell>
          <cell r="I84">
            <v>26.57</v>
          </cell>
          <cell r="J84">
            <v>103.9</v>
          </cell>
        </row>
        <row r="85">
          <cell r="B85" t="str">
            <v>D81310000255</v>
          </cell>
          <cell r="C85" t="str">
            <v>D813</v>
          </cell>
          <cell r="D85" t="str">
            <v>D088</v>
          </cell>
          <cell r="E85" t="str">
            <v>MX-PD-081 HUEHUETOCA V</v>
          </cell>
          <cell r="F85">
            <v>10000255</v>
          </cell>
          <cell r="G85" t="str">
            <v>Arena Triturada Andesita Malla</v>
          </cell>
          <cell r="H85">
            <v>77.66</v>
          </cell>
          <cell r="I85">
            <v>26.48</v>
          </cell>
          <cell r="J85">
            <v>104.14</v>
          </cell>
        </row>
        <row r="86">
          <cell r="B86" t="str">
            <v>D81310001091</v>
          </cell>
          <cell r="C86" t="str">
            <v>D813</v>
          </cell>
          <cell r="D86" t="str">
            <v>D088</v>
          </cell>
          <cell r="E86" t="str">
            <v>MX-PD-081 HUEHUETOCA V</v>
          </cell>
          <cell r="F86">
            <v>10001091</v>
          </cell>
          <cell r="G86" t="str">
            <v>Balasto Triturado Andesita 150</v>
          </cell>
          <cell r="H86">
            <v>49.14</v>
          </cell>
          <cell r="I86">
            <v>-3.67</v>
          </cell>
          <cell r="J86">
            <v>45.47</v>
          </cell>
        </row>
        <row r="87">
          <cell r="B87" t="str">
            <v>D81310002350</v>
          </cell>
          <cell r="C87" t="str">
            <v>D813</v>
          </cell>
          <cell r="D87" t="str">
            <v>D088</v>
          </cell>
          <cell r="E87" t="str">
            <v>MX-PD-081 HUEHUETOCA V</v>
          </cell>
          <cell r="F87">
            <v>10002350</v>
          </cell>
          <cell r="G87" t="str">
            <v>Grava Triturada Andesita 10mm-</v>
          </cell>
          <cell r="H87">
            <v>77.33</v>
          </cell>
          <cell r="I87">
            <v>57.27</v>
          </cell>
          <cell r="J87">
            <v>134.6</v>
          </cell>
        </row>
        <row r="88">
          <cell r="B88" t="str">
            <v>D81310029946</v>
          </cell>
          <cell r="C88" t="str">
            <v>D813</v>
          </cell>
          <cell r="D88" t="str">
            <v>D088</v>
          </cell>
          <cell r="E88" t="str">
            <v>MX-PD-081 HUEHUETOCA V</v>
          </cell>
          <cell r="F88">
            <v>10029946</v>
          </cell>
          <cell r="G88" t="str">
            <v>Arena Triturada Andesita Malla</v>
          </cell>
          <cell r="H88">
            <v>77.66</v>
          </cell>
          <cell r="I88">
            <v>29.47</v>
          </cell>
          <cell r="J88">
            <v>107.13</v>
          </cell>
        </row>
        <row r="89">
          <cell r="B89" t="str">
            <v>D81310032959</v>
          </cell>
          <cell r="C89" t="str">
            <v>D813</v>
          </cell>
          <cell r="D89" t="str">
            <v>D088</v>
          </cell>
          <cell r="E89" t="str">
            <v>MX-PD-081 HUEHUETOCA V</v>
          </cell>
          <cell r="F89">
            <v>10032959</v>
          </cell>
          <cell r="G89" t="str">
            <v>Grava Triturada Andesita 50 mm</v>
          </cell>
          <cell r="H89">
            <v>77.33</v>
          </cell>
          <cell r="I89">
            <v>-4.6900000000000004</v>
          </cell>
          <cell r="J89">
            <v>72.64</v>
          </cell>
        </row>
        <row r="90">
          <cell r="B90" t="str">
            <v>D81310000253</v>
          </cell>
          <cell r="C90" t="str">
            <v>D813</v>
          </cell>
          <cell r="D90" t="str">
            <v>D089</v>
          </cell>
          <cell r="E90" t="str">
            <v>MX-PD-091 TULA IV</v>
          </cell>
          <cell r="F90">
            <v>10000253</v>
          </cell>
          <cell r="G90" t="str">
            <v>Grava Triturada Andesita 20 mm</v>
          </cell>
          <cell r="H90">
            <v>77.33</v>
          </cell>
          <cell r="I90">
            <v>26.57</v>
          </cell>
          <cell r="J90">
            <v>103.9</v>
          </cell>
        </row>
        <row r="91">
          <cell r="B91" t="str">
            <v>D81310000255</v>
          </cell>
          <cell r="C91" t="str">
            <v>D813</v>
          </cell>
          <cell r="D91" t="str">
            <v>D089</v>
          </cell>
          <cell r="E91" t="str">
            <v>MX-PD-091 TULA IV</v>
          </cell>
          <cell r="F91">
            <v>10000255</v>
          </cell>
          <cell r="G91" t="str">
            <v>Arena Triturada Andesita Malla</v>
          </cell>
          <cell r="H91">
            <v>77.66</v>
          </cell>
          <cell r="I91">
            <v>26.48</v>
          </cell>
          <cell r="J91">
            <v>104.14</v>
          </cell>
        </row>
        <row r="92">
          <cell r="B92" t="str">
            <v>D81310002350</v>
          </cell>
          <cell r="C92" t="str">
            <v>D813</v>
          </cell>
          <cell r="D92" t="str">
            <v>D089</v>
          </cell>
          <cell r="E92" t="str">
            <v>MX-PD-091 TULA IV</v>
          </cell>
          <cell r="F92">
            <v>10002350</v>
          </cell>
          <cell r="G92" t="str">
            <v>Grava Triturada Andesita 10mm-</v>
          </cell>
          <cell r="H92">
            <v>77.33</v>
          </cell>
          <cell r="I92">
            <v>57.27</v>
          </cell>
          <cell r="J92">
            <v>134.6</v>
          </cell>
        </row>
        <row r="93">
          <cell r="B93" t="str">
            <v>D81310029946</v>
          </cell>
          <cell r="C93" t="str">
            <v>D813</v>
          </cell>
          <cell r="D93" t="str">
            <v>D089</v>
          </cell>
          <cell r="E93" t="str">
            <v>MX-PD-091 TULA IV</v>
          </cell>
          <cell r="F93">
            <v>10029946</v>
          </cell>
          <cell r="G93" t="str">
            <v>Arena Triturada Andesita Malla</v>
          </cell>
          <cell r="H93">
            <v>77.66</v>
          </cell>
          <cell r="I93">
            <v>29.47</v>
          </cell>
          <cell r="J93">
            <v>107.13</v>
          </cell>
        </row>
        <row r="94">
          <cell r="B94" t="str">
            <v>D81310000253</v>
          </cell>
          <cell r="C94" t="str">
            <v>D813</v>
          </cell>
          <cell r="D94" t="str">
            <v>D093</v>
          </cell>
          <cell r="E94" t="str">
            <v>MX-PD0556 ZUMPANGO</v>
          </cell>
          <cell r="F94">
            <v>10000253</v>
          </cell>
          <cell r="G94" t="str">
            <v>Grava Triturada Andesita 20 mm</v>
          </cell>
          <cell r="H94">
            <v>77.33</v>
          </cell>
          <cell r="I94">
            <v>26.57</v>
          </cell>
          <cell r="J94">
            <v>103.9</v>
          </cell>
        </row>
        <row r="95">
          <cell r="B95" t="str">
            <v>D81310000255</v>
          </cell>
          <cell r="C95" t="str">
            <v>D813</v>
          </cell>
          <cell r="D95" t="str">
            <v>D093</v>
          </cell>
          <cell r="E95" t="str">
            <v>MX-PD0556 ZUMPANGO</v>
          </cell>
          <cell r="F95">
            <v>10000255</v>
          </cell>
          <cell r="G95" t="str">
            <v>Arena Triturada Andesita Malla</v>
          </cell>
          <cell r="H95">
            <v>77.66</v>
          </cell>
          <cell r="I95">
            <v>26.48</v>
          </cell>
          <cell r="J95">
            <v>104.14</v>
          </cell>
        </row>
        <row r="96">
          <cell r="B96" t="str">
            <v>D81310001091</v>
          </cell>
          <cell r="C96" t="str">
            <v>D813</v>
          </cell>
          <cell r="D96" t="str">
            <v>D093</v>
          </cell>
          <cell r="E96" t="str">
            <v>MX-PD0556 ZUMPANGO</v>
          </cell>
          <cell r="F96">
            <v>10001091</v>
          </cell>
          <cell r="G96" t="str">
            <v>Balasto Triturado Andesita 150</v>
          </cell>
          <cell r="H96">
            <v>49.14</v>
          </cell>
          <cell r="I96">
            <v>-3.67</v>
          </cell>
          <cell r="J96">
            <v>45.47</v>
          </cell>
        </row>
        <row r="97">
          <cell r="B97" t="str">
            <v>D81310002350</v>
          </cell>
          <cell r="C97" t="str">
            <v>D813</v>
          </cell>
          <cell r="D97" t="str">
            <v>D093</v>
          </cell>
          <cell r="E97" t="str">
            <v>MX-PD0556 ZUMPANGO</v>
          </cell>
          <cell r="F97">
            <v>10002350</v>
          </cell>
          <cell r="G97" t="str">
            <v>Grava Triturada Andesita 10mm-</v>
          </cell>
          <cell r="H97">
            <v>77.33</v>
          </cell>
          <cell r="I97">
            <v>57.27</v>
          </cell>
          <cell r="J97">
            <v>134.6</v>
          </cell>
        </row>
        <row r="98">
          <cell r="B98" t="str">
            <v>D81310029946</v>
          </cell>
          <cell r="C98" t="str">
            <v>D813</v>
          </cell>
          <cell r="D98" t="str">
            <v>D093</v>
          </cell>
          <cell r="E98" t="str">
            <v>MX-PD0556 ZUMPANGO</v>
          </cell>
          <cell r="F98">
            <v>10029946</v>
          </cell>
          <cell r="G98" t="str">
            <v>Arena Triturada Andesita Malla</v>
          </cell>
          <cell r="H98">
            <v>77.66</v>
          </cell>
          <cell r="I98">
            <v>29.47</v>
          </cell>
          <cell r="J98">
            <v>107.13</v>
          </cell>
        </row>
        <row r="99">
          <cell r="B99" t="str">
            <v>D81310032959</v>
          </cell>
          <cell r="C99" t="str">
            <v>D813</v>
          </cell>
          <cell r="D99" t="str">
            <v>D093</v>
          </cell>
          <cell r="E99" t="str">
            <v>MX-PD0556 ZUMPANGO</v>
          </cell>
          <cell r="F99">
            <v>10032959</v>
          </cell>
          <cell r="G99" t="str">
            <v>Grava Triturada Andesita 50 mm</v>
          </cell>
          <cell r="H99">
            <v>77.33</v>
          </cell>
          <cell r="I99">
            <v>-4.6900000000000004</v>
          </cell>
          <cell r="J99">
            <v>72.64</v>
          </cell>
        </row>
        <row r="100">
          <cell r="B100" t="str">
            <v>D81310029946</v>
          </cell>
          <cell r="C100" t="str">
            <v>D813</v>
          </cell>
          <cell r="D100" t="str">
            <v>D095</v>
          </cell>
          <cell r="E100" t="str">
            <v>MX-PD-482 TIZAYUCA</v>
          </cell>
          <cell r="F100">
            <v>10029946</v>
          </cell>
          <cell r="G100" t="str">
            <v>Arena Triturada Andesita Malla</v>
          </cell>
          <cell r="H100">
            <v>77.66</v>
          </cell>
          <cell r="I100">
            <v>29.47</v>
          </cell>
          <cell r="J100">
            <v>107.13</v>
          </cell>
        </row>
        <row r="101">
          <cell r="B101" t="str">
            <v>D81310000252</v>
          </cell>
          <cell r="C101" t="str">
            <v>D813</v>
          </cell>
          <cell r="D101" t="str">
            <v>D098</v>
          </cell>
          <cell r="E101" t="str">
            <v>MX-PD-315 CUAUTITLAN II</v>
          </cell>
          <cell r="F101">
            <v>10000252</v>
          </cell>
          <cell r="G101" t="str">
            <v>Grava Triturada Andesita 10 mm</v>
          </cell>
          <cell r="H101">
            <v>77.33</v>
          </cell>
          <cell r="I101">
            <v>37.6</v>
          </cell>
          <cell r="J101">
            <v>114.93</v>
          </cell>
        </row>
        <row r="102">
          <cell r="B102" t="str">
            <v>D81310000253</v>
          </cell>
          <cell r="C102" t="str">
            <v>D813</v>
          </cell>
          <cell r="D102" t="str">
            <v>D098</v>
          </cell>
          <cell r="E102" t="str">
            <v>MX-PD-315 CUAUTITLAN II</v>
          </cell>
          <cell r="F102">
            <v>10000253</v>
          </cell>
          <cell r="G102" t="str">
            <v>Grava Triturada Andesita 20 mm</v>
          </cell>
          <cell r="H102">
            <v>77.33</v>
          </cell>
          <cell r="I102">
            <v>26.57</v>
          </cell>
          <cell r="J102">
            <v>103.9</v>
          </cell>
        </row>
        <row r="103">
          <cell r="B103" t="str">
            <v>D81310000255</v>
          </cell>
          <cell r="C103" t="str">
            <v>D813</v>
          </cell>
          <cell r="D103" t="str">
            <v>D098</v>
          </cell>
          <cell r="E103" t="str">
            <v>MX-PD-315 CUAUTITLAN II</v>
          </cell>
          <cell r="F103">
            <v>10000255</v>
          </cell>
          <cell r="G103" t="str">
            <v>Arena Triturada Andesita Malla</v>
          </cell>
          <cell r="H103">
            <v>77.66</v>
          </cell>
          <cell r="I103">
            <v>26.48</v>
          </cell>
          <cell r="J103">
            <v>104.14</v>
          </cell>
        </row>
        <row r="104">
          <cell r="B104" t="str">
            <v>D81310001091</v>
          </cell>
          <cell r="C104" t="str">
            <v>D813</v>
          </cell>
          <cell r="D104" t="str">
            <v>D098</v>
          </cell>
          <cell r="E104" t="str">
            <v>MX-PD-315 CUAUTITLAN II</v>
          </cell>
          <cell r="F104">
            <v>10001091</v>
          </cell>
          <cell r="G104" t="str">
            <v>Balasto Triturado Andesita 150</v>
          </cell>
          <cell r="H104">
            <v>49.14</v>
          </cell>
          <cell r="I104">
            <v>-3.67</v>
          </cell>
          <cell r="J104">
            <v>45.47</v>
          </cell>
        </row>
        <row r="105">
          <cell r="B105" t="str">
            <v>D81310002350</v>
          </cell>
          <cell r="C105" t="str">
            <v>D813</v>
          </cell>
          <cell r="D105" t="str">
            <v>D098</v>
          </cell>
          <cell r="E105" t="str">
            <v>MX-PD-315 CUAUTITLAN II</v>
          </cell>
          <cell r="F105">
            <v>10002350</v>
          </cell>
          <cell r="G105" t="str">
            <v>Grava Triturada Andesita 10mm-</v>
          </cell>
          <cell r="H105">
            <v>77.33</v>
          </cell>
          <cell r="I105">
            <v>57.27</v>
          </cell>
          <cell r="J105">
            <v>134.6</v>
          </cell>
        </row>
        <row r="106">
          <cell r="B106" t="str">
            <v>D81310029946</v>
          </cell>
          <cell r="C106" t="str">
            <v>D813</v>
          </cell>
          <cell r="D106" t="str">
            <v>D098</v>
          </cell>
          <cell r="E106" t="str">
            <v>MX-PD-315 CUAUTITLAN II</v>
          </cell>
          <cell r="F106">
            <v>10029946</v>
          </cell>
          <cell r="G106" t="str">
            <v>Arena Triturada Andesita Malla</v>
          </cell>
          <cell r="H106">
            <v>77.66</v>
          </cell>
          <cell r="I106">
            <v>29.47</v>
          </cell>
          <cell r="J106">
            <v>107.13</v>
          </cell>
        </row>
        <row r="107">
          <cell r="B107" t="str">
            <v>D81310032959</v>
          </cell>
          <cell r="C107" t="str">
            <v>D813</v>
          </cell>
          <cell r="D107" t="str">
            <v>D098</v>
          </cell>
          <cell r="E107" t="str">
            <v>MX-PD-315 CUAUTITLAN II</v>
          </cell>
          <cell r="F107">
            <v>10032959</v>
          </cell>
          <cell r="G107" t="str">
            <v>Grava Triturada Andesita 50 mm</v>
          </cell>
          <cell r="H107">
            <v>77.33</v>
          </cell>
          <cell r="I107">
            <v>-4.6900000000000004</v>
          </cell>
          <cell r="J107">
            <v>72.64</v>
          </cell>
        </row>
        <row r="108">
          <cell r="B108" t="str">
            <v>D81310000252</v>
          </cell>
          <cell r="C108" t="str">
            <v>D813</v>
          </cell>
          <cell r="D108" t="str">
            <v>D104</v>
          </cell>
          <cell r="E108" t="str">
            <v>MX-PD0397 PLAN DE LOS AMATES</v>
          </cell>
          <cell r="F108">
            <v>10000252</v>
          </cell>
          <cell r="G108" t="str">
            <v>Grava Triturada Andesita 10 mm</v>
          </cell>
          <cell r="H108">
            <v>77.33</v>
          </cell>
          <cell r="I108">
            <v>37.6</v>
          </cell>
          <cell r="J108">
            <v>114.93</v>
          </cell>
        </row>
        <row r="109">
          <cell r="B109" t="str">
            <v>D81310000253</v>
          </cell>
          <cell r="C109" t="str">
            <v>D813</v>
          </cell>
          <cell r="D109" t="str">
            <v>D104</v>
          </cell>
          <cell r="E109" t="str">
            <v>MX-PD0397 PLAN DE LOS AMATES</v>
          </cell>
          <cell r="F109">
            <v>10000253</v>
          </cell>
          <cell r="G109" t="str">
            <v>Grava Triturada Andesita 20 mm</v>
          </cell>
          <cell r="H109">
            <v>77.33</v>
          </cell>
          <cell r="I109">
            <v>26.57</v>
          </cell>
          <cell r="J109">
            <v>103.9</v>
          </cell>
        </row>
        <row r="110">
          <cell r="B110" t="str">
            <v>D81310000255</v>
          </cell>
          <cell r="C110" t="str">
            <v>D813</v>
          </cell>
          <cell r="D110" t="str">
            <v>D104</v>
          </cell>
          <cell r="E110" t="str">
            <v>MX-PD0397 PLAN DE LOS AMATES</v>
          </cell>
          <cell r="F110">
            <v>10000255</v>
          </cell>
          <cell r="G110" t="str">
            <v>Arena Triturada Andesita Malla</v>
          </cell>
          <cell r="H110">
            <v>77.66</v>
          </cell>
          <cell r="I110">
            <v>26.48</v>
          </cell>
          <cell r="J110">
            <v>104.14</v>
          </cell>
        </row>
        <row r="111">
          <cell r="B111" t="str">
            <v>D81310001091</v>
          </cell>
          <cell r="C111" t="str">
            <v>D813</v>
          </cell>
          <cell r="D111" t="str">
            <v>D104</v>
          </cell>
          <cell r="E111" t="str">
            <v>MX-PD0397 PLAN DE LOS AMATES</v>
          </cell>
          <cell r="F111">
            <v>10001091</v>
          </cell>
          <cell r="G111" t="str">
            <v>Balasto Triturado Andesita 150</v>
          </cell>
          <cell r="H111">
            <v>49.14</v>
          </cell>
          <cell r="I111">
            <v>-3.67</v>
          </cell>
          <cell r="J111">
            <v>45.47</v>
          </cell>
        </row>
        <row r="112">
          <cell r="B112" t="str">
            <v>D81310029946</v>
          </cell>
          <cell r="C112" t="str">
            <v>D813</v>
          </cell>
          <cell r="D112" t="str">
            <v>D104</v>
          </cell>
          <cell r="E112" t="str">
            <v>MX-PD0397 PLAN DE LOS AMATES</v>
          </cell>
          <cell r="F112">
            <v>10029946</v>
          </cell>
          <cell r="G112" t="str">
            <v>Arena Triturada Andesita Malla</v>
          </cell>
          <cell r="H112">
            <v>77.66</v>
          </cell>
          <cell r="I112">
            <v>29.47</v>
          </cell>
          <cell r="J112">
            <v>107.13</v>
          </cell>
        </row>
        <row r="113">
          <cell r="B113" t="str">
            <v>D81310000252</v>
          </cell>
          <cell r="C113" t="str">
            <v>D813</v>
          </cell>
          <cell r="D113" t="str">
            <v>D105</v>
          </cell>
          <cell r="E113" t="str">
            <v>MX-PD-331 NAUCALPAN II</v>
          </cell>
          <cell r="F113">
            <v>10000252</v>
          </cell>
          <cell r="G113" t="str">
            <v>Grava Triturada Andesita 10 mm</v>
          </cell>
          <cell r="H113">
            <v>77.33</v>
          </cell>
          <cell r="I113">
            <v>37.6</v>
          </cell>
          <cell r="J113">
            <v>114.93</v>
          </cell>
        </row>
        <row r="114">
          <cell r="B114" t="str">
            <v>D81310000253</v>
          </cell>
          <cell r="C114" t="str">
            <v>D813</v>
          </cell>
          <cell r="D114" t="str">
            <v>D105</v>
          </cell>
          <cell r="E114" t="str">
            <v>MX-PD-331 NAUCALPAN II</v>
          </cell>
          <cell r="F114">
            <v>10000253</v>
          </cell>
          <cell r="G114" t="str">
            <v>Grava Triturada Andesita 20 mm</v>
          </cell>
          <cell r="H114">
            <v>77.33</v>
          </cell>
          <cell r="I114">
            <v>26.57</v>
          </cell>
          <cell r="J114">
            <v>103.9</v>
          </cell>
        </row>
        <row r="115">
          <cell r="B115" t="str">
            <v>D81310000255</v>
          </cell>
          <cell r="C115" t="str">
            <v>D813</v>
          </cell>
          <cell r="D115" t="str">
            <v>D105</v>
          </cell>
          <cell r="E115" t="str">
            <v>MX-PD-331 NAUCALPAN II</v>
          </cell>
          <cell r="F115">
            <v>10000255</v>
          </cell>
          <cell r="G115" t="str">
            <v>Arena Triturada Andesita Malla</v>
          </cell>
          <cell r="H115">
            <v>77.66</v>
          </cell>
          <cell r="I115">
            <v>26.48</v>
          </cell>
          <cell r="J115">
            <v>104.14</v>
          </cell>
        </row>
        <row r="116">
          <cell r="B116" t="str">
            <v>D81310001091</v>
          </cell>
          <cell r="C116" t="str">
            <v>D813</v>
          </cell>
          <cell r="D116" t="str">
            <v>D105</v>
          </cell>
          <cell r="E116" t="str">
            <v>MX-PD-331 NAUCALPAN II</v>
          </cell>
          <cell r="F116">
            <v>10001091</v>
          </cell>
          <cell r="G116" t="str">
            <v>Balasto Triturado Andesita 150</v>
          </cell>
          <cell r="H116">
            <v>49.14</v>
          </cell>
          <cell r="I116">
            <v>-3.67</v>
          </cell>
          <cell r="J116">
            <v>45.47</v>
          </cell>
        </row>
        <row r="117">
          <cell r="B117" t="str">
            <v>D81310002350</v>
          </cell>
          <cell r="C117" t="str">
            <v>D813</v>
          </cell>
          <cell r="D117" t="str">
            <v>D105</v>
          </cell>
          <cell r="E117" t="str">
            <v>MX-PD-331 NAUCALPAN II</v>
          </cell>
          <cell r="F117">
            <v>10002350</v>
          </cell>
          <cell r="G117" t="str">
            <v>Grava Triturada Andesita 10mm-</v>
          </cell>
          <cell r="H117">
            <v>77.33</v>
          </cell>
          <cell r="I117">
            <v>57.27</v>
          </cell>
          <cell r="J117">
            <v>134.6</v>
          </cell>
        </row>
        <row r="118">
          <cell r="B118" t="str">
            <v>D81310029946</v>
          </cell>
          <cell r="C118" t="str">
            <v>D813</v>
          </cell>
          <cell r="D118" t="str">
            <v>D105</v>
          </cell>
          <cell r="E118" t="str">
            <v>MX-PD-331 NAUCALPAN II</v>
          </cell>
          <cell r="F118">
            <v>10029946</v>
          </cell>
          <cell r="G118" t="str">
            <v>Arena Triturada Andesita Malla</v>
          </cell>
          <cell r="H118">
            <v>77.66</v>
          </cell>
          <cell r="I118">
            <v>29.47</v>
          </cell>
          <cell r="J118">
            <v>107.13</v>
          </cell>
        </row>
        <row r="119">
          <cell r="B119" t="str">
            <v>D81310032959</v>
          </cell>
          <cell r="C119" t="str">
            <v>D813</v>
          </cell>
          <cell r="D119" t="str">
            <v>D105</v>
          </cell>
          <cell r="E119" t="str">
            <v>MX-PD-331 NAUCALPAN II</v>
          </cell>
          <cell r="F119">
            <v>10032959</v>
          </cell>
          <cell r="G119" t="str">
            <v>Grava Triturada Andesita 50 mm</v>
          </cell>
          <cell r="H119">
            <v>77.33</v>
          </cell>
          <cell r="I119">
            <v>-4.6900000000000004</v>
          </cell>
          <cell r="J119">
            <v>72.64</v>
          </cell>
        </row>
        <row r="120">
          <cell r="B120" t="str">
            <v>D81310000305</v>
          </cell>
          <cell r="C120" t="str">
            <v>D813</v>
          </cell>
          <cell r="D120" t="str">
            <v>D110</v>
          </cell>
          <cell r="E120" t="str">
            <v>MX-PD0338 TEPEJI 2</v>
          </cell>
          <cell r="F120">
            <v>10000305</v>
          </cell>
          <cell r="G120" t="str">
            <v>Tepetate Clasificado Tierra</v>
          </cell>
          <cell r="H120">
            <v>1.1499999999999999</v>
          </cell>
          <cell r="I120">
            <v>23.23</v>
          </cell>
          <cell r="J120">
            <v>24.38</v>
          </cell>
        </row>
        <row r="121">
          <cell r="B121" t="str">
            <v>D81310001091</v>
          </cell>
          <cell r="C121" t="str">
            <v>D813</v>
          </cell>
          <cell r="D121" t="str">
            <v>D110</v>
          </cell>
          <cell r="E121" t="str">
            <v>MX-PD0338 TEPEJI 2</v>
          </cell>
          <cell r="F121">
            <v>10001091</v>
          </cell>
          <cell r="G121" t="str">
            <v>Balasto Triturado Andesita 150</v>
          </cell>
          <cell r="H121">
            <v>49.14</v>
          </cell>
          <cell r="I121">
            <v>-3.67</v>
          </cell>
          <cell r="J121">
            <v>45.47</v>
          </cell>
        </row>
        <row r="122">
          <cell r="B122" t="str">
            <v>D81310002350</v>
          </cell>
          <cell r="C122" t="str">
            <v>D813</v>
          </cell>
          <cell r="D122" t="str">
            <v>D110</v>
          </cell>
          <cell r="E122" t="str">
            <v>MX-PD0338 TEPEJI 2</v>
          </cell>
          <cell r="F122">
            <v>10002350</v>
          </cell>
          <cell r="G122" t="str">
            <v>Grava Triturada Andesita 10mm-</v>
          </cell>
          <cell r="H122">
            <v>77.33</v>
          </cell>
          <cell r="I122">
            <v>57.27</v>
          </cell>
          <cell r="J122">
            <v>134.6</v>
          </cell>
        </row>
        <row r="123">
          <cell r="B123" t="str">
            <v>D81310029946</v>
          </cell>
          <cell r="C123" t="str">
            <v>D813</v>
          </cell>
          <cell r="D123" t="str">
            <v>D110</v>
          </cell>
          <cell r="E123" t="str">
            <v>MX-PD0338 TEPEJI 2</v>
          </cell>
          <cell r="F123">
            <v>10029946</v>
          </cell>
          <cell r="G123" t="str">
            <v>Arena Triturada Andesita Malla</v>
          </cell>
          <cell r="H123">
            <v>77.66</v>
          </cell>
          <cell r="I123">
            <v>29.47</v>
          </cell>
          <cell r="J123">
            <v>107.13</v>
          </cell>
        </row>
        <row r="124">
          <cell r="B124" t="str">
            <v>D81310032959</v>
          </cell>
          <cell r="C124" t="str">
            <v>D813</v>
          </cell>
          <cell r="D124" t="str">
            <v>D110</v>
          </cell>
          <cell r="E124" t="str">
            <v>MX-PD0338 TEPEJI 2</v>
          </cell>
          <cell r="F124">
            <v>10032959</v>
          </cell>
          <cell r="G124" t="str">
            <v>Grava Triturada Andesita 50 mm</v>
          </cell>
          <cell r="H124">
            <v>77.33</v>
          </cell>
          <cell r="I124">
            <v>-4.6900000000000004</v>
          </cell>
          <cell r="J124">
            <v>72.64</v>
          </cell>
        </row>
        <row r="125">
          <cell r="B125" t="str">
            <v>D81310000253</v>
          </cell>
          <cell r="C125" t="str">
            <v>D813</v>
          </cell>
          <cell r="D125" t="str">
            <v>D111</v>
          </cell>
          <cell r="E125" t="str">
            <v>MX-PD0317 TOLUCA LERMA 2</v>
          </cell>
          <cell r="F125">
            <v>10000253</v>
          </cell>
          <cell r="G125" t="str">
            <v>Grava Triturada Andesita 20 mm</v>
          </cell>
          <cell r="H125">
            <v>77.33</v>
          </cell>
          <cell r="I125">
            <v>26.57</v>
          </cell>
          <cell r="J125">
            <v>103.9</v>
          </cell>
        </row>
        <row r="126">
          <cell r="B126" t="str">
            <v>D81310000255</v>
          </cell>
          <cell r="C126" t="str">
            <v>D813</v>
          </cell>
          <cell r="D126" t="str">
            <v>D111</v>
          </cell>
          <cell r="E126" t="str">
            <v>MX-PD0317 TOLUCA LERMA 2</v>
          </cell>
          <cell r="F126">
            <v>10000255</v>
          </cell>
          <cell r="G126" t="str">
            <v>Arena Triturada Andesita Malla</v>
          </cell>
          <cell r="H126">
            <v>77.66</v>
          </cell>
          <cell r="I126">
            <v>26.48</v>
          </cell>
          <cell r="J126">
            <v>104.14</v>
          </cell>
        </row>
        <row r="127">
          <cell r="B127" t="str">
            <v>D81310002350</v>
          </cell>
          <cell r="C127" t="str">
            <v>D813</v>
          </cell>
          <cell r="D127" t="str">
            <v>D111</v>
          </cell>
          <cell r="E127" t="str">
            <v>MX-PD0317 TOLUCA LERMA 2</v>
          </cell>
          <cell r="F127">
            <v>10002350</v>
          </cell>
          <cell r="G127" t="str">
            <v>Grava Triturada Andesita 10mm-</v>
          </cell>
          <cell r="H127">
            <v>77.33</v>
          </cell>
          <cell r="I127">
            <v>57.27</v>
          </cell>
          <cell r="J127">
            <v>134.6</v>
          </cell>
        </row>
        <row r="128">
          <cell r="B128" t="str">
            <v>D81310029946</v>
          </cell>
          <cell r="C128" t="str">
            <v>D813</v>
          </cell>
          <cell r="D128" t="str">
            <v>D111</v>
          </cell>
          <cell r="E128" t="str">
            <v>MX-PD0317 TOLUCA LERMA 2</v>
          </cell>
          <cell r="F128">
            <v>10029946</v>
          </cell>
          <cell r="G128" t="str">
            <v>Arena Triturada Andesita Malla</v>
          </cell>
          <cell r="H128">
            <v>77.66</v>
          </cell>
          <cell r="I128">
            <v>29.47</v>
          </cell>
          <cell r="J128">
            <v>107.13</v>
          </cell>
        </row>
        <row r="129">
          <cell r="B129" t="str">
            <v>D81310029946</v>
          </cell>
          <cell r="C129" t="str">
            <v>D813</v>
          </cell>
          <cell r="D129" t="str">
            <v>D117</v>
          </cell>
          <cell r="E129" t="str">
            <v>MX-PD0481 PACHUCA</v>
          </cell>
          <cell r="F129">
            <v>10029946</v>
          </cell>
          <cell r="G129" t="str">
            <v>Arena Triturada Andesita Malla</v>
          </cell>
          <cell r="H129">
            <v>77.66</v>
          </cell>
          <cell r="I129">
            <v>29.47</v>
          </cell>
          <cell r="J129">
            <v>107.13</v>
          </cell>
        </row>
        <row r="130">
          <cell r="B130" t="str">
            <v>D81310000252</v>
          </cell>
          <cell r="C130" t="str">
            <v>D813</v>
          </cell>
          <cell r="D130" t="str">
            <v>D132</v>
          </cell>
          <cell r="E130" t="str">
            <v>MX-PD0208 SAHAGUN</v>
          </cell>
          <cell r="F130">
            <v>10000252</v>
          </cell>
          <cell r="G130" t="str">
            <v>Grava Triturada Andesita 10 mm</v>
          </cell>
          <cell r="H130">
            <v>77.33</v>
          </cell>
          <cell r="I130">
            <v>37.6</v>
          </cell>
          <cell r="J130">
            <v>114.93</v>
          </cell>
        </row>
        <row r="131">
          <cell r="B131" t="str">
            <v>D81310000253</v>
          </cell>
          <cell r="C131" t="str">
            <v>D813</v>
          </cell>
          <cell r="D131" t="str">
            <v>D132</v>
          </cell>
          <cell r="E131" t="str">
            <v>MX-PD0208 SAHAGUN</v>
          </cell>
          <cell r="F131">
            <v>10000253</v>
          </cell>
          <cell r="G131" t="str">
            <v>Grava Triturada Andesita 20 mm</v>
          </cell>
          <cell r="H131">
            <v>77.33</v>
          </cell>
          <cell r="I131">
            <v>26.57</v>
          </cell>
          <cell r="J131">
            <v>103.9</v>
          </cell>
        </row>
        <row r="132">
          <cell r="B132" t="str">
            <v>D81310000255</v>
          </cell>
          <cell r="C132" t="str">
            <v>D813</v>
          </cell>
          <cell r="D132" t="str">
            <v>D132</v>
          </cell>
          <cell r="E132" t="str">
            <v>MX-PD0208 SAHAGUN</v>
          </cell>
          <cell r="F132">
            <v>10000255</v>
          </cell>
          <cell r="G132" t="str">
            <v>Arena Triturada Andesita Malla</v>
          </cell>
          <cell r="H132">
            <v>77.66</v>
          </cell>
          <cell r="I132">
            <v>26.48</v>
          </cell>
          <cell r="J132">
            <v>104.14</v>
          </cell>
        </row>
        <row r="133">
          <cell r="B133" t="str">
            <v>D81310001091</v>
          </cell>
          <cell r="C133" t="str">
            <v>D813</v>
          </cell>
          <cell r="D133" t="str">
            <v>D132</v>
          </cell>
          <cell r="E133" t="str">
            <v>MX-PD0208 SAHAGUN</v>
          </cell>
          <cell r="F133">
            <v>10001091</v>
          </cell>
          <cell r="G133" t="str">
            <v>Balasto Triturado Andesita 150</v>
          </cell>
          <cell r="H133">
            <v>49.14</v>
          </cell>
          <cell r="I133">
            <v>-3.67</v>
          </cell>
          <cell r="J133">
            <v>45.47</v>
          </cell>
        </row>
        <row r="134">
          <cell r="B134" t="str">
            <v>D81310000253</v>
          </cell>
          <cell r="C134" t="str">
            <v>D813</v>
          </cell>
          <cell r="D134" t="str">
            <v>D134</v>
          </cell>
          <cell r="E134" t="str">
            <v>MX-PD0255 CASAS ARA 2</v>
          </cell>
          <cell r="F134">
            <v>10000253</v>
          </cell>
          <cell r="G134" t="str">
            <v>Grava Triturada Andesita 20 mm</v>
          </cell>
          <cell r="H134">
            <v>77.33</v>
          </cell>
          <cell r="I134">
            <v>26.57</v>
          </cell>
          <cell r="J134">
            <v>103.9</v>
          </cell>
        </row>
        <row r="135">
          <cell r="B135" t="str">
            <v>D81310000255</v>
          </cell>
          <cell r="C135" t="str">
            <v>D813</v>
          </cell>
          <cell r="D135" t="str">
            <v>D134</v>
          </cell>
          <cell r="E135" t="str">
            <v>MX-PD0255 CASAS ARA 2</v>
          </cell>
          <cell r="F135">
            <v>10000255</v>
          </cell>
          <cell r="G135" t="str">
            <v>Arena Triturada Andesita Malla</v>
          </cell>
          <cell r="H135">
            <v>77.66</v>
          </cell>
          <cell r="I135">
            <v>26.48</v>
          </cell>
          <cell r="J135">
            <v>104.14</v>
          </cell>
        </row>
        <row r="136">
          <cell r="B136" t="str">
            <v>D81310001091</v>
          </cell>
          <cell r="C136" t="str">
            <v>D813</v>
          </cell>
          <cell r="D136" t="str">
            <v>D134</v>
          </cell>
          <cell r="E136" t="str">
            <v>MX-PD0255 CASAS ARA 2</v>
          </cell>
          <cell r="F136">
            <v>10001091</v>
          </cell>
          <cell r="G136" t="str">
            <v>Balasto Triturado Andesita 150</v>
          </cell>
          <cell r="H136">
            <v>49.14</v>
          </cell>
          <cell r="I136">
            <v>-3.67</v>
          </cell>
          <cell r="J136">
            <v>45.47</v>
          </cell>
        </row>
        <row r="137">
          <cell r="B137" t="str">
            <v>D81310000252</v>
          </cell>
          <cell r="C137" t="str">
            <v>D813</v>
          </cell>
          <cell r="D137" t="str">
            <v>D136</v>
          </cell>
          <cell r="E137" t="str">
            <v>MX-PD0237 LA ESTRELLA</v>
          </cell>
          <cell r="F137">
            <v>10000252</v>
          </cell>
          <cell r="G137" t="str">
            <v>Grava Triturada Andesita 10 mm</v>
          </cell>
          <cell r="H137">
            <v>77.33</v>
          </cell>
          <cell r="I137">
            <v>37.6</v>
          </cell>
          <cell r="J137">
            <v>114.93</v>
          </cell>
        </row>
        <row r="138">
          <cell r="B138" t="str">
            <v>D81310000253</v>
          </cell>
          <cell r="C138" t="str">
            <v>D813</v>
          </cell>
          <cell r="D138" t="str">
            <v>D136</v>
          </cell>
          <cell r="E138" t="str">
            <v>MX-PD0237 LA ESTRELLA</v>
          </cell>
          <cell r="F138">
            <v>10000253</v>
          </cell>
          <cell r="G138" t="str">
            <v>Grava Triturada Andesita 20 mm</v>
          </cell>
          <cell r="H138">
            <v>77.33</v>
          </cell>
          <cell r="I138">
            <v>26.57</v>
          </cell>
          <cell r="J138">
            <v>103.9</v>
          </cell>
        </row>
        <row r="139">
          <cell r="B139" t="str">
            <v>D81310000255</v>
          </cell>
          <cell r="C139" t="str">
            <v>D813</v>
          </cell>
          <cell r="D139" t="str">
            <v>D136</v>
          </cell>
          <cell r="E139" t="str">
            <v>MX-PD0237 LA ESTRELLA</v>
          </cell>
          <cell r="F139">
            <v>10000255</v>
          </cell>
          <cell r="G139" t="str">
            <v>Arena Triturada Andesita Malla</v>
          </cell>
          <cell r="H139">
            <v>77.66</v>
          </cell>
          <cell r="I139">
            <v>26.48</v>
          </cell>
          <cell r="J139">
            <v>104.14</v>
          </cell>
        </row>
        <row r="140">
          <cell r="B140" t="str">
            <v>D81310001091</v>
          </cell>
          <cell r="C140" t="str">
            <v>D813</v>
          </cell>
          <cell r="D140" t="str">
            <v>D136</v>
          </cell>
          <cell r="E140" t="str">
            <v>MX-PD0237 LA ESTRELLA</v>
          </cell>
          <cell r="F140">
            <v>10001091</v>
          </cell>
          <cell r="G140" t="str">
            <v>Balasto Triturado Andesita 150</v>
          </cell>
          <cell r="H140">
            <v>49.14</v>
          </cell>
          <cell r="I140">
            <v>-3.67</v>
          </cell>
          <cell r="J140">
            <v>45.47</v>
          </cell>
        </row>
        <row r="141">
          <cell r="B141" t="str">
            <v>D81310002350</v>
          </cell>
          <cell r="C141" t="str">
            <v>D813</v>
          </cell>
          <cell r="D141" t="str">
            <v>D136</v>
          </cell>
          <cell r="E141" t="str">
            <v>MX-PD0237 LA ESTRELLA</v>
          </cell>
          <cell r="F141">
            <v>10002350</v>
          </cell>
          <cell r="G141" t="str">
            <v>Grava Triturada Andesita 10mm-</v>
          </cell>
          <cell r="H141">
            <v>77.33</v>
          </cell>
          <cell r="I141">
            <v>57.27</v>
          </cell>
          <cell r="J141">
            <v>134.6</v>
          </cell>
        </row>
        <row r="142">
          <cell r="B142" t="str">
            <v>D81310029946</v>
          </cell>
          <cell r="C142" t="str">
            <v>D813</v>
          </cell>
          <cell r="D142" t="str">
            <v>D136</v>
          </cell>
          <cell r="E142" t="str">
            <v>MX-PD0237 LA ESTRELLA</v>
          </cell>
          <cell r="F142">
            <v>10029946</v>
          </cell>
          <cell r="G142" t="str">
            <v>Arena Triturada Andesita Malla</v>
          </cell>
          <cell r="H142">
            <v>77.66</v>
          </cell>
          <cell r="I142">
            <v>29.47</v>
          </cell>
          <cell r="J142">
            <v>107.13</v>
          </cell>
        </row>
        <row r="143">
          <cell r="B143" t="str">
            <v>D81310032959</v>
          </cell>
          <cell r="C143" t="str">
            <v>D813</v>
          </cell>
          <cell r="D143" t="str">
            <v>D136</v>
          </cell>
          <cell r="E143" t="str">
            <v>MX-PD0237 LA ESTRELLA</v>
          </cell>
          <cell r="F143">
            <v>10032959</v>
          </cell>
          <cell r="G143" t="str">
            <v>Grava Triturada Andesita 50 mm</v>
          </cell>
          <cell r="H143">
            <v>77.33</v>
          </cell>
          <cell r="I143">
            <v>-4.6900000000000004</v>
          </cell>
          <cell r="J143">
            <v>72.64</v>
          </cell>
        </row>
        <row r="144">
          <cell r="B144" t="str">
            <v>D81310000253</v>
          </cell>
          <cell r="C144" t="str">
            <v>D813</v>
          </cell>
          <cell r="D144" t="str">
            <v>D137</v>
          </cell>
          <cell r="E144" t="str">
            <v>MX-PD0215 TUXPAN 2</v>
          </cell>
          <cell r="F144">
            <v>10000253</v>
          </cell>
          <cell r="G144" t="str">
            <v>Grava Triturada Andesita 20 mm</v>
          </cell>
          <cell r="H144">
            <v>77.33</v>
          </cell>
          <cell r="I144">
            <v>26.57</v>
          </cell>
          <cell r="J144">
            <v>103.9</v>
          </cell>
        </row>
        <row r="145">
          <cell r="B145" t="str">
            <v>D81310000255</v>
          </cell>
          <cell r="C145" t="str">
            <v>D813</v>
          </cell>
          <cell r="D145" t="str">
            <v>D137</v>
          </cell>
          <cell r="E145" t="str">
            <v>MX-PD0215 TUXPAN 2</v>
          </cell>
          <cell r="F145">
            <v>10000255</v>
          </cell>
          <cell r="G145" t="str">
            <v>Arena Triturada Andesita Malla</v>
          </cell>
          <cell r="H145">
            <v>77.66</v>
          </cell>
          <cell r="I145">
            <v>26.48</v>
          </cell>
          <cell r="J145">
            <v>104.14</v>
          </cell>
        </row>
        <row r="146">
          <cell r="B146" t="str">
            <v>D81310002350</v>
          </cell>
          <cell r="C146" t="str">
            <v>D813</v>
          </cell>
          <cell r="D146" t="str">
            <v>D137</v>
          </cell>
          <cell r="E146" t="str">
            <v>MX-PD0215 TUXPAN 2</v>
          </cell>
          <cell r="F146">
            <v>10002350</v>
          </cell>
          <cell r="G146" t="str">
            <v>Grava Triturada Andesita 10mm-</v>
          </cell>
          <cell r="H146">
            <v>77.33</v>
          </cell>
          <cell r="I146">
            <v>57.27</v>
          </cell>
          <cell r="J146">
            <v>134.6</v>
          </cell>
        </row>
        <row r="147">
          <cell r="B147" t="str">
            <v>D81310000252</v>
          </cell>
          <cell r="C147" t="str">
            <v>D813</v>
          </cell>
          <cell r="D147" t="str">
            <v>D140</v>
          </cell>
          <cell r="E147" t="str">
            <v>MX-PD0283 LA ESTANCIA</v>
          </cell>
          <cell r="F147">
            <v>10000252</v>
          </cell>
          <cell r="G147" t="str">
            <v>Grava Triturada Andesita 10 mm</v>
          </cell>
          <cell r="H147">
            <v>77.33</v>
          </cell>
          <cell r="I147">
            <v>37.6</v>
          </cell>
          <cell r="J147">
            <v>114.93</v>
          </cell>
        </row>
        <row r="148">
          <cell r="B148" t="str">
            <v>D81310000253</v>
          </cell>
          <cell r="C148" t="str">
            <v>D813</v>
          </cell>
          <cell r="D148" t="str">
            <v>D140</v>
          </cell>
          <cell r="E148" t="str">
            <v>MX-PD0283 LA ESTANCIA</v>
          </cell>
          <cell r="F148">
            <v>10000253</v>
          </cell>
          <cell r="G148" t="str">
            <v>Grava Triturada Andesita 20 mm</v>
          </cell>
          <cell r="H148">
            <v>77.33</v>
          </cell>
          <cell r="I148">
            <v>26.57</v>
          </cell>
          <cell r="J148">
            <v>103.9</v>
          </cell>
        </row>
        <row r="149">
          <cell r="B149" t="str">
            <v>D81310000255</v>
          </cell>
          <cell r="C149" t="str">
            <v>D813</v>
          </cell>
          <cell r="D149" t="str">
            <v>D140</v>
          </cell>
          <cell r="E149" t="str">
            <v>MX-PD0283 LA ESTANCIA</v>
          </cell>
          <cell r="F149">
            <v>10000255</v>
          </cell>
          <cell r="G149" t="str">
            <v>Arena Triturada Andesita Malla</v>
          </cell>
          <cell r="H149">
            <v>77.66</v>
          </cell>
          <cell r="I149">
            <v>26.48</v>
          </cell>
          <cell r="J149">
            <v>104.14</v>
          </cell>
        </row>
        <row r="150">
          <cell r="B150" t="str">
            <v>D81310001091</v>
          </cell>
          <cell r="C150" t="str">
            <v>D813</v>
          </cell>
          <cell r="D150" t="str">
            <v>D140</v>
          </cell>
          <cell r="E150" t="str">
            <v>MX-PD0283 LA ESTANCIA</v>
          </cell>
          <cell r="F150">
            <v>10001091</v>
          </cell>
          <cell r="G150" t="str">
            <v>Balasto Triturado Andesita 150</v>
          </cell>
          <cell r="H150">
            <v>49.14</v>
          </cell>
          <cell r="I150">
            <v>-3.67</v>
          </cell>
          <cell r="J150">
            <v>45.47</v>
          </cell>
        </row>
        <row r="151">
          <cell r="B151" t="str">
            <v>D81310002350</v>
          </cell>
          <cell r="C151" t="str">
            <v>D813</v>
          </cell>
          <cell r="D151" t="str">
            <v>D140</v>
          </cell>
          <cell r="E151" t="str">
            <v>MX-PD0283 LA ESTANCIA</v>
          </cell>
          <cell r="F151">
            <v>10002350</v>
          </cell>
          <cell r="G151" t="str">
            <v>Grava Triturada Andesita 10mm-</v>
          </cell>
          <cell r="H151">
            <v>77.33</v>
          </cell>
          <cell r="I151">
            <v>57.27</v>
          </cell>
          <cell r="J151">
            <v>134.6</v>
          </cell>
        </row>
        <row r="152">
          <cell r="B152" t="str">
            <v>D81310000252</v>
          </cell>
          <cell r="C152" t="str">
            <v>D813</v>
          </cell>
          <cell r="D152" t="str">
            <v>D145</v>
          </cell>
          <cell r="E152" t="str">
            <v>MX-PD-458 ECATEPEC II</v>
          </cell>
          <cell r="F152">
            <v>10000252</v>
          </cell>
          <cell r="G152" t="str">
            <v>Grava Triturada Andesita 10 mm</v>
          </cell>
          <cell r="H152">
            <v>77.33</v>
          </cell>
          <cell r="I152">
            <v>37.6</v>
          </cell>
          <cell r="J152">
            <v>114.93</v>
          </cell>
        </row>
        <row r="153">
          <cell r="B153" t="str">
            <v>D81310000253</v>
          </cell>
          <cell r="C153" t="str">
            <v>D813</v>
          </cell>
          <cell r="D153" t="str">
            <v>D145</v>
          </cell>
          <cell r="E153" t="str">
            <v>MX-PD-458 ECATEPEC II</v>
          </cell>
          <cell r="F153">
            <v>10000253</v>
          </cell>
          <cell r="G153" t="str">
            <v>Grava Triturada Andesita 20 mm</v>
          </cell>
          <cell r="H153">
            <v>77.33</v>
          </cell>
          <cell r="I153">
            <v>26.57</v>
          </cell>
          <cell r="J153">
            <v>103.9</v>
          </cell>
        </row>
        <row r="154">
          <cell r="B154" t="str">
            <v>D81310000255</v>
          </cell>
          <cell r="C154" t="str">
            <v>D813</v>
          </cell>
          <cell r="D154" t="str">
            <v>D145</v>
          </cell>
          <cell r="E154" t="str">
            <v>MX-PD-458 ECATEPEC II</v>
          </cell>
          <cell r="F154">
            <v>10000255</v>
          </cell>
          <cell r="G154" t="str">
            <v>Arena Triturada Andesita Malla</v>
          </cell>
          <cell r="H154">
            <v>77.66</v>
          </cell>
          <cell r="I154">
            <v>26.48</v>
          </cell>
          <cell r="J154">
            <v>104.14</v>
          </cell>
        </row>
        <row r="155">
          <cell r="B155" t="str">
            <v>D81310001091</v>
          </cell>
          <cell r="C155" t="str">
            <v>D813</v>
          </cell>
          <cell r="D155" t="str">
            <v>D145</v>
          </cell>
          <cell r="E155" t="str">
            <v>MX-PD-458 ECATEPEC II</v>
          </cell>
          <cell r="F155">
            <v>10001091</v>
          </cell>
          <cell r="G155" t="str">
            <v>Balasto Triturado Andesita 150</v>
          </cell>
          <cell r="H155">
            <v>49.14</v>
          </cell>
          <cell r="I155">
            <v>-3.67</v>
          </cell>
          <cell r="J155">
            <v>45.47</v>
          </cell>
        </row>
        <row r="156">
          <cell r="B156" t="str">
            <v>D81310002350</v>
          </cell>
          <cell r="C156" t="str">
            <v>D813</v>
          </cell>
          <cell r="D156" t="str">
            <v>D145</v>
          </cell>
          <cell r="E156" t="str">
            <v>MX-PD-458 ECATEPEC II</v>
          </cell>
          <cell r="F156">
            <v>10002350</v>
          </cell>
          <cell r="G156" t="str">
            <v>Grava Triturada Andesita 10mm-</v>
          </cell>
          <cell r="H156">
            <v>77.33</v>
          </cell>
          <cell r="I156">
            <v>57.27</v>
          </cell>
          <cell r="J156">
            <v>134.6</v>
          </cell>
        </row>
        <row r="157">
          <cell r="B157" t="str">
            <v>D81310029946</v>
          </cell>
          <cell r="C157" t="str">
            <v>D813</v>
          </cell>
          <cell r="D157" t="str">
            <v>D145</v>
          </cell>
          <cell r="E157" t="str">
            <v>MX-PD-458 ECATEPEC II</v>
          </cell>
          <cell r="F157">
            <v>10029946</v>
          </cell>
          <cell r="G157" t="str">
            <v>Arena Triturada Andesita Malla</v>
          </cell>
          <cell r="H157">
            <v>77.66</v>
          </cell>
          <cell r="I157">
            <v>29.47</v>
          </cell>
          <cell r="J157">
            <v>107.13</v>
          </cell>
        </row>
        <row r="158">
          <cell r="B158" t="str">
            <v>D81310032959</v>
          </cell>
          <cell r="C158" t="str">
            <v>D813</v>
          </cell>
          <cell r="D158" t="str">
            <v>D145</v>
          </cell>
          <cell r="E158" t="str">
            <v>MX-PD-458 ECATEPEC II</v>
          </cell>
          <cell r="F158">
            <v>10032959</v>
          </cell>
          <cell r="G158" t="str">
            <v>Grava Triturada Andesita 50 mm</v>
          </cell>
          <cell r="H158">
            <v>77.33</v>
          </cell>
          <cell r="I158">
            <v>-4.6900000000000004</v>
          </cell>
          <cell r="J158">
            <v>72.64</v>
          </cell>
        </row>
        <row r="159">
          <cell r="B159" t="str">
            <v>D81310000253</v>
          </cell>
          <cell r="C159" t="str">
            <v>D813</v>
          </cell>
          <cell r="D159" t="str">
            <v>D681</v>
          </cell>
          <cell r="E159" t="str">
            <v>MX-PD0639 TULTEPEC</v>
          </cell>
          <cell r="F159">
            <v>10000253</v>
          </cell>
          <cell r="G159" t="str">
            <v>Grava Triturada Andesita 20 mm</v>
          </cell>
          <cell r="H159">
            <v>77.33</v>
          </cell>
          <cell r="I159">
            <v>26.57</v>
          </cell>
          <cell r="J159">
            <v>103.9</v>
          </cell>
        </row>
        <row r="160">
          <cell r="B160" t="str">
            <v>D81310000255</v>
          </cell>
          <cell r="C160" t="str">
            <v>D813</v>
          </cell>
          <cell r="D160" t="str">
            <v>D681</v>
          </cell>
          <cell r="E160" t="str">
            <v>MX-PD0639 TULTEPEC</v>
          </cell>
          <cell r="F160">
            <v>10000255</v>
          </cell>
          <cell r="G160" t="str">
            <v>Arena Triturada Andesita Malla</v>
          </cell>
          <cell r="H160">
            <v>77.66</v>
          </cell>
          <cell r="I160">
            <v>26.48</v>
          </cell>
          <cell r="J160">
            <v>104.14</v>
          </cell>
        </row>
        <row r="161">
          <cell r="B161" t="str">
            <v>D81310002350</v>
          </cell>
          <cell r="C161" t="str">
            <v>D813</v>
          </cell>
          <cell r="D161" t="str">
            <v>D681</v>
          </cell>
          <cell r="E161" t="str">
            <v>MX-PD0639 TULTEPEC</v>
          </cell>
          <cell r="F161">
            <v>10002350</v>
          </cell>
          <cell r="G161" t="str">
            <v>Grava Triturada Andesita 10mm-</v>
          </cell>
          <cell r="H161">
            <v>77.33</v>
          </cell>
          <cell r="I161">
            <v>57.27</v>
          </cell>
          <cell r="J161">
            <v>134.6</v>
          </cell>
        </row>
        <row r="162">
          <cell r="B162" t="str">
            <v>D86110000229</v>
          </cell>
          <cell r="C162" t="str">
            <v>D861</v>
          </cell>
          <cell r="D162" t="str">
            <v>D059</v>
          </cell>
          <cell r="E162" t="str">
            <v>MX-PD0286 SAN MIGUEL DE ALLEND</v>
          </cell>
          <cell r="F162">
            <v>10000229</v>
          </cell>
          <cell r="G162" t="str">
            <v>Grava Triturada Basalto  10 mm</v>
          </cell>
          <cell r="H162">
            <v>147.72</v>
          </cell>
          <cell r="I162">
            <v>68.28</v>
          </cell>
          <cell r="J162">
            <v>216</v>
          </cell>
        </row>
        <row r="163">
          <cell r="B163" t="str">
            <v>D86110000231</v>
          </cell>
          <cell r="C163" t="str">
            <v>D861</v>
          </cell>
          <cell r="D163" t="str">
            <v>D059</v>
          </cell>
          <cell r="E163" t="str">
            <v>MX-PD0286 SAN MIGUEL DE ALLEND</v>
          </cell>
          <cell r="F163">
            <v>10000231</v>
          </cell>
          <cell r="G163" t="str">
            <v>Grava Triturada Basalto 20 mm</v>
          </cell>
          <cell r="H163">
            <v>147.72</v>
          </cell>
          <cell r="I163">
            <v>68.260000000000005</v>
          </cell>
          <cell r="J163">
            <v>215.98000000000002</v>
          </cell>
        </row>
        <row r="164">
          <cell r="B164" t="str">
            <v>D86110000233</v>
          </cell>
          <cell r="C164" t="str">
            <v>D861</v>
          </cell>
          <cell r="D164" t="str">
            <v>D059</v>
          </cell>
          <cell r="E164" t="str">
            <v>MX-PD0286 SAN MIGUEL DE ALLEND</v>
          </cell>
          <cell r="F164">
            <v>10000233</v>
          </cell>
          <cell r="G164" t="str">
            <v>Grava Triturada Basalto  40 mm</v>
          </cell>
          <cell r="H164">
            <v>147.72</v>
          </cell>
          <cell r="I164">
            <v>68.260000000000005</v>
          </cell>
          <cell r="J164">
            <v>215.98000000000002</v>
          </cell>
        </row>
        <row r="165">
          <cell r="B165" t="str">
            <v>D86110000311</v>
          </cell>
          <cell r="C165" t="str">
            <v>D861</v>
          </cell>
          <cell r="D165" t="str">
            <v>D059</v>
          </cell>
          <cell r="E165" t="str">
            <v>MX-PD0286 SAN MIGUEL DE ALLEND</v>
          </cell>
          <cell r="F165">
            <v>10000311</v>
          </cell>
          <cell r="G165" t="str">
            <v>Arena Triturada Basalto  Malla</v>
          </cell>
          <cell r="H165">
            <v>146.4</v>
          </cell>
          <cell r="I165">
            <v>41.6</v>
          </cell>
          <cell r="J165">
            <v>188</v>
          </cell>
        </row>
        <row r="166">
          <cell r="B166" t="str">
            <v>D86110000229</v>
          </cell>
          <cell r="C166" t="str">
            <v>D861</v>
          </cell>
          <cell r="D166" t="str">
            <v>D074</v>
          </cell>
          <cell r="E166" t="str">
            <v>MX-PD-063 CENTRAL</v>
          </cell>
          <cell r="F166">
            <v>10000229</v>
          </cell>
          <cell r="G166" t="str">
            <v>Grava Triturada Basalto  10 mm</v>
          </cell>
          <cell r="H166">
            <v>147.72</v>
          </cell>
          <cell r="I166">
            <v>68.28</v>
          </cell>
          <cell r="J166">
            <v>216</v>
          </cell>
        </row>
        <row r="167">
          <cell r="B167" t="str">
            <v>D86110000231</v>
          </cell>
          <cell r="C167" t="str">
            <v>D861</v>
          </cell>
          <cell r="D167" t="str">
            <v>D074</v>
          </cell>
          <cell r="E167" t="str">
            <v>MX-PD-063 CENTRAL</v>
          </cell>
          <cell r="F167">
            <v>10000231</v>
          </cell>
          <cell r="G167" t="str">
            <v>Grava Triturada Basalto 20 mm</v>
          </cell>
          <cell r="H167">
            <v>147.72</v>
          </cell>
          <cell r="I167">
            <v>68.260000000000005</v>
          </cell>
          <cell r="J167">
            <v>215.98000000000002</v>
          </cell>
        </row>
        <row r="168">
          <cell r="B168" t="str">
            <v>D86110000233</v>
          </cell>
          <cell r="C168" t="str">
            <v>D861</v>
          </cell>
          <cell r="D168" t="str">
            <v>D074</v>
          </cell>
          <cell r="E168" t="str">
            <v>MX-PD-063 CENTRAL</v>
          </cell>
          <cell r="F168">
            <v>10000233</v>
          </cell>
          <cell r="G168" t="str">
            <v>Grava Triturada Basalto  40 mm</v>
          </cell>
          <cell r="H168">
            <v>147.72</v>
          </cell>
          <cell r="I168">
            <v>68.260000000000005</v>
          </cell>
          <cell r="J168">
            <v>215.98000000000002</v>
          </cell>
        </row>
        <row r="169">
          <cell r="B169" t="str">
            <v>D86110000231</v>
          </cell>
          <cell r="C169" t="str">
            <v>D861</v>
          </cell>
          <cell r="D169" t="str">
            <v>D077</v>
          </cell>
          <cell r="E169" t="str">
            <v>MX-PD-067 LOS REYES</v>
          </cell>
          <cell r="F169">
            <v>10000231</v>
          </cell>
          <cell r="G169" t="str">
            <v>Grava Triturada Basalto 20 mm</v>
          </cell>
          <cell r="H169">
            <v>147.72</v>
          </cell>
          <cell r="I169">
            <v>68.260000000000005</v>
          </cell>
          <cell r="J169">
            <v>215.98000000000002</v>
          </cell>
        </row>
        <row r="170">
          <cell r="B170" t="str">
            <v>D86110000229</v>
          </cell>
          <cell r="C170" t="str">
            <v>D861</v>
          </cell>
          <cell r="D170" t="str">
            <v>D079</v>
          </cell>
          <cell r="E170" t="str">
            <v>MX-PD-071 XOCHIMILCO</v>
          </cell>
          <cell r="F170">
            <v>10000229</v>
          </cell>
          <cell r="G170" t="str">
            <v>Grava Triturada Basalto  10 mm</v>
          </cell>
          <cell r="H170">
            <v>147.72</v>
          </cell>
          <cell r="I170">
            <v>68.28</v>
          </cell>
          <cell r="J170">
            <v>216</v>
          </cell>
        </row>
        <row r="171">
          <cell r="B171" t="str">
            <v>D86110000231</v>
          </cell>
          <cell r="C171" t="str">
            <v>D861</v>
          </cell>
          <cell r="D171" t="str">
            <v>D079</v>
          </cell>
          <cell r="E171" t="str">
            <v>MX-PD-071 XOCHIMILCO</v>
          </cell>
          <cell r="F171">
            <v>10000231</v>
          </cell>
          <cell r="G171" t="str">
            <v>Grava Triturada Basalto 20 mm</v>
          </cell>
          <cell r="H171">
            <v>147.72</v>
          </cell>
          <cell r="I171">
            <v>68.260000000000005</v>
          </cell>
          <cell r="J171">
            <v>215.98000000000002</v>
          </cell>
        </row>
        <row r="172">
          <cell r="B172" t="str">
            <v>D86110000233</v>
          </cell>
          <cell r="C172" t="str">
            <v>D861</v>
          </cell>
          <cell r="D172" t="str">
            <v>D079</v>
          </cell>
          <cell r="E172" t="str">
            <v>MX-PD-071 XOCHIMILCO</v>
          </cell>
          <cell r="F172">
            <v>10000233</v>
          </cell>
          <cell r="G172" t="str">
            <v>Grava Triturada Basalto  40 mm</v>
          </cell>
          <cell r="H172">
            <v>147.72</v>
          </cell>
          <cell r="I172">
            <v>68.260000000000005</v>
          </cell>
          <cell r="J172">
            <v>215.98000000000002</v>
          </cell>
        </row>
        <row r="173">
          <cell r="B173" t="str">
            <v>D86110000229</v>
          </cell>
          <cell r="C173" t="str">
            <v>D861</v>
          </cell>
          <cell r="D173" t="str">
            <v>D080</v>
          </cell>
          <cell r="E173" t="str">
            <v>MX-PD-086 VALLEJO</v>
          </cell>
          <cell r="F173">
            <v>10000229</v>
          </cell>
          <cell r="G173" t="str">
            <v>Grava Triturada Basalto  10 mm</v>
          </cell>
          <cell r="H173">
            <v>147.72</v>
          </cell>
          <cell r="I173">
            <v>68.28</v>
          </cell>
          <cell r="J173">
            <v>216</v>
          </cell>
        </row>
        <row r="174">
          <cell r="B174" t="str">
            <v>D86110000231</v>
          </cell>
          <cell r="C174" t="str">
            <v>D861</v>
          </cell>
          <cell r="D174" t="str">
            <v>D080</v>
          </cell>
          <cell r="E174" t="str">
            <v>MX-PD-086 VALLEJO</v>
          </cell>
          <cell r="F174">
            <v>10000231</v>
          </cell>
          <cell r="G174" t="str">
            <v>Grava Triturada Basalto 20 mm</v>
          </cell>
          <cell r="H174">
            <v>147.72</v>
          </cell>
          <cell r="I174">
            <v>68.260000000000005</v>
          </cell>
          <cell r="J174">
            <v>215.98000000000002</v>
          </cell>
        </row>
        <row r="175">
          <cell r="B175" t="str">
            <v>D86110000233</v>
          </cell>
          <cell r="C175" t="str">
            <v>D861</v>
          </cell>
          <cell r="D175" t="str">
            <v>D080</v>
          </cell>
          <cell r="E175" t="str">
            <v>MX-PD-086 VALLEJO</v>
          </cell>
          <cell r="F175">
            <v>10000233</v>
          </cell>
          <cell r="G175" t="str">
            <v>Grava Triturada Basalto  40 mm</v>
          </cell>
          <cell r="H175">
            <v>147.72</v>
          </cell>
          <cell r="I175">
            <v>68.260000000000005</v>
          </cell>
          <cell r="J175">
            <v>215.98000000000002</v>
          </cell>
        </row>
        <row r="176">
          <cell r="B176" t="str">
            <v>D86110000311</v>
          </cell>
          <cell r="C176" t="str">
            <v>D861</v>
          </cell>
          <cell r="D176" t="str">
            <v>D080</v>
          </cell>
          <cell r="E176" t="str">
            <v>MX-PD-086 VALLEJO</v>
          </cell>
          <cell r="F176">
            <v>10000311</v>
          </cell>
          <cell r="G176" t="str">
            <v>Arena Triturada Basalto  Malla</v>
          </cell>
          <cell r="H176">
            <v>146.4</v>
          </cell>
          <cell r="I176">
            <v>41.6</v>
          </cell>
          <cell r="J176">
            <v>188</v>
          </cell>
        </row>
        <row r="177">
          <cell r="B177" t="str">
            <v>D86110000229</v>
          </cell>
          <cell r="C177" t="str">
            <v>D861</v>
          </cell>
          <cell r="D177" t="str">
            <v>D081</v>
          </cell>
          <cell r="E177" t="str">
            <v>MX-PD-088 ARMAS</v>
          </cell>
          <cell r="F177">
            <v>10000229</v>
          </cell>
          <cell r="G177" t="str">
            <v>Grava Triturada Basalto  10 mm</v>
          </cell>
          <cell r="H177">
            <v>147.72</v>
          </cell>
          <cell r="I177">
            <v>68.28</v>
          </cell>
          <cell r="J177">
            <v>216</v>
          </cell>
        </row>
        <row r="178">
          <cell r="B178" t="str">
            <v>D86110000231</v>
          </cell>
          <cell r="C178" t="str">
            <v>D861</v>
          </cell>
          <cell r="D178" t="str">
            <v>D081</v>
          </cell>
          <cell r="E178" t="str">
            <v>MX-PD-088 ARMAS</v>
          </cell>
          <cell r="F178">
            <v>10000231</v>
          </cell>
          <cell r="G178" t="str">
            <v>Grava Triturada Basalto 20 mm</v>
          </cell>
          <cell r="H178">
            <v>147.72</v>
          </cell>
          <cell r="I178">
            <v>68.260000000000005</v>
          </cell>
          <cell r="J178">
            <v>215.98000000000002</v>
          </cell>
        </row>
        <row r="179">
          <cell r="B179" t="str">
            <v>D86110000233</v>
          </cell>
          <cell r="C179" t="str">
            <v>D861</v>
          </cell>
          <cell r="D179" t="str">
            <v>D081</v>
          </cell>
          <cell r="E179" t="str">
            <v>MX-PD-088 ARMAS</v>
          </cell>
          <cell r="F179">
            <v>10000233</v>
          </cell>
          <cell r="G179" t="str">
            <v>Grava Triturada Basalto  40 mm</v>
          </cell>
          <cell r="H179">
            <v>147.72</v>
          </cell>
          <cell r="I179">
            <v>68.260000000000005</v>
          </cell>
          <cell r="J179">
            <v>215.98000000000002</v>
          </cell>
        </row>
        <row r="180">
          <cell r="B180" t="str">
            <v>D86110000311</v>
          </cell>
          <cell r="C180" t="str">
            <v>D861</v>
          </cell>
          <cell r="D180" t="str">
            <v>D081</v>
          </cell>
          <cell r="E180" t="str">
            <v>MX-PD-088 ARMAS</v>
          </cell>
          <cell r="F180">
            <v>10000311</v>
          </cell>
          <cell r="G180" t="str">
            <v>Arena Triturada Basalto  Malla</v>
          </cell>
          <cell r="H180">
            <v>146.4</v>
          </cell>
          <cell r="I180">
            <v>41.6</v>
          </cell>
          <cell r="J180">
            <v>188</v>
          </cell>
        </row>
        <row r="181">
          <cell r="B181" t="str">
            <v>D86110000229</v>
          </cell>
          <cell r="C181" t="str">
            <v>D861</v>
          </cell>
          <cell r="D181" t="str">
            <v>D083</v>
          </cell>
          <cell r="E181" t="str">
            <v>MX-PD-099 MINAS</v>
          </cell>
          <cell r="F181">
            <v>10000229</v>
          </cell>
          <cell r="G181" t="str">
            <v>Grava Triturada Basalto  10 mm</v>
          </cell>
          <cell r="H181">
            <v>147.72</v>
          </cell>
          <cell r="I181">
            <v>68.28</v>
          </cell>
          <cell r="J181">
            <v>216</v>
          </cell>
        </row>
        <row r="182">
          <cell r="B182" t="str">
            <v>D86110000231</v>
          </cell>
          <cell r="C182" t="str">
            <v>D861</v>
          </cell>
          <cell r="D182" t="str">
            <v>D083</v>
          </cell>
          <cell r="E182" t="str">
            <v>MX-PD-099 MINAS</v>
          </cell>
          <cell r="F182">
            <v>10000231</v>
          </cell>
          <cell r="G182" t="str">
            <v>Grava Triturada Basalto 20 mm</v>
          </cell>
          <cell r="H182">
            <v>147.72</v>
          </cell>
          <cell r="I182">
            <v>68.260000000000005</v>
          </cell>
          <cell r="J182">
            <v>215.98000000000002</v>
          </cell>
        </row>
        <row r="183">
          <cell r="B183" t="str">
            <v>D86110000233</v>
          </cell>
          <cell r="C183" t="str">
            <v>D861</v>
          </cell>
          <cell r="D183" t="str">
            <v>D083</v>
          </cell>
          <cell r="E183" t="str">
            <v>MX-PD-099 MINAS</v>
          </cell>
          <cell r="F183">
            <v>10000233</v>
          </cell>
          <cell r="G183" t="str">
            <v>Grava Triturada Basalto  40 mm</v>
          </cell>
          <cell r="H183">
            <v>147.72</v>
          </cell>
          <cell r="I183">
            <v>68.260000000000005</v>
          </cell>
          <cell r="J183">
            <v>215.98000000000002</v>
          </cell>
        </row>
        <row r="184">
          <cell r="B184" t="str">
            <v>D86110000311</v>
          </cell>
          <cell r="C184" t="str">
            <v>D861</v>
          </cell>
          <cell r="D184" t="str">
            <v>D083</v>
          </cell>
          <cell r="E184" t="str">
            <v>MX-PD-099 MINAS</v>
          </cell>
          <cell r="F184">
            <v>10000311</v>
          </cell>
          <cell r="G184" t="str">
            <v>Arena Triturada Basalto  Malla</v>
          </cell>
          <cell r="H184">
            <v>146.4</v>
          </cell>
          <cell r="I184">
            <v>41.6</v>
          </cell>
          <cell r="J184">
            <v>188</v>
          </cell>
        </row>
        <row r="185">
          <cell r="B185" t="str">
            <v>D86110003153</v>
          </cell>
          <cell r="C185" t="str">
            <v>D861</v>
          </cell>
          <cell r="D185" t="str">
            <v>D083</v>
          </cell>
          <cell r="E185" t="str">
            <v>MX-PD-099 MINAS</v>
          </cell>
          <cell r="F185">
            <v>10003153</v>
          </cell>
          <cell r="G185" t="str">
            <v>Grava Triturada Basalto 13 mm</v>
          </cell>
          <cell r="H185">
            <v>147.72</v>
          </cell>
          <cell r="I185">
            <v>-34.68</v>
          </cell>
          <cell r="J185">
            <v>113.03999999999999</v>
          </cell>
        </row>
        <row r="186">
          <cell r="B186" t="str">
            <v>D86110000311</v>
          </cell>
          <cell r="C186" t="str">
            <v>D861</v>
          </cell>
          <cell r="D186" t="str">
            <v>D084</v>
          </cell>
          <cell r="E186" t="str">
            <v>MX-PD-186 IZTAPALAPA</v>
          </cell>
          <cell r="F186">
            <v>10000311</v>
          </cell>
          <cell r="G186" t="str">
            <v>Arena Triturada Basalto  Malla</v>
          </cell>
          <cell r="H186">
            <v>146.4</v>
          </cell>
          <cell r="I186">
            <v>41.6</v>
          </cell>
          <cell r="J186">
            <v>188</v>
          </cell>
        </row>
        <row r="187">
          <cell r="B187" t="str">
            <v>D86110000229</v>
          </cell>
          <cell r="C187" t="str">
            <v>D861</v>
          </cell>
          <cell r="D187" t="str">
            <v>D085</v>
          </cell>
          <cell r="E187" t="str">
            <v>MX-PD0189 ROJO GOMEZ</v>
          </cell>
          <cell r="F187">
            <v>10000229</v>
          </cell>
          <cell r="G187" t="str">
            <v>Grava Triturada Basalto  10 mm</v>
          </cell>
          <cell r="H187">
            <v>147.72</v>
          </cell>
          <cell r="I187">
            <v>68.28</v>
          </cell>
          <cell r="J187">
            <v>216</v>
          </cell>
        </row>
        <row r="188">
          <cell r="B188" t="str">
            <v>D86110000231</v>
          </cell>
          <cell r="C188" t="str">
            <v>D861</v>
          </cell>
          <cell r="D188" t="str">
            <v>D085</v>
          </cell>
          <cell r="E188" t="str">
            <v>MX-PD0189 ROJO GOMEZ</v>
          </cell>
          <cell r="F188">
            <v>10000231</v>
          </cell>
          <cell r="G188" t="str">
            <v>Grava Triturada Basalto 20 mm</v>
          </cell>
          <cell r="H188">
            <v>147.72</v>
          </cell>
          <cell r="I188">
            <v>68.260000000000005</v>
          </cell>
          <cell r="J188">
            <v>215.98000000000002</v>
          </cell>
        </row>
        <row r="189">
          <cell r="B189" t="str">
            <v>D86110000233</v>
          </cell>
          <cell r="C189" t="str">
            <v>D861</v>
          </cell>
          <cell r="D189" t="str">
            <v>D085</v>
          </cell>
          <cell r="E189" t="str">
            <v>MX-PD0189 ROJO GOMEZ</v>
          </cell>
          <cell r="F189">
            <v>10000233</v>
          </cell>
          <cell r="G189" t="str">
            <v>Grava Triturada Basalto  40 mm</v>
          </cell>
          <cell r="H189">
            <v>147.72</v>
          </cell>
          <cell r="I189">
            <v>68.260000000000005</v>
          </cell>
          <cell r="J189">
            <v>215.98000000000002</v>
          </cell>
        </row>
        <row r="190">
          <cell r="B190" t="str">
            <v>D86110000229</v>
          </cell>
          <cell r="C190" t="str">
            <v>D861</v>
          </cell>
          <cell r="D190" t="str">
            <v>D086</v>
          </cell>
          <cell r="E190" t="str">
            <v>MX-PD-190 XALOSTC</v>
          </cell>
          <cell r="F190">
            <v>10000229</v>
          </cell>
          <cell r="G190" t="str">
            <v>Grava Triturada Basalto  10 mm</v>
          </cell>
          <cell r="H190">
            <v>147.72</v>
          </cell>
          <cell r="I190">
            <v>68.28</v>
          </cell>
          <cell r="J190">
            <v>216</v>
          </cell>
        </row>
        <row r="191">
          <cell r="B191" t="str">
            <v>D86110000231</v>
          </cell>
          <cell r="C191" t="str">
            <v>D861</v>
          </cell>
          <cell r="D191" t="str">
            <v>D086</v>
          </cell>
          <cell r="E191" t="str">
            <v>MX-PD-190 XALOSTC</v>
          </cell>
          <cell r="F191">
            <v>10000231</v>
          </cell>
          <cell r="G191" t="str">
            <v>Grava Triturada Basalto 20 mm</v>
          </cell>
          <cell r="H191">
            <v>147.72</v>
          </cell>
          <cell r="I191">
            <v>68.260000000000005</v>
          </cell>
          <cell r="J191">
            <v>215.98000000000002</v>
          </cell>
        </row>
        <row r="192">
          <cell r="B192" t="str">
            <v>D86110000233</v>
          </cell>
          <cell r="C192" t="str">
            <v>D861</v>
          </cell>
          <cell r="D192" t="str">
            <v>D086</v>
          </cell>
          <cell r="E192" t="str">
            <v>MX-PD-190 XALOSTC</v>
          </cell>
          <cell r="F192">
            <v>10000233</v>
          </cell>
          <cell r="G192" t="str">
            <v>Grava Triturada Basalto  40 mm</v>
          </cell>
          <cell r="H192">
            <v>147.72</v>
          </cell>
          <cell r="I192">
            <v>68.260000000000005</v>
          </cell>
          <cell r="J192">
            <v>215.98000000000002</v>
          </cell>
        </row>
        <row r="193">
          <cell r="B193" t="str">
            <v>D86110000229</v>
          </cell>
          <cell r="C193" t="str">
            <v>D861</v>
          </cell>
          <cell r="D193" t="str">
            <v>D087</v>
          </cell>
          <cell r="E193" t="str">
            <v>MX-PD0192 AEROPUERTO QRO</v>
          </cell>
          <cell r="F193">
            <v>10000229</v>
          </cell>
          <cell r="G193" t="str">
            <v>Grava Triturada Basalto  10 mm</v>
          </cell>
          <cell r="H193">
            <v>147.72</v>
          </cell>
          <cell r="I193">
            <v>68.28</v>
          </cell>
          <cell r="J193">
            <v>216</v>
          </cell>
        </row>
        <row r="194">
          <cell r="B194" t="str">
            <v>D86110000231</v>
          </cell>
          <cell r="C194" t="str">
            <v>D861</v>
          </cell>
          <cell r="D194" t="str">
            <v>D087</v>
          </cell>
          <cell r="E194" t="str">
            <v>MX-PD0192 AEROPUERTO QRO</v>
          </cell>
          <cell r="F194">
            <v>10000231</v>
          </cell>
          <cell r="G194" t="str">
            <v>Grava Triturada Basalto 20 mm</v>
          </cell>
          <cell r="H194">
            <v>147.72</v>
          </cell>
          <cell r="I194">
            <v>68.260000000000005</v>
          </cell>
          <cell r="J194">
            <v>215.98000000000002</v>
          </cell>
        </row>
        <row r="195">
          <cell r="B195" t="str">
            <v>D86110000233</v>
          </cell>
          <cell r="C195" t="str">
            <v>D861</v>
          </cell>
          <cell r="D195" t="str">
            <v>D087</v>
          </cell>
          <cell r="E195" t="str">
            <v>MX-PD0192 AEROPUERTO QRO</v>
          </cell>
          <cell r="F195">
            <v>10000233</v>
          </cell>
          <cell r="G195" t="str">
            <v>Grava Triturada Basalto  40 mm</v>
          </cell>
          <cell r="H195">
            <v>147.72</v>
          </cell>
          <cell r="I195">
            <v>68.260000000000005</v>
          </cell>
          <cell r="J195">
            <v>215.98000000000002</v>
          </cell>
        </row>
        <row r="196">
          <cell r="B196" t="str">
            <v>D86110000290</v>
          </cell>
          <cell r="C196" t="str">
            <v>D861</v>
          </cell>
          <cell r="D196" t="str">
            <v>D087</v>
          </cell>
          <cell r="E196" t="str">
            <v>MX-PD0192 AEROPUERTO QRO</v>
          </cell>
          <cell r="F196">
            <v>10000290</v>
          </cell>
          <cell r="G196" t="str">
            <v>Polvos Triturado Basalto 3/4"</v>
          </cell>
          <cell r="H196">
            <v>1.1499999999999999</v>
          </cell>
          <cell r="I196">
            <v>32.049999999999997</v>
          </cell>
          <cell r="J196">
            <v>33.199999999999996</v>
          </cell>
        </row>
        <row r="197">
          <cell r="B197" t="str">
            <v>D86110000311</v>
          </cell>
          <cell r="C197" t="str">
            <v>D861</v>
          </cell>
          <cell r="D197" t="str">
            <v>D087</v>
          </cell>
          <cell r="E197" t="str">
            <v>MX-PD0192 AEROPUERTO QRO</v>
          </cell>
          <cell r="F197">
            <v>10000311</v>
          </cell>
          <cell r="G197" t="str">
            <v>Arena Triturada Basalto  Malla</v>
          </cell>
          <cell r="H197">
            <v>146.4</v>
          </cell>
          <cell r="I197">
            <v>41.6</v>
          </cell>
          <cell r="J197">
            <v>188</v>
          </cell>
        </row>
        <row r="198">
          <cell r="B198" t="str">
            <v>D86110155483</v>
          </cell>
          <cell r="C198" t="str">
            <v>D861</v>
          </cell>
          <cell r="D198" t="str">
            <v>D087</v>
          </cell>
          <cell r="E198" t="str">
            <v>MX-PD0192 AEROPUERTO QRO</v>
          </cell>
          <cell r="F198">
            <v>10155483</v>
          </cell>
          <cell r="G198" t="str">
            <v>BALASTRO TRITURADO BASALTO</v>
          </cell>
          <cell r="H198">
            <v>28.18</v>
          </cell>
          <cell r="I198">
            <v>74.61</v>
          </cell>
          <cell r="J198">
            <v>102.78999999999999</v>
          </cell>
        </row>
        <row r="199">
          <cell r="B199" t="str">
            <v>D86110000229</v>
          </cell>
          <cell r="C199" t="str">
            <v>D861</v>
          </cell>
          <cell r="D199" t="str">
            <v>D089</v>
          </cell>
          <cell r="E199" t="str">
            <v>MX-PD-091 TULA IV</v>
          </cell>
          <cell r="F199">
            <v>10000229</v>
          </cell>
          <cell r="G199" t="str">
            <v>Grava Triturada Basalto  10 mm</v>
          </cell>
          <cell r="H199">
            <v>147.72</v>
          </cell>
          <cell r="I199">
            <v>68.28</v>
          </cell>
          <cell r="J199">
            <v>216</v>
          </cell>
        </row>
        <row r="200">
          <cell r="B200" t="str">
            <v>D86110000231</v>
          </cell>
          <cell r="C200" t="str">
            <v>D861</v>
          </cell>
          <cell r="D200" t="str">
            <v>D089</v>
          </cell>
          <cell r="E200" t="str">
            <v>MX-PD-091 TULA IV</v>
          </cell>
          <cell r="F200">
            <v>10000231</v>
          </cell>
          <cell r="G200" t="str">
            <v>Grava Triturada Basalto 20 mm</v>
          </cell>
          <cell r="H200">
            <v>147.72</v>
          </cell>
          <cell r="I200">
            <v>68.260000000000005</v>
          </cell>
          <cell r="J200">
            <v>215.98000000000002</v>
          </cell>
        </row>
        <row r="201">
          <cell r="B201" t="str">
            <v>D86110000233</v>
          </cell>
          <cell r="C201" t="str">
            <v>D861</v>
          </cell>
          <cell r="D201" t="str">
            <v>D089</v>
          </cell>
          <cell r="E201" t="str">
            <v>MX-PD-091 TULA IV</v>
          </cell>
          <cell r="F201">
            <v>10000233</v>
          </cell>
          <cell r="G201" t="str">
            <v>Grava Triturada Basalto  40 mm</v>
          </cell>
          <cell r="H201">
            <v>147.72</v>
          </cell>
          <cell r="I201">
            <v>68.260000000000005</v>
          </cell>
          <cell r="J201">
            <v>215.98000000000002</v>
          </cell>
        </row>
        <row r="202">
          <cell r="B202" t="str">
            <v>D86110000311</v>
          </cell>
          <cell r="C202" t="str">
            <v>D861</v>
          </cell>
          <cell r="D202" t="str">
            <v>D089</v>
          </cell>
          <cell r="E202" t="str">
            <v>MX-PD-091 TULA IV</v>
          </cell>
          <cell r="F202">
            <v>10000311</v>
          </cell>
          <cell r="G202" t="str">
            <v>Arena Triturada Basalto  Malla</v>
          </cell>
          <cell r="H202">
            <v>146.4</v>
          </cell>
          <cell r="I202">
            <v>41.6</v>
          </cell>
          <cell r="J202">
            <v>188</v>
          </cell>
        </row>
        <row r="203">
          <cell r="B203" t="str">
            <v>D86110000231</v>
          </cell>
          <cell r="C203" t="str">
            <v>D861</v>
          </cell>
          <cell r="D203" t="str">
            <v>D094</v>
          </cell>
          <cell r="E203" t="str">
            <v>MX-PD0284 PLANTA DEACERO</v>
          </cell>
          <cell r="F203">
            <v>10000231</v>
          </cell>
          <cell r="G203" t="str">
            <v>Grava Triturada Basalto 20 mm</v>
          </cell>
          <cell r="H203">
            <v>147.72</v>
          </cell>
          <cell r="I203">
            <v>68.260000000000005</v>
          </cell>
          <cell r="J203">
            <v>215.98000000000002</v>
          </cell>
        </row>
        <row r="204">
          <cell r="B204" t="str">
            <v>D86110000233</v>
          </cell>
          <cell r="C204" t="str">
            <v>D861</v>
          </cell>
          <cell r="D204" t="str">
            <v>D094</v>
          </cell>
          <cell r="E204" t="str">
            <v>MX-PD0284 PLANTA DEACERO</v>
          </cell>
          <cell r="F204">
            <v>10000233</v>
          </cell>
          <cell r="G204" t="str">
            <v>Grava Triturada Basalto  40 mm</v>
          </cell>
          <cell r="H204">
            <v>147.72</v>
          </cell>
          <cell r="I204">
            <v>68.260000000000005</v>
          </cell>
          <cell r="J204">
            <v>215.98000000000002</v>
          </cell>
        </row>
        <row r="205">
          <cell r="B205" t="str">
            <v>D86110000290</v>
          </cell>
          <cell r="C205" t="str">
            <v>D861</v>
          </cell>
          <cell r="D205" t="str">
            <v>D094</v>
          </cell>
          <cell r="E205" t="str">
            <v>MX-PD0284 PLANTA DEACERO</v>
          </cell>
          <cell r="F205">
            <v>10000290</v>
          </cell>
          <cell r="G205" t="str">
            <v>Polvos Triturado Basalto 3/4"</v>
          </cell>
          <cell r="H205">
            <v>1.1499999999999999</v>
          </cell>
          <cell r="I205">
            <v>3.85</v>
          </cell>
          <cell r="J205">
            <v>5</v>
          </cell>
        </row>
        <row r="206">
          <cell r="B206" t="str">
            <v>D86110000229</v>
          </cell>
          <cell r="C206" t="str">
            <v>D861</v>
          </cell>
          <cell r="D206" t="str">
            <v>D098</v>
          </cell>
          <cell r="E206" t="str">
            <v>MX-PD-315 CUAUTITLAN II</v>
          </cell>
          <cell r="F206">
            <v>10000229</v>
          </cell>
          <cell r="G206" t="str">
            <v>Grava Triturada Basalto  10 mm</v>
          </cell>
          <cell r="H206">
            <v>147.72</v>
          </cell>
          <cell r="I206">
            <v>68.28</v>
          </cell>
          <cell r="J206">
            <v>216</v>
          </cell>
        </row>
        <row r="207">
          <cell r="B207" t="str">
            <v>D86110000231</v>
          </cell>
          <cell r="C207" t="str">
            <v>D861</v>
          </cell>
          <cell r="D207" t="str">
            <v>D098</v>
          </cell>
          <cell r="E207" t="str">
            <v>MX-PD-315 CUAUTITLAN II</v>
          </cell>
          <cell r="F207">
            <v>10000231</v>
          </cell>
          <cell r="G207" t="str">
            <v>Grava Triturada Basalto 20 mm</v>
          </cell>
          <cell r="H207">
            <v>147.72</v>
          </cell>
          <cell r="I207">
            <v>68.260000000000005</v>
          </cell>
          <cell r="J207">
            <v>215.98000000000002</v>
          </cell>
        </row>
        <row r="208">
          <cell r="B208" t="str">
            <v>D86110000233</v>
          </cell>
          <cell r="C208" t="str">
            <v>D861</v>
          </cell>
          <cell r="D208" t="str">
            <v>D098</v>
          </cell>
          <cell r="E208" t="str">
            <v>MX-PD-315 CUAUTITLAN II</v>
          </cell>
          <cell r="F208">
            <v>10000233</v>
          </cell>
          <cell r="G208" t="str">
            <v>Grava Triturada Basalto  40 mm</v>
          </cell>
          <cell r="H208">
            <v>147.72</v>
          </cell>
          <cell r="I208">
            <v>68.260000000000005</v>
          </cell>
          <cell r="J208">
            <v>215.98000000000002</v>
          </cell>
        </row>
        <row r="209">
          <cell r="B209" t="str">
            <v>D86110000229</v>
          </cell>
          <cell r="C209" t="str">
            <v>D861</v>
          </cell>
          <cell r="D209" t="str">
            <v>D103</v>
          </cell>
          <cell r="E209" t="str">
            <v>MX-PD-498 PARQUE INDUSTRIAL</v>
          </cell>
          <cell r="F209">
            <v>10000229</v>
          </cell>
          <cell r="G209" t="str">
            <v>Grava Triturada Basalto  10 mm</v>
          </cell>
          <cell r="H209">
            <v>147.72</v>
          </cell>
          <cell r="I209">
            <v>68.28</v>
          </cell>
          <cell r="J209">
            <v>216</v>
          </cell>
        </row>
        <row r="210">
          <cell r="B210" t="str">
            <v>D86110000231</v>
          </cell>
          <cell r="C210" t="str">
            <v>D861</v>
          </cell>
          <cell r="D210" t="str">
            <v>D103</v>
          </cell>
          <cell r="E210" t="str">
            <v>MX-PD-498 PARQUE INDUSTRIAL</v>
          </cell>
          <cell r="F210">
            <v>10000231</v>
          </cell>
          <cell r="G210" t="str">
            <v>Grava Triturada Basalto 20 mm</v>
          </cell>
          <cell r="H210">
            <v>147.72</v>
          </cell>
          <cell r="I210">
            <v>68.260000000000005</v>
          </cell>
          <cell r="J210">
            <v>215.98000000000002</v>
          </cell>
        </row>
        <row r="211">
          <cell r="B211" t="str">
            <v>D86110000233</v>
          </cell>
          <cell r="C211" t="str">
            <v>D861</v>
          </cell>
          <cell r="D211" t="str">
            <v>D103</v>
          </cell>
          <cell r="E211" t="str">
            <v>MX-PD-498 PARQUE INDUSTRIAL</v>
          </cell>
          <cell r="F211">
            <v>10000233</v>
          </cell>
          <cell r="G211" t="str">
            <v>Grava Triturada Basalto  40 mm</v>
          </cell>
          <cell r="H211">
            <v>147.72</v>
          </cell>
          <cell r="I211">
            <v>68.260000000000005</v>
          </cell>
          <cell r="J211">
            <v>215.98000000000002</v>
          </cell>
        </row>
        <row r="212">
          <cell r="B212" t="str">
            <v>D86110000311</v>
          </cell>
          <cell r="C212" t="str">
            <v>D861</v>
          </cell>
          <cell r="D212" t="str">
            <v>D103</v>
          </cell>
          <cell r="E212" t="str">
            <v>MX-PD-498 PARQUE INDUSTRIAL</v>
          </cell>
          <cell r="F212">
            <v>10000311</v>
          </cell>
          <cell r="G212" t="str">
            <v>Arena Triturada Basalto  Malla</v>
          </cell>
          <cell r="H212">
            <v>146.4</v>
          </cell>
          <cell r="I212">
            <v>41.6</v>
          </cell>
          <cell r="J212">
            <v>188</v>
          </cell>
        </row>
        <row r="213">
          <cell r="B213" t="str">
            <v>D86110000229</v>
          </cell>
          <cell r="C213" t="str">
            <v>D861</v>
          </cell>
          <cell r="D213" t="str">
            <v>D105</v>
          </cell>
          <cell r="E213" t="str">
            <v>MX-PD-331 NAUCALPAN II</v>
          </cell>
          <cell r="F213">
            <v>10000229</v>
          </cell>
          <cell r="G213" t="str">
            <v>Grava Triturada Basalto  10 mm</v>
          </cell>
          <cell r="H213">
            <v>147.72</v>
          </cell>
          <cell r="I213">
            <v>68.28</v>
          </cell>
          <cell r="J213">
            <v>216</v>
          </cell>
        </row>
        <row r="214">
          <cell r="B214" t="str">
            <v>D86110000231</v>
          </cell>
          <cell r="C214" t="str">
            <v>D861</v>
          </cell>
          <cell r="D214" t="str">
            <v>D105</v>
          </cell>
          <cell r="E214" t="str">
            <v>MX-PD-331 NAUCALPAN II</v>
          </cell>
          <cell r="F214">
            <v>10000231</v>
          </cell>
          <cell r="G214" t="str">
            <v>Grava Triturada Basalto 20 mm</v>
          </cell>
          <cell r="H214">
            <v>147.72</v>
          </cell>
          <cell r="I214">
            <v>68.260000000000005</v>
          </cell>
          <cell r="J214">
            <v>215.98000000000002</v>
          </cell>
        </row>
        <row r="215">
          <cell r="B215" t="str">
            <v>D86110000233</v>
          </cell>
          <cell r="C215" t="str">
            <v>D861</v>
          </cell>
          <cell r="D215" t="str">
            <v>D105</v>
          </cell>
          <cell r="E215" t="str">
            <v>MX-PD-331 NAUCALPAN II</v>
          </cell>
          <cell r="F215">
            <v>10000233</v>
          </cell>
          <cell r="G215" t="str">
            <v>Grava Triturada Basalto  40 mm</v>
          </cell>
          <cell r="H215">
            <v>147.72</v>
          </cell>
          <cell r="I215">
            <v>68.260000000000005</v>
          </cell>
          <cell r="J215">
            <v>215.98000000000002</v>
          </cell>
        </row>
        <row r="216">
          <cell r="B216" t="str">
            <v>D86110000229</v>
          </cell>
          <cell r="C216" t="str">
            <v>D861</v>
          </cell>
          <cell r="D216" t="str">
            <v>D106</v>
          </cell>
          <cell r="E216" t="str">
            <v>MX-PD-499 CASAS ARA</v>
          </cell>
          <cell r="F216">
            <v>10000229</v>
          </cell>
          <cell r="G216" t="str">
            <v>Grava Triturada Basalto  10 mm</v>
          </cell>
          <cell r="H216">
            <v>147.72</v>
          </cell>
          <cell r="I216">
            <v>68.28</v>
          </cell>
          <cell r="J216">
            <v>216</v>
          </cell>
        </row>
        <row r="217">
          <cell r="B217" t="str">
            <v>D86110000231</v>
          </cell>
          <cell r="C217" t="str">
            <v>D861</v>
          </cell>
          <cell r="D217" t="str">
            <v>D106</v>
          </cell>
          <cell r="E217" t="str">
            <v>MX-PD-499 CASAS ARA</v>
          </cell>
          <cell r="F217">
            <v>10000231</v>
          </cell>
          <cell r="G217" t="str">
            <v>Grava Triturada Basalto 20 mm</v>
          </cell>
          <cell r="H217">
            <v>147.72</v>
          </cell>
          <cell r="I217">
            <v>68.260000000000005</v>
          </cell>
          <cell r="J217">
            <v>215.98000000000002</v>
          </cell>
        </row>
        <row r="218">
          <cell r="B218" t="str">
            <v>D86110000233</v>
          </cell>
          <cell r="C218" t="str">
            <v>D861</v>
          </cell>
          <cell r="D218" t="str">
            <v>D106</v>
          </cell>
          <cell r="E218" t="str">
            <v>MX-PD-499 CASAS ARA</v>
          </cell>
          <cell r="F218">
            <v>10000233</v>
          </cell>
          <cell r="G218" t="str">
            <v>Grava Triturada Basalto  40 mm</v>
          </cell>
          <cell r="H218">
            <v>147.72</v>
          </cell>
          <cell r="I218">
            <v>68.260000000000005</v>
          </cell>
          <cell r="J218">
            <v>215.98000000000002</v>
          </cell>
        </row>
        <row r="219">
          <cell r="B219" t="str">
            <v>D86110000290</v>
          </cell>
          <cell r="C219" t="str">
            <v>D861</v>
          </cell>
          <cell r="D219" t="str">
            <v>D106</v>
          </cell>
          <cell r="E219" t="str">
            <v>MX-PD-499 CASAS ARA</v>
          </cell>
          <cell r="F219">
            <v>10000290</v>
          </cell>
          <cell r="G219" t="str">
            <v>Polvos Triturado Basalto 3/4"</v>
          </cell>
          <cell r="H219">
            <v>1.1499999999999999</v>
          </cell>
          <cell r="I219">
            <v>22.58</v>
          </cell>
          <cell r="J219">
            <v>23.729999999999997</v>
          </cell>
        </row>
        <row r="220">
          <cell r="B220" t="str">
            <v>D86110000311</v>
          </cell>
          <cell r="C220" t="str">
            <v>D861</v>
          </cell>
          <cell r="D220" t="str">
            <v>D106</v>
          </cell>
          <cell r="E220" t="str">
            <v>MX-PD-499 CASAS ARA</v>
          </cell>
          <cell r="F220">
            <v>10000311</v>
          </cell>
          <cell r="G220" t="str">
            <v>Arena Triturada Basalto  Malla</v>
          </cell>
          <cell r="H220">
            <v>146.4</v>
          </cell>
          <cell r="I220">
            <v>41.6</v>
          </cell>
          <cell r="J220">
            <v>188</v>
          </cell>
        </row>
        <row r="221">
          <cell r="B221" t="str">
            <v>D86110003153</v>
          </cell>
          <cell r="C221" t="str">
            <v>D861</v>
          </cell>
          <cell r="D221" t="str">
            <v>D106</v>
          </cell>
          <cell r="E221" t="str">
            <v>MX-PD-499 CASAS ARA</v>
          </cell>
          <cell r="F221">
            <v>10003153</v>
          </cell>
          <cell r="G221" t="str">
            <v>Grava Triturada Basalto 13 mm</v>
          </cell>
          <cell r="H221">
            <v>147.72</v>
          </cell>
          <cell r="I221">
            <v>-34.68</v>
          </cell>
          <cell r="J221">
            <v>113.03999999999999</v>
          </cell>
        </row>
        <row r="222">
          <cell r="B222" t="str">
            <v>D86110000229</v>
          </cell>
          <cell r="C222" t="str">
            <v>D861</v>
          </cell>
          <cell r="D222" t="str">
            <v>D107</v>
          </cell>
          <cell r="E222" t="str">
            <v>MX-PD-528 VIVEICA</v>
          </cell>
          <cell r="F222">
            <v>10000229</v>
          </cell>
          <cell r="G222" t="str">
            <v>Grava Triturada Basalto  10 mm</v>
          </cell>
          <cell r="H222">
            <v>147.72</v>
          </cell>
          <cell r="I222">
            <v>68.28</v>
          </cell>
          <cell r="J222">
            <v>216</v>
          </cell>
        </row>
        <row r="223">
          <cell r="B223" t="str">
            <v>D86110000231</v>
          </cell>
          <cell r="C223" t="str">
            <v>D861</v>
          </cell>
          <cell r="D223" t="str">
            <v>D107</v>
          </cell>
          <cell r="E223" t="str">
            <v>MX-PD-528 VIVEICA</v>
          </cell>
          <cell r="F223">
            <v>10000231</v>
          </cell>
          <cell r="G223" t="str">
            <v>Grava Triturada Basalto 20 mm</v>
          </cell>
          <cell r="H223">
            <v>147.72</v>
          </cell>
          <cell r="I223">
            <v>68.260000000000005</v>
          </cell>
          <cell r="J223">
            <v>215.98000000000002</v>
          </cell>
        </row>
        <row r="224">
          <cell r="B224" t="str">
            <v>D86110000233</v>
          </cell>
          <cell r="C224" t="str">
            <v>D861</v>
          </cell>
          <cell r="D224" t="str">
            <v>D107</v>
          </cell>
          <cell r="E224" t="str">
            <v>MX-PD-528 VIVEICA</v>
          </cell>
          <cell r="F224">
            <v>10000233</v>
          </cell>
          <cell r="G224" t="str">
            <v>Grava Triturada Basalto  40 mm</v>
          </cell>
          <cell r="H224">
            <v>147.72</v>
          </cell>
          <cell r="I224">
            <v>68.260000000000005</v>
          </cell>
          <cell r="J224">
            <v>215.98000000000002</v>
          </cell>
        </row>
        <row r="225">
          <cell r="B225" t="str">
            <v>D86110000311</v>
          </cell>
          <cell r="C225" t="str">
            <v>D861</v>
          </cell>
          <cell r="D225" t="str">
            <v>D107</v>
          </cell>
          <cell r="E225" t="str">
            <v>MX-PD-528 VIVEICA</v>
          </cell>
          <cell r="F225">
            <v>10000311</v>
          </cell>
          <cell r="G225" t="str">
            <v>Arena Triturada Basalto  Malla</v>
          </cell>
          <cell r="H225">
            <v>146.4</v>
          </cell>
          <cell r="I225">
            <v>41.6</v>
          </cell>
          <cell r="J225">
            <v>188</v>
          </cell>
        </row>
        <row r="226">
          <cell r="B226" t="str">
            <v>D86110000229</v>
          </cell>
          <cell r="C226" t="str">
            <v>D861</v>
          </cell>
          <cell r="D226" t="str">
            <v>D115</v>
          </cell>
          <cell r="E226" t="str">
            <v>MX-PD-505 SAN JUAN DEL RÍO</v>
          </cell>
          <cell r="F226">
            <v>10000229</v>
          </cell>
          <cell r="G226" t="str">
            <v>Grava Triturada Basalto  10 mm</v>
          </cell>
          <cell r="H226">
            <v>147.72</v>
          </cell>
          <cell r="I226">
            <v>68.28</v>
          </cell>
          <cell r="J226">
            <v>216</v>
          </cell>
        </row>
        <row r="227">
          <cell r="B227" t="str">
            <v>D86110000231</v>
          </cell>
          <cell r="C227" t="str">
            <v>D861</v>
          </cell>
          <cell r="D227" t="str">
            <v>D115</v>
          </cell>
          <cell r="E227" t="str">
            <v>MX-PD-505 SAN JUAN DEL RÍO</v>
          </cell>
          <cell r="F227">
            <v>10000231</v>
          </cell>
          <cell r="G227" t="str">
            <v>Grava Triturada Basalto 20 mm</v>
          </cell>
          <cell r="H227">
            <v>147.72</v>
          </cell>
          <cell r="I227">
            <v>68.260000000000005</v>
          </cell>
          <cell r="J227">
            <v>215.98000000000002</v>
          </cell>
        </row>
        <row r="228">
          <cell r="B228" t="str">
            <v>D86110000233</v>
          </cell>
          <cell r="C228" t="str">
            <v>D861</v>
          </cell>
          <cell r="D228" t="str">
            <v>D115</v>
          </cell>
          <cell r="E228" t="str">
            <v>MX-PD-505 SAN JUAN DEL RÍO</v>
          </cell>
          <cell r="F228">
            <v>10000233</v>
          </cell>
          <cell r="G228" t="str">
            <v>Grava Triturada Basalto  40 mm</v>
          </cell>
          <cell r="H228">
            <v>147.72</v>
          </cell>
          <cell r="I228">
            <v>68.260000000000005</v>
          </cell>
          <cell r="J228">
            <v>215.98000000000002</v>
          </cell>
        </row>
        <row r="229">
          <cell r="B229" t="str">
            <v>D86110000311</v>
          </cell>
          <cell r="C229" t="str">
            <v>D861</v>
          </cell>
          <cell r="D229" t="str">
            <v>D115</v>
          </cell>
          <cell r="E229" t="str">
            <v>MX-PD-505 SAN JUAN DEL RÍO</v>
          </cell>
          <cell r="F229">
            <v>10000311</v>
          </cell>
          <cell r="G229" t="str">
            <v>Arena Triturada Basalto  Malla</v>
          </cell>
          <cell r="H229">
            <v>146.4</v>
          </cell>
          <cell r="I229">
            <v>41.6</v>
          </cell>
          <cell r="J229">
            <v>188</v>
          </cell>
        </row>
        <row r="230">
          <cell r="B230" t="str">
            <v>D86110066861</v>
          </cell>
          <cell r="C230" t="str">
            <v>D861</v>
          </cell>
          <cell r="D230" t="str">
            <v>D115</v>
          </cell>
          <cell r="E230" t="str">
            <v>MX-PD-505 SAN JUAN DEL RÍO</v>
          </cell>
          <cell r="F230">
            <v>10066861</v>
          </cell>
          <cell r="G230" t="str">
            <v>GRAVA TRITURADA BASALTO DE 40</v>
          </cell>
          <cell r="H230">
            <v>147.72</v>
          </cell>
          <cell r="I230">
            <v>30.28</v>
          </cell>
          <cell r="J230">
            <v>178</v>
          </cell>
        </row>
        <row r="231">
          <cell r="B231" t="str">
            <v>D86110000229</v>
          </cell>
          <cell r="C231" t="str">
            <v>D861</v>
          </cell>
          <cell r="D231" t="str">
            <v>D117</v>
          </cell>
          <cell r="E231" t="str">
            <v>MX-PD0481 PACHUCA</v>
          </cell>
          <cell r="F231">
            <v>10000229</v>
          </cell>
          <cell r="G231" t="str">
            <v>Grava Triturada Basalto  10 mm</v>
          </cell>
          <cell r="H231">
            <v>147.72</v>
          </cell>
          <cell r="I231">
            <v>68.28</v>
          </cell>
          <cell r="J231">
            <v>216</v>
          </cell>
        </row>
        <row r="232">
          <cell r="B232" t="str">
            <v>D86110000231</v>
          </cell>
          <cell r="C232" t="str">
            <v>D861</v>
          </cell>
          <cell r="D232" t="str">
            <v>D117</v>
          </cell>
          <cell r="E232" t="str">
            <v>MX-PD0481 PACHUCA</v>
          </cell>
          <cell r="F232">
            <v>10000231</v>
          </cell>
          <cell r="G232" t="str">
            <v>Grava Triturada Basalto 20 mm</v>
          </cell>
          <cell r="H232">
            <v>147.72</v>
          </cell>
          <cell r="I232">
            <v>68.260000000000005</v>
          </cell>
          <cell r="J232">
            <v>215.98000000000002</v>
          </cell>
        </row>
        <row r="233">
          <cell r="B233" t="str">
            <v>D86110000233</v>
          </cell>
          <cell r="C233" t="str">
            <v>D861</v>
          </cell>
          <cell r="D233" t="str">
            <v>D117</v>
          </cell>
          <cell r="E233" t="str">
            <v>MX-PD0481 PACHUCA</v>
          </cell>
          <cell r="F233">
            <v>10000233</v>
          </cell>
          <cell r="G233" t="str">
            <v>Grava Triturada Basalto  40 mm</v>
          </cell>
          <cell r="H233">
            <v>147.72</v>
          </cell>
          <cell r="I233">
            <v>68.260000000000005</v>
          </cell>
          <cell r="J233">
            <v>215.98000000000002</v>
          </cell>
        </row>
        <row r="234">
          <cell r="B234" t="str">
            <v>D86110000229</v>
          </cell>
          <cell r="C234" t="str">
            <v>D861</v>
          </cell>
          <cell r="D234" t="str">
            <v>D134</v>
          </cell>
          <cell r="E234" t="str">
            <v>MX-PD0255 CASAS ARA 2</v>
          </cell>
          <cell r="F234">
            <v>10000229</v>
          </cell>
          <cell r="G234" t="str">
            <v>Grava Triturada Basalto  10 mm</v>
          </cell>
          <cell r="H234">
            <v>147.72</v>
          </cell>
          <cell r="I234">
            <v>68.28</v>
          </cell>
          <cell r="J234">
            <v>216</v>
          </cell>
        </row>
        <row r="235">
          <cell r="B235" t="str">
            <v>D86110000231</v>
          </cell>
          <cell r="C235" t="str">
            <v>D861</v>
          </cell>
          <cell r="D235" t="str">
            <v>D134</v>
          </cell>
          <cell r="E235" t="str">
            <v>MX-PD0255 CASAS ARA 2</v>
          </cell>
          <cell r="F235">
            <v>10000231</v>
          </cell>
          <cell r="G235" t="str">
            <v>Grava Triturada Basalto 20 mm</v>
          </cell>
          <cell r="H235">
            <v>147.72</v>
          </cell>
          <cell r="I235">
            <v>68.260000000000005</v>
          </cell>
          <cell r="J235">
            <v>215.98000000000002</v>
          </cell>
        </row>
        <row r="236">
          <cell r="B236" t="str">
            <v>D86110000233</v>
          </cell>
          <cell r="C236" t="str">
            <v>D861</v>
          </cell>
          <cell r="D236" t="str">
            <v>D134</v>
          </cell>
          <cell r="E236" t="str">
            <v>MX-PD0255 CASAS ARA 2</v>
          </cell>
          <cell r="F236">
            <v>10000233</v>
          </cell>
          <cell r="G236" t="str">
            <v>Grava Triturada Basalto  40 mm</v>
          </cell>
          <cell r="H236">
            <v>147.72</v>
          </cell>
          <cell r="I236">
            <v>68.260000000000005</v>
          </cell>
          <cell r="J236">
            <v>215.98000000000002</v>
          </cell>
        </row>
        <row r="237">
          <cell r="B237" t="str">
            <v>D86110000290</v>
          </cell>
          <cell r="C237" t="str">
            <v>D861</v>
          </cell>
          <cell r="D237" t="str">
            <v>D134</v>
          </cell>
          <cell r="E237" t="str">
            <v>MX-PD0255 CASAS ARA 2</v>
          </cell>
          <cell r="F237">
            <v>10000290</v>
          </cell>
          <cell r="G237" t="str">
            <v>Polvos Triturado Basalto 3/4"</v>
          </cell>
          <cell r="H237">
            <v>1.1499999999999999</v>
          </cell>
          <cell r="I237">
            <v>22.58</v>
          </cell>
          <cell r="J237">
            <v>23.729999999999997</v>
          </cell>
        </row>
        <row r="238">
          <cell r="B238" t="str">
            <v>D86110000311</v>
          </cell>
          <cell r="C238" t="str">
            <v>D861</v>
          </cell>
          <cell r="D238" t="str">
            <v>D134</v>
          </cell>
          <cell r="E238" t="str">
            <v>MX-PD0255 CASAS ARA 2</v>
          </cell>
          <cell r="F238">
            <v>10000311</v>
          </cell>
          <cell r="G238" t="str">
            <v>Arena Triturada Basalto  Malla</v>
          </cell>
          <cell r="H238">
            <v>146.4</v>
          </cell>
          <cell r="I238">
            <v>41.6</v>
          </cell>
          <cell r="J238">
            <v>188</v>
          </cell>
        </row>
        <row r="239">
          <cell r="B239" t="str">
            <v>D86110003153</v>
          </cell>
          <cell r="C239" t="str">
            <v>D861</v>
          </cell>
          <cell r="D239" t="str">
            <v>D134</v>
          </cell>
          <cell r="E239" t="str">
            <v>MX-PD0255 CASAS ARA 2</v>
          </cell>
          <cell r="F239">
            <v>10003153</v>
          </cell>
          <cell r="G239" t="str">
            <v>Grava Triturada Basalto 13 mm</v>
          </cell>
          <cell r="H239">
            <v>147.72</v>
          </cell>
          <cell r="I239">
            <v>-34.68</v>
          </cell>
          <cell r="J239">
            <v>113.03999999999999</v>
          </cell>
        </row>
        <row r="240">
          <cell r="B240" t="str">
            <v>D86110000229</v>
          </cell>
          <cell r="C240" t="str">
            <v>D861</v>
          </cell>
          <cell r="D240" t="str">
            <v>D136</v>
          </cell>
          <cell r="E240" t="str">
            <v>MX-PD0237 LA ESTRELLA</v>
          </cell>
          <cell r="F240">
            <v>10000229</v>
          </cell>
          <cell r="G240" t="str">
            <v>Grava Triturada Basalto  10 mm</v>
          </cell>
          <cell r="H240">
            <v>147.72</v>
          </cell>
          <cell r="I240">
            <v>68.28</v>
          </cell>
          <cell r="J240">
            <v>216</v>
          </cell>
        </row>
        <row r="241">
          <cell r="B241" t="str">
            <v>D86110000231</v>
          </cell>
          <cell r="C241" t="str">
            <v>D861</v>
          </cell>
          <cell r="D241" t="str">
            <v>D136</v>
          </cell>
          <cell r="E241" t="str">
            <v>MX-PD0237 LA ESTRELLA</v>
          </cell>
          <cell r="F241">
            <v>10000231</v>
          </cell>
          <cell r="G241" t="str">
            <v>Grava Triturada Basalto 20 mm</v>
          </cell>
          <cell r="H241">
            <v>147.72</v>
          </cell>
          <cell r="I241">
            <v>68.260000000000005</v>
          </cell>
          <cell r="J241">
            <v>215.98000000000002</v>
          </cell>
        </row>
        <row r="242">
          <cell r="B242" t="str">
            <v>D86110000233</v>
          </cell>
          <cell r="C242" t="str">
            <v>D861</v>
          </cell>
          <cell r="D242" t="str">
            <v>D136</v>
          </cell>
          <cell r="E242" t="str">
            <v>MX-PD0237 LA ESTRELLA</v>
          </cell>
          <cell r="F242">
            <v>10000233</v>
          </cell>
          <cell r="G242" t="str">
            <v>Grava Triturada Basalto  40 mm</v>
          </cell>
          <cell r="H242">
            <v>147.72</v>
          </cell>
          <cell r="I242">
            <v>68.260000000000005</v>
          </cell>
          <cell r="J242">
            <v>215.98000000000002</v>
          </cell>
        </row>
        <row r="243">
          <cell r="B243" t="str">
            <v>D86110000229</v>
          </cell>
          <cell r="C243" t="str">
            <v>D861</v>
          </cell>
          <cell r="D243" t="str">
            <v>D140</v>
          </cell>
          <cell r="E243" t="str">
            <v>MX-PD0283 LA ESTANCIA</v>
          </cell>
          <cell r="F243">
            <v>10000229</v>
          </cell>
          <cell r="G243" t="str">
            <v>Grava Triturada Basalto  10 mm</v>
          </cell>
          <cell r="H243">
            <v>147.72</v>
          </cell>
          <cell r="I243">
            <v>68.28</v>
          </cell>
          <cell r="J243">
            <v>216</v>
          </cell>
        </row>
        <row r="244">
          <cell r="B244" t="str">
            <v>D86110000231</v>
          </cell>
          <cell r="C244" t="str">
            <v>D861</v>
          </cell>
          <cell r="D244" t="str">
            <v>D140</v>
          </cell>
          <cell r="E244" t="str">
            <v>MX-PD0283 LA ESTANCIA</v>
          </cell>
          <cell r="F244">
            <v>10000231</v>
          </cell>
          <cell r="G244" t="str">
            <v>Grava Triturada Basalto 20 mm</v>
          </cell>
          <cell r="H244">
            <v>147.72</v>
          </cell>
          <cell r="I244">
            <v>68.260000000000005</v>
          </cell>
          <cell r="J244">
            <v>215.98000000000002</v>
          </cell>
        </row>
        <row r="245">
          <cell r="B245" t="str">
            <v>D86110000233</v>
          </cell>
          <cell r="C245" t="str">
            <v>D861</v>
          </cell>
          <cell r="D245" t="str">
            <v>D140</v>
          </cell>
          <cell r="E245" t="str">
            <v>MX-PD0283 LA ESTANCIA</v>
          </cell>
          <cell r="F245">
            <v>10000233</v>
          </cell>
          <cell r="G245" t="str">
            <v>Grava Triturada Basalto  40 mm</v>
          </cell>
          <cell r="H245">
            <v>147.72</v>
          </cell>
          <cell r="I245">
            <v>68.260000000000005</v>
          </cell>
          <cell r="J245">
            <v>215.98000000000002</v>
          </cell>
        </row>
        <row r="246">
          <cell r="B246" t="str">
            <v>D86110000290</v>
          </cell>
          <cell r="C246" t="str">
            <v>D861</v>
          </cell>
          <cell r="D246" t="str">
            <v>D140</v>
          </cell>
          <cell r="E246" t="str">
            <v>MX-PD0283 LA ESTANCIA</v>
          </cell>
          <cell r="F246">
            <v>10000290</v>
          </cell>
          <cell r="G246" t="str">
            <v>Polvos Triturado Basalto 3/4"</v>
          </cell>
          <cell r="H246">
            <v>1.1499999999999999</v>
          </cell>
          <cell r="I246">
            <v>22.58</v>
          </cell>
          <cell r="J246">
            <v>23.729999999999997</v>
          </cell>
        </row>
        <row r="247">
          <cell r="B247" t="str">
            <v>D86110000311</v>
          </cell>
          <cell r="C247" t="str">
            <v>D861</v>
          </cell>
          <cell r="D247" t="str">
            <v>D140</v>
          </cell>
          <cell r="E247" t="str">
            <v>MX-PD0283 LA ESTANCIA</v>
          </cell>
          <cell r="F247">
            <v>10000311</v>
          </cell>
          <cell r="G247" t="str">
            <v>Arena Triturada Basalto  Malla</v>
          </cell>
          <cell r="H247">
            <v>146.4</v>
          </cell>
          <cell r="I247">
            <v>41.6</v>
          </cell>
          <cell r="J247">
            <v>188</v>
          </cell>
        </row>
        <row r="248">
          <cell r="B248" t="str">
            <v>D86110000231</v>
          </cell>
          <cell r="C248" t="str">
            <v>D861</v>
          </cell>
          <cell r="D248" t="str">
            <v>D145</v>
          </cell>
          <cell r="E248" t="str">
            <v>MX-PD-458 ECATEPEC II</v>
          </cell>
          <cell r="F248">
            <v>10000231</v>
          </cell>
          <cell r="G248" t="str">
            <v>Grava Triturada Basalto 20 mm</v>
          </cell>
          <cell r="H248">
            <v>147.72</v>
          </cell>
          <cell r="I248">
            <v>68.260000000000005</v>
          </cell>
          <cell r="J248">
            <v>215.98000000000002</v>
          </cell>
        </row>
        <row r="249">
          <cell r="B249" t="str">
            <v>D86110000233</v>
          </cell>
          <cell r="C249" t="str">
            <v>D861</v>
          </cell>
          <cell r="D249" t="str">
            <v>D145</v>
          </cell>
          <cell r="E249" t="str">
            <v>MX-PD-458 ECATEPEC II</v>
          </cell>
          <cell r="F249">
            <v>10000233</v>
          </cell>
          <cell r="G249" t="str">
            <v>Grava Triturada Basalto  40 mm</v>
          </cell>
          <cell r="H249">
            <v>147.72</v>
          </cell>
          <cell r="I249">
            <v>68.260000000000005</v>
          </cell>
          <cell r="J249">
            <v>215.98000000000002</v>
          </cell>
        </row>
        <row r="250">
          <cell r="B250" t="str">
            <v>D86110000229</v>
          </cell>
          <cell r="C250" t="str">
            <v>D861</v>
          </cell>
          <cell r="D250" t="str">
            <v>D206</v>
          </cell>
          <cell r="E250" t="str">
            <v>MX-PD0444 SAN JOSE DE ITURBIDE</v>
          </cell>
          <cell r="F250">
            <v>10000229</v>
          </cell>
          <cell r="G250" t="str">
            <v>Grava Triturada Basalto  10 mm</v>
          </cell>
          <cell r="H250">
            <v>147.72</v>
          </cell>
          <cell r="I250">
            <v>68.28</v>
          </cell>
          <cell r="J250">
            <v>216</v>
          </cell>
        </row>
        <row r="251">
          <cell r="B251" t="str">
            <v>D86110000231</v>
          </cell>
          <cell r="C251" t="str">
            <v>D861</v>
          </cell>
          <cell r="D251" t="str">
            <v>D206</v>
          </cell>
          <cell r="E251" t="str">
            <v>MX-PD0444 SAN JOSE DE ITURBIDE</v>
          </cell>
          <cell r="F251">
            <v>10000231</v>
          </cell>
          <cell r="G251" t="str">
            <v>Grava Triturada Basalto 20 mm</v>
          </cell>
          <cell r="H251">
            <v>147.72</v>
          </cell>
          <cell r="I251">
            <v>68.260000000000005</v>
          </cell>
          <cell r="J251">
            <v>215.98000000000002</v>
          </cell>
        </row>
        <row r="252">
          <cell r="B252" t="str">
            <v>D86110000233</v>
          </cell>
          <cell r="C252" t="str">
            <v>D861</v>
          </cell>
          <cell r="D252" t="str">
            <v>D206</v>
          </cell>
          <cell r="E252" t="str">
            <v>MX-PD0444 SAN JOSE DE ITURBIDE</v>
          </cell>
          <cell r="F252">
            <v>10000233</v>
          </cell>
          <cell r="G252" t="str">
            <v>Grava Triturada Basalto  40 mm</v>
          </cell>
          <cell r="H252">
            <v>147.72</v>
          </cell>
          <cell r="I252">
            <v>68.260000000000005</v>
          </cell>
          <cell r="J252">
            <v>215.98000000000002</v>
          </cell>
        </row>
        <row r="253">
          <cell r="B253" t="str">
            <v>D86110000311</v>
          </cell>
          <cell r="C253" t="str">
            <v>D861</v>
          </cell>
          <cell r="D253" t="str">
            <v>D206</v>
          </cell>
          <cell r="E253" t="str">
            <v>MX-PD0444 SAN JOSE DE ITURBIDE</v>
          </cell>
          <cell r="F253">
            <v>10000311</v>
          </cell>
          <cell r="G253" t="str">
            <v>Arena Triturada Basalto  Malla</v>
          </cell>
          <cell r="H253">
            <v>146.4</v>
          </cell>
          <cell r="I253">
            <v>41.6</v>
          </cell>
          <cell r="J253">
            <v>188</v>
          </cell>
        </row>
        <row r="254">
          <cell r="B254" t="str">
            <v>D86110000229</v>
          </cell>
          <cell r="C254" t="str">
            <v>D861</v>
          </cell>
          <cell r="D254" t="str">
            <v>D259</v>
          </cell>
          <cell r="E254" t="str">
            <v>MX-PD0228 CARRETERA INTERSERRA</v>
          </cell>
          <cell r="F254">
            <v>10000229</v>
          </cell>
          <cell r="G254" t="str">
            <v>Grava Triturada Basalto  10 mm</v>
          </cell>
          <cell r="H254">
            <v>147.72</v>
          </cell>
          <cell r="I254">
            <v>68.28</v>
          </cell>
          <cell r="J254">
            <v>216</v>
          </cell>
        </row>
        <row r="255">
          <cell r="B255" t="str">
            <v>D86110000231</v>
          </cell>
          <cell r="C255" t="str">
            <v>D861</v>
          </cell>
          <cell r="D255" t="str">
            <v>D259</v>
          </cell>
          <cell r="E255" t="str">
            <v>MX-PD0228 CARRETERA INTERSERRA</v>
          </cell>
          <cell r="F255">
            <v>10000231</v>
          </cell>
          <cell r="G255" t="str">
            <v>Grava Triturada Basalto 20 mm</v>
          </cell>
          <cell r="H255">
            <v>147.72</v>
          </cell>
          <cell r="I255">
            <v>68.260000000000005</v>
          </cell>
          <cell r="J255">
            <v>215.98000000000002</v>
          </cell>
        </row>
        <row r="256">
          <cell r="B256" t="str">
            <v>D86110000233</v>
          </cell>
          <cell r="C256" t="str">
            <v>D861</v>
          </cell>
          <cell r="D256" t="str">
            <v>D259</v>
          </cell>
          <cell r="E256" t="str">
            <v>MX-PD0228 CARRETERA INTERSERRA</v>
          </cell>
          <cell r="F256">
            <v>10000233</v>
          </cell>
          <cell r="G256" t="str">
            <v>Grava Triturada Basalto  40 mm</v>
          </cell>
          <cell r="H256">
            <v>147.72</v>
          </cell>
          <cell r="I256">
            <v>68.260000000000005</v>
          </cell>
          <cell r="J256">
            <v>215.98000000000002</v>
          </cell>
        </row>
        <row r="257">
          <cell r="B257" t="str">
            <v>D86110000311</v>
          </cell>
          <cell r="C257" t="str">
            <v>D861</v>
          </cell>
          <cell r="D257" t="str">
            <v>D259</v>
          </cell>
          <cell r="E257" t="str">
            <v>MX-PD0228 CARRETERA INTERSERRA</v>
          </cell>
          <cell r="F257">
            <v>10000311</v>
          </cell>
          <cell r="G257" t="str">
            <v>Arena Triturada Basalto  Malla</v>
          </cell>
          <cell r="H257">
            <v>146.4</v>
          </cell>
          <cell r="I257">
            <v>41.6</v>
          </cell>
          <cell r="J257">
            <v>188</v>
          </cell>
        </row>
        <row r="258">
          <cell r="B258" t="str">
            <v>D86110000229</v>
          </cell>
          <cell r="C258" t="str">
            <v>D861</v>
          </cell>
          <cell r="D258" t="str">
            <v>D690</v>
          </cell>
          <cell r="E258" t="str">
            <v>MX-PD0643 CELAYA</v>
          </cell>
          <cell r="F258">
            <v>10000229</v>
          </cell>
          <cell r="G258" t="str">
            <v>Grava Triturada Basalto  10 mm</v>
          </cell>
          <cell r="H258">
            <v>147.72</v>
          </cell>
          <cell r="I258">
            <v>68.28</v>
          </cell>
          <cell r="J258">
            <v>216</v>
          </cell>
        </row>
        <row r="259">
          <cell r="B259" t="str">
            <v>D86110000231</v>
          </cell>
          <cell r="C259" t="str">
            <v>D861</v>
          </cell>
          <cell r="D259" t="str">
            <v>D690</v>
          </cell>
          <cell r="E259" t="str">
            <v>MX-PD0643 CELAYA</v>
          </cell>
          <cell r="F259">
            <v>10000231</v>
          </cell>
          <cell r="G259" t="str">
            <v>Grava Triturada Basalto 20 mm</v>
          </cell>
          <cell r="H259">
            <v>147.72</v>
          </cell>
          <cell r="I259">
            <v>68.260000000000005</v>
          </cell>
          <cell r="J259">
            <v>215.98000000000002</v>
          </cell>
        </row>
        <row r="260">
          <cell r="B260" t="str">
            <v>D86110000233</v>
          </cell>
          <cell r="C260" t="str">
            <v>D861</v>
          </cell>
          <cell r="D260" t="str">
            <v>D690</v>
          </cell>
          <cell r="E260" t="str">
            <v>MX-PD0643 CELAYA</v>
          </cell>
          <cell r="F260">
            <v>10000233</v>
          </cell>
          <cell r="G260" t="str">
            <v>Grava Triturada Basalto  40 mm</v>
          </cell>
          <cell r="H260">
            <v>147.72</v>
          </cell>
          <cell r="I260">
            <v>68.260000000000005</v>
          </cell>
          <cell r="J260">
            <v>215.98000000000002</v>
          </cell>
        </row>
        <row r="261">
          <cell r="B261" t="str">
            <v>D86110000311</v>
          </cell>
          <cell r="C261" t="str">
            <v>D861</v>
          </cell>
          <cell r="D261" t="str">
            <v>D690</v>
          </cell>
          <cell r="E261" t="str">
            <v>MX-PD0643 CELAYA</v>
          </cell>
          <cell r="F261">
            <v>10000311</v>
          </cell>
          <cell r="G261" t="str">
            <v>Arena Triturada Basalto  Malla</v>
          </cell>
          <cell r="H261">
            <v>146.4</v>
          </cell>
          <cell r="I261">
            <v>41.6</v>
          </cell>
          <cell r="J261">
            <v>188</v>
          </cell>
        </row>
        <row r="262">
          <cell r="B262" t="str">
            <v>D86110000229</v>
          </cell>
          <cell r="C262" t="str">
            <v>D861</v>
          </cell>
          <cell r="D262" t="str">
            <v>DA03</v>
          </cell>
          <cell r="E262" t="str">
            <v>MX-PD0990 DICOSA</v>
          </cell>
          <cell r="F262">
            <v>10000229</v>
          </cell>
          <cell r="G262" t="str">
            <v>Grava Triturada Basalto  10 mm</v>
          </cell>
          <cell r="H262">
            <v>147.72</v>
          </cell>
          <cell r="I262">
            <v>68.28</v>
          </cell>
          <cell r="J262">
            <v>216</v>
          </cell>
        </row>
        <row r="263">
          <cell r="B263" t="str">
            <v>D86110000231</v>
          </cell>
          <cell r="C263" t="str">
            <v>D861</v>
          </cell>
          <cell r="D263" t="str">
            <v>DA03</v>
          </cell>
          <cell r="E263" t="str">
            <v>MX-PD0990 DICOSA</v>
          </cell>
          <cell r="F263">
            <v>10000231</v>
          </cell>
          <cell r="G263" t="str">
            <v>Grava Triturada Basalto 20 mm</v>
          </cell>
          <cell r="H263">
            <v>147.72</v>
          </cell>
          <cell r="I263">
            <v>68.260000000000005</v>
          </cell>
          <cell r="J263">
            <v>215.98000000000002</v>
          </cell>
        </row>
        <row r="264">
          <cell r="B264" t="str">
            <v>D86110000233</v>
          </cell>
          <cell r="C264" t="str">
            <v>D861</v>
          </cell>
          <cell r="D264" t="str">
            <v>DA03</v>
          </cell>
          <cell r="E264" t="str">
            <v>MX-PD0990 DICOSA</v>
          </cell>
          <cell r="F264">
            <v>10000233</v>
          </cell>
          <cell r="G264" t="str">
            <v>Grava Triturada Basalto  40 mm</v>
          </cell>
          <cell r="H264">
            <v>147.72</v>
          </cell>
          <cell r="I264">
            <v>68.260000000000005</v>
          </cell>
          <cell r="J264">
            <v>215.98000000000002</v>
          </cell>
        </row>
        <row r="265">
          <cell r="B265" t="str">
            <v>D86110000311</v>
          </cell>
          <cell r="C265" t="str">
            <v>D861</v>
          </cell>
          <cell r="D265" t="str">
            <v>ENL0</v>
          </cell>
          <cell r="E265" t="str">
            <v>MX-PD0680 AUT. MEX - QRO III</v>
          </cell>
          <cell r="F265">
            <v>10000311</v>
          </cell>
          <cell r="G265" t="str">
            <v>Arena Triturada Basalto  Malla</v>
          </cell>
          <cell r="H265">
            <v>190</v>
          </cell>
          <cell r="I265" t="e">
            <v>#N/A</v>
          </cell>
          <cell r="J265" t="e">
            <v>#N/A</v>
          </cell>
        </row>
        <row r="266">
          <cell r="B266" t="str">
            <v>D86110066861</v>
          </cell>
          <cell r="C266" t="str">
            <v>D861</v>
          </cell>
          <cell r="D266" t="str">
            <v>ENL0</v>
          </cell>
          <cell r="E266" t="str">
            <v>MX-PD0680 AUT. MEX - QRO III</v>
          </cell>
          <cell r="F266">
            <v>10066861</v>
          </cell>
          <cell r="G266" t="str">
            <v>GRAVA TRITURADA BASALTO DE 40</v>
          </cell>
          <cell r="H266">
            <v>190</v>
          </cell>
          <cell r="I266" t="e">
            <v>#N/A</v>
          </cell>
          <cell r="J266" t="e">
            <v>#N/A</v>
          </cell>
        </row>
        <row r="267">
          <cell r="B267" t="str">
            <v>D86110066861</v>
          </cell>
          <cell r="C267" t="str">
            <v>D861</v>
          </cell>
          <cell r="D267" t="str">
            <v>ENL1</v>
          </cell>
          <cell r="E267" t="str">
            <v>MX-PD0681 SAN MIGUEL ALLENDE</v>
          </cell>
          <cell r="F267">
            <v>10066861</v>
          </cell>
          <cell r="G267" t="str">
            <v>GRAVA TRITURADA BASALTO DE 40</v>
          </cell>
          <cell r="H267">
            <v>170</v>
          </cell>
          <cell r="I267" t="e">
            <v>#N/A</v>
          </cell>
          <cell r="J267" t="e">
            <v>#N/A</v>
          </cell>
        </row>
        <row r="268">
          <cell r="B268" t="str">
            <v>D86410000240</v>
          </cell>
          <cell r="C268" t="str">
            <v>D864</v>
          </cell>
          <cell r="D268" t="str">
            <v>D072</v>
          </cell>
          <cell r="E268" t="str">
            <v>MX-PD-187 TOLUCA</v>
          </cell>
          <cell r="F268">
            <v>10000240</v>
          </cell>
          <cell r="G268" t="str">
            <v>Grava Triturada Caliza 20 mm -</v>
          </cell>
          <cell r="H268">
            <v>96.98</v>
          </cell>
          <cell r="I268">
            <v>30.19</v>
          </cell>
          <cell r="J268">
            <v>127.17</v>
          </cell>
        </row>
        <row r="269">
          <cell r="B269" t="str">
            <v>D86410000269</v>
          </cell>
          <cell r="C269" t="str">
            <v>D864</v>
          </cell>
          <cell r="D269" t="str">
            <v>D072</v>
          </cell>
          <cell r="E269" t="str">
            <v>MX-PD-187 TOLUCA</v>
          </cell>
          <cell r="F269">
            <v>10000269</v>
          </cell>
          <cell r="G269" t="str">
            <v>Grava Triturada Caliza 13 mm -</v>
          </cell>
          <cell r="H269">
            <v>96.98</v>
          </cell>
          <cell r="I269">
            <v>34.22</v>
          </cell>
          <cell r="J269">
            <v>131.19999999999999</v>
          </cell>
        </row>
        <row r="270">
          <cell r="B270" t="str">
            <v>D86410001073</v>
          </cell>
          <cell r="C270" t="str">
            <v>D864</v>
          </cell>
          <cell r="D270" t="str">
            <v>D072</v>
          </cell>
          <cell r="E270" t="str">
            <v>MX-PD-187 TOLUCA</v>
          </cell>
          <cell r="F270">
            <v>10001073</v>
          </cell>
          <cell r="G270" t="str">
            <v>Arena Triturada Caliza Malla 4</v>
          </cell>
          <cell r="H270">
            <v>95.43</v>
          </cell>
          <cell r="I270">
            <v>-7.95</v>
          </cell>
          <cell r="J270">
            <v>87.48</v>
          </cell>
        </row>
        <row r="271">
          <cell r="B271" t="str">
            <v>D86410001074</v>
          </cell>
          <cell r="C271" t="str">
            <v>D864</v>
          </cell>
          <cell r="D271" t="str">
            <v>D072</v>
          </cell>
          <cell r="E271" t="str">
            <v>MX-PD-187 TOLUCA</v>
          </cell>
          <cell r="F271">
            <v>10001074</v>
          </cell>
          <cell r="G271" t="str">
            <v>Grava Triturada Caliza 40 mm -</v>
          </cell>
          <cell r="H271">
            <v>96.98</v>
          </cell>
          <cell r="I271">
            <v>39.659999999999997</v>
          </cell>
          <cell r="J271">
            <v>136.63999999999999</v>
          </cell>
        </row>
        <row r="272">
          <cell r="B272" t="str">
            <v>D86410000236</v>
          </cell>
          <cell r="C272" t="str">
            <v>D864</v>
          </cell>
          <cell r="D272" t="str">
            <v>D073</v>
          </cell>
          <cell r="E272" t="str">
            <v>MX-PD0037 TULA V</v>
          </cell>
          <cell r="F272">
            <v>10000236</v>
          </cell>
          <cell r="G272" t="str">
            <v>Grava Triturada Caliza 10 mm -</v>
          </cell>
          <cell r="H272">
            <v>96.98</v>
          </cell>
          <cell r="I272">
            <v>23.46</v>
          </cell>
          <cell r="J272">
            <v>120.44</v>
          </cell>
        </row>
        <row r="273">
          <cell r="B273" t="str">
            <v>D86410000240</v>
          </cell>
          <cell r="C273" t="str">
            <v>D864</v>
          </cell>
          <cell r="D273" t="str">
            <v>D073</v>
          </cell>
          <cell r="E273" t="str">
            <v>MX-PD0037 TULA V</v>
          </cell>
          <cell r="F273">
            <v>10000240</v>
          </cell>
          <cell r="G273" t="str">
            <v>Grava Triturada Caliza 20 mm -</v>
          </cell>
          <cell r="H273">
            <v>96.98</v>
          </cell>
          <cell r="I273">
            <v>30.19</v>
          </cell>
          <cell r="J273">
            <v>127.17</v>
          </cell>
        </row>
        <row r="274">
          <cell r="B274" t="str">
            <v>D86410000269</v>
          </cell>
          <cell r="C274" t="str">
            <v>D864</v>
          </cell>
          <cell r="D274" t="str">
            <v>D073</v>
          </cell>
          <cell r="E274" t="str">
            <v>MX-PD0037 TULA V</v>
          </cell>
          <cell r="F274">
            <v>10000269</v>
          </cell>
          <cell r="G274" t="str">
            <v>Grava Triturada Caliza 13 mm -</v>
          </cell>
          <cell r="H274">
            <v>96.98</v>
          </cell>
          <cell r="I274">
            <v>34.22</v>
          </cell>
          <cell r="J274">
            <v>131.19999999999999</v>
          </cell>
        </row>
        <row r="275">
          <cell r="B275" t="str">
            <v>D86410001073</v>
          </cell>
          <cell r="C275" t="str">
            <v>D864</v>
          </cell>
          <cell r="D275" t="str">
            <v>D073</v>
          </cell>
          <cell r="E275" t="str">
            <v>MX-PD0037 TULA V</v>
          </cell>
          <cell r="F275">
            <v>10001073</v>
          </cell>
          <cell r="G275" t="str">
            <v>Arena Triturada Caliza Malla 4</v>
          </cell>
          <cell r="H275">
            <v>95.43</v>
          </cell>
          <cell r="I275">
            <v>-7.95</v>
          </cell>
          <cell r="J275">
            <v>87.48</v>
          </cell>
        </row>
        <row r="276">
          <cell r="B276" t="str">
            <v>D86410001074</v>
          </cell>
          <cell r="C276" t="str">
            <v>D864</v>
          </cell>
          <cell r="D276" t="str">
            <v>D073</v>
          </cell>
          <cell r="E276" t="str">
            <v>MX-PD0037 TULA V</v>
          </cell>
          <cell r="F276">
            <v>10001074</v>
          </cell>
          <cell r="G276" t="str">
            <v>Grava Triturada Caliza 40 mm -</v>
          </cell>
          <cell r="H276">
            <v>96.98</v>
          </cell>
          <cell r="I276">
            <v>39.659999999999997</v>
          </cell>
          <cell r="J276">
            <v>136.63999999999999</v>
          </cell>
        </row>
        <row r="277">
          <cell r="B277" t="str">
            <v>D86410001203</v>
          </cell>
          <cell r="C277" t="str">
            <v>D864</v>
          </cell>
          <cell r="D277" t="str">
            <v>D073</v>
          </cell>
          <cell r="E277" t="str">
            <v>MX-PD0037 TULA V</v>
          </cell>
          <cell r="F277">
            <v>10001203</v>
          </cell>
          <cell r="G277" t="str">
            <v>Desperdicio Triturado Caliza</v>
          </cell>
          <cell r="H277">
            <v>1.1499999999999999</v>
          </cell>
          <cell r="I277">
            <v>21.41</v>
          </cell>
          <cell r="J277">
            <v>22.56</v>
          </cell>
        </row>
        <row r="278">
          <cell r="B278" t="str">
            <v>D86410000236</v>
          </cell>
          <cell r="C278" t="str">
            <v>D864</v>
          </cell>
          <cell r="D278" t="str">
            <v>D074</v>
          </cell>
          <cell r="E278" t="str">
            <v>MX-PD-063 CENTRAL</v>
          </cell>
          <cell r="F278">
            <v>10000236</v>
          </cell>
          <cell r="G278" t="str">
            <v>Grava Triturada Caliza 10 mm -</v>
          </cell>
          <cell r="H278">
            <v>96.98</v>
          </cell>
          <cell r="I278">
            <v>23.46</v>
          </cell>
          <cell r="J278">
            <v>120.44</v>
          </cell>
        </row>
        <row r="279">
          <cell r="B279" t="str">
            <v>D86410000240</v>
          </cell>
          <cell r="C279" t="str">
            <v>D864</v>
          </cell>
          <cell r="D279" t="str">
            <v>D074</v>
          </cell>
          <cell r="E279" t="str">
            <v>MX-PD-063 CENTRAL</v>
          </cell>
          <cell r="F279">
            <v>10000240</v>
          </cell>
          <cell r="G279" t="str">
            <v>Grava Triturada Caliza 20 mm -</v>
          </cell>
          <cell r="H279">
            <v>96.98</v>
          </cell>
          <cell r="I279">
            <v>30.19</v>
          </cell>
          <cell r="J279">
            <v>127.17</v>
          </cell>
        </row>
        <row r="280">
          <cell r="B280" t="str">
            <v>D86410000269</v>
          </cell>
          <cell r="C280" t="str">
            <v>D864</v>
          </cell>
          <cell r="D280" t="str">
            <v>D074</v>
          </cell>
          <cell r="E280" t="str">
            <v>MX-PD-063 CENTRAL</v>
          </cell>
          <cell r="F280">
            <v>10000269</v>
          </cell>
          <cell r="G280" t="str">
            <v>Grava Triturada Caliza 13 mm -</v>
          </cell>
          <cell r="H280">
            <v>96.98</v>
          </cell>
          <cell r="I280">
            <v>34.22</v>
          </cell>
          <cell r="J280">
            <v>131.19999999999999</v>
          </cell>
        </row>
        <row r="281">
          <cell r="B281" t="str">
            <v>D86410001073</v>
          </cell>
          <cell r="C281" t="str">
            <v>D864</v>
          </cell>
          <cell r="D281" t="str">
            <v>D074</v>
          </cell>
          <cell r="E281" t="str">
            <v>MX-PD-063 CENTRAL</v>
          </cell>
          <cell r="F281">
            <v>10001073</v>
          </cell>
          <cell r="G281" t="str">
            <v>Arena Triturada Caliza Malla 4</v>
          </cell>
          <cell r="H281">
            <v>95.43</v>
          </cell>
          <cell r="I281">
            <v>-7.95</v>
          </cell>
          <cell r="J281">
            <v>87.48</v>
          </cell>
        </row>
        <row r="282">
          <cell r="B282" t="str">
            <v>D86410001074</v>
          </cell>
          <cell r="C282" t="str">
            <v>D864</v>
          </cell>
          <cell r="D282" t="str">
            <v>D074</v>
          </cell>
          <cell r="E282" t="str">
            <v>MX-PD-063 CENTRAL</v>
          </cell>
          <cell r="F282">
            <v>10001074</v>
          </cell>
          <cell r="G282" t="str">
            <v>Grava Triturada Caliza 40 mm -</v>
          </cell>
          <cell r="H282">
            <v>96.98</v>
          </cell>
          <cell r="I282">
            <v>39.659999999999997</v>
          </cell>
          <cell r="J282">
            <v>136.63999999999999</v>
          </cell>
        </row>
        <row r="283">
          <cell r="B283" t="str">
            <v>D86410001203</v>
          </cell>
          <cell r="C283" t="str">
            <v>D864</v>
          </cell>
          <cell r="D283" t="str">
            <v>D074</v>
          </cell>
          <cell r="E283" t="str">
            <v>MX-PD-063 CENTRAL</v>
          </cell>
          <cell r="F283">
            <v>10001203</v>
          </cell>
          <cell r="G283" t="str">
            <v>Desperdicio Triturado Caliza</v>
          </cell>
          <cell r="H283">
            <v>1.1499999999999999</v>
          </cell>
          <cell r="I283">
            <v>21.41</v>
          </cell>
          <cell r="J283">
            <v>22.56</v>
          </cell>
        </row>
        <row r="284">
          <cell r="B284" t="str">
            <v>D86410000236</v>
          </cell>
          <cell r="C284" t="str">
            <v>D864</v>
          </cell>
          <cell r="D284" t="str">
            <v>D075</v>
          </cell>
          <cell r="E284" t="str">
            <v>MX-PD-065 CEYLAN</v>
          </cell>
          <cell r="F284">
            <v>10000236</v>
          </cell>
          <cell r="G284" t="str">
            <v>Grava Triturada Caliza 10 mm -</v>
          </cell>
          <cell r="H284">
            <v>96.98</v>
          </cell>
          <cell r="I284">
            <v>23.46</v>
          </cell>
          <cell r="J284">
            <v>120.44</v>
          </cell>
        </row>
        <row r="285">
          <cell r="B285" t="str">
            <v>D86410000240</v>
          </cell>
          <cell r="C285" t="str">
            <v>D864</v>
          </cell>
          <cell r="D285" t="str">
            <v>D075</v>
          </cell>
          <cell r="E285" t="str">
            <v>MX-PD-065 CEYLAN</v>
          </cell>
          <cell r="F285">
            <v>10000240</v>
          </cell>
          <cell r="G285" t="str">
            <v>Grava Triturada Caliza 20 mm -</v>
          </cell>
          <cell r="H285">
            <v>96.98</v>
          </cell>
          <cell r="I285">
            <v>30.19</v>
          </cell>
          <cell r="J285">
            <v>127.17</v>
          </cell>
        </row>
        <row r="286">
          <cell r="B286" t="str">
            <v>D86410000269</v>
          </cell>
          <cell r="C286" t="str">
            <v>D864</v>
          </cell>
          <cell r="D286" t="str">
            <v>D075</v>
          </cell>
          <cell r="E286" t="str">
            <v>MX-PD-065 CEYLAN</v>
          </cell>
          <cell r="F286">
            <v>10000269</v>
          </cell>
          <cell r="G286" t="str">
            <v>Grava Triturada Caliza 13 mm -</v>
          </cell>
          <cell r="H286">
            <v>96.98</v>
          </cell>
          <cell r="I286">
            <v>34.22</v>
          </cell>
          <cell r="J286">
            <v>131.19999999999999</v>
          </cell>
        </row>
        <row r="287">
          <cell r="B287" t="str">
            <v>D86410001073</v>
          </cell>
          <cell r="C287" t="str">
            <v>D864</v>
          </cell>
          <cell r="D287" t="str">
            <v>D075</v>
          </cell>
          <cell r="E287" t="str">
            <v>MX-PD-065 CEYLAN</v>
          </cell>
          <cell r="F287">
            <v>10001073</v>
          </cell>
          <cell r="G287" t="str">
            <v>Arena Triturada Caliza Malla 4</v>
          </cell>
          <cell r="H287">
            <v>95.43</v>
          </cell>
          <cell r="I287">
            <v>-7.95</v>
          </cell>
          <cell r="J287">
            <v>87.48</v>
          </cell>
        </row>
        <row r="288">
          <cell r="B288" t="str">
            <v>D86410001074</v>
          </cell>
          <cell r="C288" t="str">
            <v>D864</v>
          </cell>
          <cell r="D288" t="str">
            <v>D075</v>
          </cell>
          <cell r="E288" t="str">
            <v>MX-PD-065 CEYLAN</v>
          </cell>
          <cell r="F288">
            <v>10001074</v>
          </cell>
          <cell r="G288" t="str">
            <v>Grava Triturada Caliza 40 mm -</v>
          </cell>
          <cell r="H288">
            <v>96.98</v>
          </cell>
          <cell r="I288">
            <v>39.659999999999997</v>
          </cell>
          <cell r="J288">
            <v>136.63999999999999</v>
          </cell>
        </row>
        <row r="289">
          <cell r="B289" t="str">
            <v>D86410001203</v>
          </cell>
          <cell r="C289" t="str">
            <v>D864</v>
          </cell>
          <cell r="D289" t="str">
            <v>D075</v>
          </cell>
          <cell r="E289" t="str">
            <v>MX-PD-065 CEYLAN</v>
          </cell>
          <cell r="F289">
            <v>10001203</v>
          </cell>
          <cell r="G289" t="str">
            <v>Desperdicio Triturado Caliza</v>
          </cell>
          <cell r="H289">
            <v>1.1499999999999999</v>
          </cell>
          <cell r="I289">
            <v>21.41</v>
          </cell>
          <cell r="J289">
            <v>22.56</v>
          </cell>
        </row>
        <row r="290">
          <cell r="B290" t="str">
            <v>D86410000236</v>
          </cell>
          <cell r="C290" t="str">
            <v>D864</v>
          </cell>
          <cell r="D290" t="str">
            <v>D077</v>
          </cell>
          <cell r="E290" t="str">
            <v>MX-PD-067 LOS REYES</v>
          </cell>
          <cell r="F290">
            <v>10000236</v>
          </cell>
          <cell r="G290" t="str">
            <v>Grava Triturada Caliza 10 mm -</v>
          </cell>
          <cell r="H290">
            <v>96.98</v>
          </cell>
          <cell r="I290">
            <v>23.46</v>
          </cell>
          <cell r="J290">
            <v>120.44</v>
          </cell>
        </row>
        <row r="291">
          <cell r="B291" t="str">
            <v>D86410000240</v>
          </cell>
          <cell r="C291" t="str">
            <v>D864</v>
          </cell>
          <cell r="D291" t="str">
            <v>D077</v>
          </cell>
          <cell r="E291" t="str">
            <v>MX-PD-067 LOS REYES</v>
          </cell>
          <cell r="F291">
            <v>10000240</v>
          </cell>
          <cell r="G291" t="str">
            <v>Grava Triturada Caliza 20 mm -</v>
          </cell>
          <cell r="H291">
            <v>96.98</v>
          </cell>
          <cell r="I291">
            <v>30.19</v>
          </cell>
          <cell r="J291">
            <v>127.17</v>
          </cell>
        </row>
        <row r="292">
          <cell r="B292" t="str">
            <v>D86410000269</v>
          </cell>
          <cell r="C292" t="str">
            <v>D864</v>
          </cell>
          <cell r="D292" t="str">
            <v>D077</v>
          </cell>
          <cell r="E292" t="str">
            <v>MX-PD-067 LOS REYES</v>
          </cell>
          <cell r="F292">
            <v>10000269</v>
          </cell>
          <cell r="G292" t="str">
            <v>Grava Triturada Caliza 13 mm -</v>
          </cell>
          <cell r="H292">
            <v>96.98</v>
          </cell>
          <cell r="I292">
            <v>34.22</v>
          </cell>
          <cell r="J292">
            <v>131.19999999999999</v>
          </cell>
        </row>
        <row r="293">
          <cell r="B293" t="str">
            <v>D86410001073</v>
          </cell>
          <cell r="C293" t="str">
            <v>D864</v>
          </cell>
          <cell r="D293" t="str">
            <v>D077</v>
          </cell>
          <cell r="E293" t="str">
            <v>MX-PD-067 LOS REYES</v>
          </cell>
          <cell r="F293">
            <v>10001073</v>
          </cell>
          <cell r="G293" t="str">
            <v>Arena Triturada Caliza Malla 4</v>
          </cell>
          <cell r="H293">
            <v>95.43</v>
          </cell>
          <cell r="I293">
            <v>-7.95</v>
          </cell>
          <cell r="J293">
            <v>87.48</v>
          </cell>
        </row>
        <row r="294">
          <cell r="B294" t="str">
            <v>D86410001074</v>
          </cell>
          <cell r="C294" t="str">
            <v>D864</v>
          </cell>
          <cell r="D294" t="str">
            <v>D077</v>
          </cell>
          <cell r="E294" t="str">
            <v>MX-PD-067 LOS REYES</v>
          </cell>
          <cell r="F294">
            <v>10001074</v>
          </cell>
          <cell r="G294" t="str">
            <v>Grava Triturada Caliza 40 mm -</v>
          </cell>
          <cell r="H294">
            <v>96.98</v>
          </cell>
          <cell r="I294">
            <v>39.659999999999997</v>
          </cell>
          <cell r="J294">
            <v>136.63999999999999</v>
          </cell>
        </row>
        <row r="295">
          <cell r="B295" t="str">
            <v>D86410001203</v>
          </cell>
          <cell r="C295" t="str">
            <v>D864</v>
          </cell>
          <cell r="D295" t="str">
            <v>D077</v>
          </cell>
          <cell r="E295" t="str">
            <v>MX-PD-067 LOS REYES</v>
          </cell>
          <cell r="F295">
            <v>10001203</v>
          </cell>
          <cell r="G295" t="str">
            <v>Desperdicio Triturado Caliza</v>
          </cell>
          <cell r="H295">
            <v>1.1499999999999999</v>
          </cell>
          <cell r="I295">
            <v>21.41</v>
          </cell>
          <cell r="J295">
            <v>22.56</v>
          </cell>
        </row>
        <row r="296">
          <cell r="B296" t="str">
            <v>D86410000236</v>
          </cell>
          <cell r="C296" t="str">
            <v>D864</v>
          </cell>
          <cell r="D296" t="str">
            <v>D079</v>
          </cell>
          <cell r="E296" t="str">
            <v>MX-PD-071 XOCHIMILCO</v>
          </cell>
          <cell r="F296">
            <v>10000236</v>
          </cell>
          <cell r="G296" t="str">
            <v>Grava Triturada Caliza 10 mm -</v>
          </cell>
          <cell r="H296">
            <v>96.98</v>
          </cell>
          <cell r="I296">
            <v>23.46</v>
          </cell>
          <cell r="J296">
            <v>120.44</v>
          </cell>
        </row>
        <row r="297">
          <cell r="B297" t="str">
            <v>D86410000240</v>
          </cell>
          <cell r="C297" t="str">
            <v>D864</v>
          </cell>
          <cell r="D297" t="str">
            <v>D079</v>
          </cell>
          <cell r="E297" t="str">
            <v>MX-PD-071 XOCHIMILCO</v>
          </cell>
          <cell r="F297">
            <v>10000240</v>
          </cell>
          <cell r="G297" t="str">
            <v>Grava Triturada Caliza 20 mm -</v>
          </cell>
          <cell r="H297">
            <v>96.98</v>
          </cell>
          <cell r="I297">
            <v>30.19</v>
          </cell>
          <cell r="J297">
            <v>127.17</v>
          </cell>
        </row>
        <row r="298">
          <cell r="B298" t="str">
            <v>D86410000269</v>
          </cell>
          <cell r="C298" t="str">
            <v>D864</v>
          </cell>
          <cell r="D298" t="str">
            <v>D079</v>
          </cell>
          <cell r="E298" t="str">
            <v>MX-PD-071 XOCHIMILCO</v>
          </cell>
          <cell r="F298">
            <v>10000269</v>
          </cell>
          <cell r="G298" t="str">
            <v>Grava Triturada Caliza 13 mm -</v>
          </cell>
          <cell r="H298">
            <v>96.98</v>
          </cell>
          <cell r="I298">
            <v>34.22</v>
          </cell>
          <cell r="J298">
            <v>131.19999999999999</v>
          </cell>
        </row>
        <row r="299">
          <cell r="B299" t="str">
            <v>D86410001073</v>
          </cell>
          <cell r="C299" t="str">
            <v>D864</v>
          </cell>
          <cell r="D299" t="str">
            <v>D079</v>
          </cell>
          <cell r="E299" t="str">
            <v>MX-PD-071 XOCHIMILCO</v>
          </cell>
          <cell r="F299">
            <v>10001073</v>
          </cell>
          <cell r="G299" t="str">
            <v>Arena Triturada Caliza Malla 4</v>
          </cell>
          <cell r="H299">
            <v>95.43</v>
          </cell>
          <cell r="I299">
            <v>-7.95</v>
          </cell>
          <cell r="J299">
            <v>87.48</v>
          </cell>
        </row>
        <row r="300">
          <cell r="B300" t="str">
            <v>D86410001074</v>
          </cell>
          <cell r="C300" t="str">
            <v>D864</v>
          </cell>
          <cell r="D300" t="str">
            <v>D079</v>
          </cell>
          <cell r="E300" t="str">
            <v>MX-PD-071 XOCHIMILCO</v>
          </cell>
          <cell r="F300">
            <v>10001074</v>
          </cell>
          <cell r="G300" t="str">
            <v>Grava Triturada Caliza 40 mm -</v>
          </cell>
          <cell r="H300">
            <v>96.98</v>
          </cell>
          <cell r="I300">
            <v>39.659999999999997</v>
          </cell>
          <cell r="J300">
            <v>136.63999999999999</v>
          </cell>
        </row>
        <row r="301">
          <cell r="B301" t="str">
            <v>D86410001203</v>
          </cell>
          <cell r="C301" t="str">
            <v>D864</v>
          </cell>
          <cell r="D301" t="str">
            <v>D079</v>
          </cell>
          <cell r="E301" t="str">
            <v>MX-PD-071 XOCHIMILCO</v>
          </cell>
          <cell r="F301">
            <v>10001203</v>
          </cell>
          <cell r="G301" t="str">
            <v>Desperdicio Triturado Caliza</v>
          </cell>
          <cell r="H301">
            <v>1.1499999999999999</v>
          </cell>
          <cell r="I301">
            <v>21.41</v>
          </cell>
          <cell r="J301">
            <v>22.56</v>
          </cell>
        </row>
        <row r="302">
          <cell r="B302" t="str">
            <v>D86410000236</v>
          </cell>
          <cell r="C302" t="str">
            <v>D864</v>
          </cell>
          <cell r="D302" t="str">
            <v>D080</v>
          </cell>
          <cell r="E302" t="str">
            <v>MX-PD-086 VALLEJO</v>
          </cell>
          <cell r="F302">
            <v>10000236</v>
          </cell>
          <cell r="G302" t="str">
            <v>Grava Triturada Caliza 10 mm -</v>
          </cell>
          <cell r="H302">
            <v>96.98</v>
          </cell>
          <cell r="I302">
            <v>23.46</v>
          </cell>
          <cell r="J302">
            <v>120.44</v>
          </cell>
        </row>
        <row r="303">
          <cell r="B303" t="str">
            <v>D86410000240</v>
          </cell>
          <cell r="C303" t="str">
            <v>D864</v>
          </cell>
          <cell r="D303" t="str">
            <v>D080</v>
          </cell>
          <cell r="E303" t="str">
            <v>MX-PD-086 VALLEJO</v>
          </cell>
          <cell r="F303">
            <v>10000240</v>
          </cell>
          <cell r="G303" t="str">
            <v>Grava Triturada Caliza 20 mm -</v>
          </cell>
          <cell r="H303">
            <v>96.98</v>
          </cell>
          <cell r="I303">
            <v>30.19</v>
          </cell>
          <cell r="J303">
            <v>127.17</v>
          </cell>
        </row>
        <row r="304">
          <cell r="B304" t="str">
            <v>D86410000269</v>
          </cell>
          <cell r="C304" t="str">
            <v>D864</v>
          </cell>
          <cell r="D304" t="str">
            <v>D080</v>
          </cell>
          <cell r="E304" t="str">
            <v>MX-PD-086 VALLEJO</v>
          </cell>
          <cell r="F304">
            <v>10000269</v>
          </cell>
          <cell r="G304" t="str">
            <v>Grava Triturada Caliza 13 mm -</v>
          </cell>
          <cell r="H304">
            <v>96.98</v>
          </cell>
          <cell r="I304">
            <v>34.22</v>
          </cell>
          <cell r="J304">
            <v>131.19999999999999</v>
          </cell>
        </row>
        <row r="305">
          <cell r="B305" t="str">
            <v>D86410001073</v>
          </cell>
          <cell r="C305" t="str">
            <v>D864</v>
          </cell>
          <cell r="D305" t="str">
            <v>D080</v>
          </cell>
          <cell r="E305" t="str">
            <v>MX-PD-086 VALLEJO</v>
          </cell>
          <cell r="F305">
            <v>10001073</v>
          </cell>
          <cell r="G305" t="str">
            <v>Arena Triturada Caliza Malla 4</v>
          </cell>
          <cell r="H305">
            <v>95.43</v>
          </cell>
          <cell r="I305">
            <v>-7.95</v>
          </cell>
          <cell r="J305">
            <v>87.48</v>
          </cell>
        </row>
        <row r="306">
          <cell r="B306" t="str">
            <v>D86410001074</v>
          </cell>
          <cell r="C306" t="str">
            <v>D864</v>
          </cell>
          <cell r="D306" t="str">
            <v>D080</v>
          </cell>
          <cell r="E306" t="str">
            <v>MX-PD-086 VALLEJO</v>
          </cell>
          <cell r="F306">
            <v>10001074</v>
          </cell>
          <cell r="G306" t="str">
            <v>Grava Triturada Caliza 40 mm -</v>
          </cell>
          <cell r="H306">
            <v>96.98</v>
          </cell>
          <cell r="I306">
            <v>39.659999999999997</v>
          </cell>
          <cell r="J306">
            <v>136.63999999999999</v>
          </cell>
        </row>
        <row r="307">
          <cell r="B307" t="str">
            <v>D86410001203</v>
          </cell>
          <cell r="C307" t="str">
            <v>D864</v>
          </cell>
          <cell r="D307" t="str">
            <v>D080</v>
          </cell>
          <cell r="E307" t="str">
            <v>MX-PD-086 VALLEJO</v>
          </cell>
          <cell r="F307">
            <v>10001203</v>
          </cell>
          <cell r="G307" t="str">
            <v>Desperdicio Triturado Caliza</v>
          </cell>
          <cell r="H307">
            <v>1.1499999999999999</v>
          </cell>
          <cell r="I307">
            <v>21.41</v>
          </cell>
          <cell r="J307">
            <v>22.56</v>
          </cell>
        </row>
        <row r="308">
          <cell r="B308" t="str">
            <v>D86410000236</v>
          </cell>
          <cell r="C308" t="str">
            <v>D864</v>
          </cell>
          <cell r="D308" t="str">
            <v>D081</v>
          </cell>
          <cell r="E308" t="str">
            <v>MX-PD-088 ARMAS</v>
          </cell>
          <cell r="F308">
            <v>10000236</v>
          </cell>
          <cell r="G308" t="str">
            <v>Grava Triturada Caliza 10 mm -</v>
          </cell>
          <cell r="H308">
            <v>96.98</v>
          </cell>
          <cell r="I308">
            <v>23.46</v>
          </cell>
          <cell r="J308">
            <v>120.44</v>
          </cell>
        </row>
        <row r="309">
          <cell r="B309" t="str">
            <v>D86410000240</v>
          </cell>
          <cell r="C309" t="str">
            <v>D864</v>
          </cell>
          <cell r="D309" t="str">
            <v>D081</v>
          </cell>
          <cell r="E309" t="str">
            <v>MX-PD-088 ARMAS</v>
          </cell>
          <cell r="F309">
            <v>10000240</v>
          </cell>
          <cell r="G309" t="str">
            <v>Grava Triturada Caliza 20 mm -</v>
          </cell>
          <cell r="H309">
            <v>96.98</v>
          </cell>
          <cell r="I309">
            <v>30.19</v>
          </cell>
          <cell r="J309">
            <v>127.17</v>
          </cell>
        </row>
        <row r="310">
          <cell r="B310" t="str">
            <v>D86410000269</v>
          </cell>
          <cell r="C310" t="str">
            <v>D864</v>
          </cell>
          <cell r="D310" t="str">
            <v>D081</v>
          </cell>
          <cell r="E310" t="str">
            <v>MX-PD-088 ARMAS</v>
          </cell>
          <cell r="F310">
            <v>10000269</v>
          </cell>
          <cell r="G310" t="str">
            <v>Grava Triturada Caliza 13 mm -</v>
          </cell>
          <cell r="H310">
            <v>96.98</v>
          </cell>
          <cell r="I310">
            <v>34.22</v>
          </cell>
          <cell r="J310">
            <v>131.19999999999999</v>
          </cell>
        </row>
        <row r="311">
          <cell r="B311" t="str">
            <v>D86410001073</v>
          </cell>
          <cell r="C311" t="str">
            <v>D864</v>
          </cell>
          <cell r="D311" t="str">
            <v>D081</v>
          </cell>
          <cell r="E311" t="str">
            <v>MX-PD-088 ARMAS</v>
          </cell>
          <cell r="F311">
            <v>10001073</v>
          </cell>
          <cell r="G311" t="str">
            <v>Arena Triturada Caliza Malla 4</v>
          </cell>
          <cell r="H311">
            <v>95.43</v>
          </cell>
          <cell r="I311">
            <v>-7.95</v>
          </cell>
          <cell r="J311">
            <v>87.48</v>
          </cell>
        </row>
        <row r="312">
          <cell r="B312" t="str">
            <v>D86410001074</v>
          </cell>
          <cell r="C312" t="str">
            <v>D864</v>
          </cell>
          <cell r="D312" t="str">
            <v>D081</v>
          </cell>
          <cell r="E312" t="str">
            <v>MX-PD-088 ARMAS</v>
          </cell>
          <cell r="F312">
            <v>10001074</v>
          </cell>
          <cell r="G312" t="str">
            <v>Grava Triturada Caliza 40 mm -</v>
          </cell>
          <cell r="H312">
            <v>96.98</v>
          </cell>
          <cell r="I312">
            <v>39.659999999999997</v>
          </cell>
          <cell r="J312">
            <v>136.63999999999999</v>
          </cell>
        </row>
        <row r="313">
          <cell r="B313" t="str">
            <v>D86410001203</v>
          </cell>
          <cell r="C313" t="str">
            <v>D864</v>
          </cell>
          <cell r="D313" t="str">
            <v>D081</v>
          </cell>
          <cell r="E313" t="str">
            <v>MX-PD-088 ARMAS</v>
          </cell>
          <cell r="F313">
            <v>10001203</v>
          </cell>
          <cell r="G313" t="str">
            <v>Desperdicio Triturado Caliza</v>
          </cell>
          <cell r="H313">
            <v>1.1499999999999999</v>
          </cell>
          <cell r="I313">
            <v>21.41</v>
          </cell>
          <cell r="J313">
            <v>22.56</v>
          </cell>
        </row>
        <row r="314">
          <cell r="B314" t="str">
            <v>D86410000236</v>
          </cell>
          <cell r="C314" t="str">
            <v>D864</v>
          </cell>
          <cell r="D314" t="str">
            <v>D083</v>
          </cell>
          <cell r="E314" t="str">
            <v>MX-PD-099 MINAS</v>
          </cell>
          <cell r="F314">
            <v>10000236</v>
          </cell>
          <cell r="G314" t="str">
            <v>Grava Triturada Caliza 10 mm -</v>
          </cell>
          <cell r="H314">
            <v>96.98</v>
          </cell>
          <cell r="I314">
            <v>23.46</v>
          </cell>
          <cell r="J314">
            <v>120.44</v>
          </cell>
        </row>
        <row r="315">
          <cell r="B315" t="str">
            <v>D86410000240</v>
          </cell>
          <cell r="C315" t="str">
            <v>D864</v>
          </cell>
          <cell r="D315" t="str">
            <v>D083</v>
          </cell>
          <cell r="E315" t="str">
            <v>MX-PD-099 MINAS</v>
          </cell>
          <cell r="F315">
            <v>10000240</v>
          </cell>
          <cell r="G315" t="str">
            <v>Grava Triturada Caliza 20 mm -</v>
          </cell>
          <cell r="H315">
            <v>96.98</v>
          </cell>
          <cell r="I315">
            <v>30.19</v>
          </cell>
          <cell r="J315">
            <v>127.17</v>
          </cell>
        </row>
        <row r="316">
          <cell r="B316" t="str">
            <v>D86410000269</v>
          </cell>
          <cell r="C316" t="str">
            <v>D864</v>
          </cell>
          <cell r="D316" t="str">
            <v>D083</v>
          </cell>
          <cell r="E316" t="str">
            <v>MX-PD-099 MINAS</v>
          </cell>
          <cell r="F316">
            <v>10000269</v>
          </cell>
          <cell r="G316" t="str">
            <v>Grava Triturada Caliza 13 mm -</v>
          </cell>
          <cell r="H316">
            <v>96.98</v>
          </cell>
          <cell r="I316">
            <v>34.22</v>
          </cell>
          <cell r="J316">
            <v>131.19999999999999</v>
          </cell>
        </row>
        <row r="317">
          <cell r="B317" t="str">
            <v>D86410001073</v>
          </cell>
          <cell r="C317" t="str">
            <v>D864</v>
          </cell>
          <cell r="D317" t="str">
            <v>D083</v>
          </cell>
          <cell r="E317" t="str">
            <v>MX-PD-099 MINAS</v>
          </cell>
          <cell r="F317">
            <v>10001073</v>
          </cell>
          <cell r="G317" t="str">
            <v>Arena Triturada Caliza Malla 4</v>
          </cell>
          <cell r="H317">
            <v>95.43</v>
          </cell>
          <cell r="I317">
            <v>-7.95</v>
          </cell>
          <cell r="J317">
            <v>87.48</v>
          </cell>
        </row>
        <row r="318">
          <cell r="B318" t="str">
            <v>D86410001074</v>
          </cell>
          <cell r="C318" t="str">
            <v>D864</v>
          </cell>
          <cell r="D318" t="str">
            <v>D083</v>
          </cell>
          <cell r="E318" t="str">
            <v>MX-PD-099 MINAS</v>
          </cell>
          <cell r="F318">
            <v>10001074</v>
          </cell>
          <cell r="G318" t="str">
            <v>Grava Triturada Caliza 40 mm -</v>
          </cell>
          <cell r="H318">
            <v>96.98</v>
          </cell>
          <cell r="I318">
            <v>39.659999999999997</v>
          </cell>
          <cell r="J318">
            <v>136.63999999999999</v>
          </cell>
        </row>
        <row r="319">
          <cell r="B319" t="str">
            <v>D86410001203</v>
          </cell>
          <cell r="C319" t="str">
            <v>D864</v>
          </cell>
          <cell r="D319" t="str">
            <v>D083</v>
          </cell>
          <cell r="E319" t="str">
            <v>MX-PD-099 MINAS</v>
          </cell>
          <cell r="F319">
            <v>10001203</v>
          </cell>
          <cell r="G319" t="str">
            <v>Desperdicio Triturado Caliza</v>
          </cell>
          <cell r="H319">
            <v>1.1499999999999999</v>
          </cell>
          <cell r="I319">
            <v>21.41</v>
          </cell>
          <cell r="J319">
            <v>22.56</v>
          </cell>
        </row>
        <row r="320">
          <cell r="B320" t="str">
            <v>D86410000236</v>
          </cell>
          <cell r="C320" t="str">
            <v>D864</v>
          </cell>
          <cell r="D320" t="str">
            <v>D084</v>
          </cell>
          <cell r="E320" t="str">
            <v>MX-PD-186 IZTAPALAPA</v>
          </cell>
          <cell r="F320">
            <v>10000236</v>
          </cell>
          <cell r="G320" t="str">
            <v>Grava Triturada Caliza 10 mm -</v>
          </cell>
          <cell r="H320">
            <v>96.98</v>
          </cell>
          <cell r="I320">
            <v>23.46</v>
          </cell>
          <cell r="J320">
            <v>120.44</v>
          </cell>
        </row>
        <row r="321">
          <cell r="B321" t="str">
            <v>D86410000240</v>
          </cell>
          <cell r="C321" t="str">
            <v>D864</v>
          </cell>
          <cell r="D321" t="str">
            <v>D084</v>
          </cell>
          <cell r="E321" t="str">
            <v>MX-PD-186 IZTAPALAPA</v>
          </cell>
          <cell r="F321">
            <v>10000240</v>
          </cell>
          <cell r="G321" t="str">
            <v>Grava Triturada Caliza 20 mm -</v>
          </cell>
          <cell r="H321">
            <v>96.98</v>
          </cell>
          <cell r="I321">
            <v>30.19</v>
          </cell>
          <cell r="J321">
            <v>127.17</v>
          </cell>
        </row>
        <row r="322">
          <cell r="B322" t="str">
            <v>D86410000269</v>
          </cell>
          <cell r="C322" t="str">
            <v>D864</v>
          </cell>
          <cell r="D322" t="str">
            <v>D084</v>
          </cell>
          <cell r="E322" t="str">
            <v>MX-PD-186 IZTAPALAPA</v>
          </cell>
          <cell r="F322">
            <v>10000269</v>
          </cell>
          <cell r="G322" t="str">
            <v>Grava Triturada Caliza 13 mm -</v>
          </cell>
          <cell r="H322">
            <v>96.98</v>
          </cell>
          <cell r="I322">
            <v>34.22</v>
          </cell>
          <cell r="J322">
            <v>131.19999999999999</v>
          </cell>
        </row>
        <row r="323">
          <cell r="B323" t="str">
            <v>D86410001073</v>
          </cell>
          <cell r="C323" t="str">
            <v>D864</v>
          </cell>
          <cell r="D323" t="str">
            <v>D084</v>
          </cell>
          <cell r="E323" t="str">
            <v>MX-PD-186 IZTAPALAPA</v>
          </cell>
          <cell r="F323">
            <v>10001073</v>
          </cell>
          <cell r="G323" t="str">
            <v>Arena Triturada Caliza Malla 4</v>
          </cell>
          <cell r="H323">
            <v>95.43</v>
          </cell>
          <cell r="I323">
            <v>-7.95</v>
          </cell>
          <cell r="J323">
            <v>87.48</v>
          </cell>
        </row>
        <row r="324">
          <cell r="B324" t="str">
            <v>D86410001074</v>
          </cell>
          <cell r="C324" t="str">
            <v>D864</v>
          </cell>
          <cell r="D324" t="str">
            <v>D084</v>
          </cell>
          <cell r="E324" t="str">
            <v>MX-PD-186 IZTAPALAPA</v>
          </cell>
          <cell r="F324">
            <v>10001074</v>
          </cell>
          <cell r="G324" t="str">
            <v>Grava Triturada Caliza 40 mm -</v>
          </cell>
          <cell r="H324">
            <v>96.98</v>
          </cell>
          <cell r="I324">
            <v>39.659999999999997</v>
          </cell>
          <cell r="J324">
            <v>136.63999999999999</v>
          </cell>
        </row>
        <row r="325">
          <cell r="B325" t="str">
            <v>D86410001203</v>
          </cell>
          <cell r="C325" t="str">
            <v>D864</v>
          </cell>
          <cell r="D325" t="str">
            <v>D084</v>
          </cell>
          <cell r="E325" t="str">
            <v>MX-PD-186 IZTAPALAPA</v>
          </cell>
          <cell r="F325">
            <v>10001203</v>
          </cell>
          <cell r="G325" t="str">
            <v>Desperdicio Triturado Caliza</v>
          </cell>
          <cell r="H325">
            <v>1.1499999999999999</v>
          </cell>
          <cell r="I325">
            <v>21.41</v>
          </cell>
          <cell r="J325">
            <v>22.56</v>
          </cell>
        </row>
        <row r="326">
          <cell r="B326" t="str">
            <v>D86410000236</v>
          </cell>
          <cell r="C326" t="str">
            <v>D864</v>
          </cell>
          <cell r="D326" t="str">
            <v>D085</v>
          </cell>
          <cell r="E326" t="str">
            <v>MX-PD0189 ROJO GOMEZ</v>
          </cell>
          <cell r="F326">
            <v>10000236</v>
          </cell>
          <cell r="G326" t="str">
            <v>Grava Triturada Caliza 10 mm -</v>
          </cell>
          <cell r="H326">
            <v>96.98</v>
          </cell>
          <cell r="I326">
            <v>23.46</v>
          </cell>
          <cell r="J326">
            <v>120.44</v>
          </cell>
        </row>
        <row r="327">
          <cell r="B327" t="str">
            <v>D86410000240</v>
          </cell>
          <cell r="C327" t="str">
            <v>D864</v>
          </cell>
          <cell r="D327" t="str">
            <v>D085</v>
          </cell>
          <cell r="E327" t="str">
            <v>MX-PD0189 ROJO GOMEZ</v>
          </cell>
          <cell r="F327">
            <v>10000240</v>
          </cell>
          <cell r="G327" t="str">
            <v>Grava Triturada Caliza 20 mm -</v>
          </cell>
          <cell r="H327">
            <v>96.98</v>
          </cell>
          <cell r="I327">
            <v>30.19</v>
          </cell>
          <cell r="J327">
            <v>127.17</v>
          </cell>
        </row>
        <row r="328">
          <cell r="B328" t="str">
            <v>D86410000269</v>
          </cell>
          <cell r="C328" t="str">
            <v>D864</v>
          </cell>
          <cell r="D328" t="str">
            <v>D085</v>
          </cell>
          <cell r="E328" t="str">
            <v>MX-PD0189 ROJO GOMEZ</v>
          </cell>
          <cell r="F328">
            <v>10000269</v>
          </cell>
          <cell r="G328" t="str">
            <v>Grava Triturada Caliza 13 mm -</v>
          </cell>
          <cell r="H328">
            <v>96.98</v>
          </cell>
          <cell r="I328">
            <v>34.22</v>
          </cell>
          <cell r="J328">
            <v>131.19999999999999</v>
          </cell>
        </row>
        <row r="329">
          <cell r="B329" t="str">
            <v>D86410001073</v>
          </cell>
          <cell r="C329" t="str">
            <v>D864</v>
          </cell>
          <cell r="D329" t="str">
            <v>D085</v>
          </cell>
          <cell r="E329" t="str">
            <v>MX-PD0189 ROJO GOMEZ</v>
          </cell>
          <cell r="F329">
            <v>10001073</v>
          </cell>
          <cell r="G329" t="str">
            <v>Arena Triturada Caliza Malla 4</v>
          </cell>
          <cell r="H329">
            <v>95.43</v>
          </cell>
          <cell r="I329">
            <v>-7.95</v>
          </cell>
          <cell r="J329">
            <v>87.48</v>
          </cell>
        </row>
        <row r="330">
          <cell r="B330" t="str">
            <v>D86410001074</v>
          </cell>
          <cell r="C330" t="str">
            <v>D864</v>
          </cell>
          <cell r="D330" t="str">
            <v>D085</v>
          </cell>
          <cell r="E330" t="str">
            <v>MX-PD0189 ROJO GOMEZ</v>
          </cell>
          <cell r="F330">
            <v>10001074</v>
          </cell>
          <cell r="G330" t="str">
            <v>Grava Triturada Caliza 40 mm -</v>
          </cell>
          <cell r="H330">
            <v>96.98</v>
          </cell>
          <cell r="I330">
            <v>39.659999999999997</v>
          </cell>
          <cell r="J330">
            <v>136.63999999999999</v>
          </cell>
        </row>
        <row r="331">
          <cell r="B331" t="str">
            <v>D86410001203</v>
          </cell>
          <cell r="C331" t="str">
            <v>D864</v>
          </cell>
          <cell r="D331" t="str">
            <v>D085</v>
          </cell>
          <cell r="E331" t="str">
            <v>MX-PD0189 ROJO GOMEZ</v>
          </cell>
          <cell r="F331">
            <v>10001203</v>
          </cell>
          <cell r="G331" t="str">
            <v>Desperdicio Triturado Caliza</v>
          </cell>
          <cell r="H331">
            <v>1.1499999999999999</v>
          </cell>
          <cell r="I331">
            <v>21.41</v>
          </cell>
          <cell r="J331">
            <v>22.56</v>
          </cell>
        </row>
        <row r="332">
          <cell r="B332" t="str">
            <v>D86410000236</v>
          </cell>
          <cell r="C332" t="str">
            <v>D864</v>
          </cell>
          <cell r="D332" t="str">
            <v>D086</v>
          </cell>
          <cell r="E332" t="str">
            <v>MX-PD-190 XALOSTC</v>
          </cell>
          <cell r="F332">
            <v>10000236</v>
          </cell>
          <cell r="G332" t="str">
            <v>Grava Triturada Caliza 10 mm -</v>
          </cell>
          <cell r="H332">
            <v>96.98</v>
          </cell>
          <cell r="I332">
            <v>23.46</v>
          </cell>
          <cell r="J332">
            <v>120.44</v>
          </cell>
        </row>
        <row r="333">
          <cell r="B333" t="str">
            <v>D86410000240</v>
          </cell>
          <cell r="C333" t="str">
            <v>D864</v>
          </cell>
          <cell r="D333" t="str">
            <v>D086</v>
          </cell>
          <cell r="E333" t="str">
            <v>MX-PD-190 XALOSTC</v>
          </cell>
          <cell r="F333">
            <v>10000240</v>
          </cell>
          <cell r="G333" t="str">
            <v>Grava Triturada Caliza 20 mm -</v>
          </cell>
          <cell r="H333">
            <v>96.98</v>
          </cell>
          <cell r="I333">
            <v>30.19</v>
          </cell>
          <cell r="J333">
            <v>127.17</v>
          </cell>
        </row>
        <row r="334">
          <cell r="B334" t="str">
            <v>D86410000269</v>
          </cell>
          <cell r="C334" t="str">
            <v>D864</v>
          </cell>
          <cell r="D334" t="str">
            <v>D086</v>
          </cell>
          <cell r="E334" t="str">
            <v>MX-PD-190 XALOSTC</v>
          </cell>
          <cell r="F334">
            <v>10000269</v>
          </cell>
          <cell r="G334" t="str">
            <v>Grava Triturada Caliza 13 mm -</v>
          </cell>
          <cell r="H334">
            <v>96.98</v>
          </cell>
          <cell r="I334">
            <v>34.22</v>
          </cell>
          <cell r="J334">
            <v>131.19999999999999</v>
          </cell>
        </row>
        <row r="335">
          <cell r="B335" t="str">
            <v>D86410001073</v>
          </cell>
          <cell r="C335" t="str">
            <v>D864</v>
          </cell>
          <cell r="D335" t="str">
            <v>D086</v>
          </cell>
          <cell r="E335" t="str">
            <v>MX-PD-190 XALOSTC</v>
          </cell>
          <cell r="F335">
            <v>10001073</v>
          </cell>
          <cell r="G335" t="str">
            <v>Arena Triturada Caliza Malla 4</v>
          </cell>
          <cell r="H335">
            <v>95.43</v>
          </cell>
          <cell r="I335">
            <v>-7.95</v>
          </cell>
          <cell r="J335">
            <v>87.48</v>
          </cell>
        </row>
        <row r="336">
          <cell r="B336" t="str">
            <v>D86410001074</v>
          </cell>
          <cell r="C336" t="str">
            <v>D864</v>
          </cell>
          <cell r="D336" t="str">
            <v>D086</v>
          </cell>
          <cell r="E336" t="str">
            <v>MX-PD-190 XALOSTC</v>
          </cell>
          <cell r="F336">
            <v>10001074</v>
          </cell>
          <cell r="G336" t="str">
            <v>Grava Triturada Caliza 40 mm -</v>
          </cell>
          <cell r="H336">
            <v>96.98</v>
          </cell>
          <cell r="I336">
            <v>39.659999999999997</v>
          </cell>
          <cell r="J336">
            <v>136.63999999999999</v>
          </cell>
        </row>
        <row r="337">
          <cell r="B337" t="str">
            <v>D86410001203</v>
          </cell>
          <cell r="C337" t="str">
            <v>D864</v>
          </cell>
          <cell r="D337" t="str">
            <v>D086</v>
          </cell>
          <cell r="E337" t="str">
            <v>MX-PD-190 XALOSTC</v>
          </cell>
          <cell r="F337">
            <v>10001203</v>
          </cell>
          <cell r="G337" t="str">
            <v>Desperdicio Triturado Caliza</v>
          </cell>
          <cell r="H337">
            <v>1.1499999999999999</v>
          </cell>
          <cell r="I337">
            <v>21.41</v>
          </cell>
          <cell r="J337">
            <v>22.56</v>
          </cell>
        </row>
        <row r="338">
          <cell r="B338" t="str">
            <v>D86410000236</v>
          </cell>
          <cell r="C338" t="str">
            <v>D864</v>
          </cell>
          <cell r="D338" t="str">
            <v>D087</v>
          </cell>
          <cell r="E338" t="str">
            <v>MX-PD0192 AEROPUERTO QRO</v>
          </cell>
          <cell r="F338">
            <v>10000236</v>
          </cell>
          <cell r="G338" t="str">
            <v>Grava Triturada Caliza 10 mm -</v>
          </cell>
          <cell r="H338">
            <v>96.98</v>
          </cell>
          <cell r="I338">
            <v>23.46</v>
          </cell>
          <cell r="J338">
            <v>120.44</v>
          </cell>
        </row>
        <row r="339">
          <cell r="B339" t="str">
            <v>D86410000240</v>
          </cell>
          <cell r="C339" t="str">
            <v>D864</v>
          </cell>
          <cell r="D339" t="str">
            <v>D087</v>
          </cell>
          <cell r="E339" t="str">
            <v>MX-PD0192 AEROPUERTO QRO</v>
          </cell>
          <cell r="F339">
            <v>10000240</v>
          </cell>
          <cell r="G339" t="str">
            <v>Grava Triturada Caliza 20 mm -</v>
          </cell>
          <cell r="H339">
            <v>96.98</v>
          </cell>
          <cell r="I339">
            <v>30.19</v>
          </cell>
          <cell r="J339">
            <v>127.17</v>
          </cell>
        </row>
        <row r="340">
          <cell r="B340" t="str">
            <v>D86410000269</v>
          </cell>
          <cell r="C340" t="str">
            <v>D864</v>
          </cell>
          <cell r="D340" t="str">
            <v>D087</v>
          </cell>
          <cell r="E340" t="str">
            <v>MX-PD0192 AEROPUERTO QRO</v>
          </cell>
          <cell r="F340">
            <v>10000269</v>
          </cell>
          <cell r="G340" t="str">
            <v>Grava Triturada Caliza 13 mm -</v>
          </cell>
          <cell r="H340">
            <v>96.98</v>
          </cell>
          <cell r="I340">
            <v>34.22</v>
          </cell>
          <cell r="J340">
            <v>131.19999999999999</v>
          </cell>
        </row>
        <row r="341">
          <cell r="B341" t="str">
            <v>D86410001073</v>
          </cell>
          <cell r="C341" t="str">
            <v>D864</v>
          </cell>
          <cell r="D341" t="str">
            <v>D087</v>
          </cell>
          <cell r="E341" t="str">
            <v>MX-PD0192 AEROPUERTO QRO</v>
          </cell>
          <cell r="F341">
            <v>10001073</v>
          </cell>
          <cell r="G341" t="str">
            <v>Arena Triturada Caliza Malla 4</v>
          </cell>
          <cell r="H341">
            <v>95.43</v>
          </cell>
          <cell r="I341">
            <v>-7.95</v>
          </cell>
          <cell r="J341">
            <v>87.48</v>
          </cell>
        </row>
        <row r="342">
          <cell r="B342" t="str">
            <v>D86410001074</v>
          </cell>
          <cell r="C342" t="str">
            <v>D864</v>
          </cell>
          <cell r="D342" t="str">
            <v>D087</v>
          </cell>
          <cell r="E342" t="str">
            <v>MX-PD0192 AEROPUERTO QRO</v>
          </cell>
          <cell r="F342">
            <v>10001074</v>
          </cell>
          <cell r="G342" t="str">
            <v>Grava Triturada Caliza 40 mm -</v>
          </cell>
          <cell r="H342">
            <v>96.98</v>
          </cell>
          <cell r="I342">
            <v>39.659999999999997</v>
          </cell>
          <cell r="J342">
            <v>136.63999999999999</v>
          </cell>
        </row>
        <row r="343">
          <cell r="B343" t="str">
            <v>D86410001203</v>
          </cell>
          <cell r="C343" t="str">
            <v>D864</v>
          </cell>
          <cell r="D343" t="str">
            <v>D087</v>
          </cell>
          <cell r="E343" t="str">
            <v>MX-PD0192 AEROPUERTO QRO</v>
          </cell>
          <cell r="F343">
            <v>10001203</v>
          </cell>
          <cell r="G343" t="str">
            <v>Desperdicio Triturado Caliza</v>
          </cell>
          <cell r="H343">
            <v>1.1499999999999999</v>
          </cell>
          <cell r="I343">
            <v>21.41</v>
          </cell>
          <cell r="J343">
            <v>22.56</v>
          </cell>
        </row>
        <row r="344">
          <cell r="B344" t="str">
            <v>D86410000236</v>
          </cell>
          <cell r="C344" t="str">
            <v>D864</v>
          </cell>
          <cell r="D344" t="str">
            <v>D088</v>
          </cell>
          <cell r="E344" t="str">
            <v>MX-PD-081 HUEHUETOCA V</v>
          </cell>
          <cell r="F344">
            <v>10000236</v>
          </cell>
          <cell r="G344" t="str">
            <v>Grava Triturada Caliza 10 mm -</v>
          </cell>
          <cell r="H344">
            <v>96.98</v>
          </cell>
          <cell r="I344">
            <v>23.46</v>
          </cell>
          <cell r="J344">
            <v>120.44</v>
          </cell>
        </row>
        <row r="345">
          <cell r="B345" t="str">
            <v>D86410000240</v>
          </cell>
          <cell r="C345" t="str">
            <v>D864</v>
          </cell>
          <cell r="D345" t="str">
            <v>D088</v>
          </cell>
          <cell r="E345" t="str">
            <v>MX-PD-081 HUEHUETOCA V</v>
          </cell>
          <cell r="F345">
            <v>10000240</v>
          </cell>
          <cell r="G345" t="str">
            <v>Grava Triturada Caliza 20 mm -</v>
          </cell>
          <cell r="H345">
            <v>96.98</v>
          </cell>
          <cell r="I345">
            <v>30.19</v>
          </cell>
          <cell r="J345">
            <v>127.17</v>
          </cell>
        </row>
        <row r="346">
          <cell r="B346" t="str">
            <v>D86410000269</v>
          </cell>
          <cell r="C346" t="str">
            <v>D864</v>
          </cell>
          <cell r="D346" t="str">
            <v>D088</v>
          </cell>
          <cell r="E346" t="str">
            <v>MX-PD-081 HUEHUETOCA V</v>
          </cell>
          <cell r="F346">
            <v>10000269</v>
          </cell>
          <cell r="G346" t="str">
            <v>Grava Triturada Caliza 13 mm -</v>
          </cell>
          <cell r="H346">
            <v>96.98</v>
          </cell>
          <cell r="I346">
            <v>34.22</v>
          </cell>
          <cell r="J346">
            <v>131.19999999999999</v>
          </cell>
        </row>
        <row r="347">
          <cell r="B347" t="str">
            <v>D86410001073</v>
          </cell>
          <cell r="C347" t="str">
            <v>D864</v>
          </cell>
          <cell r="D347" t="str">
            <v>D088</v>
          </cell>
          <cell r="E347" t="str">
            <v>MX-PD-081 HUEHUETOCA V</v>
          </cell>
          <cell r="F347">
            <v>10001073</v>
          </cell>
          <cell r="G347" t="str">
            <v>Arena Triturada Caliza Malla 4</v>
          </cell>
          <cell r="H347">
            <v>95.43</v>
          </cell>
          <cell r="I347">
            <v>-7.95</v>
          </cell>
          <cell r="J347">
            <v>87.48</v>
          </cell>
        </row>
        <row r="348">
          <cell r="B348" t="str">
            <v>D86410001074</v>
          </cell>
          <cell r="C348" t="str">
            <v>D864</v>
          </cell>
          <cell r="D348" t="str">
            <v>D088</v>
          </cell>
          <cell r="E348" t="str">
            <v>MX-PD-081 HUEHUETOCA V</v>
          </cell>
          <cell r="F348">
            <v>10001074</v>
          </cell>
          <cell r="G348" t="str">
            <v>Grava Triturada Caliza 40 mm -</v>
          </cell>
          <cell r="H348">
            <v>96.98</v>
          </cell>
          <cell r="I348">
            <v>39.659999999999997</v>
          </cell>
          <cell r="J348">
            <v>136.63999999999999</v>
          </cell>
        </row>
        <row r="349">
          <cell r="B349" t="str">
            <v>D86410001203</v>
          </cell>
          <cell r="C349" t="str">
            <v>D864</v>
          </cell>
          <cell r="D349" t="str">
            <v>D088</v>
          </cell>
          <cell r="E349" t="str">
            <v>MX-PD-081 HUEHUETOCA V</v>
          </cell>
          <cell r="F349">
            <v>10001203</v>
          </cell>
          <cell r="G349" t="str">
            <v>Desperdicio Triturado Caliza</v>
          </cell>
          <cell r="H349">
            <v>1.1499999999999999</v>
          </cell>
          <cell r="I349">
            <v>21.41</v>
          </cell>
          <cell r="J349">
            <v>22.56</v>
          </cell>
        </row>
        <row r="350">
          <cell r="B350" t="str">
            <v>D8640</v>
          </cell>
          <cell r="C350" t="str">
            <v>D864</v>
          </cell>
          <cell r="D350" t="str">
            <v>D089</v>
          </cell>
          <cell r="E350" t="str">
            <v>MX-PD-091 TULA IV</v>
          </cell>
          <cell r="F350">
            <v>0</v>
          </cell>
          <cell r="G350">
            <v>0</v>
          </cell>
          <cell r="H350">
            <v>0</v>
          </cell>
          <cell r="I350" t="e">
            <v>#N/A</v>
          </cell>
          <cell r="J350" t="e">
            <v>#N/A</v>
          </cell>
        </row>
        <row r="351">
          <cell r="B351" t="str">
            <v>D86410000236</v>
          </cell>
          <cell r="C351" t="str">
            <v>D864</v>
          </cell>
          <cell r="D351" t="str">
            <v>D089</v>
          </cell>
          <cell r="E351" t="str">
            <v>MX-PD-091 TULA IV</v>
          </cell>
          <cell r="F351">
            <v>10000236</v>
          </cell>
          <cell r="G351" t="str">
            <v>Grava Triturada Caliza 10 mm -</v>
          </cell>
          <cell r="H351">
            <v>96.98</v>
          </cell>
          <cell r="I351">
            <v>23.46</v>
          </cell>
          <cell r="J351">
            <v>120.44</v>
          </cell>
        </row>
        <row r="352">
          <cell r="B352" t="str">
            <v>D86410000240</v>
          </cell>
          <cell r="C352" t="str">
            <v>D864</v>
          </cell>
          <cell r="D352" t="str">
            <v>D089</v>
          </cell>
          <cell r="E352" t="str">
            <v>MX-PD-091 TULA IV</v>
          </cell>
          <cell r="F352">
            <v>10000240</v>
          </cell>
          <cell r="G352" t="str">
            <v>Grava Triturada Caliza 20 mm -</v>
          </cell>
          <cell r="H352">
            <v>96.98</v>
          </cell>
          <cell r="I352">
            <v>30.19</v>
          </cell>
          <cell r="J352">
            <v>127.17</v>
          </cell>
        </row>
        <row r="353">
          <cell r="B353" t="str">
            <v>D86410000269</v>
          </cell>
          <cell r="C353" t="str">
            <v>D864</v>
          </cell>
          <cell r="D353" t="str">
            <v>D089</v>
          </cell>
          <cell r="E353" t="str">
            <v>MX-PD-091 TULA IV</v>
          </cell>
          <cell r="F353">
            <v>10000269</v>
          </cell>
          <cell r="G353" t="str">
            <v>Grava Triturada Caliza 13 mm -</v>
          </cell>
          <cell r="H353">
            <v>96.98</v>
          </cell>
          <cell r="I353">
            <v>34.22</v>
          </cell>
          <cell r="J353">
            <v>131.19999999999999</v>
          </cell>
        </row>
        <row r="354">
          <cell r="B354" t="str">
            <v>D86410000301</v>
          </cell>
          <cell r="C354" t="str">
            <v>D864</v>
          </cell>
          <cell r="D354" t="str">
            <v>D089</v>
          </cell>
          <cell r="E354" t="str">
            <v>MX-PD-091 TULA IV</v>
          </cell>
          <cell r="F354">
            <v>10000301</v>
          </cell>
          <cell r="G354" t="str">
            <v>BALASTO DE 3 PULGADAS A FINOS</v>
          </cell>
          <cell r="H354">
            <v>54.06</v>
          </cell>
          <cell r="I354">
            <v>84.24</v>
          </cell>
          <cell r="J354">
            <v>138.30000000000001</v>
          </cell>
        </row>
        <row r="355">
          <cell r="B355" t="str">
            <v>D86410000319</v>
          </cell>
          <cell r="C355" t="str">
            <v>D864</v>
          </cell>
          <cell r="D355" t="str">
            <v>D089</v>
          </cell>
          <cell r="E355" t="str">
            <v>MX-PD-091 TULA IV</v>
          </cell>
          <cell r="F355">
            <v>10000319</v>
          </cell>
          <cell r="G355" t="str">
            <v>Grava Triturada Caliza 40 mm -</v>
          </cell>
          <cell r="H355">
            <v>96.98</v>
          </cell>
          <cell r="I355">
            <v>42.86</v>
          </cell>
          <cell r="J355">
            <v>139.84</v>
          </cell>
        </row>
        <row r="356">
          <cell r="B356" t="str">
            <v>D86410001073</v>
          </cell>
          <cell r="C356" t="str">
            <v>D864</v>
          </cell>
          <cell r="D356" t="str">
            <v>D089</v>
          </cell>
          <cell r="E356" t="str">
            <v>MX-PD-091 TULA IV</v>
          </cell>
          <cell r="F356">
            <v>10001073</v>
          </cell>
          <cell r="G356" t="str">
            <v>Arena Triturada Caliza Malla 4</v>
          </cell>
          <cell r="H356">
            <v>95.43</v>
          </cell>
          <cell r="I356">
            <v>-7.95</v>
          </cell>
          <cell r="J356">
            <v>87.48</v>
          </cell>
        </row>
        <row r="357">
          <cell r="B357" t="str">
            <v>D86410001074</v>
          </cell>
          <cell r="C357" t="str">
            <v>D864</v>
          </cell>
          <cell r="D357" t="str">
            <v>D089</v>
          </cell>
          <cell r="E357" t="str">
            <v>MX-PD-091 TULA IV</v>
          </cell>
          <cell r="F357">
            <v>10001074</v>
          </cell>
          <cell r="G357" t="str">
            <v>Grava Triturada Caliza 40 mm -</v>
          </cell>
          <cell r="H357">
            <v>96.98</v>
          </cell>
          <cell r="I357">
            <v>39.659999999999997</v>
          </cell>
          <cell r="J357">
            <v>136.63999999999999</v>
          </cell>
        </row>
        <row r="358">
          <cell r="B358" t="str">
            <v>D86410001203</v>
          </cell>
          <cell r="C358" t="str">
            <v>D864</v>
          </cell>
          <cell r="D358" t="str">
            <v>D089</v>
          </cell>
          <cell r="E358" t="str">
            <v>MX-PD-091 TULA IV</v>
          </cell>
          <cell r="F358">
            <v>10001203</v>
          </cell>
          <cell r="G358" t="str">
            <v>Desperdicio Triturado Caliza</v>
          </cell>
          <cell r="H358">
            <v>1.1499999999999999</v>
          </cell>
          <cell r="I358">
            <v>21.41</v>
          </cell>
          <cell r="J358">
            <v>22.56</v>
          </cell>
        </row>
        <row r="359">
          <cell r="B359" t="str">
            <v>D86410070027</v>
          </cell>
          <cell r="C359" t="str">
            <v>D864</v>
          </cell>
          <cell r="D359" t="str">
            <v>D089</v>
          </cell>
          <cell r="E359" t="str">
            <v>MX-PD-091 TULA IV</v>
          </cell>
          <cell r="F359">
            <v>10070027</v>
          </cell>
          <cell r="G359" t="str">
            <v>BALASTO TRITURADO CALIZA 6"</v>
          </cell>
          <cell r="H359">
            <v>54.06</v>
          </cell>
          <cell r="I359">
            <v>17.2</v>
          </cell>
          <cell r="J359">
            <v>71.260000000000005</v>
          </cell>
        </row>
        <row r="360">
          <cell r="B360" t="str">
            <v>D86410000236</v>
          </cell>
          <cell r="C360" t="str">
            <v>D864</v>
          </cell>
          <cell r="D360" t="str">
            <v>D093</v>
          </cell>
          <cell r="E360" t="str">
            <v>MX-PD0556 ZUMPANGO</v>
          </cell>
          <cell r="F360">
            <v>10000236</v>
          </cell>
          <cell r="G360" t="str">
            <v>Grava Triturada Caliza 10 mm -</v>
          </cell>
          <cell r="H360">
            <v>96.98</v>
          </cell>
          <cell r="I360">
            <v>23.46</v>
          </cell>
          <cell r="J360">
            <v>120.44</v>
          </cell>
        </row>
        <row r="361">
          <cell r="B361" t="str">
            <v>D86410000240</v>
          </cell>
          <cell r="C361" t="str">
            <v>D864</v>
          </cell>
          <cell r="D361" t="str">
            <v>D093</v>
          </cell>
          <cell r="E361" t="str">
            <v>MX-PD0556 ZUMPANGO</v>
          </cell>
          <cell r="F361">
            <v>10000240</v>
          </cell>
          <cell r="G361" t="str">
            <v>Grava Triturada Caliza 20 mm -</v>
          </cell>
          <cell r="H361">
            <v>96.98</v>
          </cell>
          <cell r="I361">
            <v>30.19</v>
          </cell>
          <cell r="J361">
            <v>127.17</v>
          </cell>
        </row>
        <row r="362">
          <cell r="B362" t="str">
            <v>D86410000269</v>
          </cell>
          <cell r="C362" t="str">
            <v>D864</v>
          </cell>
          <cell r="D362" t="str">
            <v>D093</v>
          </cell>
          <cell r="E362" t="str">
            <v>MX-PD0556 ZUMPANGO</v>
          </cell>
          <cell r="F362">
            <v>10000269</v>
          </cell>
          <cell r="G362" t="str">
            <v>Grava Triturada Caliza 13 mm -</v>
          </cell>
          <cell r="H362">
            <v>96.98</v>
          </cell>
          <cell r="I362">
            <v>34.22</v>
          </cell>
          <cell r="J362">
            <v>131.19999999999999</v>
          </cell>
        </row>
        <row r="363">
          <cell r="B363" t="str">
            <v>D86410001073</v>
          </cell>
          <cell r="C363" t="str">
            <v>D864</v>
          </cell>
          <cell r="D363" t="str">
            <v>D093</v>
          </cell>
          <cell r="E363" t="str">
            <v>MX-PD0556 ZUMPANGO</v>
          </cell>
          <cell r="F363">
            <v>10001073</v>
          </cell>
          <cell r="G363" t="str">
            <v>Arena Triturada Caliza Malla 4</v>
          </cell>
          <cell r="H363">
            <v>95.43</v>
          </cell>
          <cell r="I363">
            <v>-7.95</v>
          </cell>
          <cell r="J363">
            <v>87.48</v>
          </cell>
        </row>
        <row r="364">
          <cell r="B364" t="str">
            <v>D86410001074</v>
          </cell>
          <cell r="C364" t="str">
            <v>D864</v>
          </cell>
          <cell r="D364" t="str">
            <v>D093</v>
          </cell>
          <cell r="E364" t="str">
            <v>MX-PD0556 ZUMPANGO</v>
          </cell>
          <cell r="F364">
            <v>10001074</v>
          </cell>
          <cell r="G364" t="str">
            <v>Grava Triturada Caliza 40 mm -</v>
          </cell>
          <cell r="H364">
            <v>96.98</v>
          </cell>
          <cell r="I364">
            <v>39.659999999999997</v>
          </cell>
          <cell r="J364">
            <v>136.63999999999999</v>
          </cell>
        </row>
        <row r="365">
          <cell r="B365" t="str">
            <v>D86410001203</v>
          </cell>
          <cell r="C365" t="str">
            <v>D864</v>
          </cell>
          <cell r="D365" t="str">
            <v>D093</v>
          </cell>
          <cell r="E365" t="str">
            <v>MX-PD0556 ZUMPANGO</v>
          </cell>
          <cell r="F365">
            <v>10001203</v>
          </cell>
          <cell r="G365" t="str">
            <v>Desperdicio Triturado Caliza</v>
          </cell>
          <cell r="H365">
            <v>1.1499999999999999</v>
          </cell>
          <cell r="I365">
            <v>21.41</v>
          </cell>
          <cell r="J365">
            <v>22.56</v>
          </cell>
        </row>
        <row r="366">
          <cell r="B366" t="str">
            <v>D86410000236</v>
          </cell>
          <cell r="C366" t="str">
            <v>D864</v>
          </cell>
          <cell r="D366" t="str">
            <v>D095</v>
          </cell>
          <cell r="E366" t="str">
            <v>MX-PD-482 TIZAYUCA</v>
          </cell>
          <cell r="F366">
            <v>10000236</v>
          </cell>
          <cell r="G366" t="str">
            <v>Grava Triturada Caliza 10 mm -</v>
          </cell>
          <cell r="H366">
            <v>96.98</v>
          </cell>
          <cell r="I366">
            <v>23.46</v>
          </cell>
          <cell r="J366">
            <v>120.44</v>
          </cell>
        </row>
        <row r="367">
          <cell r="B367" t="str">
            <v>D86410000240</v>
          </cell>
          <cell r="C367" t="str">
            <v>D864</v>
          </cell>
          <cell r="D367" t="str">
            <v>D095</v>
          </cell>
          <cell r="E367" t="str">
            <v>MX-PD-482 TIZAYUCA</v>
          </cell>
          <cell r="F367">
            <v>10000240</v>
          </cell>
          <cell r="G367" t="str">
            <v>Grava Triturada Caliza 20 mm -</v>
          </cell>
          <cell r="H367">
            <v>96.98</v>
          </cell>
          <cell r="I367">
            <v>30.19</v>
          </cell>
          <cell r="J367">
            <v>127.17</v>
          </cell>
        </row>
        <row r="368">
          <cell r="B368" t="str">
            <v>D86410000269</v>
          </cell>
          <cell r="C368" t="str">
            <v>D864</v>
          </cell>
          <cell r="D368" t="str">
            <v>D095</v>
          </cell>
          <cell r="E368" t="str">
            <v>MX-PD-482 TIZAYUCA</v>
          </cell>
          <cell r="F368">
            <v>10000269</v>
          </cell>
          <cell r="G368" t="str">
            <v>Grava Triturada Caliza 13 mm -</v>
          </cell>
          <cell r="H368">
            <v>96.98</v>
          </cell>
          <cell r="I368">
            <v>34.22</v>
          </cell>
          <cell r="J368">
            <v>131.19999999999999</v>
          </cell>
        </row>
        <row r="369">
          <cell r="B369" t="str">
            <v>D86410001073</v>
          </cell>
          <cell r="C369" t="str">
            <v>D864</v>
          </cell>
          <cell r="D369" t="str">
            <v>D095</v>
          </cell>
          <cell r="E369" t="str">
            <v>MX-PD-482 TIZAYUCA</v>
          </cell>
          <cell r="F369">
            <v>10001073</v>
          </cell>
          <cell r="G369" t="str">
            <v>Arena Triturada Caliza Malla 4</v>
          </cell>
          <cell r="H369">
            <v>95.43</v>
          </cell>
          <cell r="I369">
            <v>-7.95</v>
          </cell>
          <cell r="J369">
            <v>87.48</v>
          </cell>
        </row>
        <row r="370">
          <cell r="B370" t="str">
            <v>D86410001074</v>
          </cell>
          <cell r="C370" t="str">
            <v>D864</v>
          </cell>
          <cell r="D370" t="str">
            <v>D095</v>
          </cell>
          <cell r="E370" t="str">
            <v>MX-PD-482 TIZAYUCA</v>
          </cell>
          <cell r="F370">
            <v>10001074</v>
          </cell>
          <cell r="G370" t="str">
            <v>Grava Triturada Caliza 40 mm -</v>
          </cell>
          <cell r="H370">
            <v>96.98</v>
          </cell>
          <cell r="I370">
            <v>39.659999999999997</v>
          </cell>
          <cell r="J370">
            <v>136.63999999999999</v>
          </cell>
        </row>
        <row r="371">
          <cell r="B371" t="str">
            <v>D86410000236</v>
          </cell>
          <cell r="C371" t="str">
            <v>D864</v>
          </cell>
          <cell r="D371" t="str">
            <v>D098</v>
          </cell>
          <cell r="E371" t="str">
            <v>MX-PD-315 CUAUTITLAN II</v>
          </cell>
          <cell r="F371">
            <v>10000236</v>
          </cell>
          <cell r="G371" t="str">
            <v>Grava Triturada Caliza 10 mm -</v>
          </cell>
          <cell r="H371">
            <v>96.98</v>
          </cell>
          <cell r="I371">
            <v>23.46</v>
          </cell>
          <cell r="J371">
            <v>120.44</v>
          </cell>
        </row>
        <row r="372">
          <cell r="B372" t="str">
            <v>D86410000240</v>
          </cell>
          <cell r="C372" t="str">
            <v>D864</v>
          </cell>
          <cell r="D372" t="str">
            <v>D098</v>
          </cell>
          <cell r="E372" t="str">
            <v>MX-PD-315 CUAUTITLAN II</v>
          </cell>
          <cell r="F372">
            <v>10000240</v>
          </cell>
          <cell r="G372" t="str">
            <v>Grava Triturada Caliza 20 mm -</v>
          </cell>
          <cell r="H372">
            <v>96.98</v>
          </cell>
          <cell r="I372">
            <v>30.19</v>
          </cell>
          <cell r="J372">
            <v>127.17</v>
          </cell>
        </row>
        <row r="373">
          <cell r="B373" t="str">
            <v>D86410000269</v>
          </cell>
          <cell r="C373" t="str">
            <v>D864</v>
          </cell>
          <cell r="D373" t="str">
            <v>D098</v>
          </cell>
          <cell r="E373" t="str">
            <v>MX-PD-315 CUAUTITLAN II</v>
          </cell>
          <cell r="F373">
            <v>10000269</v>
          </cell>
          <cell r="G373" t="str">
            <v>Grava Triturada Caliza 13 mm -</v>
          </cell>
          <cell r="H373">
            <v>96.98</v>
          </cell>
          <cell r="I373">
            <v>34.22</v>
          </cell>
          <cell r="J373">
            <v>131.19999999999999</v>
          </cell>
        </row>
        <row r="374">
          <cell r="B374" t="str">
            <v>D86410001073</v>
          </cell>
          <cell r="C374" t="str">
            <v>D864</v>
          </cell>
          <cell r="D374" t="str">
            <v>D098</v>
          </cell>
          <cell r="E374" t="str">
            <v>MX-PD-315 CUAUTITLAN II</v>
          </cell>
          <cell r="F374">
            <v>10001073</v>
          </cell>
          <cell r="G374" t="str">
            <v>Arena Triturada Caliza Malla 4</v>
          </cell>
          <cell r="H374">
            <v>95.43</v>
          </cell>
          <cell r="I374">
            <v>-7.95</v>
          </cell>
          <cell r="J374">
            <v>87.48</v>
          </cell>
        </row>
        <row r="375">
          <cell r="B375" t="str">
            <v>D86410001074</v>
          </cell>
          <cell r="C375" t="str">
            <v>D864</v>
          </cell>
          <cell r="D375" t="str">
            <v>D098</v>
          </cell>
          <cell r="E375" t="str">
            <v>MX-PD-315 CUAUTITLAN II</v>
          </cell>
          <cell r="F375">
            <v>10001074</v>
          </cell>
          <cell r="G375" t="str">
            <v>Grava Triturada Caliza 40 mm -</v>
          </cell>
          <cell r="H375">
            <v>96.98</v>
          </cell>
          <cell r="I375">
            <v>39.659999999999997</v>
          </cell>
          <cell r="J375">
            <v>136.63999999999999</v>
          </cell>
        </row>
        <row r="376">
          <cell r="B376" t="str">
            <v>D86410001203</v>
          </cell>
          <cell r="C376" t="str">
            <v>D864</v>
          </cell>
          <cell r="D376" t="str">
            <v>D098</v>
          </cell>
          <cell r="E376" t="str">
            <v>MX-PD-315 CUAUTITLAN II</v>
          </cell>
          <cell r="F376">
            <v>10001203</v>
          </cell>
          <cell r="G376" t="str">
            <v>Desperdicio Triturado Caliza</v>
          </cell>
          <cell r="H376">
            <v>1.1499999999999999</v>
          </cell>
          <cell r="I376">
            <v>21.41</v>
          </cell>
          <cell r="J376">
            <v>22.56</v>
          </cell>
        </row>
        <row r="377">
          <cell r="B377" t="str">
            <v>D86410000240</v>
          </cell>
          <cell r="C377" t="str">
            <v>D864</v>
          </cell>
          <cell r="D377" t="str">
            <v>D101</v>
          </cell>
          <cell r="E377" t="str">
            <v>MX-PD0495 ECATEPEC IV</v>
          </cell>
          <cell r="F377">
            <v>10000240</v>
          </cell>
          <cell r="G377" t="str">
            <v>Grava Triturada Caliza 20 mm -</v>
          </cell>
          <cell r="H377">
            <v>96.98</v>
          </cell>
          <cell r="I377">
            <v>30.19</v>
          </cell>
          <cell r="J377">
            <v>127.17</v>
          </cell>
        </row>
        <row r="378">
          <cell r="B378" t="str">
            <v>D86410000236</v>
          </cell>
          <cell r="C378" t="str">
            <v>D864</v>
          </cell>
          <cell r="D378" t="str">
            <v>D104</v>
          </cell>
          <cell r="E378" t="str">
            <v>MX-PD0397 PLAN DE LOS AMATES</v>
          </cell>
          <cell r="F378">
            <v>10000236</v>
          </cell>
          <cell r="G378" t="str">
            <v>Grava Triturada Caliza 10 mm -</v>
          </cell>
          <cell r="H378">
            <v>96.98</v>
          </cell>
          <cell r="I378">
            <v>23.46</v>
          </cell>
          <cell r="J378">
            <v>120.44</v>
          </cell>
        </row>
        <row r="379">
          <cell r="B379" t="str">
            <v>D86410000240</v>
          </cell>
          <cell r="C379" t="str">
            <v>D864</v>
          </cell>
          <cell r="D379" t="str">
            <v>D104</v>
          </cell>
          <cell r="E379" t="str">
            <v>MX-PD0397 PLAN DE LOS AMATES</v>
          </cell>
          <cell r="F379">
            <v>10000240</v>
          </cell>
          <cell r="G379" t="str">
            <v>Grava Triturada Caliza 20 mm -</v>
          </cell>
          <cell r="H379">
            <v>96.98</v>
          </cell>
          <cell r="I379">
            <v>30.19</v>
          </cell>
          <cell r="J379">
            <v>127.17</v>
          </cell>
        </row>
        <row r="380">
          <cell r="B380" t="str">
            <v>D86410000269</v>
          </cell>
          <cell r="C380" t="str">
            <v>D864</v>
          </cell>
          <cell r="D380" t="str">
            <v>D104</v>
          </cell>
          <cell r="E380" t="str">
            <v>MX-PD0397 PLAN DE LOS AMATES</v>
          </cell>
          <cell r="F380">
            <v>10000269</v>
          </cell>
          <cell r="G380" t="str">
            <v>Grava Triturada Caliza 13 mm -</v>
          </cell>
          <cell r="H380">
            <v>96.98</v>
          </cell>
          <cell r="I380">
            <v>34.22</v>
          </cell>
          <cell r="J380">
            <v>131.19999999999999</v>
          </cell>
        </row>
        <row r="381">
          <cell r="B381" t="str">
            <v>D86410001073</v>
          </cell>
          <cell r="C381" t="str">
            <v>D864</v>
          </cell>
          <cell r="D381" t="str">
            <v>D104</v>
          </cell>
          <cell r="E381" t="str">
            <v>MX-PD0397 PLAN DE LOS AMATES</v>
          </cell>
          <cell r="F381">
            <v>10001073</v>
          </cell>
          <cell r="G381" t="str">
            <v>Arena Triturada Caliza Malla 4</v>
          </cell>
          <cell r="H381">
            <v>95.43</v>
          </cell>
          <cell r="I381">
            <v>-7.95</v>
          </cell>
          <cell r="J381">
            <v>87.48</v>
          </cell>
        </row>
        <row r="382">
          <cell r="B382" t="str">
            <v>D86410001074</v>
          </cell>
          <cell r="C382" t="str">
            <v>D864</v>
          </cell>
          <cell r="D382" t="str">
            <v>D104</v>
          </cell>
          <cell r="E382" t="str">
            <v>MX-PD0397 PLAN DE LOS AMATES</v>
          </cell>
          <cell r="F382">
            <v>10001074</v>
          </cell>
          <cell r="G382" t="str">
            <v>Grava Triturada Caliza 40 mm -</v>
          </cell>
          <cell r="H382">
            <v>96.98</v>
          </cell>
          <cell r="I382">
            <v>39.659999999999997</v>
          </cell>
          <cell r="J382">
            <v>136.63999999999999</v>
          </cell>
        </row>
        <row r="383">
          <cell r="B383" t="str">
            <v>D86410001203</v>
          </cell>
          <cell r="C383" t="str">
            <v>D864</v>
          </cell>
          <cell r="D383" t="str">
            <v>D104</v>
          </cell>
          <cell r="E383" t="str">
            <v>MX-PD0397 PLAN DE LOS AMATES</v>
          </cell>
          <cell r="F383">
            <v>10001203</v>
          </cell>
          <cell r="G383" t="str">
            <v>Desperdicio Triturado Caliza</v>
          </cell>
          <cell r="H383">
            <v>1.1499999999999999</v>
          </cell>
          <cell r="I383">
            <v>21.41</v>
          </cell>
          <cell r="J383">
            <v>22.56</v>
          </cell>
        </row>
        <row r="384">
          <cell r="B384" t="str">
            <v>D86410000236</v>
          </cell>
          <cell r="C384" t="str">
            <v>D864</v>
          </cell>
          <cell r="D384" t="str">
            <v>D105</v>
          </cell>
          <cell r="E384" t="str">
            <v>MX-PD-331 NAUCALPAN II</v>
          </cell>
          <cell r="F384">
            <v>10000236</v>
          </cell>
          <cell r="G384" t="str">
            <v>Grava Triturada Caliza 10 mm -</v>
          </cell>
          <cell r="H384">
            <v>96.98</v>
          </cell>
          <cell r="I384">
            <v>23.46</v>
          </cell>
          <cell r="J384">
            <v>120.44</v>
          </cell>
        </row>
        <row r="385">
          <cell r="B385" t="str">
            <v>D86410000240</v>
          </cell>
          <cell r="C385" t="str">
            <v>D864</v>
          </cell>
          <cell r="D385" t="str">
            <v>D105</v>
          </cell>
          <cell r="E385" t="str">
            <v>MX-PD-331 NAUCALPAN II</v>
          </cell>
          <cell r="F385">
            <v>10000240</v>
          </cell>
          <cell r="G385" t="str">
            <v>Grava Triturada Caliza 20 mm -</v>
          </cell>
          <cell r="H385">
            <v>96.98</v>
          </cell>
          <cell r="I385">
            <v>30.19</v>
          </cell>
          <cell r="J385">
            <v>127.17</v>
          </cell>
        </row>
        <row r="386">
          <cell r="B386" t="str">
            <v>D86410000269</v>
          </cell>
          <cell r="C386" t="str">
            <v>D864</v>
          </cell>
          <cell r="D386" t="str">
            <v>D105</v>
          </cell>
          <cell r="E386" t="str">
            <v>MX-PD-331 NAUCALPAN II</v>
          </cell>
          <cell r="F386">
            <v>10000269</v>
          </cell>
          <cell r="G386" t="str">
            <v>Grava Triturada Caliza 13 mm -</v>
          </cell>
          <cell r="H386">
            <v>96.98</v>
          </cell>
          <cell r="I386">
            <v>34.22</v>
          </cell>
          <cell r="J386">
            <v>131.19999999999999</v>
          </cell>
        </row>
        <row r="387">
          <cell r="B387" t="str">
            <v>D86410001073</v>
          </cell>
          <cell r="C387" t="str">
            <v>D864</v>
          </cell>
          <cell r="D387" t="str">
            <v>D105</v>
          </cell>
          <cell r="E387" t="str">
            <v>MX-PD-331 NAUCALPAN II</v>
          </cell>
          <cell r="F387">
            <v>10001073</v>
          </cell>
          <cell r="G387" t="str">
            <v>Arena Triturada Caliza Malla 4</v>
          </cell>
          <cell r="H387">
            <v>95.43</v>
          </cell>
          <cell r="I387">
            <v>-7.95</v>
          </cell>
          <cell r="J387">
            <v>87.48</v>
          </cell>
        </row>
        <row r="388">
          <cell r="B388" t="str">
            <v>D86410001074</v>
          </cell>
          <cell r="C388" t="str">
            <v>D864</v>
          </cell>
          <cell r="D388" t="str">
            <v>D105</v>
          </cell>
          <cell r="E388" t="str">
            <v>MX-PD-331 NAUCALPAN II</v>
          </cell>
          <cell r="F388">
            <v>10001074</v>
          </cell>
          <cell r="G388" t="str">
            <v>Grava Triturada Caliza 40 mm -</v>
          </cell>
          <cell r="H388">
            <v>96.98</v>
          </cell>
          <cell r="I388">
            <v>39.659999999999997</v>
          </cell>
          <cell r="J388">
            <v>136.63999999999999</v>
          </cell>
        </row>
        <row r="389">
          <cell r="B389" t="str">
            <v>D86410001203</v>
          </cell>
          <cell r="C389" t="str">
            <v>D864</v>
          </cell>
          <cell r="D389" t="str">
            <v>D105</v>
          </cell>
          <cell r="E389" t="str">
            <v>MX-PD-331 NAUCALPAN II</v>
          </cell>
          <cell r="F389">
            <v>10001203</v>
          </cell>
          <cell r="G389" t="str">
            <v>Desperdicio Triturado Caliza</v>
          </cell>
          <cell r="H389">
            <v>1.1499999999999999</v>
          </cell>
          <cell r="I389">
            <v>21.41</v>
          </cell>
          <cell r="J389">
            <v>22.56</v>
          </cell>
        </row>
        <row r="390">
          <cell r="B390" t="str">
            <v>D86410000236</v>
          </cell>
          <cell r="C390" t="str">
            <v>D864</v>
          </cell>
          <cell r="D390" t="str">
            <v>D110</v>
          </cell>
          <cell r="E390" t="str">
            <v>MX-PD0338 TEPEJI 2</v>
          </cell>
          <cell r="F390">
            <v>10000236</v>
          </cell>
          <cell r="G390" t="str">
            <v>Grava Triturada Caliza 10 mm -</v>
          </cell>
          <cell r="H390">
            <v>96.98</v>
          </cell>
          <cell r="I390">
            <v>23.46</v>
          </cell>
          <cell r="J390">
            <v>120.44</v>
          </cell>
        </row>
        <row r="391">
          <cell r="B391" t="str">
            <v>D86410000240</v>
          </cell>
          <cell r="C391" t="str">
            <v>D864</v>
          </cell>
          <cell r="D391" t="str">
            <v>D110</v>
          </cell>
          <cell r="E391" t="str">
            <v>MX-PD0338 TEPEJI 2</v>
          </cell>
          <cell r="F391">
            <v>10000240</v>
          </cell>
          <cell r="G391" t="str">
            <v>Grava Triturada Caliza 20 mm -</v>
          </cell>
          <cell r="H391">
            <v>96.98</v>
          </cell>
          <cell r="I391">
            <v>30.19</v>
          </cell>
          <cell r="J391">
            <v>127.17</v>
          </cell>
        </row>
        <row r="392">
          <cell r="B392" t="str">
            <v>D86410000269</v>
          </cell>
          <cell r="C392" t="str">
            <v>D864</v>
          </cell>
          <cell r="D392" t="str">
            <v>D110</v>
          </cell>
          <cell r="E392" t="str">
            <v>MX-PD0338 TEPEJI 2</v>
          </cell>
          <cell r="F392">
            <v>10000269</v>
          </cell>
          <cell r="G392" t="str">
            <v>Grava Triturada Caliza 13 mm -</v>
          </cell>
          <cell r="H392">
            <v>96.98</v>
          </cell>
          <cell r="I392">
            <v>34.22</v>
          </cell>
          <cell r="J392">
            <v>131.19999999999999</v>
          </cell>
        </row>
        <row r="393">
          <cell r="B393" t="str">
            <v>D86410001073</v>
          </cell>
          <cell r="C393" t="str">
            <v>D864</v>
          </cell>
          <cell r="D393" t="str">
            <v>D110</v>
          </cell>
          <cell r="E393" t="str">
            <v>MX-PD0338 TEPEJI 2</v>
          </cell>
          <cell r="F393">
            <v>10001073</v>
          </cell>
          <cell r="G393" t="str">
            <v>Arena Triturada Caliza Malla 4</v>
          </cell>
          <cell r="H393">
            <v>95.43</v>
          </cell>
          <cell r="I393">
            <v>-7.95</v>
          </cell>
          <cell r="J393">
            <v>87.48</v>
          </cell>
        </row>
        <row r="394">
          <cell r="B394" t="str">
            <v>D86410001074</v>
          </cell>
          <cell r="C394" t="str">
            <v>D864</v>
          </cell>
          <cell r="D394" t="str">
            <v>D110</v>
          </cell>
          <cell r="E394" t="str">
            <v>MX-PD0338 TEPEJI 2</v>
          </cell>
          <cell r="F394">
            <v>10001074</v>
          </cell>
          <cell r="G394" t="str">
            <v>Grava Triturada Caliza 40 mm -</v>
          </cell>
          <cell r="H394">
            <v>96.98</v>
          </cell>
          <cell r="I394">
            <v>39.659999999999997</v>
          </cell>
          <cell r="J394">
            <v>136.63999999999999</v>
          </cell>
        </row>
        <row r="395">
          <cell r="B395" t="str">
            <v>D86410001203</v>
          </cell>
          <cell r="C395" t="str">
            <v>D864</v>
          </cell>
          <cell r="D395" t="str">
            <v>D110</v>
          </cell>
          <cell r="E395" t="str">
            <v>MX-PD0338 TEPEJI 2</v>
          </cell>
          <cell r="F395">
            <v>10001203</v>
          </cell>
          <cell r="G395" t="str">
            <v>Desperdicio Triturado Caliza</v>
          </cell>
          <cell r="H395">
            <v>1.1499999999999999</v>
          </cell>
          <cell r="I395">
            <v>21.41</v>
          </cell>
          <cell r="J395">
            <v>22.56</v>
          </cell>
        </row>
        <row r="396">
          <cell r="B396" t="str">
            <v>D86410000236</v>
          </cell>
          <cell r="C396" t="str">
            <v>D864</v>
          </cell>
          <cell r="D396" t="str">
            <v>D111</v>
          </cell>
          <cell r="E396" t="str">
            <v>MX-PD0317 TOLUCA LERMA 2</v>
          </cell>
          <cell r="F396">
            <v>10000236</v>
          </cell>
          <cell r="G396" t="str">
            <v>Grava Triturada Caliza 10 mm -</v>
          </cell>
          <cell r="H396">
            <v>96.98</v>
          </cell>
          <cell r="I396">
            <v>23.46</v>
          </cell>
          <cell r="J396">
            <v>120.44</v>
          </cell>
        </row>
        <row r="397">
          <cell r="B397" t="str">
            <v>D86410000240</v>
          </cell>
          <cell r="C397" t="str">
            <v>D864</v>
          </cell>
          <cell r="D397" t="str">
            <v>D111</v>
          </cell>
          <cell r="E397" t="str">
            <v>MX-PD0317 TOLUCA LERMA 2</v>
          </cell>
          <cell r="F397">
            <v>10000240</v>
          </cell>
          <cell r="G397" t="str">
            <v>Grava Triturada Caliza 20 mm -</v>
          </cell>
          <cell r="H397">
            <v>96.98</v>
          </cell>
          <cell r="I397">
            <v>30.19</v>
          </cell>
          <cell r="J397">
            <v>127.17</v>
          </cell>
        </row>
        <row r="398">
          <cell r="B398" t="str">
            <v>D86410000269</v>
          </cell>
          <cell r="C398" t="str">
            <v>D864</v>
          </cell>
          <cell r="D398" t="str">
            <v>D111</v>
          </cell>
          <cell r="E398" t="str">
            <v>MX-PD0317 TOLUCA LERMA 2</v>
          </cell>
          <cell r="F398">
            <v>10000269</v>
          </cell>
          <cell r="G398" t="str">
            <v>Grava Triturada Caliza 13 mm -</v>
          </cell>
          <cell r="H398">
            <v>96.98</v>
          </cell>
          <cell r="I398">
            <v>34.22</v>
          </cell>
          <cell r="J398">
            <v>131.19999999999999</v>
          </cell>
        </row>
        <row r="399">
          <cell r="B399" t="str">
            <v>D86410001073</v>
          </cell>
          <cell r="C399" t="str">
            <v>D864</v>
          </cell>
          <cell r="D399" t="str">
            <v>D111</v>
          </cell>
          <cell r="E399" t="str">
            <v>MX-PD0317 TOLUCA LERMA 2</v>
          </cell>
          <cell r="F399">
            <v>10001073</v>
          </cell>
          <cell r="G399" t="str">
            <v>Arena Triturada Caliza Malla 4</v>
          </cell>
          <cell r="H399">
            <v>95.43</v>
          </cell>
          <cell r="I399">
            <v>-7.95</v>
          </cell>
          <cell r="J399">
            <v>87.48</v>
          </cell>
        </row>
        <row r="400">
          <cell r="B400" t="str">
            <v>D86410001074</v>
          </cell>
          <cell r="C400" t="str">
            <v>D864</v>
          </cell>
          <cell r="D400" t="str">
            <v>D111</v>
          </cell>
          <cell r="E400" t="str">
            <v>MX-PD0317 TOLUCA LERMA 2</v>
          </cell>
          <cell r="F400">
            <v>10001074</v>
          </cell>
          <cell r="G400" t="str">
            <v>Grava Triturada Caliza 40 mm -</v>
          </cell>
          <cell r="H400">
            <v>96.98</v>
          </cell>
          <cell r="I400">
            <v>39.659999999999997</v>
          </cell>
          <cell r="J400">
            <v>136.63999999999999</v>
          </cell>
        </row>
        <row r="401">
          <cell r="B401" t="str">
            <v>D86410001203</v>
          </cell>
          <cell r="C401" t="str">
            <v>D864</v>
          </cell>
          <cell r="D401" t="str">
            <v>D111</v>
          </cell>
          <cell r="E401" t="str">
            <v>MX-PD0317 TOLUCA LERMA 2</v>
          </cell>
          <cell r="F401">
            <v>10001203</v>
          </cell>
          <cell r="G401" t="str">
            <v>Desperdicio Triturado Caliza</v>
          </cell>
          <cell r="H401">
            <v>1.1499999999999999</v>
          </cell>
          <cell r="I401">
            <v>21.41</v>
          </cell>
          <cell r="J401">
            <v>22.56</v>
          </cell>
        </row>
        <row r="402">
          <cell r="B402" t="str">
            <v>D86410000240</v>
          </cell>
          <cell r="C402" t="str">
            <v>D864</v>
          </cell>
          <cell r="D402" t="str">
            <v>D116</v>
          </cell>
          <cell r="E402" t="str">
            <v>MX-PD0527 TEPEJI</v>
          </cell>
          <cell r="F402">
            <v>10000240</v>
          </cell>
          <cell r="G402" t="str">
            <v>Grava Triturada Caliza 20 mm -</v>
          </cell>
          <cell r="H402">
            <v>96.98</v>
          </cell>
          <cell r="I402">
            <v>30.19</v>
          </cell>
          <cell r="J402">
            <v>127.17</v>
          </cell>
        </row>
        <row r="403">
          <cell r="B403" t="str">
            <v>D86410000269</v>
          </cell>
          <cell r="C403" t="str">
            <v>D864</v>
          </cell>
          <cell r="D403" t="str">
            <v>D116</v>
          </cell>
          <cell r="E403" t="str">
            <v>MX-PD0527 TEPEJI</v>
          </cell>
          <cell r="F403">
            <v>10000269</v>
          </cell>
          <cell r="G403" t="str">
            <v>Grava Triturada Caliza 13 mm -</v>
          </cell>
          <cell r="H403">
            <v>96.98</v>
          </cell>
          <cell r="I403">
            <v>34.22</v>
          </cell>
          <cell r="J403">
            <v>131.19999999999999</v>
          </cell>
        </row>
        <row r="404">
          <cell r="B404" t="str">
            <v>D86410001073</v>
          </cell>
          <cell r="C404" t="str">
            <v>D864</v>
          </cell>
          <cell r="D404" t="str">
            <v>D116</v>
          </cell>
          <cell r="E404" t="str">
            <v>MX-PD0527 TEPEJI</v>
          </cell>
          <cell r="F404">
            <v>10001073</v>
          </cell>
          <cell r="G404" t="str">
            <v>Arena Triturada Caliza Malla 4</v>
          </cell>
          <cell r="H404">
            <v>95.43</v>
          </cell>
          <cell r="I404">
            <v>-7.95</v>
          </cell>
          <cell r="J404">
            <v>87.48</v>
          </cell>
        </row>
        <row r="405">
          <cell r="B405" t="str">
            <v>D86410001074</v>
          </cell>
          <cell r="C405" t="str">
            <v>D864</v>
          </cell>
          <cell r="D405" t="str">
            <v>D116</v>
          </cell>
          <cell r="E405" t="str">
            <v>MX-PD0527 TEPEJI</v>
          </cell>
          <cell r="F405">
            <v>10001074</v>
          </cell>
          <cell r="G405" t="str">
            <v>Grava Triturada Caliza 40 mm -</v>
          </cell>
          <cell r="H405">
            <v>96.98</v>
          </cell>
          <cell r="I405">
            <v>39.659999999999997</v>
          </cell>
          <cell r="J405">
            <v>136.63999999999999</v>
          </cell>
        </row>
        <row r="406">
          <cell r="B406" t="str">
            <v>D86410000236</v>
          </cell>
          <cell r="C406" t="str">
            <v>D864</v>
          </cell>
          <cell r="D406" t="str">
            <v>D117</v>
          </cell>
          <cell r="E406" t="str">
            <v>MX-PD0481 PACHUCA</v>
          </cell>
          <cell r="F406">
            <v>10000236</v>
          </cell>
          <cell r="G406" t="str">
            <v>Grava Triturada Caliza 10 mm -</v>
          </cell>
          <cell r="H406">
            <v>96.98</v>
          </cell>
          <cell r="I406">
            <v>23.46</v>
          </cell>
          <cell r="J406">
            <v>120.44</v>
          </cell>
        </row>
        <row r="407">
          <cell r="B407" t="str">
            <v>D86410000240</v>
          </cell>
          <cell r="C407" t="str">
            <v>D864</v>
          </cell>
          <cell r="D407" t="str">
            <v>D117</v>
          </cell>
          <cell r="E407" t="str">
            <v>MX-PD0481 PACHUCA</v>
          </cell>
          <cell r="F407">
            <v>10000240</v>
          </cell>
          <cell r="G407" t="str">
            <v>Grava Triturada Caliza 20 mm -</v>
          </cell>
          <cell r="H407">
            <v>96.98</v>
          </cell>
          <cell r="I407">
            <v>30.19</v>
          </cell>
          <cell r="J407">
            <v>127.17</v>
          </cell>
        </row>
        <row r="408">
          <cell r="B408" t="str">
            <v>D86410000269</v>
          </cell>
          <cell r="C408" t="str">
            <v>D864</v>
          </cell>
          <cell r="D408" t="str">
            <v>D117</v>
          </cell>
          <cell r="E408" t="str">
            <v>MX-PD0481 PACHUCA</v>
          </cell>
          <cell r="F408">
            <v>10000269</v>
          </cell>
          <cell r="G408" t="str">
            <v>Grava Triturada Caliza 13 mm -</v>
          </cell>
          <cell r="H408">
            <v>96.98</v>
          </cell>
          <cell r="I408">
            <v>34.22</v>
          </cell>
          <cell r="J408">
            <v>131.19999999999999</v>
          </cell>
        </row>
        <row r="409">
          <cell r="B409" t="str">
            <v>D86410001073</v>
          </cell>
          <cell r="C409" t="str">
            <v>D864</v>
          </cell>
          <cell r="D409" t="str">
            <v>D117</v>
          </cell>
          <cell r="E409" t="str">
            <v>MX-PD0481 PACHUCA</v>
          </cell>
          <cell r="F409">
            <v>10001073</v>
          </cell>
          <cell r="G409" t="str">
            <v>Arena Triturada Caliza Malla 4</v>
          </cell>
          <cell r="H409">
            <v>95.43</v>
          </cell>
          <cell r="I409">
            <v>-7.95</v>
          </cell>
          <cell r="J409">
            <v>87.48</v>
          </cell>
        </row>
        <row r="410">
          <cell r="B410" t="str">
            <v>D86410001074</v>
          </cell>
          <cell r="C410" t="str">
            <v>D864</v>
          </cell>
          <cell r="D410" t="str">
            <v>D117</v>
          </cell>
          <cell r="E410" t="str">
            <v>MX-PD0481 PACHUCA</v>
          </cell>
          <cell r="F410">
            <v>10001074</v>
          </cell>
          <cell r="G410" t="str">
            <v>Grava Triturada Caliza 40 mm -</v>
          </cell>
          <cell r="H410">
            <v>96.98</v>
          </cell>
          <cell r="I410">
            <v>39.659999999999997</v>
          </cell>
          <cell r="J410">
            <v>136.63999999999999</v>
          </cell>
        </row>
        <row r="411">
          <cell r="B411" t="str">
            <v>D86410000240</v>
          </cell>
          <cell r="C411" t="str">
            <v>D864</v>
          </cell>
          <cell r="D411" t="str">
            <v>D119</v>
          </cell>
          <cell r="E411" t="str">
            <v>MX-PD-404 TOLUCA LERMAS</v>
          </cell>
          <cell r="F411">
            <v>10000240</v>
          </cell>
          <cell r="G411" t="str">
            <v>Grava Triturada Caliza 20 mm -</v>
          </cell>
          <cell r="H411">
            <v>96.98</v>
          </cell>
          <cell r="I411">
            <v>30.19</v>
          </cell>
          <cell r="J411">
            <v>127.17</v>
          </cell>
        </row>
        <row r="412">
          <cell r="B412" t="str">
            <v>D86410000269</v>
          </cell>
          <cell r="C412" t="str">
            <v>D864</v>
          </cell>
          <cell r="D412" t="str">
            <v>D119</v>
          </cell>
          <cell r="E412" t="str">
            <v>MX-PD-404 TOLUCA LERMAS</v>
          </cell>
          <cell r="F412">
            <v>10000269</v>
          </cell>
          <cell r="G412" t="str">
            <v>Grava Triturada Caliza 13 mm -</v>
          </cell>
          <cell r="H412">
            <v>96.98</v>
          </cell>
          <cell r="I412">
            <v>34.22</v>
          </cell>
          <cell r="J412">
            <v>131.19999999999999</v>
          </cell>
        </row>
        <row r="413">
          <cell r="B413" t="str">
            <v>D86410001073</v>
          </cell>
          <cell r="C413" t="str">
            <v>D864</v>
          </cell>
          <cell r="D413" t="str">
            <v>D119</v>
          </cell>
          <cell r="E413" t="str">
            <v>MX-PD-404 TOLUCA LERMAS</v>
          </cell>
          <cell r="F413">
            <v>10001073</v>
          </cell>
          <cell r="G413" t="str">
            <v>Arena Triturada Caliza Malla 4</v>
          </cell>
          <cell r="H413">
            <v>95.43</v>
          </cell>
          <cell r="I413">
            <v>-7.95</v>
          </cell>
          <cell r="J413">
            <v>87.48</v>
          </cell>
        </row>
        <row r="414">
          <cell r="B414" t="str">
            <v>D86410001074</v>
          </cell>
          <cell r="C414" t="str">
            <v>D864</v>
          </cell>
          <cell r="D414" t="str">
            <v>D119</v>
          </cell>
          <cell r="E414" t="str">
            <v>MX-PD-404 TOLUCA LERMAS</v>
          </cell>
          <cell r="F414">
            <v>10001074</v>
          </cell>
          <cell r="G414" t="str">
            <v>Grava Triturada Caliza 40 mm -</v>
          </cell>
          <cell r="H414">
            <v>96.98</v>
          </cell>
          <cell r="I414">
            <v>39.659999999999997</v>
          </cell>
          <cell r="J414">
            <v>136.63999999999999</v>
          </cell>
        </row>
        <row r="415">
          <cell r="B415" t="str">
            <v>D86410000236</v>
          </cell>
          <cell r="C415" t="str">
            <v>D864</v>
          </cell>
          <cell r="D415" t="str">
            <v>D132</v>
          </cell>
          <cell r="E415" t="str">
            <v>MX-PD0208 SAHAGUN</v>
          </cell>
          <cell r="F415">
            <v>10000236</v>
          </cell>
          <cell r="G415" t="str">
            <v>Grava Triturada Caliza 10 mm -</v>
          </cell>
          <cell r="H415">
            <v>96.98</v>
          </cell>
          <cell r="I415">
            <v>23.46</v>
          </cell>
          <cell r="J415">
            <v>120.44</v>
          </cell>
        </row>
        <row r="416">
          <cell r="B416" t="str">
            <v>D86410000240</v>
          </cell>
          <cell r="C416" t="str">
            <v>D864</v>
          </cell>
          <cell r="D416" t="str">
            <v>D132</v>
          </cell>
          <cell r="E416" t="str">
            <v>MX-PD0208 SAHAGUN</v>
          </cell>
          <cell r="F416">
            <v>10000240</v>
          </cell>
          <cell r="G416" t="str">
            <v>Grava Triturada Caliza 20 mm -</v>
          </cell>
          <cell r="H416">
            <v>96.98</v>
          </cell>
          <cell r="I416">
            <v>30.19</v>
          </cell>
          <cell r="J416">
            <v>127.17</v>
          </cell>
        </row>
        <row r="417">
          <cell r="B417" t="str">
            <v>D86410000269</v>
          </cell>
          <cell r="C417" t="str">
            <v>D864</v>
          </cell>
          <cell r="D417" t="str">
            <v>D132</v>
          </cell>
          <cell r="E417" t="str">
            <v>MX-PD0208 SAHAGUN</v>
          </cell>
          <cell r="F417">
            <v>10000269</v>
          </cell>
          <cell r="G417" t="str">
            <v>Grava Triturada Caliza 13 mm -</v>
          </cell>
          <cell r="H417">
            <v>96.98</v>
          </cell>
          <cell r="I417">
            <v>34.22</v>
          </cell>
          <cell r="J417">
            <v>131.19999999999999</v>
          </cell>
        </row>
        <row r="418">
          <cell r="B418" t="str">
            <v>D86410001073</v>
          </cell>
          <cell r="C418" t="str">
            <v>D864</v>
          </cell>
          <cell r="D418" t="str">
            <v>D132</v>
          </cell>
          <cell r="E418" t="str">
            <v>MX-PD0208 SAHAGUN</v>
          </cell>
          <cell r="F418">
            <v>10001073</v>
          </cell>
          <cell r="G418" t="str">
            <v>Arena Triturada Caliza Malla 4</v>
          </cell>
          <cell r="H418">
            <v>95.43</v>
          </cell>
          <cell r="I418">
            <v>-7.95</v>
          </cell>
          <cell r="J418">
            <v>87.48</v>
          </cell>
        </row>
        <row r="419">
          <cell r="B419" t="str">
            <v>D86410001074</v>
          </cell>
          <cell r="C419" t="str">
            <v>D864</v>
          </cell>
          <cell r="D419" t="str">
            <v>D132</v>
          </cell>
          <cell r="E419" t="str">
            <v>MX-PD0208 SAHAGUN</v>
          </cell>
          <cell r="F419">
            <v>10001074</v>
          </cell>
          <cell r="G419" t="str">
            <v>Grava Triturada Caliza 40 mm -</v>
          </cell>
          <cell r="H419">
            <v>96.98</v>
          </cell>
          <cell r="I419">
            <v>39.659999999999997</v>
          </cell>
          <cell r="J419">
            <v>136.63999999999999</v>
          </cell>
        </row>
        <row r="420">
          <cell r="B420" t="str">
            <v>D86410001203</v>
          </cell>
          <cell r="C420" t="str">
            <v>D864</v>
          </cell>
          <cell r="D420" t="str">
            <v>D132</v>
          </cell>
          <cell r="E420" t="str">
            <v>MX-PD0208 SAHAGUN</v>
          </cell>
          <cell r="F420">
            <v>10001203</v>
          </cell>
          <cell r="G420" t="str">
            <v>Desperdicio Triturado Caliza</v>
          </cell>
          <cell r="H420">
            <v>1.1499999999999999</v>
          </cell>
          <cell r="I420">
            <v>21.41</v>
          </cell>
          <cell r="J420">
            <v>22.56</v>
          </cell>
        </row>
        <row r="421">
          <cell r="B421" t="str">
            <v>D86410000240</v>
          </cell>
          <cell r="C421" t="str">
            <v>D864</v>
          </cell>
          <cell r="D421" t="str">
            <v>D134</v>
          </cell>
          <cell r="E421" t="str">
            <v>MX-PD0255 CASAS ARA 2</v>
          </cell>
          <cell r="F421">
            <v>10000240</v>
          </cell>
          <cell r="G421" t="str">
            <v>Grava Triturada Caliza 20 mm -</v>
          </cell>
          <cell r="H421">
            <v>96.98</v>
          </cell>
          <cell r="I421">
            <v>30.19</v>
          </cell>
          <cell r="J421">
            <v>127.17</v>
          </cell>
        </row>
        <row r="422">
          <cell r="B422" t="str">
            <v>D86410000236</v>
          </cell>
          <cell r="C422" t="str">
            <v>D864</v>
          </cell>
          <cell r="D422" t="str">
            <v>D136</v>
          </cell>
          <cell r="E422" t="str">
            <v>MX-PD0237 LA ESTRELLA</v>
          </cell>
          <cell r="F422">
            <v>10000236</v>
          </cell>
          <cell r="G422" t="str">
            <v>Grava Triturada Caliza 10 mm -</v>
          </cell>
          <cell r="H422">
            <v>96.98</v>
          </cell>
          <cell r="I422">
            <v>23.46</v>
          </cell>
          <cell r="J422">
            <v>120.44</v>
          </cell>
        </row>
        <row r="423">
          <cell r="B423" t="str">
            <v>D86410000240</v>
          </cell>
          <cell r="C423" t="str">
            <v>D864</v>
          </cell>
          <cell r="D423" t="str">
            <v>D136</v>
          </cell>
          <cell r="E423" t="str">
            <v>MX-PD0237 LA ESTRELLA</v>
          </cell>
          <cell r="F423">
            <v>10000240</v>
          </cell>
          <cell r="G423" t="str">
            <v>Grava Triturada Caliza 20 mm -</v>
          </cell>
          <cell r="H423">
            <v>96.98</v>
          </cell>
          <cell r="I423">
            <v>30.19</v>
          </cell>
          <cell r="J423">
            <v>127.17</v>
          </cell>
        </row>
        <row r="424">
          <cell r="B424" t="str">
            <v>D86410000269</v>
          </cell>
          <cell r="C424" t="str">
            <v>D864</v>
          </cell>
          <cell r="D424" t="str">
            <v>D136</v>
          </cell>
          <cell r="E424" t="str">
            <v>MX-PD0237 LA ESTRELLA</v>
          </cell>
          <cell r="F424">
            <v>10000269</v>
          </cell>
          <cell r="G424" t="str">
            <v>Grava Triturada Caliza 13 mm -</v>
          </cell>
          <cell r="H424">
            <v>96.98</v>
          </cell>
          <cell r="I424">
            <v>34.22</v>
          </cell>
          <cell r="J424">
            <v>131.19999999999999</v>
          </cell>
        </row>
        <row r="425">
          <cell r="B425" t="str">
            <v>D86410001073</v>
          </cell>
          <cell r="C425" t="str">
            <v>D864</v>
          </cell>
          <cell r="D425" t="str">
            <v>D136</v>
          </cell>
          <cell r="E425" t="str">
            <v>MX-PD0237 LA ESTRELLA</v>
          </cell>
          <cell r="F425">
            <v>10001073</v>
          </cell>
          <cell r="G425" t="str">
            <v>Arena Triturada Caliza Malla 4</v>
          </cell>
          <cell r="H425">
            <v>95.43</v>
          </cell>
          <cell r="I425">
            <v>-7.95</v>
          </cell>
          <cell r="J425">
            <v>87.48</v>
          </cell>
        </row>
        <row r="426">
          <cell r="B426" t="str">
            <v>D86410001074</v>
          </cell>
          <cell r="C426" t="str">
            <v>D864</v>
          </cell>
          <cell r="D426" t="str">
            <v>D136</v>
          </cell>
          <cell r="E426" t="str">
            <v>MX-PD0237 LA ESTRELLA</v>
          </cell>
          <cell r="F426">
            <v>10001074</v>
          </cell>
          <cell r="G426" t="str">
            <v>Grava Triturada Caliza 40 mm -</v>
          </cell>
          <cell r="H426">
            <v>96.98</v>
          </cell>
          <cell r="I426">
            <v>39.659999999999997</v>
          </cell>
          <cell r="J426">
            <v>136.63999999999999</v>
          </cell>
        </row>
        <row r="427">
          <cell r="B427" t="str">
            <v>D86410001203</v>
          </cell>
          <cell r="C427" t="str">
            <v>D864</v>
          </cell>
          <cell r="D427" t="str">
            <v>D136</v>
          </cell>
          <cell r="E427" t="str">
            <v>MX-PD0237 LA ESTRELLA</v>
          </cell>
          <cell r="F427">
            <v>10001203</v>
          </cell>
          <cell r="G427" t="str">
            <v>Desperdicio Triturado Caliza</v>
          </cell>
          <cell r="H427">
            <v>1.1499999999999999</v>
          </cell>
          <cell r="I427">
            <v>21.41</v>
          </cell>
          <cell r="J427">
            <v>22.56</v>
          </cell>
        </row>
        <row r="428">
          <cell r="B428" t="str">
            <v>D86410000236</v>
          </cell>
          <cell r="C428" t="str">
            <v>D864</v>
          </cell>
          <cell r="D428" t="str">
            <v>D137</v>
          </cell>
          <cell r="E428" t="str">
            <v>MX-PD0215 TUXPAN 2</v>
          </cell>
          <cell r="F428">
            <v>10000236</v>
          </cell>
          <cell r="G428" t="str">
            <v>Grava Triturada Caliza 10 mm -</v>
          </cell>
          <cell r="H428">
            <v>96.98</v>
          </cell>
          <cell r="I428">
            <v>23.46</v>
          </cell>
          <cell r="J428">
            <v>120.44</v>
          </cell>
        </row>
        <row r="429">
          <cell r="B429" t="str">
            <v>D86410000240</v>
          </cell>
          <cell r="C429" t="str">
            <v>D864</v>
          </cell>
          <cell r="D429" t="str">
            <v>D137</v>
          </cell>
          <cell r="E429" t="str">
            <v>MX-PD0215 TUXPAN 2</v>
          </cell>
          <cell r="F429">
            <v>10000240</v>
          </cell>
          <cell r="G429" t="str">
            <v>Grava Triturada Caliza 20 mm -</v>
          </cell>
          <cell r="H429">
            <v>96.98</v>
          </cell>
          <cell r="I429">
            <v>30.19</v>
          </cell>
          <cell r="J429">
            <v>127.17</v>
          </cell>
        </row>
        <row r="430">
          <cell r="B430" t="str">
            <v>D86410000269</v>
          </cell>
          <cell r="C430" t="str">
            <v>D864</v>
          </cell>
          <cell r="D430" t="str">
            <v>D137</v>
          </cell>
          <cell r="E430" t="str">
            <v>MX-PD0215 TUXPAN 2</v>
          </cell>
          <cell r="F430">
            <v>10000269</v>
          </cell>
          <cell r="G430" t="str">
            <v>Grava Triturada Caliza 13 mm -</v>
          </cell>
          <cell r="H430">
            <v>96.98</v>
          </cell>
          <cell r="I430">
            <v>34.22</v>
          </cell>
          <cell r="J430">
            <v>131.19999999999999</v>
          </cell>
        </row>
        <row r="431">
          <cell r="B431" t="str">
            <v>D86410001073</v>
          </cell>
          <cell r="C431" t="str">
            <v>D864</v>
          </cell>
          <cell r="D431" t="str">
            <v>D137</v>
          </cell>
          <cell r="E431" t="str">
            <v>MX-PD0215 TUXPAN 2</v>
          </cell>
          <cell r="F431">
            <v>10001073</v>
          </cell>
          <cell r="G431" t="str">
            <v>Arena Triturada Caliza Malla 4</v>
          </cell>
          <cell r="H431">
            <v>95.43</v>
          </cell>
          <cell r="I431">
            <v>-7.95</v>
          </cell>
          <cell r="J431">
            <v>87.48</v>
          </cell>
        </row>
        <row r="432">
          <cell r="B432" t="str">
            <v>D86410001074</v>
          </cell>
          <cell r="C432" t="str">
            <v>D864</v>
          </cell>
          <cell r="D432" t="str">
            <v>D137</v>
          </cell>
          <cell r="E432" t="str">
            <v>MX-PD0215 TUXPAN 2</v>
          </cell>
          <cell r="F432">
            <v>10001074</v>
          </cell>
          <cell r="G432" t="str">
            <v>Grava Triturada Caliza 40 mm -</v>
          </cell>
          <cell r="H432">
            <v>96.98</v>
          </cell>
          <cell r="I432">
            <v>39.659999999999997</v>
          </cell>
          <cell r="J432">
            <v>136.63999999999999</v>
          </cell>
        </row>
        <row r="433">
          <cell r="B433" t="str">
            <v>D86410001203</v>
          </cell>
          <cell r="C433" t="str">
            <v>D864</v>
          </cell>
          <cell r="D433" t="str">
            <v>D137</v>
          </cell>
          <cell r="E433" t="str">
            <v>MX-PD0215 TUXPAN 2</v>
          </cell>
          <cell r="F433">
            <v>10001203</v>
          </cell>
          <cell r="G433" t="str">
            <v>Desperdicio Triturado Caliza</v>
          </cell>
          <cell r="H433">
            <v>1.1499999999999999</v>
          </cell>
          <cell r="I433">
            <v>21.41</v>
          </cell>
          <cell r="J433">
            <v>22.56</v>
          </cell>
        </row>
        <row r="434">
          <cell r="B434" t="str">
            <v>D86410000240</v>
          </cell>
          <cell r="C434" t="str">
            <v>D864</v>
          </cell>
          <cell r="D434" t="str">
            <v>D140</v>
          </cell>
          <cell r="E434" t="str">
            <v>MX-PD0283 LA ESTANCIA</v>
          </cell>
          <cell r="F434">
            <v>10000240</v>
          </cell>
          <cell r="G434" t="str">
            <v>Grava Triturada Caliza 20 mm -</v>
          </cell>
          <cell r="H434">
            <v>96.98</v>
          </cell>
          <cell r="I434">
            <v>30.19</v>
          </cell>
          <cell r="J434">
            <v>127.17</v>
          </cell>
        </row>
        <row r="435">
          <cell r="B435" t="str">
            <v>D86410000269</v>
          </cell>
          <cell r="C435" t="str">
            <v>D864</v>
          </cell>
          <cell r="D435" t="str">
            <v>D140</v>
          </cell>
          <cell r="E435" t="str">
            <v>MX-PD0283 LA ESTANCIA</v>
          </cell>
          <cell r="F435">
            <v>10000269</v>
          </cell>
          <cell r="G435" t="str">
            <v>Grava Triturada Caliza 13 mm -</v>
          </cell>
          <cell r="H435">
            <v>96.98</v>
          </cell>
          <cell r="I435">
            <v>34.22</v>
          </cell>
          <cell r="J435">
            <v>131.19999999999999</v>
          </cell>
        </row>
        <row r="436">
          <cell r="B436" t="str">
            <v>D86410001073</v>
          </cell>
          <cell r="C436" t="str">
            <v>D864</v>
          </cell>
          <cell r="D436" t="str">
            <v>D140</v>
          </cell>
          <cell r="E436" t="str">
            <v>MX-PD0283 LA ESTANCIA</v>
          </cell>
          <cell r="F436">
            <v>10001073</v>
          </cell>
          <cell r="G436" t="str">
            <v>Arena Triturada Caliza Malla 4</v>
          </cell>
          <cell r="H436">
            <v>95.43</v>
          </cell>
          <cell r="I436">
            <v>-7.95</v>
          </cell>
          <cell r="J436">
            <v>87.48</v>
          </cell>
        </row>
        <row r="437">
          <cell r="B437" t="str">
            <v>D86410001074</v>
          </cell>
          <cell r="C437" t="str">
            <v>D864</v>
          </cell>
          <cell r="D437" t="str">
            <v>D140</v>
          </cell>
          <cell r="E437" t="str">
            <v>MX-PD0283 LA ESTANCIA</v>
          </cell>
          <cell r="F437">
            <v>10001074</v>
          </cell>
          <cell r="G437" t="str">
            <v>Grava Triturada Caliza 40 mm -</v>
          </cell>
          <cell r="H437">
            <v>96.98</v>
          </cell>
          <cell r="I437">
            <v>39.659999999999997</v>
          </cell>
          <cell r="J437">
            <v>136.63999999999999</v>
          </cell>
        </row>
        <row r="438">
          <cell r="B438" t="str">
            <v>D86410001203</v>
          </cell>
          <cell r="C438" t="str">
            <v>D864</v>
          </cell>
          <cell r="D438" t="str">
            <v>D140</v>
          </cell>
          <cell r="E438" t="str">
            <v>MX-PD0283 LA ESTANCIA</v>
          </cell>
          <cell r="F438">
            <v>10001203</v>
          </cell>
          <cell r="G438" t="str">
            <v>Desperdicio Triturado Caliza</v>
          </cell>
          <cell r="H438">
            <v>1.1499999999999999</v>
          </cell>
          <cell r="I438">
            <v>21.41</v>
          </cell>
          <cell r="J438">
            <v>22.56</v>
          </cell>
        </row>
        <row r="439">
          <cell r="B439" t="str">
            <v>D8640</v>
          </cell>
          <cell r="C439" t="str">
            <v>D864</v>
          </cell>
          <cell r="D439" t="str">
            <v>D145</v>
          </cell>
          <cell r="E439" t="str">
            <v>MX-PD-458 ECATEPEC II</v>
          </cell>
          <cell r="F439">
            <v>0</v>
          </cell>
          <cell r="G439">
            <v>0</v>
          </cell>
          <cell r="H439">
            <v>0</v>
          </cell>
          <cell r="I439" t="e">
            <v>#N/A</v>
          </cell>
          <cell r="J439" t="e">
            <v>#N/A</v>
          </cell>
        </row>
        <row r="440">
          <cell r="B440" t="str">
            <v>D86410000236</v>
          </cell>
          <cell r="C440" t="str">
            <v>D864</v>
          </cell>
          <cell r="D440" t="str">
            <v>D145</v>
          </cell>
          <cell r="E440" t="str">
            <v>MX-PD-458 ECATEPEC II</v>
          </cell>
          <cell r="F440">
            <v>10000236</v>
          </cell>
          <cell r="G440" t="str">
            <v>Grava Triturada Caliza 10 mm -</v>
          </cell>
          <cell r="H440">
            <v>96.98</v>
          </cell>
          <cell r="I440">
            <v>23.46</v>
          </cell>
          <cell r="J440">
            <v>120.44</v>
          </cell>
        </row>
        <row r="441">
          <cell r="B441" t="str">
            <v>D86410000240</v>
          </cell>
          <cell r="C441" t="str">
            <v>D864</v>
          </cell>
          <cell r="D441" t="str">
            <v>D145</v>
          </cell>
          <cell r="E441" t="str">
            <v>MX-PD-458 ECATEPEC II</v>
          </cell>
          <cell r="F441">
            <v>10000240</v>
          </cell>
          <cell r="G441" t="str">
            <v>Grava Triturada Caliza 20 mm -</v>
          </cell>
          <cell r="H441">
            <v>96.98</v>
          </cell>
          <cell r="I441">
            <v>30.19</v>
          </cell>
          <cell r="J441">
            <v>127.17</v>
          </cell>
        </row>
        <row r="442">
          <cell r="B442" t="str">
            <v>D86410000269</v>
          </cell>
          <cell r="C442" t="str">
            <v>D864</v>
          </cell>
          <cell r="D442" t="str">
            <v>D145</v>
          </cell>
          <cell r="E442" t="str">
            <v>MX-PD-458 ECATEPEC II</v>
          </cell>
          <cell r="F442">
            <v>10000269</v>
          </cell>
          <cell r="G442" t="str">
            <v>Grava Triturada Caliza 13 mm -</v>
          </cell>
          <cell r="H442">
            <v>96.98</v>
          </cell>
          <cell r="I442">
            <v>34.22</v>
          </cell>
          <cell r="J442">
            <v>131.19999999999999</v>
          </cell>
        </row>
        <row r="443">
          <cell r="B443" t="str">
            <v>D86410000301</v>
          </cell>
          <cell r="C443" t="str">
            <v>D864</v>
          </cell>
          <cell r="D443" t="str">
            <v>D145</v>
          </cell>
          <cell r="E443" t="str">
            <v>MX-PD-458 ECATEPEC II</v>
          </cell>
          <cell r="F443">
            <v>10000301</v>
          </cell>
          <cell r="G443" t="str">
            <v>BALASTO DE 3 PULGADAS A FINOS</v>
          </cell>
          <cell r="H443">
            <v>54.06</v>
          </cell>
          <cell r="I443">
            <v>48.73</v>
          </cell>
          <cell r="J443">
            <v>102.78999999999999</v>
          </cell>
        </row>
        <row r="444">
          <cell r="B444" t="str">
            <v>D86410001073</v>
          </cell>
          <cell r="C444" t="str">
            <v>D864</v>
          </cell>
          <cell r="D444" t="str">
            <v>D145</v>
          </cell>
          <cell r="E444" t="str">
            <v>MX-PD-458 ECATEPEC II</v>
          </cell>
          <cell r="F444">
            <v>10001073</v>
          </cell>
          <cell r="G444" t="str">
            <v>Arena Triturada Caliza Malla 4</v>
          </cell>
          <cell r="H444">
            <v>95.43</v>
          </cell>
          <cell r="I444">
            <v>-7.95</v>
          </cell>
          <cell r="J444">
            <v>87.48</v>
          </cell>
        </row>
        <row r="445">
          <cell r="B445" t="str">
            <v>D86410001074</v>
          </cell>
          <cell r="C445" t="str">
            <v>D864</v>
          </cell>
          <cell r="D445" t="str">
            <v>D145</v>
          </cell>
          <cell r="E445" t="str">
            <v>MX-PD-458 ECATEPEC II</v>
          </cell>
          <cell r="F445">
            <v>10001074</v>
          </cell>
          <cell r="G445" t="str">
            <v>Grava Triturada Caliza 40 mm -</v>
          </cell>
          <cell r="H445">
            <v>96.98</v>
          </cell>
          <cell r="I445">
            <v>39.659999999999997</v>
          </cell>
          <cell r="J445">
            <v>136.63999999999999</v>
          </cell>
        </row>
        <row r="446">
          <cell r="B446" t="str">
            <v>D86410001203</v>
          </cell>
          <cell r="C446" t="str">
            <v>D864</v>
          </cell>
          <cell r="D446" t="str">
            <v>D145</v>
          </cell>
          <cell r="E446" t="str">
            <v>MX-PD-458 ECATEPEC II</v>
          </cell>
          <cell r="F446">
            <v>10001203</v>
          </cell>
          <cell r="G446" t="str">
            <v>Desperdicio Triturado Caliza</v>
          </cell>
          <cell r="H446">
            <v>1.1499999999999999</v>
          </cell>
          <cell r="I446">
            <v>7.33</v>
          </cell>
          <cell r="J446">
            <v>8.48</v>
          </cell>
        </row>
        <row r="447">
          <cell r="B447" t="str">
            <v>D86410070027</v>
          </cell>
          <cell r="C447" t="str">
            <v>D864</v>
          </cell>
          <cell r="D447" t="str">
            <v>D145</v>
          </cell>
          <cell r="E447" t="str">
            <v>MX-PD-458 ECATEPEC II</v>
          </cell>
          <cell r="F447">
            <v>10070027</v>
          </cell>
          <cell r="G447" t="str">
            <v>BALASTO TRITURADO CALIZA 6"</v>
          </cell>
          <cell r="H447">
            <v>54.06</v>
          </cell>
          <cell r="I447">
            <v>17.2</v>
          </cell>
          <cell r="J447">
            <v>71.260000000000005</v>
          </cell>
        </row>
        <row r="448">
          <cell r="B448" t="str">
            <v>D86410000236</v>
          </cell>
          <cell r="C448" t="str">
            <v>D864</v>
          </cell>
          <cell r="D448" t="str">
            <v>D681</v>
          </cell>
          <cell r="E448" t="str">
            <v>MX-PD0639 TULTEPEC</v>
          </cell>
          <cell r="F448">
            <v>10000236</v>
          </cell>
          <cell r="G448" t="str">
            <v>Grava Triturada Caliza 10 mm -</v>
          </cell>
          <cell r="H448">
            <v>96.98</v>
          </cell>
          <cell r="I448">
            <v>23.46</v>
          </cell>
          <cell r="J448">
            <v>120.44</v>
          </cell>
        </row>
        <row r="449">
          <cell r="B449" t="str">
            <v>D86410000240</v>
          </cell>
          <cell r="C449" t="str">
            <v>D864</v>
          </cell>
          <cell r="D449" t="str">
            <v>D681</v>
          </cell>
          <cell r="E449" t="str">
            <v>MX-PD0639 TULTEPEC</v>
          </cell>
          <cell r="F449">
            <v>10000240</v>
          </cell>
          <cell r="G449" t="str">
            <v>Grava Triturada Caliza 20 mm -</v>
          </cell>
          <cell r="H449">
            <v>96.98</v>
          </cell>
          <cell r="I449">
            <v>30.19</v>
          </cell>
          <cell r="J449">
            <v>127.17</v>
          </cell>
        </row>
        <row r="450">
          <cell r="B450" t="str">
            <v>D86410000269</v>
          </cell>
          <cell r="C450" t="str">
            <v>D864</v>
          </cell>
          <cell r="D450" t="str">
            <v>D681</v>
          </cell>
          <cell r="E450" t="str">
            <v>MX-PD0639 TULTEPEC</v>
          </cell>
          <cell r="F450">
            <v>10000269</v>
          </cell>
          <cell r="G450" t="str">
            <v>Grava Triturada Caliza 13 mm -</v>
          </cell>
          <cell r="H450">
            <v>96.98</v>
          </cell>
          <cell r="I450">
            <v>34.22</v>
          </cell>
          <cell r="J450">
            <v>131.19999999999999</v>
          </cell>
        </row>
        <row r="451">
          <cell r="B451" t="str">
            <v>D86410001073</v>
          </cell>
          <cell r="C451" t="str">
            <v>D864</v>
          </cell>
          <cell r="D451" t="str">
            <v>D681</v>
          </cell>
          <cell r="E451" t="str">
            <v>MX-PD0639 TULTEPEC</v>
          </cell>
          <cell r="F451">
            <v>10001073</v>
          </cell>
          <cell r="G451" t="str">
            <v>Arena Triturada Caliza Malla 4</v>
          </cell>
          <cell r="H451">
            <v>95.43</v>
          </cell>
          <cell r="I451">
            <v>-7.95</v>
          </cell>
          <cell r="J451">
            <v>87.48</v>
          </cell>
        </row>
        <row r="452">
          <cell r="B452" t="str">
            <v>D86410001074</v>
          </cell>
          <cell r="C452" t="str">
            <v>D864</v>
          </cell>
          <cell r="D452" t="str">
            <v>D681</v>
          </cell>
          <cell r="E452" t="str">
            <v>MX-PD0639 TULTEPEC</v>
          </cell>
          <cell r="F452">
            <v>10001074</v>
          </cell>
          <cell r="G452" t="str">
            <v>Grava Triturada Caliza 40 mm -</v>
          </cell>
          <cell r="H452">
            <v>96.98</v>
          </cell>
          <cell r="I452">
            <v>39.659999999999997</v>
          </cell>
          <cell r="J452">
            <v>136.63999999999999</v>
          </cell>
        </row>
        <row r="453">
          <cell r="B453" t="str">
            <v>D86410172785</v>
          </cell>
          <cell r="C453" t="str">
            <v>D864</v>
          </cell>
          <cell r="D453" t="str">
            <v>ENAN</v>
          </cell>
          <cell r="E453" t="str">
            <v>MX-Hospital General de Zona -</v>
          </cell>
          <cell r="F453">
            <v>10172785</v>
          </cell>
          <cell r="G453" t="str">
            <v>BASE HIDRÁULICA 60%FINOS-40%GR</v>
          </cell>
          <cell r="H453">
            <v>100</v>
          </cell>
          <cell r="I453" t="e">
            <v>#N/A</v>
          </cell>
          <cell r="J453" t="e">
            <v>#N/A</v>
          </cell>
        </row>
        <row r="454">
          <cell r="B454" t="str">
            <v>D86410173784</v>
          </cell>
          <cell r="C454" t="str">
            <v>D864</v>
          </cell>
          <cell r="D454" t="str">
            <v>ENAN</v>
          </cell>
          <cell r="E454" t="str">
            <v>MX-Hospital General de Zona -</v>
          </cell>
          <cell r="F454">
            <v>10173784</v>
          </cell>
          <cell r="G454" t="str">
            <v>BASE HIDRÁULICA 80%FINOS-20%GR</v>
          </cell>
          <cell r="H454">
            <v>100</v>
          </cell>
          <cell r="I454" t="e">
            <v>#N/A</v>
          </cell>
          <cell r="J454" t="e">
            <v>#N/A</v>
          </cell>
        </row>
        <row r="455">
          <cell r="B455" t="str">
            <v>D87310000236</v>
          </cell>
          <cell r="C455" t="str">
            <v>D873</v>
          </cell>
          <cell r="D455" t="str">
            <v>D074</v>
          </cell>
          <cell r="E455" t="str">
            <v>MX-PD-063 CENTRAL</v>
          </cell>
          <cell r="F455">
            <v>10000236</v>
          </cell>
          <cell r="G455" t="str">
            <v>Grava Triturada Caliza 10 mm -</v>
          </cell>
          <cell r="H455">
            <v>111.87</v>
          </cell>
          <cell r="I455">
            <v>173.59</v>
          </cell>
          <cell r="J455">
            <v>285.46000000000004</v>
          </cell>
        </row>
        <row r="456">
          <cell r="B456" t="str">
            <v>D87310000240</v>
          </cell>
          <cell r="C456" t="str">
            <v>D873</v>
          </cell>
          <cell r="D456" t="str">
            <v>D074</v>
          </cell>
          <cell r="E456" t="str">
            <v>MX-PD-063 CENTRAL</v>
          </cell>
          <cell r="F456">
            <v>10000240</v>
          </cell>
          <cell r="G456" t="str">
            <v>Grava Triturada Caliza 20 mm -</v>
          </cell>
          <cell r="H456">
            <v>111.87</v>
          </cell>
          <cell r="I456">
            <v>147.80000000000001</v>
          </cell>
          <cell r="J456">
            <v>259.67</v>
          </cell>
        </row>
        <row r="457">
          <cell r="B457" t="str">
            <v>D87310001073</v>
          </cell>
          <cell r="C457" t="str">
            <v>D873</v>
          </cell>
          <cell r="D457" t="str">
            <v>D074</v>
          </cell>
          <cell r="E457" t="str">
            <v>MX-PD-063 CENTRAL</v>
          </cell>
          <cell r="F457">
            <v>10001073</v>
          </cell>
          <cell r="G457" t="str">
            <v>Arena Triturada Caliza Malla 4</v>
          </cell>
          <cell r="H457">
            <v>121.1</v>
          </cell>
          <cell r="I457">
            <v>75.78</v>
          </cell>
          <cell r="J457">
            <v>196.88</v>
          </cell>
        </row>
        <row r="458">
          <cell r="B458" t="str">
            <v>D87310000236</v>
          </cell>
          <cell r="C458" t="str">
            <v>D873</v>
          </cell>
          <cell r="D458" t="str">
            <v>D075</v>
          </cell>
          <cell r="E458" t="str">
            <v>MX-PD-065 CEYLAN</v>
          </cell>
          <cell r="F458">
            <v>10000236</v>
          </cell>
          <cell r="G458" t="str">
            <v>Grava Triturada Caliza 10 mm -</v>
          </cell>
          <cell r="H458">
            <v>111.87</v>
          </cell>
          <cell r="I458">
            <v>173.59</v>
          </cell>
          <cell r="J458">
            <v>285.46000000000004</v>
          </cell>
        </row>
        <row r="459">
          <cell r="B459" t="str">
            <v>D87310000240</v>
          </cell>
          <cell r="C459" t="str">
            <v>D873</v>
          </cell>
          <cell r="D459" t="str">
            <v>D075</v>
          </cell>
          <cell r="E459" t="str">
            <v>MX-PD-065 CEYLAN</v>
          </cell>
          <cell r="F459">
            <v>10000240</v>
          </cell>
          <cell r="G459" t="str">
            <v>Grava Triturada Caliza 20 mm -</v>
          </cell>
          <cell r="H459">
            <v>111.87</v>
          </cell>
          <cell r="I459">
            <v>147.80000000000001</v>
          </cell>
          <cell r="J459">
            <v>259.67</v>
          </cell>
        </row>
        <row r="460">
          <cell r="B460" t="str">
            <v>D87310001073</v>
          </cell>
          <cell r="C460" t="str">
            <v>D873</v>
          </cell>
          <cell r="D460" t="str">
            <v>D075</v>
          </cell>
          <cell r="E460" t="str">
            <v>MX-PD-065 CEYLAN</v>
          </cell>
          <cell r="F460">
            <v>10001073</v>
          </cell>
          <cell r="G460" t="str">
            <v>Arena Triturada Caliza Malla 4</v>
          </cell>
          <cell r="H460">
            <v>121.1</v>
          </cell>
          <cell r="I460">
            <v>75.78</v>
          </cell>
          <cell r="J460">
            <v>196.88</v>
          </cell>
        </row>
        <row r="461">
          <cell r="B461" t="str">
            <v>D87310000236</v>
          </cell>
          <cell r="C461" t="str">
            <v>D873</v>
          </cell>
          <cell r="D461" t="str">
            <v>D077</v>
          </cell>
          <cell r="E461" t="str">
            <v>MX-PD-067 LOS REYES</v>
          </cell>
          <cell r="F461">
            <v>10000236</v>
          </cell>
          <cell r="G461" t="str">
            <v>Grava Triturada Caliza 10 mm -</v>
          </cell>
          <cell r="H461">
            <v>111.87</v>
          </cell>
          <cell r="I461">
            <v>173.59</v>
          </cell>
          <cell r="J461">
            <v>285.46000000000004</v>
          </cell>
        </row>
        <row r="462">
          <cell r="B462" t="str">
            <v>D87310000240</v>
          </cell>
          <cell r="C462" t="str">
            <v>D873</v>
          </cell>
          <cell r="D462" t="str">
            <v>D077</v>
          </cell>
          <cell r="E462" t="str">
            <v>MX-PD-067 LOS REYES</v>
          </cell>
          <cell r="F462">
            <v>10000240</v>
          </cell>
          <cell r="G462" t="str">
            <v>Grava Triturada Caliza 20 mm -</v>
          </cell>
          <cell r="H462">
            <v>111.87</v>
          </cell>
          <cell r="I462">
            <v>147.80000000000001</v>
          </cell>
          <cell r="J462">
            <v>259.67</v>
          </cell>
        </row>
        <row r="463">
          <cell r="B463" t="str">
            <v>D87310001073</v>
          </cell>
          <cell r="C463" t="str">
            <v>D873</v>
          </cell>
          <cell r="D463" t="str">
            <v>D077</v>
          </cell>
          <cell r="E463" t="str">
            <v>MX-PD-067 LOS REYES</v>
          </cell>
          <cell r="F463">
            <v>10001073</v>
          </cell>
          <cell r="G463" t="str">
            <v>Arena Triturada Caliza Malla 4</v>
          </cell>
          <cell r="H463">
            <v>121.1</v>
          </cell>
          <cell r="I463">
            <v>75.78</v>
          </cell>
          <cell r="J463">
            <v>196.88</v>
          </cell>
        </row>
        <row r="464">
          <cell r="B464" t="str">
            <v>D87310000236</v>
          </cell>
          <cell r="C464" t="str">
            <v>D873</v>
          </cell>
          <cell r="D464" t="str">
            <v>D079</v>
          </cell>
          <cell r="E464" t="str">
            <v>MX-PD-071 XOCHIMILCO</v>
          </cell>
          <cell r="F464">
            <v>10000236</v>
          </cell>
          <cell r="G464" t="str">
            <v>Grava Triturada Caliza 10 mm -</v>
          </cell>
          <cell r="H464">
            <v>111.87</v>
          </cell>
          <cell r="I464">
            <v>173.59</v>
          </cell>
          <cell r="J464">
            <v>285.46000000000004</v>
          </cell>
        </row>
        <row r="465">
          <cell r="B465" t="str">
            <v>D87310000240</v>
          </cell>
          <cell r="C465" t="str">
            <v>D873</v>
          </cell>
          <cell r="D465" t="str">
            <v>D079</v>
          </cell>
          <cell r="E465" t="str">
            <v>MX-PD-071 XOCHIMILCO</v>
          </cell>
          <cell r="F465">
            <v>10000240</v>
          </cell>
          <cell r="G465" t="str">
            <v>Grava Triturada Caliza 20 mm -</v>
          </cell>
          <cell r="H465">
            <v>111.87</v>
          </cell>
          <cell r="I465">
            <v>147.80000000000001</v>
          </cell>
          <cell r="J465">
            <v>259.67</v>
          </cell>
        </row>
        <row r="466">
          <cell r="B466" t="str">
            <v>D87310001073</v>
          </cell>
          <cell r="C466" t="str">
            <v>D873</v>
          </cell>
          <cell r="D466" t="str">
            <v>D079</v>
          </cell>
          <cell r="E466" t="str">
            <v>MX-PD-071 XOCHIMILCO</v>
          </cell>
          <cell r="F466">
            <v>10001073</v>
          </cell>
          <cell r="G466" t="str">
            <v>Arena Triturada Caliza Malla 4</v>
          </cell>
          <cell r="H466">
            <v>121.1</v>
          </cell>
          <cell r="I466">
            <v>75.78</v>
          </cell>
          <cell r="J466">
            <v>196.88</v>
          </cell>
        </row>
        <row r="467">
          <cell r="B467" t="str">
            <v>D87310000236</v>
          </cell>
          <cell r="C467" t="str">
            <v>D873</v>
          </cell>
          <cell r="D467" t="str">
            <v>D080</v>
          </cell>
          <cell r="E467" t="str">
            <v>MX-PD-086 VALLEJO</v>
          </cell>
          <cell r="F467">
            <v>10000236</v>
          </cell>
          <cell r="G467" t="str">
            <v>Grava Triturada Caliza 10 mm -</v>
          </cell>
          <cell r="H467">
            <v>111.87</v>
          </cell>
          <cell r="I467">
            <v>173.59</v>
          </cell>
          <cell r="J467">
            <v>285.46000000000004</v>
          </cell>
        </row>
        <row r="468">
          <cell r="B468" t="str">
            <v>D87310000240</v>
          </cell>
          <cell r="C468" t="str">
            <v>D873</v>
          </cell>
          <cell r="D468" t="str">
            <v>D080</v>
          </cell>
          <cell r="E468" t="str">
            <v>MX-PD-086 VALLEJO</v>
          </cell>
          <cell r="F468">
            <v>10000240</v>
          </cell>
          <cell r="G468" t="str">
            <v>Grava Triturada Caliza 20 mm -</v>
          </cell>
          <cell r="H468">
            <v>111.87</v>
          </cell>
          <cell r="I468">
            <v>147.80000000000001</v>
          </cell>
          <cell r="J468">
            <v>259.67</v>
          </cell>
        </row>
        <row r="469">
          <cell r="B469" t="str">
            <v>D87310001073</v>
          </cell>
          <cell r="C469" t="str">
            <v>D873</v>
          </cell>
          <cell r="D469" t="str">
            <v>D080</v>
          </cell>
          <cell r="E469" t="str">
            <v>MX-PD-086 VALLEJO</v>
          </cell>
          <cell r="F469">
            <v>10001073</v>
          </cell>
          <cell r="G469" t="str">
            <v>Arena Triturada Caliza Malla 4</v>
          </cell>
          <cell r="H469">
            <v>121.1</v>
          </cell>
          <cell r="I469">
            <v>75.78</v>
          </cell>
          <cell r="J469">
            <v>196.88</v>
          </cell>
        </row>
        <row r="470">
          <cell r="B470" t="str">
            <v>D87310000236</v>
          </cell>
          <cell r="C470" t="str">
            <v>D873</v>
          </cell>
          <cell r="D470" t="str">
            <v>D081</v>
          </cell>
          <cell r="E470" t="str">
            <v>MX-PD-088 ARMAS</v>
          </cell>
          <cell r="F470">
            <v>10000236</v>
          </cell>
          <cell r="G470" t="str">
            <v>Grava Triturada Caliza 10 mm -</v>
          </cell>
          <cell r="H470">
            <v>111.87</v>
          </cell>
          <cell r="I470">
            <v>173.59</v>
          </cell>
          <cell r="J470">
            <v>285.46000000000004</v>
          </cell>
        </row>
        <row r="471">
          <cell r="B471" t="str">
            <v>D87310000240</v>
          </cell>
          <cell r="C471" t="str">
            <v>D873</v>
          </cell>
          <cell r="D471" t="str">
            <v>D081</v>
          </cell>
          <cell r="E471" t="str">
            <v>MX-PD-088 ARMAS</v>
          </cell>
          <cell r="F471">
            <v>10000240</v>
          </cell>
          <cell r="G471" t="str">
            <v>Grava Triturada Caliza 20 mm -</v>
          </cell>
          <cell r="H471">
            <v>111.87</v>
          </cell>
          <cell r="I471">
            <v>147.80000000000001</v>
          </cell>
          <cell r="J471">
            <v>259.67</v>
          </cell>
        </row>
        <row r="472">
          <cell r="B472" t="str">
            <v>D87310001073</v>
          </cell>
          <cell r="C472" t="str">
            <v>D873</v>
          </cell>
          <cell r="D472" t="str">
            <v>D081</v>
          </cell>
          <cell r="E472" t="str">
            <v>MX-PD-088 ARMAS</v>
          </cell>
          <cell r="F472">
            <v>10001073</v>
          </cell>
          <cell r="G472" t="str">
            <v>Arena Triturada Caliza Malla 4</v>
          </cell>
          <cell r="H472">
            <v>121.1</v>
          </cell>
          <cell r="I472">
            <v>75.78</v>
          </cell>
          <cell r="J472">
            <v>196.88</v>
          </cell>
        </row>
        <row r="473">
          <cell r="B473" t="str">
            <v>D87310000236</v>
          </cell>
          <cell r="C473" t="str">
            <v>D873</v>
          </cell>
          <cell r="D473" t="str">
            <v>D083</v>
          </cell>
          <cell r="E473" t="str">
            <v>MX-PD-099 MINAS</v>
          </cell>
          <cell r="F473">
            <v>10000236</v>
          </cell>
          <cell r="G473" t="str">
            <v>Grava Triturada Caliza 10 mm -</v>
          </cell>
          <cell r="H473">
            <v>111.87</v>
          </cell>
          <cell r="I473">
            <v>173.59</v>
          </cell>
          <cell r="J473">
            <v>285.46000000000004</v>
          </cell>
        </row>
        <row r="474">
          <cell r="B474" t="str">
            <v>D87310000240</v>
          </cell>
          <cell r="C474" t="str">
            <v>D873</v>
          </cell>
          <cell r="D474" t="str">
            <v>D083</v>
          </cell>
          <cell r="E474" t="str">
            <v>MX-PD-099 MINAS</v>
          </cell>
          <cell r="F474">
            <v>10000240</v>
          </cell>
          <cell r="G474" t="str">
            <v>Grava Triturada Caliza 20 mm -</v>
          </cell>
          <cell r="H474">
            <v>111.87</v>
          </cell>
          <cell r="I474">
            <v>147.80000000000001</v>
          </cell>
          <cell r="J474">
            <v>259.67</v>
          </cell>
        </row>
        <row r="475">
          <cell r="B475" t="str">
            <v>D87310001073</v>
          </cell>
          <cell r="C475" t="str">
            <v>D873</v>
          </cell>
          <cell r="D475" t="str">
            <v>D083</v>
          </cell>
          <cell r="E475" t="str">
            <v>MX-PD-099 MINAS</v>
          </cell>
          <cell r="F475">
            <v>10001073</v>
          </cell>
          <cell r="G475" t="str">
            <v>Arena Triturada Caliza Malla 4</v>
          </cell>
          <cell r="H475">
            <v>121.1</v>
          </cell>
          <cell r="I475">
            <v>75.78</v>
          </cell>
          <cell r="J475">
            <v>196.88</v>
          </cell>
        </row>
        <row r="476">
          <cell r="B476" t="str">
            <v>D87310000236</v>
          </cell>
          <cell r="C476" t="str">
            <v>D873</v>
          </cell>
          <cell r="D476" t="str">
            <v>D084</v>
          </cell>
          <cell r="E476" t="str">
            <v>MX-PD-186 IZTAPALAPA</v>
          </cell>
          <cell r="F476">
            <v>10000236</v>
          </cell>
          <cell r="G476" t="str">
            <v>Grava Triturada Caliza 10 mm -</v>
          </cell>
          <cell r="H476">
            <v>111.87</v>
          </cell>
          <cell r="I476">
            <v>173.59</v>
          </cell>
          <cell r="J476">
            <v>285.46000000000004</v>
          </cell>
        </row>
        <row r="477">
          <cell r="B477" t="str">
            <v>D87310000240</v>
          </cell>
          <cell r="C477" t="str">
            <v>D873</v>
          </cell>
          <cell r="D477" t="str">
            <v>D084</v>
          </cell>
          <cell r="E477" t="str">
            <v>MX-PD-186 IZTAPALAPA</v>
          </cell>
          <cell r="F477">
            <v>10000240</v>
          </cell>
          <cell r="G477" t="str">
            <v>Grava Triturada Caliza 20 mm -</v>
          </cell>
          <cell r="H477">
            <v>111.87</v>
          </cell>
          <cell r="I477">
            <v>147.80000000000001</v>
          </cell>
          <cell r="J477">
            <v>259.67</v>
          </cell>
        </row>
        <row r="478">
          <cell r="B478" t="str">
            <v>D87310001073</v>
          </cell>
          <cell r="C478" t="str">
            <v>D873</v>
          </cell>
          <cell r="D478" t="str">
            <v>D084</v>
          </cell>
          <cell r="E478" t="str">
            <v>MX-PD-186 IZTAPALAPA</v>
          </cell>
          <cell r="F478">
            <v>10001073</v>
          </cell>
          <cell r="G478" t="str">
            <v>Arena Triturada Caliza Malla 4</v>
          </cell>
          <cell r="H478">
            <v>121.1</v>
          </cell>
          <cell r="I478">
            <v>75.78</v>
          </cell>
          <cell r="J478">
            <v>196.88</v>
          </cell>
        </row>
        <row r="479">
          <cell r="B479" t="str">
            <v>D87310000236</v>
          </cell>
          <cell r="C479" t="str">
            <v>D873</v>
          </cell>
          <cell r="D479" t="str">
            <v>D085</v>
          </cell>
          <cell r="E479" t="str">
            <v>MX-PD0189 ROJO GOMEZ</v>
          </cell>
          <cell r="F479">
            <v>10000236</v>
          </cell>
          <cell r="G479" t="str">
            <v>Grava Triturada Caliza 10 mm -</v>
          </cell>
          <cell r="H479">
            <v>111.87</v>
          </cell>
          <cell r="I479">
            <v>173.59</v>
          </cell>
          <cell r="J479">
            <v>285.46000000000004</v>
          </cell>
        </row>
        <row r="480">
          <cell r="B480" t="str">
            <v>D87310000240</v>
          </cell>
          <cell r="C480" t="str">
            <v>D873</v>
          </cell>
          <cell r="D480" t="str">
            <v>D085</v>
          </cell>
          <cell r="E480" t="str">
            <v>MX-PD0189 ROJO GOMEZ</v>
          </cell>
          <cell r="F480">
            <v>10000240</v>
          </cell>
          <cell r="G480" t="str">
            <v>Grava Triturada Caliza 20 mm -</v>
          </cell>
          <cell r="H480">
            <v>111.87</v>
          </cell>
          <cell r="I480">
            <v>147.80000000000001</v>
          </cell>
          <cell r="J480">
            <v>259.67</v>
          </cell>
        </row>
        <row r="481">
          <cell r="B481" t="str">
            <v>D87310001073</v>
          </cell>
          <cell r="C481" t="str">
            <v>D873</v>
          </cell>
          <cell r="D481" t="str">
            <v>D085</v>
          </cell>
          <cell r="E481" t="str">
            <v>MX-PD0189 ROJO GOMEZ</v>
          </cell>
          <cell r="F481">
            <v>10001073</v>
          </cell>
          <cell r="G481" t="str">
            <v>Arena Triturada Caliza Malla 4</v>
          </cell>
          <cell r="H481">
            <v>121.1</v>
          </cell>
          <cell r="I481">
            <v>75.78</v>
          </cell>
          <cell r="J481">
            <v>196.88</v>
          </cell>
        </row>
        <row r="482">
          <cell r="B482" t="str">
            <v>D87310000236</v>
          </cell>
          <cell r="C482" t="str">
            <v>D873</v>
          </cell>
          <cell r="D482" t="str">
            <v>D086</v>
          </cell>
          <cell r="E482" t="str">
            <v>MX-PD-190 XALOSTC</v>
          </cell>
          <cell r="F482">
            <v>10000236</v>
          </cell>
          <cell r="G482" t="str">
            <v>Grava Triturada Caliza 10 mm -</v>
          </cell>
          <cell r="H482">
            <v>111.87</v>
          </cell>
          <cell r="I482">
            <v>173.59</v>
          </cell>
          <cell r="J482">
            <v>285.46000000000004</v>
          </cell>
        </row>
        <row r="483">
          <cell r="B483" t="str">
            <v>D87310000240</v>
          </cell>
          <cell r="C483" t="str">
            <v>D873</v>
          </cell>
          <cell r="D483" t="str">
            <v>D086</v>
          </cell>
          <cell r="E483" t="str">
            <v>MX-PD-190 XALOSTC</v>
          </cell>
          <cell r="F483">
            <v>10000240</v>
          </cell>
          <cell r="G483" t="str">
            <v>Grava Triturada Caliza 20 mm -</v>
          </cell>
          <cell r="H483">
            <v>111.87</v>
          </cell>
          <cell r="I483">
            <v>147.80000000000001</v>
          </cell>
          <cell r="J483">
            <v>259.67</v>
          </cell>
        </row>
        <row r="484">
          <cell r="B484" t="str">
            <v>D87310001073</v>
          </cell>
          <cell r="C484" t="str">
            <v>D873</v>
          </cell>
          <cell r="D484" t="str">
            <v>D086</v>
          </cell>
          <cell r="E484" t="str">
            <v>MX-PD-190 XALOSTC</v>
          </cell>
          <cell r="F484">
            <v>10001073</v>
          </cell>
          <cell r="G484" t="str">
            <v>Arena Triturada Caliza Malla 4</v>
          </cell>
          <cell r="H484">
            <v>121.1</v>
          </cell>
          <cell r="I484">
            <v>75.78</v>
          </cell>
          <cell r="J484">
            <v>196.88</v>
          </cell>
        </row>
        <row r="485">
          <cell r="B485" t="str">
            <v>D87310000240</v>
          </cell>
          <cell r="C485" t="str">
            <v>D873</v>
          </cell>
          <cell r="D485" t="str">
            <v>D093</v>
          </cell>
          <cell r="E485" t="str">
            <v>MX-PD0556 ZUMPANGO</v>
          </cell>
          <cell r="F485">
            <v>10000240</v>
          </cell>
          <cell r="G485" t="str">
            <v>Grava Triturada Caliza 20 mm -</v>
          </cell>
          <cell r="H485">
            <v>111.87</v>
          </cell>
          <cell r="I485">
            <v>147.80000000000001</v>
          </cell>
          <cell r="J485">
            <v>259.67</v>
          </cell>
        </row>
        <row r="486">
          <cell r="B486" t="str">
            <v>D87310000240</v>
          </cell>
          <cell r="C486" t="str">
            <v>D873</v>
          </cell>
          <cell r="D486" t="str">
            <v>D098</v>
          </cell>
          <cell r="E486" t="str">
            <v>MX-PD-315 CUAUTITLAN II</v>
          </cell>
          <cell r="F486">
            <v>10000240</v>
          </cell>
          <cell r="G486" t="str">
            <v>Grava Triturada Caliza 20 mm -</v>
          </cell>
          <cell r="H486">
            <v>111.87</v>
          </cell>
          <cell r="I486">
            <v>147.80000000000001</v>
          </cell>
          <cell r="J486">
            <v>259.67</v>
          </cell>
        </row>
        <row r="487">
          <cell r="B487" t="str">
            <v>D87310001073</v>
          </cell>
          <cell r="C487" t="str">
            <v>D873</v>
          </cell>
          <cell r="D487" t="str">
            <v>D098</v>
          </cell>
          <cell r="E487" t="str">
            <v>MX-PD-315 CUAUTITLAN II</v>
          </cell>
          <cell r="F487">
            <v>10001073</v>
          </cell>
          <cell r="G487" t="str">
            <v>Arena Triturada Caliza Malla 4</v>
          </cell>
          <cell r="H487">
            <v>121.1</v>
          </cell>
          <cell r="I487">
            <v>75.78</v>
          </cell>
          <cell r="J487">
            <v>196.88</v>
          </cell>
        </row>
        <row r="488">
          <cell r="B488" t="str">
            <v>D87310000236</v>
          </cell>
          <cell r="C488" t="str">
            <v>D873</v>
          </cell>
          <cell r="D488" t="str">
            <v>D105</v>
          </cell>
          <cell r="E488" t="str">
            <v>MX-PD-331 NAUCALPAN II</v>
          </cell>
          <cell r="F488">
            <v>10000236</v>
          </cell>
          <cell r="G488" t="str">
            <v>Grava Triturada Caliza 10 mm -</v>
          </cell>
          <cell r="H488">
            <v>111.87</v>
          </cell>
          <cell r="I488">
            <v>173.59</v>
          </cell>
          <cell r="J488">
            <v>285.46000000000004</v>
          </cell>
        </row>
        <row r="489">
          <cell r="B489" t="str">
            <v>D87310000240</v>
          </cell>
          <cell r="C489" t="str">
            <v>D873</v>
          </cell>
          <cell r="D489" t="str">
            <v>D105</v>
          </cell>
          <cell r="E489" t="str">
            <v>MX-PD-331 NAUCALPAN II</v>
          </cell>
          <cell r="F489">
            <v>10000240</v>
          </cell>
          <cell r="G489" t="str">
            <v>Grava Triturada Caliza 20 mm -</v>
          </cell>
          <cell r="H489">
            <v>111.87</v>
          </cell>
          <cell r="I489">
            <v>147.80000000000001</v>
          </cell>
          <cell r="J489">
            <v>259.67</v>
          </cell>
        </row>
        <row r="490">
          <cell r="B490" t="str">
            <v>D87310001073</v>
          </cell>
          <cell r="C490" t="str">
            <v>D873</v>
          </cell>
          <cell r="D490" t="str">
            <v>D105</v>
          </cell>
          <cell r="E490" t="str">
            <v>MX-PD-331 NAUCALPAN II</v>
          </cell>
          <cell r="F490">
            <v>10001073</v>
          </cell>
          <cell r="G490" t="str">
            <v>Arena Triturada Caliza Malla 4</v>
          </cell>
          <cell r="H490">
            <v>121.1</v>
          </cell>
          <cell r="I490">
            <v>75.78</v>
          </cell>
          <cell r="J490">
            <v>196.88</v>
          </cell>
        </row>
        <row r="491">
          <cell r="B491" t="str">
            <v>D87310000236</v>
          </cell>
          <cell r="C491" t="str">
            <v>D873</v>
          </cell>
          <cell r="D491" t="str">
            <v>D110</v>
          </cell>
          <cell r="E491" t="str">
            <v>MX-PD0338 TEPEJI 2</v>
          </cell>
          <cell r="F491">
            <v>10000236</v>
          </cell>
          <cell r="G491" t="str">
            <v>Grava Triturada Caliza 10 mm -</v>
          </cell>
          <cell r="H491">
            <v>111.87</v>
          </cell>
          <cell r="I491">
            <v>173.59</v>
          </cell>
          <cell r="J491">
            <v>285.46000000000004</v>
          </cell>
        </row>
        <row r="492">
          <cell r="B492" t="str">
            <v>D87310000240</v>
          </cell>
          <cell r="C492" t="str">
            <v>D873</v>
          </cell>
          <cell r="D492" t="str">
            <v>D110</v>
          </cell>
          <cell r="E492" t="str">
            <v>MX-PD0338 TEPEJI 2</v>
          </cell>
          <cell r="F492">
            <v>10000240</v>
          </cell>
          <cell r="G492" t="str">
            <v>Grava Triturada Caliza 20 mm -</v>
          </cell>
          <cell r="H492">
            <v>111.87</v>
          </cell>
          <cell r="I492">
            <v>147.80000000000001</v>
          </cell>
          <cell r="J492">
            <v>259.67</v>
          </cell>
        </row>
        <row r="493">
          <cell r="B493" t="str">
            <v>D87310001073</v>
          </cell>
          <cell r="C493" t="str">
            <v>D873</v>
          </cell>
          <cell r="D493" t="str">
            <v>D110</v>
          </cell>
          <cell r="E493" t="str">
            <v>MX-PD0338 TEPEJI 2</v>
          </cell>
          <cell r="F493">
            <v>10001073</v>
          </cell>
          <cell r="G493" t="str">
            <v>Arena Triturada Caliza Malla 4</v>
          </cell>
          <cell r="H493">
            <v>121.1</v>
          </cell>
          <cell r="I493">
            <v>75.78</v>
          </cell>
          <cell r="J493">
            <v>196.88</v>
          </cell>
        </row>
        <row r="494">
          <cell r="B494" t="str">
            <v>D87310000240</v>
          </cell>
          <cell r="C494" t="str">
            <v>D873</v>
          </cell>
          <cell r="D494" t="str">
            <v>D111</v>
          </cell>
          <cell r="E494" t="str">
            <v>MX-PD0317 TOLUCA LERMA 2</v>
          </cell>
          <cell r="F494">
            <v>10000240</v>
          </cell>
          <cell r="G494" t="str">
            <v>Grava Triturada Caliza 20 mm -</v>
          </cell>
          <cell r="H494">
            <v>111.87</v>
          </cell>
          <cell r="I494">
            <v>147.80000000000001</v>
          </cell>
          <cell r="J494">
            <v>259.67</v>
          </cell>
        </row>
        <row r="495">
          <cell r="B495" t="str">
            <v>D87310001073</v>
          </cell>
          <cell r="C495" t="str">
            <v>D873</v>
          </cell>
          <cell r="D495" t="str">
            <v>D111</v>
          </cell>
          <cell r="E495" t="str">
            <v>MX-PD0317 TOLUCA LERMA 2</v>
          </cell>
          <cell r="F495">
            <v>10001073</v>
          </cell>
          <cell r="G495" t="str">
            <v>Arena Triturada Caliza Malla 4</v>
          </cell>
          <cell r="H495">
            <v>121.1</v>
          </cell>
          <cell r="I495">
            <v>75.78</v>
          </cell>
          <cell r="J495">
            <v>196.88</v>
          </cell>
        </row>
        <row r="496">
          <cell r="B496" t="str">
            <v>D87310000236</v>
          </cell>
          <cell r="C496" t="str">
            <v>D873</v>
          </cell>
          <cell r="D496" t="str">
            <v>D136</v>
          </cell>
          <cell r="E496" t="str">
            <v>MX-PD0237 LA ESTRELLA</v>
          </cell>
          <cell r="F496">
            <v>10000236</v>
          </cell>
          <cell r="G496" t="str">
            <v>Grava Triturada Caliza 10 mm -</v>
          </cell>
          <cell r="H496">
            <v>111.87</v>
          </cell>
          <cell r="I496">
            <v>173.59</v>
          </cell>
          <cell r="J496">
            <v>285.46000000000004</v>
          </cell>
        </row>
        <row r="497">
          <cell r="B497" t="str">
            <v>D87310000240</v>
          </cell>
          <cell r="C497" t="str">
            <v>D873</v>
          </cell>
          <cell r="D497" t="str">
            <v>D136</v>
          </cell>
          <cell r="E497" t="str">
            <v>MX-PD0237 LA ESTRELLA</v>
          </cell>
          <cell r="F497">
            <v>10000240</v>
          </cell>
          <cell r="G497" t="str">
            <v>Grava Triturada Caliza 20 mm -</v>
          </cell>
          <cell r="H497">
            <v>111.87</v>
          </cell>
          <cell r="I497">
            <v>147.80000000000001</v>
          </cell>
          <cell r="J497">
            <v>259.67</v>
          </cell>
        </row>
        <row r="498">
          <cell r="B498" t="str">
            <v>D87310001073</v>
          </cell>
          <cell r="C498" t="str">
            <v>D873</v>
          </cell>
          <cell r="D498" t="str">
            <v>D136</v>
          </cell>
          <cell r="E498" t="str">
            <v>MX-PD0237 LA ESTRELLA</v>
          </cell>
          <cell r="F498">
            <v>10001073</v>
          </cell>
          <cell r="G498" t="str">
            <v>Arena Triturada Caliza Malla 4</v>
          </cell>
          <cell r="H498">
            <v>121.1</v>
          </cell>
          <cell r="I498">
            <v>75.78</v>
          </cell>
          <cell r="J498">
            <v>196.88</v>
          </cell>
        </row>
        <row r="499">
          <cell r="B499" t="str">
            <v>D87310000240</v>
          </cell>
          <cell r="C499" t="str">
            <v>D873</v>
          </cell>
          <cell r="D499" t="str">
            <v>D145</v>
          </cell>
          <cell r="E499" t="str">
            <v>MX-PD-458 ECATEPEC II</v>
          </cell>
          <cell r="F499">
            <v>10000240</v>
          </cell>
          <cell r="G499" t="str">
            <v>Grava Triturada Caliza 20 mm -</v>
          </cell>
          <cell r="H499">
            <v>111.87</v>
          </cell>
          <cell r="I499">
            <v>147.80000000000001</v>
          </cell>
          <cell r="J499">
            <v>259.67</v>
          </cell>
        </row>
        <row r="500">
          <cell r="B500" t="str">
            <v>D87310001073</v>
          </cell>
          <cell r="C500" t="str">
            <v>D873</v>
          </cell>
          <cell r="D500" t="str">
            <v>D145</v>
          </cell>
          <cell r="E500" t="str">
            <v>MX-PD-458 ECATEPEC II</v>
          </cell>
          <cell r="F500">
            <v>10001073</v>
          </cell>
          <cell r="G500" t="str">
            <v>Arena Triturada Caliza Malla 4</v>
          </cell>
          <cell r="H500">
            <v>121.1</v>
          </cell>
          <cell r="I500">
            <v>75.78</v>
          </cell>
          <cell r="J500">
            <v>196.88</v>
          </cell>
        </row>
        <row r="501">
          <cell r="B501" t="str">
            <v>D87310000240</v>
          </cell>
          <cell r="C501" t="str">
            <v>D873</v>
          </cell>
          <cell r="D501" t="str">
            <v>D327</v>
          </cell>
          <cell r="E501" t="str">
            <v>MX-PD0410 CANCUN 2</v>
          </cell>
          <cell r="F501">
            <v>10000240</v>
          </cell>
          <cell r="G501" t="str">
            <v>Grava Triturada Caliza 20 mm -</v>
          </cell>
          <cell r="H501">
            <v>111.87</v>
          </cell>
          <cell r="I501">
            <v>147.80000000000001</v>
          </cell>
          <cell r="J501">
            <v>259.67</v>
          </cell>
        </row>
        <row r="502">
          <cell r="B502" t="str">
            <v>D87310000240</v>
          </cell>
          <cell r="C502" t="str">
            <v>D873</v>
          </cell>
          <cell r="D502" t="str">
            <v>D349</v>
          </cell>
          <cell r="E502" t="str">
            <v>MX-PD0300 PETEMPICH</v>
          </cell>
          <cell r="F502">
            <v>10000240</v>
          </cell>
          <cell r="G502" t="str">
            <v>Grava Triturada Caliza 20 mm -</v>
          </cell>
          <cell r="H502">
            <v>111.87</v>
          </cell>
          <cell r="I502">
            <v>147.80000000000001</v>
          </cell>
          <cell r="J502">
            <v>259.67</v>
          </cell>
        </row>
        <row r="503">
          <cell r="B503" t="str">
            <v>D87310000240</v>
          </cell>
          <cell r="C503" t="str">
            <v>D873</v>
          </cell>
          <cell r="D503" t="str">
            <v>D681</v>
          </cell>
          <cell r="E503" t="str">
            <v>MX-PD0639 TULTEPEC</v>
          </cell>
          <cell r="F503">
            <v>10000240</v>
          </cell>
          <cell r="G503" t="str">
            <v>Grava Triturada Caliza 20 mm -</v>
          </cell>
          <cell r="H503">
            <v>111.87</v>
          </cell>
          <cell r="I503">
            <v>147.80000000000001</v>
          </cell>
          <cell r="J503">
            <v>259.67</v>
          </cell>
        </row>
        <row r="504">
          <cell r="B504" t="str">
            <v>D87310001073</v>
          </cell>
          <cell r="C504" t="str">
            <v>D873</v>
          </cell>
          <cell r="D504" t="str">
            <v>D681</v>
          </cell>
          <cell r="E504" t="str">
            <v>MX-PD0639 TULTEPEC</v>
          </cell>
          <cell r="F504">
            <v>10001073</v>
          </cell>
          <cell r="G504" t="str">
            <v>Arena Triturada Caliza Malla 4</v>
          </cell>
          <cell r="H504">
            <v>121.1</v>
          </cell>
          <cell r="I504">
            <v>75.78</v>
          </cell>
          <cell r="J504">
            <v>196.88</v>
          </cell>
        </row>
        <row r="505">
          <cell r="B505" t="str">
            <v>D90210226085</v>
          </cell>
          <cell r="C505" t="str">
            <v>D902</v>
          </cell>
          <cell r="D505" t="str">
            <v>D304</v>
          </cell>
          <cell r="E505" t="str">
            <v>MX-PD0473 FELIPE CARILLO PUERT</v>
          </cell>
          <cell r="F505">
            <v>10226085</v>
          </cell>
          <cell r="G505" t="str">
            <v>GRAVA 20MM</v>
          </cell>
          <cell r="H505">
            <v>88.4</v>
          </cell>
          <cell r="I505">
            <v>92.5</v>
          </cell>
          <cell r="J505">
            <v>180.9</v>
          </cell>
        </row>
        <row r="506">
          <cell r="B506" t="str">
            <v>D90210226538</v>
          </cell>
          <cell r="C506" t="str">
            <v>D902</v>
          </cell>
          <cell r="D506" t="str">
            <v>D304</v>
          </cell>
          <cell r="E506" t="str">
            <v>MX-PD0473 FELIPE CARILLO PUERT</v>
          </cell>
          <cell r="F506">
            <v>10226538</v>
          </cell>
          <cell r="G506" t="str">
            <v>ARENA 4</v>
          </cell>
          <cell r="H506">
            <v>114.1</v>
          </cell>
          <cell r="I506">
            <v>-99.65</v>
          </cell>
          <cell r="J506">
            <v>14.449999999999989</v>
          </cell>
        </row>
        <row r="507">
          <cell r="B507" t="str">
            <v>D90210226085</v>
          </cell>
          <cell r="C507" t="str">
            <v>D902</v>
          </cell>
          <cell r="D507" t="str">
            <v>D324</v>
          </cell>
          <cell r="E507" t="str">
            <v>MX-PD0400 CAMPECHE II</v>
          </cell>
          <cell r="F507">
            <v>10226085</v>
          </cell>
          <cell r="G507" t="str">
            <v>GRAVA 20MM</v>
          </cell>
          <cell r="H507">
            <v>88.4</v>
          </cell>
          <cell r="I507">
            <v>92.5</v>
          </cell>
          <cell r="J507">
            <v>180.9</v>
          </cell>
        </row>
        <row r="508">
          <cell r="B508" t="str">
            <v>D90210226538</v>
          </cell>
          <cell r="C508" t="str">
            <v>D902</v>
          </cell>
          <cell r="D508" t="str">
            <v>D324</v>
          </cell>
          <cell r="E508" t="str">
            <v>MX-PD0400 CAMPECHE II</v>
          </cell>
          <cell r="F508">
            <v>10226538</v>
          </cell>
          <cell r="G508" t="str">
            <v>ARENA 4</v>
          </cell>
          <cell r="H508">
            <v>114.1</v>
          </cell>
          <cell r="I508">
            <v>-99.65</v>
          </cell>
          <cell r="J508">
            <v>14.449999999999989</v>
          </cell>
        </row>
        <row r="509">
          <cell r="B509" t="str">
            <v>D90210226538</v>
          </cell>
          <cell r="C509" t="str">
            <v>D902</v>
          </cell>
          <cell r="D509" t="str">
            <v>D332</v>
          </cell>
          <cell r="E509" t="str">
            <v>MX-PD0422 PLANTA CALKINI</v>
          </cell>
          <cell r="F509">
            <v>10226538</v>
          </cell>
          <cell r="G509" t="str">
            <v>ARENA 4</v>
          </cell>
          <cell r="H509">
            <v>114.1</v>
          </cell>
          <cell r="I509">
            <v>-99.65</v>
          </cell>
          <cell r="J509">
            <v>14.449999999999989</v>
          </cell>
        </row>
        <row r="510">
          <cell r="B510" t="str">
            <v>D90210226537</v>
          </cell>
          <cell r="C510" t="str">
            <v>D902</v>
          </cell>
          <cell r="D510" t="str">
            <v>EQ86</v>
          </cell>
          <cell r="E510" t="str">
            <v>MX-PD0457 AEROPUERTO CANCUN</v>
          </cell>
          <cell r="F510">
            <v>10226537</v>
          </cell>
          <cell r="G510" t="str">
            <v>SCREEN (DESPOLVE NOCLA)</v>
          </cell>
          <cell r="H510">
            <v>16.309999999999999</v>
          </cell>
          <cell r="I510" t="e">
            <v>#N/A</v>
          </cell>
          <cell r="J510" t="e">
            <v>#N/A</v>
          </cell>
        </row>
        <row r="511">
          <cell r="B511" t="str">
            <v>DU0710000101</v>
          </cell>
          <cell r="C511" t="str">
            <v>DU07</v>
          </cell>
          <cell r="D511" t="str">
            <v>D063</v>
          </cell>
          <cell r="E511" t="str">
            <v>MX-PD0431 SEDENA PREFABRICADOS</v>
          </cell>
          <cell r="F511">
            <v>10000101</v>
          </cell>
          <cell r="G511" t="str">
            <v>Arena Triturada Caliza Malla 4</v>
          </cell>
          <cell r="H511">
            <v>207.91</v>
          </cell>
          <cell r="I511">
            <v>102.19</v>
          </cell>
          <cell r="J511">
            <v>310.10000000000002</v>
          </cell>
        </row>
        <row r="512">
          <cell r="B512" t="str">
            <v>DU0710000110</v>
          </cell>
          <cell r="C512" t="str">
            <v>DU07</v>
          </cell>
          <cell r="D512" t="str">
            <v>D063</v>
          </cell>
          <cell r="E512" t="str">
            <v>MX-PD0431 SEDENA PREFABRICADOS</v>
          </cell>
          <cell r="F512">
            <v>10000110</v>
          </cell>
          <cell r="G512" t="str">
            <v>GRAVA TRITURADA CALIZA 20 MM “</v>
          </cell>
          <cell r="H512">
            <v>203.67</v>
          </cell>
          <cell r="I512">
            <v>79.430000000000007</v>
          </cell>
          <cell r="J512">
            <v>283.10000000000002</v>
          </cell>
        </row>
        <row r="513">
          <cell r="B513" t="str">
            <v>DU0710000111</v>
          </cell>
          <cell r="C513" t="str">
            <v>DU07</v>
          </cell>
          <cell r="D513" t="str">
            <v>D063</v>
          </cell>
          <cell r="E513" t="str">
            <v>MX-PD0431 SEDENA PREFABRICADOS</v>
          </cell>
          <cell r="F513">
            <v>10000111</v>
          </cell>
          <cell r="G513" t="str">
            <v>Grava Triturada Caliza 40mm -1</v>
          </cell>
          <cell r="H513">
            <v>203.67</v>
          </cell>
          <cell r="I513">
            <v>-62.49</v>
          </cell>
          <cell r="J513">
            <v>141.17999999999998</v>
          </cell>
        </row>
        <row r="514">
          <cell r="B514" t="str">
            <v>DU0710000112</v>
          </cell>
          <cell r="C514" t="str">
            <v>DU07</v>
          </cell>
          <cell r="D514" t="str">
            <v>D063</v>
          </cell>
          <cell r="E514" t="str">
            <v>MX-PD0431 SEDENA PREFABRICADOS</v>
          </cell>
          <cell r="F514">
            <v>10000112</v>
          </cell>
          <cell r="G514" t="str">
            <v>Grava Triturada Caliza 13 mm -</v>
          </cell>
          <cell r="H514">
            <v>203.67</v>
          </cell>
          <cell r="I514">
            <v>44.33</v>
          </cell>
          <cell r="J514">
            <v>248</v>
          </cell>
        </row>
        <row r="515">
          <cell r="B515" t="str">
            <v>DU0710000115</v>
          </cell>
          <cell r="C515" t="str">
            <v>DU07</v>
          </cell>
          <cell r="D515" t="str">
            <v>D063</v>
          </cell>
          <cell r="E515" t="str">
            <v>MX-PD0431 SEDENA PREFABRICADOS</v>
          </cell>
          <cell r="F515">
            <v>10000115</v>
          </cell>
          <cell r="G515" t="str">
            <v>Grava Triturada Caliza 10 mm -</v>
          </cell>
          <cell r="H515">
            <v>203.67</v>
          </cell>
          <cell r="I515">
            <v>141.33000000000001</v>
          </cell>
          <cell r="J515">
            <v>345</v>
          </cell>
        </row>
        <row r="516">
          <cell r="B516" t="str">
            <v>DU0710251742</v>
          </cell>
          <cell r="C516" t="str">
            <v>DU07</v>
          </cell>
          <cell r="D516" t="str">
            <v>D063</v>
          </cell>
          <cell r="E516" t="str">
            <v>MX-PD0431 SEDENA PREFABRICADOS</v>
          </cell>
          <cell r="F516">
            <v>10251742</v>
          </cell>
          <cell r="G516" t="str">
            <v>ARENA TRITURADA CALIZA 10MM -3</v>
          </cell>
          <cell r="H516">
            <v>207.91</v>
          </cell>
          <cell r="I516">
            <v>102.23</v>
          </cell>
          <cell r="J516">
            <v>310.14</v>
          </cell>
        </row>
        <row r="517">
          <cell r="B517" t="str">
            <v>DU0710264038</v>
          </cell>
          <cell r="C517" t="str">
            <v>DU07</v>
          </cell>
          <cell r="D517" t="str">
            <v>D063</v>
          </cell>
          <cell r="E517" t="str">
            <v>MX-PD0431 SEDENA PREFABRICADOS</v>
          </cell>
          <cell r="F517">
            <v>10264038</v>
          </cell>
          <cell r="G517" t="str">
            <v>MOV ARENA TRITURADA CALIZA MAL</v>
          </cell>
          <cell r="H517">
            <v>207.91</v>
          </cell>
          <cell r="I517">
            <v>102.19</v>
          </cell>
          <cell r="J517">
            <v>310.10000000000002</v>
          </cell>
        </row>
        <row r="518">
          <cell r="B518" t="str">
            <v>DU0710264039</v>
          </cell>
          <cell r="C518" t="str">
            <v>DU07</v>
          </cell>
          <cell r="D518" t="str">
            <v>D063</v>
          </cell>
          <cell r="E518" t="str">
            <v>MX-PD0431 SEDENA PREFABRICADOS</v>
          </cell>
          <cell r="F518">
            <v>10264039</v>
          </cell>
          <cell r="G518" t="str">
            <v>MOV GRAVA TRITURADA CALIZA 20M</v>
          </cell>
          <cell r="H518">
            <v>203.67</v>
          </cell>
          <cell r="I518">
            <v>79.430000000000007</v>
          </cell>
          <cell r="J518">
            <v>283.10000000000002</v>
          </cell>
        </row>
        <row r="519">
          <cell r="B519" t="str">
            <v>DU0710000101</v>
          </cell>
          <cell r="C519" t="str">
            <v>DU07</v>
          </cell>
          <cell r="D519" t="str">
            <v>D112</v>
          </cell>
          <cell r="E519" t="str">
            <v>MX-PD0502 SEDENA PREFABRICADOS</v>
          </cell>
          <cell r="F519">
            <v>10000101</v>
          </cell>
          <cell r="G519" t="str">
            <v>Arena Triturada Caliza Malla 4</v>
          </cell>
          <cell r="H519">
            <v>207.91</v>
          </cell>
          <cell r="I519">
            <v>102.19</v>
          </cell>
          <cell r="J519">
            <v>310.10000000000002</v>
          </cell>
        </row>
        <row r="520">
          <cell r="B520" t="str">
            <v>DU0710000110</v>
          </cell>
          <cell r="C520" t="str">
            <v>DU07</v>
          </cell>
          <cell r="D520" t="str">
            <v>D112</v>
          </cell>
          <cell r="E520" t="str">
            <v>MX-PD0502 SEDENA PREFABRICADOS</v>
          </cell>
          <cell r="F520">
            <v>10000110</v>
          </cell>
          <cell r="G520" t="str">
            <v>GRAVA TRITURADA CALIZA 20 MM “</v>
          </cell>
          <cell r="H520">
            <v>203.67</v>
          </cell>
          <cell r="I520">
            <v>79.430000000000007</v>
          </cell>
          <cell r="J520">
            <v>283.10000000000002</v>
          </cell>
        </row>
        <row r="521">
          <cell r="B521" t="str">
            <v>DU0710000111</v>
          </cell>
          <cell r="C521" t="str">
            <v>DU07</v>
          </cell>
          <cell r="D521" t="str">
            <v>D112</v>
          </cell>
          <cell r="E521" t="str">
            <v>MX-PD0502 SEDENA PREFABRICADOS</v>
          </cell>
          <cell r="F521">
            <v>10000111</v>
          </cell>
          <cell r="G521" t="str">
            <v>Grava Triturada Caliza 40mm -1</v>
          </cell>
          <cell r="H521">
            <v>203.67</v>
          </cell>
          <cell r="I521">
            <v>-62.49</v>
          </cell>
          <cell r="J521">
            <v>141.17999999999998</v>
          </cell>
        </row>
        <row r="522">
          <cell r="B522" t="str">
            <v>DU0710000112</v>
          </cell>
          <cell r="C522" t="str">
            <v>DU07</v>
          </cell>
          <cell r="D522" t="str">
            <v>D112</v>
          </cell>
          <cell r="E522" t="str">
            <v>MX-PD0502 SEDENA PREFABRICADOS</v>
          </cell>
          <cell r="F522">
            <v>10000112</v>
          </cell>
          <cell r="G522" t="str">
            <v>Grava Triturada Caliza 13 mm -</v>
          </cell>
          <cell r="H522">
            <v>203.67</v>
          </cell>
          <cell r="I522">
            <v>44.33</v>
          </cell>
          <cell r="J522">
            <v>248</v>
          </cell>
        </row>
        <row r="523">
          <cell r="B523" t="str">
            <v>DU0710000115</v>
          </cell>
          <cell r="C523" t="str">
            <v>DU07</v>
          </cell>
          <cell r="D523" t="str">
            <v>D112</v>
          </cell>
          <cell r="E523" t="str">
            <v>MX-PD0502 SEDENA PREFABRICADOS</v>
          </cell>
          <cell r="F523">
            <v>10000115</v>
          </cell>
          <cell r="G523" t="str">
            <v>Grava Triturada Caliza 10 mm -</v>
          </cell>
          <cell r="H523">
            <v>203.67</v>
          </cell>
          <cell r="I523">
            <v>141.33000000000001</v>
          </cell>
          <cell r="J523">
            <v>345</v>
          </cell>
        </row>
        <row r="524">
          <cell r="B524" t="str">
            <v>DU0710251742</v>
          </cell>
          <cell r="C524" t="str">
            <v>DU07</v>
          </cell>
          <cell r="D524" t="str">
            <v>D112</v>
          </cell>
          <cell r="E524" t="str">
            <v>MX-PD0502 SEDENA PREFABRICADOS</v>
          </cell>
          <cell r="F524">
            <v>10251742</v>
          </cell>
          <cell r="G524" t="str">
            <v>ARENA TRITURADA CALIZA 10MM -3</v>
          </cell>
          <cell r="H524">
            <v>207.91</v>
          </cell>
          <cell r="I524">
            <v>102.23</v>
          </cell>
          <cell r="J524">
            <v>310.14</v>
          </cell>
        </row>
        <row r="525">
          <cell r="B525" t="str">
            <v>DU0710264038</v>
          </cell>
          <cell r="C525" t="str">
            <v>DU07</v>
          </cell>
          <cell r="D525" t="str">
            <v>D112</v>
          </cell>
          <cell r="E525" t="str">
            <v>MX-PD0502 SEDENA PREFABRICADOS</v>
          </cell>
          <cell r="F525">
            <v>10264038</v>
          </cell>
          <cell r="G525" t="str">
            <v>MOV ARENA TRITURADA CALIZA MAL</v>
          </cell>
          <cell r="H525">
            <v>207.91</v>
          </cell>
          <cell r="I525">
            <v>102.19</v>
          </cell>
          <cell r="J525">
            <v>310.10000000000002</v>
          </cell>
        </row>
        <row r="526">
          <cell r="B526" t="str">
            <v>DU0710264039</v>
          </cell>
          <cell r="C526" t="str">
            <v>DU07</v>
          </cell>
          <cell r="D526" t="str">
            <v>D112</v>
          </cell>
          <cell r="E526" t="str">
            <v>MX-PD0502 SEDENA PREFABRICADOS</v>
          </cell>
          <cell r="F526">
            <v>10264039</v>
          </cell>
          <cell r="G526" t="str">
            <v>MOV GRAVA TRITURADA CALIZA 20M</v>
          </cell>
          <cell r="H526">
            <v>203.67</v>
          </cell>
          <cell r="I526">
            <v>79.430000000000007</v>
          </cell>
          <cell r="J526">
            <v>283.10000000000002</v>
          </cell>
        </row>
        <row r="527">
          <cell r="B527" t="str">
            <v>DU0710000101</v>
          </cell>
          <cell r="C527" t="str">
            <v>DU07</v>
          </cell>
          <cell r="D527" t="str">
            <v>D278</v>
          </cell>
          <cell r="E527" t="str">
            <v>MX-PD-055 CANCUN</v>
          </cell>
          <cell r="F527">
            <v>10000101</v>
          </cell>
          <cell r="G527" t="str">
            <v>Arena Triturada Caliza Malla 4</v>
          </cell>
          <cell r="H527">
            <v>207.91</v>
          </cell>
          <cell r="I527">
            <v>102.19</v>
          </cell>
          <cell r="J527">
            <v>310.10000000000002</v>
          </cell>
        </row>
        <row r="528">
          <cell r="B528" t="str">
            <v>DU0710000110</v>
          </cell>
          <cell r="C528" t="str">
            <v>DU07</v>
          </cell>
          <cell r="D528" t="str">
            <v>D278</v>
          </cell>
          <cell r="E528" t="str">
            <v>MX-PD-055 CANCUN</v>
          </cell>
          <cell r="F528">
            <v>10000110</v>
          </cell>
          <cell r="G528" t="str">
            <v>GRAVA TRITURADA CALIZA 20 MM “</v>
          </cell>
          <cell r="H528">
            <v>203.67</v>
          </cell>
          <cell r="I528">
            <v>79.430000000000007</v>
          </cell>
          <cell r="J528">
            <v>283.10000000000002</v>
          </cell>
        </row>
        <row r="529">
          <cell r="B529" t="str">
            <v>DU0710000111</v>
          </cell>
          <cell r="C529" t="str">
            <v>DU07</v>
          </cell>
          <cell r="D529" t="str">
            <v>D278</v>
          </cell>
          <cell r="E529" t="str">
            <v>MX-PD-055 CANCUN</v>
          </cell>
          <cell r="F529">
            <v>10000111</v>
          </cell>
          <cell r="G529" t="str">
            <v>Grava Triturada Caliza 40mm -1</v>
          </cell>
          <cell r="H529">
            <v>203.67</v>
          </cell>
          <cell r="I529">
            <v>-62.49</v>
          </cell>
          <cell r="J529">
            <v>141.17999999999998</v>
          </cell>
        </row>
        <row r="530">
          <cell r="B530" t="str">
            <v>DU0710000112</v>
          </cell>
          <cell r="C530" t="str">
            <v>DU07</v>
          </cell>
          <cell r="D530" t="str">
            <v>D278</v>
          </cell>
          <cell r="E530" t="str">
            <v>MX-PD-055 CANCUN</v>
          </cell>
          <cell r="F530">
            <v>10000112</v>
          </cell>
          <cell r="G530" t="str">
            <v>Grava Triturada Caliza 13 mm -</v>
          </cell>
          <cell r="H530">
            <v>203.67</v>
          </cell>
          <cell r="I530">
            <v>44.33</v>
          </cell>
          <cell r="J530">
            <v>248</v>
          </cell>
        </row>
        <row r="531">
          <cell r="B531" t="str">
            <v>DU0710000115</v>
          </cell>
          <cell r="C531" t="str">
            <v>DU07</v>
          </cell>
          <cell r="D531" t="str">
            <v>D278</v>
          </cell>
          <cell r="E531" t="str">
            <v>MX-PD-055 CANCUN</v>
          </cell>
          <cell r="F531">
            <v>10000115</v>
          </cell>
          <cell r="G531" t="str">
            <v>Grava Triturada Caliza 10 mm -</v>
          </cell>
          <cell r="H531">
            <v>203.67</v>
          </cell>
          <cell r="I531">
            <v>141.33000000000001</v>
          </cell>
          <cell r="J531">
            <v>345</v>
          </cell>
        </row>
        <row r="532">
          <cell r="B532" t="str">
            <v>DU0710251742</v>
          </cell>
          <cell r="C532" t="str">
            <v>DU07</v>
          </cell>
          <cell r="D532" t="str">
            <v>D278</v>
          </cell>
          <cell r="E532" t="str">
            <v>MX-PD-055 CANCUN</v>
          </cell>
          <cell r="F532">
            <v>10251742</v>
          </cell>
          <cell r="G532" t="str">
            <v>ARENA TRITURADA CALIZA 10MM -3</v>
          </cell>
          <cell r="H532">
            <v>207.91</v>
          </cell>
          <cell r="I532">
            <v>102.23</v>
          </cell>
          <cell r="J532">
            <v>310.14</v>
          </cell>
        </row>
        <row r="533">
          <cell r="B533" t="str">
            <v>DU0710264038</v>
          </cell>
          <cell r="C533" t="str">
            <v>DU07</v>
          </cell>
          <cell r="D533" t="str">
            <v>D278</v>
          </cell>
          <cell r="E533" t="str">
            <v>MX-PD-055 CANCUN</v>
          </cell>
          <cell r="F533">
            <v>10264038</v>
          </cell>
          <cell r="G533" t="str">
            <v>MOV ARENA TRITURADA CALIZA MAL</v>
          </cell>
          <cell r="H533">
            <v>207.91</v>
          </cell>
          <cell r="I533">
            <v>102.19</v>
          </cell>
          <cell r="J533">
            <v>310.10000000000002</v>
          </cell>
        </row>
        <row r="534">
          <cell r="B534" t="str">
            <v>DU0710264039</v>
          </cell>
          <cell r="C534" t="str">
            <v>DU07</v>
          </cell>
          <cell r="D534" t="str">
            <v>D278</v>
          </cell>
          <cell r="E534" t="str">
            <v>MX-PD-055 CANCUN</v>
          </cell>
          <cell r="F534">
            <v>10264039</v>
          </cell>
          <cell r="G534" t="str">
            <v>MOV GRAVA TRITURADA CALIZA 20M</v>
          </cell>
          <cell r="H534">
            <v>203.67</v>
          </cell>
          <cell r="I534">
            <v>79.430000000000007</v>
          </cell>
          <cell r="J534">
            <v>283.10000000000002</v>
          </cell>
        </row>
        <row r="535">
          <cell r="B535" t="str">
            <v>DU0710000101</v>
          </cell>
          <cell r="C535" t="str">
            <v>DU07</v>
          </cell>
          <cell r="D535" t="str">
            <v>D285</v>
          </cell>
          <cell r="E535" t="str">
            <v>MX-PD-057 PLAYA DEL CARMEN</v>
          </cell>
          <cell r="F535">
            <v>10000101</v>
          </cell>
          <cell r="G535" t="str">
            <v>Arena Triturada Caliza Malla 4</v>
          </cell>
          <cell r="H535">
            <v>207.91</v>
          </cell>
          <cell r="I535">
            <v>102.19</v>
          </cell>
          <cell r="J535">
            <v>310.10000000000002</v>
          </cell>
        </row>
        <row r="536">
          <cell r="B536" t="str">
            <v>DU0710000110</v>
          </cell>
          <cell r="C536" t="str">
            <v>DU07</v>
          </cell>
          <cell r="D536" t="str">
            <v>D285</v>
          </cell>
          <cell r="E536" t="str">
            <v>MX-PD-057 PLAYA DEL CARMEN</v>
          </cell>
          <cell r="F536">
            <v>10000110</v>
          </cell>
          <cell r="G536" t="str">
            <v>GRAVA TRITURADA CALIZA 20 MM “</v>
          </cell>
          <cell r="H536">
            <v>203.67</v>
          </cell>
          <cell r="I536">
            <v>79.430000000000007</v>
          </cell>
          <cell r="J536">
            <v>283.10000000000002</v>
          </cell>
        </row>
        <row r="537">
          <cell r="B537" t="str">
            <v>DU0710000112</v>
          </cell>
          <cell r="C537" t="str">
            <v>DU07</v>
          </cell>
          <cell r="D537" t="str">
            <v>D285</v>
          </cell>
          <cell r="E537" t="str">
            <v>MX-PD-057 PLAYA DEL CARMEN</v>
          </cell>
          <cell r="F537">
            <v>10000112</v>
          </cell>
          <cell r="G537" t="str">
            <v>Grava Triturada Caliza 13 mm -</v>
          </cell>
          <cell r="H537">
            <v>203.67</v>
          </cell>
          <cell r="I537">
            <v>44.33</v>
          </cell>
          <cell r="J537">
            <v>248</v>
          </cell>
        </row>
        <row r="538">
          <cell r="B538" t="str">
            <v>DU0710000115</v>
          </cell>
          <cell r="C538" t="str">
            <v>DU07</v>
          </cell>
          <cell r="D538" t="str">
            <v>D285</v>
          </cell>
          <cell r="E538" t="str">
            <v>MX-PD-057 PLAYA DEL CARMEN</v>
          </cell>
          <cell r="F538">
            <v>10000115</v>
          </cell>
          <cell r="G538" t="str">
            <v>Grava Triturada Caliza 10 mm -</v>
          </cell>
          <cell r="H538">
            <v>203.67</v>
          </cell>
          <cell r="I538">
            <v>141.33000000000001</v>
          </cell>
          <cell r="J538">
            <v>345</v>
          </cell>
        </row>
        <row r="539">
          <cell r="B539" t="str">
            <v>DU0710251742</v>
          </cell>
          <cell r="C539" t="str">
            <v>DU07</v>
          </cell>
          <cell r="D539" t="str">
            <v>D285</v>
          </cell>
          <cell r="E539" t="str">
            <v>MX-PD-057 PLAYA DEL CARMEN</v>
          </cell>
          <cell r="F539">
            <v>10251742</v>
          </cell>
          <cell r="G539" t="str">
            <v>ARENA TRITURADA CALIZA 10MM -3</v>
          </cell>
          <cell r="H539">
            <v>207.91</v>
          </cell>
          <cell r="I539">
            <v>102.23</v>
          </cell>
          <cell r="J539">
            <v>310.14</v>
          </cell>
        </row>
        <row r="540">
          <cell r="B540" t="str">
            <v>DU0710264038</v>
          </cell>
          <cell r="C540" t="str">
            <v>DU07</v>
          </cell>
          <cell r="D540" t="str">
            <v>D285</v>
          </cell>
          <cell r="E540" t="str">
            <v>MX-PD-057 PLAYA DEL CARMEN</v>
          </cell>
          <cell r="F540">
            <v>10264038</v>
          </cell>
          <cell r="G540" t="str">
            <v>MOV ARENA TRITURADA CALIZA MAL</v>
          </cell>
          <cell r="H540">
            <v>207.91</v>
          </cell>
          <cell r="I540">
            <v>102.19</v>
          </cell>
          <cell r="J540">
            <v>310.10000000000002</v>
          </cell>
        </row>
        <row r="541">
          <cell r="B541" t="str">
            <v>DU0710264039</v>
          </cell>
          <cell r="C541" t="str">
            <v>DU07</v>
          </cell>
          <cell r="D541" t="str">
            <v>D285</v>
          </cell>
          <cell r="E541" t="str">
            <v>MX-PD-057 PLAYA DEL CARMEN</v>
          </cell>
          <cell r="F541">
            <v>10264039</v>
          </cell>
          <cell r="G541" t="str">
            <v>MOV GRAVA TRITURADA CALIZA 20M</v>
          </cell>
          <cell r="H541">
            <v>203.67</v>
          </cell>
          <cell r="I541">
            <v>79.430000000000007</v>
          </cell>
          <cell r="J541">
            <v>283.10000000000002</v>
          </cell>
        </row>
        <row r="542">
          <cell r="B542" t="str">
            <v>DU0710000101</v>
          </cell>
          <cell r="C542" t="str">
            <v>DU07</v>
          </cell>
          <cell r="D542" t="str">
            <v>D297</v>
          </cell>
          <cell r="E542" t="str">
            <v>MX-PD0455 PAAMUL II</v>
          </cell>
          <cell r="F542">
            <v>10000101</v>
          </cell>
          <cell r="G542" t="str">
            <v>Arena Triturada Caliza Malla 4</v>
          </cell>
          <cell r="H542">
            <v>207.91</v>
          </cell>
          <cell r="I542">
            <v>102.19</v>
          </cell>
          <cell r="J542">
            <v>310.10000000000002</v>
          </cell>
        </row>
        <row r="543">
          <cell r="B543" t="str">
            <v>DU0710000110</v>
          </cell>
          <cell r="C543" t="str">
            <v>DU07</v>
          </cell>
          <cell r="D543" t="str">
            <v>D297</v>
          </cell>
          <cell r="E543" t="str">
            <v>MX-PD0455 PAAMUL II</v>
          </cell>
          <cell r="F543">
            <v>10000110</v>
          </cell>
          <cell r="G543" t="str">
            <v>GRAVA TRITURADA CALIZA 20 MM “</v>
          </cell>
          <cell r="H543">
            <v>203.67</v>
          </cell>
          <cell r="I543">
            <v>79.430000000000007</v>
          </cell>
          <cell r="J543">
            <v>283.10000000000002</v>
          </cell>
        </row>
        <row r="544">
          <cell r="B544" t="str">
            <v>DU0710000112</v>
          </cell>
          <cell r="C544" t="str">
            <v>DU07</v>
          </cell>
          <cell r="D544" t="str">
            <v>D297</v>
          </cell>
          <cell r="E544" t="str">
            <v>MX-PD0455 PAAMUL II</v>
          </cell>
          <cell r="F544">
            <v>10000112</v>
          </cell>
          <cell r="G544" t="str">
            <v>Grava Triturada Caliza 13 mm -</v>
          </cell>
          <cell r="H544">
            <v>203.67</v>
          </cell>
          <cell r="I544">
            <v>44.33</v>
          </cell>
          <cell r="J544">
            <v>248</v>
          </cell>
        </row>
        <row r="545">
          <cell r="B545" t="str">
            <v>DU0710000115</v>
          </cell>
          <cell r="C545" t="str">
            <v>DU07</v>
          </cell>
          <cell r="D545" t="str">
            <v>D297</v>
          </cell>
          <cell r="E545" t="str">
            <v>MX-PD0455 PAAMUL II</v>
          </cell>
          <cell r="F545">
            <v>10000115</v>
          </cell>
          <cell r="G545" t="str">
            <v>Grava Triturada Caliza 10 mm -</v>
          </cell>
          <cell r="H545">
            <v>203.67</v>
          </cell>
          <cell r="I545">
            <v>141.33000000000001</v>
          </cell>
          <cell r="J545">
            <v>345</v>
          </cell>
        </row>
        <row r="546">
          <cell r="B546" t="str">
            <v>DU0710251742</v>
          </cell>
          <cell r="C546" t="str">
            <v>DU07</v>
          </cell>
          <cell r="D546" t="str">
            <v>D297</v>
          </cell>
          <cell r="E546" t="str">
            <v>MX-PD0455 PAAMUL II</v>
          </cell>
          <cell r="F546">
            <v>10251742</v>
          </cell>
          <cell r="G546" t="str">
            <v>ARENA TRITURADA CALIZA 10MM -3</v>
          </cell>
          <cell r="H546">
            <v>207.91</v>
          </cell>
          <cell r="I546">
            <v>102.23</v>
          </cell>
          <cell r="J546">
            <v>310.14</v>
          </cell>
        </row>
        <row r="547">
          <cell r="B547" t="str">
            <v>DU0710264038</v>
          </cell>
          <cell r="C547" t="str">
            <v>DU07</v>
          </cell>
          <cell r="D547" t="str">
            <v>D297</v>
          </cell>
          <cell r="E547" t="str">
            <v>MX-PD0455 PAAMUL II</v>
          </cell>
          <cell r="F547">
            <v>10264038</v>
          </cell>
          <cell r="G547" t="str">
            <v>MOV ARENA TRITURADA CALIZA MAL</v>
          </cell>
          <cell r="H547">
            <v>207.91</v>
          </cell>
          <cell r="I547">
            <v>102.19</v>
          </cell>
          <cell r="J547">
            <v>310.10000000000002</v>
          </cell>
        </row>
        <row r="548">
          <cell r="B548" t="str">
            <v>DU0710264039</v>
          </cell>
          <cell r="C548" t="str">
            <v>DU07</v>
          </cell>
          <cell r="D548" t="str">
            <v>D297</v>
          </cell>
          <cell r="E548" t="str">
            <v>MX-PD0455 PAAMUL II</v>
          </cell>
          <cell r="F548">
            <v>10264039</v>
          </cell>
          <cell r="G548" t="str">
            <v>MOV GRAVA TRITURADA CALIZA 20M</v>
          </cell>
          <cell r="H548">
            <v>203.67</v>
          </cell>
          <cell r="I548">
            <v>79.430000000000007</v>
          </cell>
          <cell r="J548">
            <v>283.10000000000002</v>
          </cell>
        </row>
        <row r="549">
          <cell r="B549" t="str">
            <v>DU0710000101</v>
          </cell>
          <cell r="C549" t="str">
            <v>DU07</v>
          </cell>
          <cell r="D549" t="str">
            <v>D306</v>
          </cell>
          <cell r="E549" t="str">
            <v>MX-PD0304 MAYACOBA II</v>
          </cell>
          <cell r="F549">
            <v>10000101</v>
          </cell>
          <cell r="G549" t="str">
            <v>Arena Triturada Caliza Malla 4</v>
          </cell>
          <cell r="H549">
            <v>207.91</v>
          </cell>
          <cell r="I549">
            <v>102.19</v>
          </cell>
          <cell r="J549">
            <v>310.10000000000002</v>
          </cell>
        </row>
        <row r="550">
          <cell r="B550" t="str">
            <v>DU0710000110</v>
          </cell>
          <cell r="C550" t="str">
            <v>DU07</v>
          </cell>
          <cell r="D550" t="str">
            <v>D306</v>
          </cell>
          <cell r="E550" t="str">
            <v>MX-PD0304 MAYACOBA II</v>
          </cell>
          <cell r="F550">
            <v>10000110</v>
          </cell>
          <cell r="G550" t="str">
            <v>GRAVA TRITURADA CALIZA 20 MM “</v>
          </cell>
          <cell r="H550">
            <v>203.67</v>
          </cell>
          <cell r="I550">
            <v>79.430000000000007</v>
          </cell>
          <cell r="J550">
            <v>283.10000000000002</v>
          </cell>
        </row>
        <row r="551">
          <cell r="B551" t="str">
            <v>DU0710000111</v>
          </cell>
          <cell r="C551" t="str">
            <v>DU07</v>
          </cell>
          <cell r="D551" t="str">
            <v>D306</v>
          </cell>
          <cell r="E551" t="str">
            <v>MX-PD0304 MAYACOBA II</v>
          </cell>
          <cell r="F551">
            <v>10000111</v>
          </cell>
          <cell r="G551" t="str">
            <v>Grava Triturada Caliza 40mm -1</v>
          </cell>
          <cell r="H551">
            <v>203.67</v>
          </cell>
          <cell r="I551">
            <v>-62.49</v>
          </cell>
          <cell r="J551">
            <v>141.17999999999998</v>
          </cell>
        </row>
        <row r="552">
          <cell r="B552" t="str">
            <v>DU0710000112</v>
          </cell>
          <cell r="C552" t="str">
            <v>DU07</v>
          </cell>
          <cell r="D552" t="str">
            <v>D306</v>
          </cell>
          <cell r="E552" t="str">
            <v>MX-PD0304 MAYACOBA II</v>
          </cell>
          <cell r="F552">
            <v>10000112</v>
          </cell>
          <cell r="G552" t="str">
            <v>Grava Triturada Caliza 13 mm -</v>
          </cell>
          <cell r="H552">
            <v>203.67</v>
          </cell>
          <cell r="I552">
            <v>44.33</v>
          </cell>
          <cell r="J552">
            <v>248</v>
          </cell>
        </row>
        <row r="553">
          <cell r="B553" t="str">
            <v>DU0710000115</v>
          </cell>
          <cell r="C553" t="str">
            <v>DU07</v>
          </cell>
          <cell r="D553" t="str">
            <v>D306</v>
          </cell>
          <cell r="E553" t="str">
            <v>MX-PD0304 MAYACOBA II</v>
          </cell>
          <cell r="F553">
            <v>10000115</v>
          </cell>
          <cell r="G553" t="str">
            <v>Grava Triturada Caliza 10 mm -</v>
          </cell>
          <cell r="H553">
            <v>203.67</v>
          </cell>
          <cell r="I553">
            <v>141.33000000000001</v>
          </cell>
          <cell r="J553">
            <v>345</v>
          </cell>
        </row>
        <row r="554">
          <cell r="B554" t="str">
            <v>DU0710251742</v>
          </cell>
          <cell r="C554" t="str">
            <v>DU07</v>
          </cell>
          <cell r="D554" t="str">
            <v>D306</v>
          </cell>
          <cell r="E554" t="str">
            <v>MX-PD0304 MAYACOBA II</v>
          </cell>
          <cell r="F554">
            <v>10251742</v>
          </cell>
          <cell r="G554" t="str">
            <v>ARENA TRITURADA CALIZA 10MM -3</v>
          </cell>
          <cell r="H554">
            <v>207.91</v>
          </cell>
          <cell r="I554">
            <v>102.23</v>
          </cell>
          <cell r="J554">
            <v>310.14</v>
          </cell>
        </row>
        <row r="555">
          <cell r="B555" t="str">
            <v>DU0710264038</v>
          </cell>
          <cell r="C555" t="str">
            <v>DU07</v>
          </cell>
          <cell r="D555" t="str">
            <v>D306</v>
          </cell>
          <cell r="E555" t="str">
            <v>MX-PD0304 MAYACOBA II</v>
          </cell>
          <cell r="F555">
            <v>10264038</v>
          </cell>
          <cell r="G555" t="str">
            <v>MOV ARENA TRITURADA CALIZA MAL</v>
          </cell>
          <cell r="H555">
            <v>207.91</v>
          </cell>
          <cell r="I555">
            <v>102.19</v>
          </cell>
          <cell r="J555">
            <v>310.10000000000002</v>
          </cell>
        </row>
        <row r="556">
          <cell r="B556" t="str">
            <v>DU0710264039</v>
          </cell>
          <cell r="C556" t="str">
            <v>DU07</v>
          </cell>
          <cell r="D556" t="str">
            <v>D306</v>
          </cell>
          <cell r="E556" t="str">
            <v>MX-PD0304 MAYACOBA II</v>
          </cell>
          <cell r="F556">
            <v>10264039</v>
          </cell>
          <cell r="G556" t="str">
            <v>MOV GRAVA TRITURADA CALIZA 20M</v>
          </cell>
          <cell r="H556">
            <v>203.67</v>
          </cell>
          <cell r="I556">
            <v>79.430000000000007</v>
          </cell>
          <cell r="J556">
            <v>283.10000000000002</v>
          </cell>
        </row>
        <row r="557">
          <cell r="B557" t="str">
            <v>DU0710000101</v>
          </cell>
          <cell r="C557" t="str">
            <v>DU07</v>
          </cell>
          <cell r="D557" t="str">
            <v>D312</v>
          </cell>
          <cell r="E557" t="str">
            <v>MX-PD0311 PUERTA DEL MAR II</v>
          </cell>
          <cell r="F557">
            <v>10000101</v>
          </cell>
          <cell r="G557" t="str">
            <v>Arena Triturada Caliza Malla 4</v>
          </cell>
          <cell r="H557">
            <v>207.91</v>
          </cell>
          <cell r="I557">
            <v>102.19</v>
          </cell>
          <cell r="J557">
            <v>310.10000000000002</v>
          </cell>
        </row>
        <row r="558">
          <cell r="B558" t="str">
            <v>DU0710000110</v>
          </cell>
          <cell r="C558" t="str">
            <v>DU07</v>
          </cell>
          <cell r="D558" t="str">
            <v>D312</v>
          </cell>
          <cell r="E558" t="str">
            <v>MX-PD0311 PUERTA DEL MAR II</v>
          </cell>
          <cell r="F558">
            <v>10000110</v>
          </cell>
          <cell r="G558" t="str">
            <v>GRAVA TRITURADA CALIZA 20 MM “</v>
          </cell>
          <cell r="H558">
            <v>203.67</v>
          </cell>
          <cell r="I558">
            <v>79.430000000000007</v>
          </cell>
          <cell r="J558">
            <v>283.10000000000002</v>
          </cell>
        </row>
        <row r="559">
          <cell r="B559" t="str">
            <v>DU0710000111</v>
          </cell>
          <cell r="C559" t="str">
            <v>DU07</v>
          </cell>
          <cell r="D559" t="str">
            <v>D312</v>
          </cell>
          <cell r="E559" t="str">
            <v>MX-PD0311 PUERTA DEL MAR II</v>
          </cell>
          <cell r="F559">
            <v>10000111</v>
          </cell>
          <cell r="G559" t="str">
            <v>Grava Triturada Caliza 40mm -1</v>
          </cell>
          <cell r="H559">
            <v>203.67</v>
          </cell>
          <cell r="I559">
            <v>-55.27</v>
          </cell>
          <cell r="J559">
            <v>148.39999999999998</v>
          </cell>
        </row>
        <row r="560">
          <cell r="B560" t="str">
            <v>DU0710000112</v>
          </cell>
          <cell r="C560" t="str">
            <v>DU07</v>
          </cell>
          <cell r="D560" t="str">
            <v>D312</v>
          </cell>
          <cell r="E560" t="str">
            <v>MX-PD0311 PUERTA DEL MAR II</v>
          </cell>
          <cell r="F560">
            <v>10000112</v>
          </cell>
          <cell r="G560" t="str">
            <v>Grava Triturada Caliza 13 mm -</v>
          </cell>
          <cell r="H560">
            <v>203.67</v>
          </cell>
          <cell r="I560">
            <v>44.33</v>
          </cell>
          <cell r="J560">
            <v>248</v>
          </cell>
        </row>
        <row r="561">
          <cell r="B561" t="str">
            <v>DU0710000115</v>
          </cell>
          <cell r="C561" t="str">
            <v>DU07</v>
          </cell>
          <cell r="D561" t="str">
            <v>D312</v>
          </cell>
          <cell r="E561" t="str">
            <v>MX-PD0311 PUERTA DEL MAR II</v>
          </cell>
          <cell r="F561">
            <v>10000115</v>
          </cell>
          <cell r="G561" t="str">
            <v>Grava Triturada Caliza 10 mm -</v>
          </cell>
          <cell r="H561">
            <v>203.67</v>
          </cell>
          <cell r="I561">
            <v>141.33000000000001</v>
          </cell>
          <cell r="J561">
            <v>345</v>
          </cell>
        </row>
        <row r="562">
          <cell r="B562" t="str">
            <v>DU0710264038</v>
          </cell>
          <cell r="C562" t="str">
            <v>DU07</v>
          </cell>
          <cell r="D562" t="str">
            <v>D312</v>
          </cell>
          <cell r="E562" t="str">
            <v>MX-PD0311 PUERTA DEL MAR II</v>
          </cell>
          <cell r="F562">
            <v>10264038</v>
          </cell>
          <cell r="G562" t="str">
            <v>MOV ARENA TRITURADA CALIZA MAL</v>
          </cell>
          <cell r="H562">
            <v>207.91</v>
          </cell>
          <cell r="I562">
            <v>102.19</v>
          </cell>
          <cell r="J562">
            <v>310.10000000000002</v>
          </cell>
        </row>
        <row r="563">
          <cell r="B563" t="str">
            <v>DU0710264039</v>
          </cell>
          <cell r="C563" t="str">
            <v>DU07</v>
          </cell>
          <cell r="D563" t="str">
            <v>D312</v>
          </cell>
          <cell r="E563" t="str">
            <v>MX-PD0311 PUERTA DEL MAR II</v>
          </cell>
          <cell r="F563">
            <v>10264039</v>
          </cell>
          <cell r="G563" t="str">
            <v>MOV GRAVA TRITURADA CALIZA 20M</v>
          </cell>
          <cell r="H563">
            <v>203.67</v>
          </cell>
          <cell r="I563">
            <v>79.430000000000007</v>
          </cell>
          <cell r="J563">
            <v>283.10000000000002</v>
          </cell>
        </row>
        <row r="564">
          <cell r="B564" t="str">
            <v>DU0710000101</v>
          </cell>
          <cell r="C564" t="str">
            <v>DU07</v>
          </cell>
          <cell r="D564" t="str">
            <v>D315</v>
          </cell>
          <cell r="E564" t="str">
            <v>MX-PD0327 RIVIERA MAYA 2</v>
          </cell>
          <cell r="F564">
            <v>10000101</v>
          </cell>
          <cell r="G564" t="str">
            <v>Arena Triturada Caliza Malla 4</v>
          </cell>
          <cell r="H564">
            <v>207.91</v>
          </cell>
          <cell r="I564">
            <v>102.19</v>
          </cell>
          <cell r="J564">
            <v>310.10000000000002</v>
          </cell>
        </row>
        <row r="565">
          <cell r="B565" t="str">
            <v>DU0710000110</v>
          </cell>
          <cell r="C565" t="str">
            <v>DU07</v>
          </cell>
          <cell r="D565" t="str">
            <v>D315</v>
          </cell>
          <cell r="E565" t="str">
            <v>MX-PD0327 RIVIERA MAYA 2</v>
          </cell>
          <cell r="F565">
            <v>10000110</v>
          </cell>
          <cell r="G565" t="str">
            <v>GRAVA TRITURADA CALIZA 20 MM “</v>
          </cell>
          <cell r="H565">
            <v>203.67</v>
          </cell>
          <cell r="I565">
            <v>79.430000000000007</v>
          </cell>
          <cell r="J565">
            <v>283.10000000000002</v>
          </cell>
        </row>
        <row r="566">
          <cell r="B566" t="str">
            <v>DU0710000111</v>
          </cell>
          <cell r="C566" t="str">
            <v>DU07</v>
          </cell>
          <cell r="D566" t="str">
            <v>D315</v>
          </cell>
          <cell r="E566" t="str">
            <v>MX-PD0327 RIVIERA MAYA 2</v>
          </cell>
          <cell r="F566">
            <v>10000111</v>
          </cell>
          <cell r="G566" t="str">
            <v>Grava Triturada Caliza 40mm -1</v>
          </cell>
          <cell r="H566">
            <v>203.67</v>
          </cell>
          <cell r="I566">
            <v>-62.49</v>
          </cell>
          <cell r="J566">
            <v>141.17999999999998</v>
          </cell>
        </row>
        <row r="567">
          <cell r="B567" t="str">
            <v>DU0710000112</v>
          </cell>
          <cell r="C567" t="str">
            <v>DU07</v>
          </cell>
          <cell r="D567" t="str">
            <v>D315</v>
          </cell>
          <cell r="E567" t="str">
            <v>MX-PD0327 RIVIERA MAYA 2</v>
          </cell>
          <cell r="F567">
            <v>10000112</v>
          </cell>
          <cell r="G567" t="str">
            <v>Grava Triturada Caliza 13 mm -</v>
          </cell>
          <cell r="H567">
            <v>203.67</v>
          </cell>
          <cell r="I567">
            <v>44.33</v>
          </cell>
          <cell r="J567">
            <v>248</v>
          </cell>
        </row>
        <row r="568">
          <cell r="B568" t="str">
            <v>DU0710000115</v>
          </cell>
          <cell r="C568" t="str">
            <v>DU07</v>
          </cell>
          <cell r="D568" t="str">
            <v>D315</v>
          </cell>
          <cell r="E568" t="str">
            <v>MX-PD0327 RIVIERA MAYA 2</v>
          </cell>
          <cell r="F568">
            <v>10000115</v>
          </cell>
          <cell r="G568" t="str">
            <v>Grava Triturada Caliza 10 mm -</v>
          </cell>
          <cell r="H568">
            <v>203.67</v>
          </cell>
          <cell r="I568">
            <v>141.33000000000001</v>
          </cell>
          <cell r="J568">
            <v>345</v>
          </cell>
        </row>
        <row r="569">
          <cell r="B569" t="str">
            <v>DU0710264038</v>
          </cell>
          <cell r="C569" t="str">
            <v>DU07</v>
          </cell>
          <cell r="D569" t="str">
            <v>D315</v>
          </cell>
          <cell r="E569" t="str">
            <v>MX-PD0327 RIVIERA MAYA 2</v>
          </cell>
          <cell r="F569">
            <v>10264038</v>
          </cell>
          <cell r="G569" t="str">
            <v>MOV ARENA TRITURADA CALIZA MAL</v>
          </cell>
          <cell r="H569">
            <v>207.91</v>
          </cell>
          <cell r="I569">
            <v>102.19</v>
          </cell>
          <cell r="J569">
            <v>310.10000000000002</v>
          </cell>
        </row>
        <row r="570">
          <cell r="B570" t="str">
            <v>DU0710264039</v>
          </cell>
          <cell r="C570" t="str">
            <v>DU07</v>
          </cell>
          <cell r="D570" t="str">
            <v>D315</v>
          </cell>
          <cell r="E570" t="str">
            <v>MX-PD0327 RIVIERA MAYA 2</v>
          </cell>
          <cell r="F570">
            <v>10264039</v>
          </cell>
          <cell r="G570" t="str">
            <v>MOV GRAVA TRITURADA CALIZA 20M</v>
          </cell>
          <cell r="H570">
            <v>203.67</v>
          </cell>
          <cell r="I570">
            <v>79.430000000000007</v>
          </cell>
          <cell r="J570">
            <v>283.10000000000002</v>
          </cell>
        </row>
        <row r="571">
          <cell r="B571" t="str">
            <v>DU0710000101</v>
          </cell>
          <cell r="C571" t="str">
            <v>DU07</v>
          </cell>
          <cell r="D571" t="str">
            <v>D327</v>
          </cell>
          <cell r="E571" t="str">
            <v>MX-PD0410 CANCUN 2</v>
          </cell>
          <cell r="F571">
            <v>10000101</v>
          </cell>
          <cell r="G571" t="str">
            <v>Arena Triturada Caliza Malla 4</v>
          </cell>
          <cell r="H571">
            <v>207.91</v>
          </cell>
          <cell r="I571">
            <v>102.19</v>
          </cell>
          <cell r="J571">
            <v>310.10000000000002</v>
          </cell>
        </row>
        <row r="572">
          <cell r="B572" t="str">
            <v>DU0710000110</v>
          </cell>
          <cell r="C572" t="str">
            <v>DU07</v>
          </cell>
          <cell r="D572" t="str">
            <v>D327</v>
          </cell>
          <cell r="E572" t="str">
            <v>MX-PD0410 CANCUN 2</v>
          </cell>
          <cell r="F572">
            <v>10000110</v>
          </cell>
          <cell r="G572" t="str">
            <v>GRAVA TRITURADA CALIZA 20 MM “</v>
          </cell>
          <cell r="H572">
            <v>203.67</v>
          </cell>
          <cell r="I572">
            <v>79.430000000000007</v>
          </cell>
          <cell r="J572">
            <v>283.10000000000002</v>
          </cell>
        </row>
        <row r="573">
          <cell r="B573" t="str">
            <v>DU0710000111</v>
          </cell>
          <cell r="C573" t="str">
            <v>DU07</v>
          </cell>
          <cell r="D573" t="str">
            <v>D327</v>
          </cell>
          <cell r="E573" t="str">
            <v>MX-PD0410 CANCUN 2</v>
          </cell>
          <cell r="F573">
            <v>10000111</v>
          </cell>
          <cell r="G573" t="str">
            <v>Grava Triturada Caliza 40mm -1</v>
          </cell>
          <cell r="H573">
            <v>203.67</v>
          </cell>
          <cell r="I573">
            <v>-62.49</v>
          </cell>
          <cell r="J573">
            <v>141.17999999999998</v>
          </cell>
        </row>
        <row r="574">
          <cell r="B574" t="str">
            <v>DU0710000112</v>
          </cell>
          <cell r="C574" t="str">
            <v>DU07</v>
          </cell>
          <cell r="D574" t="str">
            <v>D327</v>
          </cell>
          <cell r="E574" t="str">
            <v>MX-PD0410 CANCUN 2</v>
          </cell>
          <cell r="F574">
            <v>10000112</v>
          </cell>
          <cell r="G574" t="str">
            <v>Grava Triturada Caliza 13 mm -</v>
          </cell>
          <cell r="H574">
            <v>203.67</v>
          </cell>
          <cell r="I574">
            <v>44.33</v>
          </cell>
          <cell r="J574">
            <v>248</v>
          </cell>
        </row>
        <row r="575">
          <cell r="B575" t="str">
            <v>DU0710000115</v>
          </cell>
          <cell r="C575" t="str">
            <v>DU07</v>
          </cell>
          <cell r="D575" t="str">
            <v>D327</v>
          </cell>
          <cell r="E575" t="str">
            <v>MX-PD0410 CANCUN 2</v>
          </cell>
          <cell r="F575">
            <v>10000115</v>
          </cell>
          <cell r="G575" t="str">
            <v>Grava Triturada Caliza 10 mm -</v>
          </cell>
          <cell r="H575">
            <v>203.67</v>
          </cell>
          <cell r="I575">
            <v>141.33000000000001</v>
          </cell>
          <cell r="J575">
            <v>345</v>
          </cell>
        </row>
        <row r="576">
          <cell r="B576" t="str">
            <v>DU0710264038</v>
          </cell>
          <cell r="C576" t="str">
            <v>DU07</v>
          </cell>
          <cell r="D576" t="str">
            <v>D327</v>
          </cell>
          <cell r="E576" t="str">
            <v>MX-PD0410 CANCUN 2</v>
          </cell>
          <cell r="F576">
            <v>10264038</v>
          </cell>
          <cell r="G576" t="str">
            <v>MOV ARENA TRITURADA CALIZA MAL</v>
          </cell>
          <cell r="H576">
            <v>207.91</v>
          </cell>
          <cell r="I576">
            <v>102.19</v>
          </cell>
          <cell r="J576">
            <v>310.10000000000002</v>
          </cell>
        </row>
        <row r="577">
          <cell r="B577" t="str">
            <v>DU0710264039</v>
          </cell>
          <cell r="C577" t="str">
            <v>DU07</v>
          </cell>
          <cell r="D577" t="str">
            <v>D327</v>
          </cell>
          <cell r="E577" t="str">
            <v>MX-PD0410 CANCUN 2</v>
          </cell>
          <cell r="F577">
            <v>10264039</v>
          </cell>
          <cell r="G577" t="str">
            <v>MOV GRAVA TRITURADA CALIZA 20M</v>
          </cell>
          <cell r="H577">
            <v>203.67</v>
          </cell>
          <cell r="I577">
            <v>79.430000000000007</v>
          </cell>
          <cell r="J577">
            <v>283.10000000000002</v>
          </cell>
        </row>
        <row r="578">
          <cell r="B578" t="str">
            <v>DU0710000101</v>
          </cell>
          <cell r="C578" t="str">
            <v>DU07</v>
          </cell>
          <cell r="D578" t="str">
            <v>D331</v>
          </cell>
          <cell r="E578" t="str">
            <v>MX-PD0442 PLANTA TULUM II</v>
          </cell>
          <cell r="F578">
            <v>10000101</v>
          </cell>
          <cell r="G578" t="str">
            <v>Arena Triturada Caliza Malla 4</v>
          </cell>
          <cell r="H578">
            <v>207.91</v>
          </cell>
          <cell r="I578">
            <v>117.59</v>
          </cell>
          <cell r="J578">
            <v>325.5</v>
          </cell>
        </row>
        <row r="579">
          <cell r="B579" t="str">
            <v>DU0710000110</v>
          </cell>
          <cell r="C579" t="str">
            <v>DU07</v>
          </cell>
          <cell r="D579" t="str">
            <v>D331</v>
          </cell>
          <cell r="E579" t="str">
            <v>MX-PD0442 PLANTA TULUM II</v>
          </cell>
          <cell r="F579">
            <v>10000110</v>
          </cell>
          <cell r="G579" t="str">
            <v>GRAVA TRITURADA CALIZA 20 MM “</v>
          </cell>
          <cell r="H579">
            <v>203.67</v>
          </cell>
          <cell r="I579">
            <v>94.52</v>
          </cell>
          <cell r="J579">
            <v>298.19</v>
          </cell>
        </row>
        <row r="580">
          <cell r="B580" t="str">
            <v>DU0710000111</v>
          </cell>
          <cell r="C580" t="str">
            <v>DU07</v>
          </cell>
          <cell r="D580" t="str">
            <v>D331</v>
          </cell>
          <cell r="E580" t="str">
            <v>MX-PD0442 PLANTA TULUM II</v>
          </cell>
          <cell r="F580">
            <v>10000111</v>
          </cell>
          <cell r="G580" t="str">
            <v>Grava Triturada Caliza 40mm -1</v>
          </cell>
          <cell r="H580">
            <v>203.67</v>
          </cell>
          <cell r="I580">
            <v>-62.49</v>
          </cell>
          <cell r="J580">
            <v>141.17999999999998</v>
          </cell>
        </row>
        <row r="581">
          <cell r="B581" t="str">
            <v>DU0710000112</v>
          </cell>
          <cell r="C581" t="str">
            <v>DU07</v>
          </cell>
          <cell r="D581" t="str">
            <v>D331</v>
          </cell>
          <cell r="E581" t="str">
            <v>MX-PD0442 PLANTA TULUM II</v>
          </cell>
          <cell r="F581">
            <v>10000112</v>
          </cell>
          <cell r="G581" t="str">
            <v>Grava Triturada Caliza 13 mm -</v>
          </cell>
          <cell r="H581">
            <v>203.67</v>
          </cell>
          <cell r="I581">
            <v>59.42</v>
          </cell>
          <cell r="J581">
            <v>263.08999999999997</v>
          </cell>
        </row>
        <row r="582">
          <cell r="B582" t="str">
            <v>DU0710000115</v>
          </cell>
          <cell r="C582" t="str">
            <v>DU07</v>
          </cell>
          <cell r="D582" t="str">
            <v>D331</v>
          </cell>
          <cell r="E582" t="str">
            <v>MX-PD0442 PLANTA TULUM II</v>
          </cell>
          <cell r="F582">
            <v>10000115</v>
          </cell>
          <cell r="G582" t="str">
            <v>Grava Triturada Caliza 10 mm -</v>
          </cell>
          <cell r="H582">
            <v>203.67</v>
          </cell>
          <cell r="I582">
            <v>141.33000000000001</v>
          </cell>
          <cell r="J582">
            <v>345</v>
          </cell>
        </row>
        <row r="583">
          <cell r="B583" t="str">
            <v>DU0710264038</v>
          </cell>
          <cell r="C583" t="str">
            <v>DU07</v>
          </cell>
          <cell r="D583" t="str">
            <v>D331</v>
          </cell>
          <cell r="E583" t="str">
            <v>MX-PD0442 PLANTA TULUM II</v>
          </cell>
          <cell r="F583">
            <v>10264038</v>
          </cell>
          <cell r="G583" t="str">
            <v>MOV ARENA TRITURADA CALIZA MAL</v>
          </cell>
          <cell r="H583">
            <v>207.91</v>
          </cell>
          <cell r="I583">
            <v>102.19</v>
          </cell>
          <cell r="J583">
            <v>310.10000000000002</v>
          </cell>
        </row>
        <row r="584">
          <cell r="B584" t="str">
            <v>DU0710264039</v>
          </cell>
          <cell r="C584" t="str">
            <v>DU07</v>
          </cell>
          <cell r="D584" t="str">
            <v>D331</v>
          </cell>
          <cell r="E584" t="str">
            <v>MX-PD0442 PLANTA TULUM II</v>
          </cell>
          <cell r="F584">
            <v>10264039</v>
          </cell>
          <cell r="G584" t="str">
            <v>MOV GRAVA TRITURADA CALIZA 20M</v>
          </cell>
          <cell r="H584">
            <v>203.67</v>
          </cell>
          <cell r="I584">
            <v>79.430000000000007</v>
          </cell>
          <cell r="J584">
            <v>283.10000000000002</v>
          </cell>
        </row>
        <row r="585">
          <cell r="B585" t="str">
            <v>DU0710000101</v>
          </cell>
          <cell r="C585" t="str">
            <v>DU07</v>
          </cell>
          <cell r="D585" t="str">
            <v>D343</v>
          </cell>
          <cell r="E585" t="str">
            <v>MX-PD0270 RIVIERA MAYA</v>
          </cell>
          <cell r="F585">
            <v>10000101</v>
          </cell>
          <cell r="G585" t="str">
            <v>Arena Triturada Caliza Malla 4</v>
          </cell>
          <cell r="H585">
            <v>207.91</v>
          </cell>
          <cell r="I585">
            <v>117.59</v>
          </cell>
          <cell r="J585">
            <v>325.5</v>
          </cell>
        </row>
        <row r="586">
          <cell r="B586" t="str">
            <v>DU0710000110</v>
          </cell>
          <cell r="C586" t="str">
            <v>DU07</v>
          </cell>
          <cell r="D586" t="str">
            <v>D343</v>
          </cell>
          <cell r="E586" t="str">
            <v>MX-PD0270 RIVIERA MAYA</v>
          </cell>
          <cell r="F586">
            <v>10000110</v>
          </cell>
          <cell r="G586" t="str">
            <v>GRAVA TRITURADA CALIZA 20 MM “</v>
          </cell>
          <cell r="H586">
            <v>203.67</v>
          </cell>
          <cell r="I586">
            <v>94.52</v>
          </cell>
          <cell r="J586">
            <v>298.19</v>
          </cell>
        </row>
        <row r="587">
          <cell r="B587" t="str">
            <v>DU0710000112</v>
          </cell>
          <cell r="C587" t="str">
            <v>DU07</v>
          </cell>
          <cell r="D587" t="str">
            <v>D343</v>
          </cell>
          <cell r="E587" t="str">
            <v>MX-PD0270 RIVIERA MAYA</v>
          </cell>
          <cell r="F587">
            <v>10000112</v>
          </cell>
          <cell r="G587" t="str">
            <v>Grava Triturada Caliza 13 mm -</v>
          </cell>
          <cell r="H587">
            <v>203.67</v>
          </cell>
          <cell r="I587">
            <v>59.42</v>
          </cell>
          <cell r="J587">
            <v>263.08999999999997</v>
          </cell>
        </row>
        <row r="588">
          <cell r="B588" t="str">
            <v>DU0710000115</v>
          </cell>
          <cell r="C588" t="str">
            <v>DU07</v>
          </cell>
          <cell r="D588" t="str">
            <v>D343</v>
          </cell>
          <cell r="E588" t="str">
            <v>MX-PD0270 RIVIERA MAYA</v>
          </cell>
          <cell r="F588">
            <v>10000115</v>
          </cell>
          <cell r="G588" t="str">
            <v>Grava Triturada Caliza 10 mm -</v>
          </cell>
          <cell r="H588">
            <v>203.67</v>
          </cell>
          <cell r="I588">
            <v>141.33000000000001</v>
          </cell>
          <cell r="J588">
            <v>345</v>
          </cell>
        </row>
        <row r="589">
          <cell r="B589" t="str">
            <v>DU0710251742</v>
          </cell>
          <cell r="C589" t="str">
            <v>DU07</v>
          </cell>
          <cell r="D589" t="str">
            <v>D343</v>
          </cell>
          <cell r="E589" t="str">
            <v>MX-PD0270 RIVIERA MAYA</v>
          </cell>
          <cell r="F589">
            <v>10251742</v>
          </cell>
          <cell r="G589" t="str">
            <v>ARENA TRITURADA CALIZA 10MM -3</v>
          </cell>
          <cell r="H589">
            <v>207.91</v>
          </cell>
          <cell r="I589">
            <v>102.23</v>
          </cell>
          <cell r="J589">
            <v>310.14</v>
          </cell>
        </row>
        <row r="590">
          <cell r="B590" t="str">
            <v>DU0710264038</v>
          </cell>
          <cell r="C590" t="str">
            <v>DU07</v>
          </cell>
          <cell r="D590" t="str">
            <v>D343</v>
          </cell>
          <cell r="E590" t="str">
            <v>MX-PD0270 RIVIERA MAYA</v>
          </cell>
          <cell r="F590">
            <v>10264038</v>
          </cell>
          <cell r="G590" t="str">
            <v>MOV ARENA TRITURADA CALIZA MAL</v>
          </cell>
          <cell r="H590">
            <v>207.91</v>
          </cell>
          <cell r="I590">
            <v>102.19</v>
          </cell>
          <cell r="J590">
            <v>310.10000000000002</v>
          </cell>
        </row>
        <row r="591">
          <cell r="B591" t="str">
            <v>DU0710264039</v>
          </cell>
          <cell r="C591" t="str">
            <v>DU07</v>
          </cell>
          <cell r="D591" t="str">
            <v>D343</v>
          </cell>
          <cell r="E591" t="str">
            <v>MX-PD0270 RIVIERA MAYA</v>
          </cell>
          <cell r="F591">
            <v>10264039</v>
          </cell>
          <cell r="G591" t="str">
            <v>MOV GRAVA TRITURADA CALIZA 20M</v>
          </cell>
          <cell r="H591">
            <v>203.67</v>
          </cell>
          <cell r="I591">
            <v>79.430000000000007</v>
          </cell>
          <cell r="J591">
            <v>283.10000000000002</v>
          </cell>
        </row>
        <row r="592">
          <cell r="B592" t="str">
            <v>DU0710000101</v>
          </cell>
          <cell r="C592" t="str">
            <v>DU07</v>
          </cell>
          <cell r="D592" t="str">
            <v>D349</v>
          </cell>
          <cell r="E592" t="str">
            <v>MX-PD0300 PETEMPICH</v>
          </cell>
          <cell r="F592">
            <v>10000101</v>
          </cell>
          <cell r="G592" t="str">
            <v>Arena Triturada Caliza Malla 4</v>
          </cell>
          <cell r="H592">
            <v>207.91</v>
          </cell>
          <cell r="I592">
            <v>117.59</v>
          </cell>
          <cell r="J592">
            <v>325.5</v>
          </cell>
        </row>
        <row r="593">
          <cell r="B593" t="str">
            <v>DU0710000110</v>
          </cell>
          <cell r="C593" t="str">
            <v>DU07</v>
          </cell>
          <cell r="D593" t="str">
            <v>D349</v>
          </cell>
          <cell r="E593" t="str">
            <v>MX-PD0300 PETEMPICH</v>
          </cell>
          <cell r="F593">
            <v>10000110</v>
          </cell>
          <cell r="G593" t="str">
            <v>GRAVA TRITURADA CALIZA 20 MM “</v>
          </cell>
          <cell r="H593">
            <v>203.67</v>
          </cell>
          <cell r="I593">
            <v>94.52</v>
          </cell>
          <cell r="J593">
            <v>298.19</v>
          </cell>
        </row>
        <row r="594">
          <cell r="B594" t="str">
            <v>DU0710000111</v>
          </cell>
          <cell r="C594" t="str">
            <v>DU07</v>
          </cell>
          <cell r="D594" t="str">
            <v>D349</v>
          </cell>
          <cell r="E594" t="str">
            <v>MX-PD0300 PETEMPICH</v>
          </cell>
          <cell r="F594">
            <v>10000111</v>
          </cell>
          <cell r="G594" t="str">
            <v>Grava Triturada Caliza 40mm -1</v>
          </cell>
          <cell r="H594">
            <v>203.67</v>
          </cell>
          <cell r="I594">
            <v>-62.49</v>
          </cell>
          <cell r="J594">
            <v>141.17999999999998</v>
          </cell>
        </row>
        <row r="595">
          <cell r="B595" t="str">
            <v>DU0710000112</v>
          </cell>
          <cell r="C595" t="str">
            <v>DU07</v>
          </cell>
          <cell r="D595" t="str">
            <v>D349</v>
          </cell>
          <cell r="E595" t="str">
            <v>MX-PD0300 PETEMPICH</v>
          </cell>
          <cell r="F595">
            <v>10000112</v>
          </cell>
          <cell r="G595" t="str">
            <v>Grava Triturada Caliza 13 mm -</v>
          </cell>
          <cell r="H595">
            <v>203.67</v>
          </cell>
          <cell r="I595">
            <v>59.42</v>
          </cell>
          <cell r="J595">
            <v>263.08999999999997</v>
          </cell>
        </row>
        <row r="596">
          <cell r="B596" t="str">
            <v>DU0710000115</v>
          </cell>
          <cell r="C596" t="str">
            <v>DU07</v>
          </cell>
          <cell r="D596" t="str">
            <v>D349</v>
          </cell>
          <cell r="E596" t="str">
            <v>MX-PD0300 PETEMPICH</v>
          </cell>
          <cell r="F596">
            <v>10000115</v>
          </cell>
          <cell r="G596" t="str">
            <v>Grava Triturada Caliza 10 mm -</v>
          </cell>
          <cell r="H596">
            <v>203.67</v>
          </cell>
          <cell r="I596">
            <v>141.33000000000001</v>
          </cell>
          <cell r="J596">
            <v>345</v>
          </cell>
        </row>
        <row r="597">
          <cell r="B597" t="str">
            <v>DU0710251742</v>
          </cell>
          <cell r="C597" t="str">
            <v>DU07</v>
          </cell>
          <cell r="D597" t="str">
            <v>D349</v>
          </cell>
          <cell r="E597" t="str">
            <v>MX-PD0300 PETEMPICH</v>
          </cell>
          <cell r="F597">
            <v>10251742</v>
          </cell>
          <cell r="G597" t="str">
            <v>ARENA TRITURADA CALIZA 10MM -3</v>
          </cell>
          <cell r="H597">
            <v>207.91</v>
          </cell>
          <cell r="I597">
            <v>102.23</v>
          </cell>
          <cell r="J597">
            <v>310.14</v>
          </cell>
        </row>
        <row r="598">
          <cell r="B598" t="str">
            <v>DU0710264038</v>
          </cell>
          <cell r="C598" t="str">
            <v>DU07</v>
          </cell>
          <cell r="D598" t="str">
            <v>D349</v>
          </cell>
          <cell r="E598" t="str">
            <v>MX-PD0300 PETEMPICH</v>
          </cell>
          <cell r="F598">
            <v>10264038</v>
          </cell>
          <cell r="G598" t="str">
            <v>MOV ARENA TRITURADA CALIZA MAL</v>
          </cell>
          <cell r="H598">
            <v>207.91</v>
          </cell>
          <cell r="I598">
            <v>102.19</v>
          </cell>
          <cell r="J598">
            <v>310.10000000000002</v>
          </cell>
        </row>
        <row r="599">
          <cell r="B599" t="str">
            <v>DU0710264039</v>
          </cell>
          <cell r="C599" t="str">
            <v>DU07</v>
          </cell>
          <cell r="D599" t="str">
            <v>D349</v>
          </cell>
          <cell r="E599" t="str">
            <v>MX-PD0300 PETEMPICH</v>
          </cell>
          <cell r="F599">
            <v>10264039</v>
          </cell>
          <cell r="G599" t="str">
            <v>MOV GRAVA TRITURADA CALIZA 20M</v>
          </cell>
          <cell r="H599">
            <v>203.67</v>
          </cell>
          <cell r="I599">
            <v>79.430000000000007</v>
          </cell>
          <cell r="J599">
            <v>283.10000000000002</v>
          </cell>
        </row>
        <row r="600">
          <cell r="B600" t="str">
            <v>DU0710000101</v>
          </cell>
          <cell r="C600" t="str">
            <v>DU07</v>
          </cell>
          <cell r="D600" t="str">
            <v>D358</v>
          </cell>
          <cell r="E600" t="str">
            <v>MX-PD0509 COLOSIO</v>
          </cell>
          <cell r="F600">
            <v>10000101</v>
          </cell>
          <cell r="G600" t="str">
            <v>Arena Triturada Caliza Malla 4</v>
          </cell>
          <cell r="H600">
            <v>207.91</v>
          </cell>
          <cell r="I600">
            <v>117.59</v>
          </cell>
          <cell r="J600">
            <v>325.5</v>
          </cell>
        </row>
        <row r="601">
          <cell r="B601" t="str">
            <v>DU0710000110</v>
          </cell>
          <cell r="C601" t="str">
            <v>DU07</v>
          </cell>
          <cell r="D601" t="str">
            <v>D358</v>
          </cell>
          <cell r="E601" t="str">
            <v>MX-PD0509 COLOSIO</v>
          </cell>
          <cell r="F601">
            <v>10000110</v>
          </cell>
          <cell r="G601" t="str">
            <v>GRAVA TRITURADA CALIZA 20 MM “</v>
          </cell>
          <cell r="H601">
            <v>203.67</v>
          </cell>
          <cell r="I601">
            <v>94.52</v>
          </cell>
          <cell r="J601">
            <v>298.19</v>
          </cell>
        </row>
        <row r="602">
          <cell r="B602" t="str">
            <v>DU0710000112</v>
          </cell>
          <cell r="C602" t="str">
            <v>DU07</v>
          </cell>
          <cell r="D602" t="str">
            <v>D358</v>
          </cell>
          <cell r="E602" t="str">
            <v>MX-PD0509 COLOSIO</v>
          </cell>
          <cell r="F602">
            <v>10000112</v>
          </cell>
          <cell r="G602" t="str">
            <v>Grava Triturada Caliza 13 mm -</v>
          </cell>
          <cell r="H602">
            <v>203.67</v>
          </cell>
          <cell r="I602">
            <v>59.42</v>
          </cell>
          <cell r="J602">
            <v>263.08999999999997</v>
          </cell>
        </row>
        <row r="603">
          <cell r="B603" t="str">
            <v>DU0710264038</v>
          </cell>
          <cell r="C603" t="str">
            <v>DU07</v>
          </cell>
          <cell r="D603" t="str">
            <v>D358</v>
          </cell>
          <cell r="E603" t="str">
            <v>MX-PD0509 COLOSIO</v>
          </cell>
          <cell r="F603">
            <v>10264038</v>
          </cell>
          <cell r="G603" t="str">
            <v>MOV ARENA TRITURADA CALIZA MAL</v>
          </cell>
          <cell r="H603">
            <v>207.91</v>
          </cell>
          <cell r="I603">
            <v>102.19</v>
          </cell>
          <cell r="J603">
            <v>310.10000000000002</v>
          </cell>
        </row>
        <row r="604">
          <cell r="B604" t="str">
            <v>DU0710264039</v>
          </cell>
          <cell r="C604" t="str">
            <v>DU07</v>
          </cell>
          <cell r="D604" t="str">
            <v>D358</v>
          </cell>
          <cell r="E604" t="str">
            <v>MX-PD0509 COLOSIO</v>
          </cell>
          <cell r="F604">
            <v>10264039</v>
          </cell>
          <cell r="G604" t="str">
            <v>MOV GRAVA TRITURADA CALIZA 20M</v>
          </cell>
          <cell r="H604">
            <v>203.67</v>
          </cell>
          <cell r="I604">
            <v>79.430000000000007</v>
          </cell>
          <cell r="J604">
            <v>283.10000000000002</v>
          </cell>
        </row>
        <row r="605">
          <cell r="B605" t="str">
            <v>DU0710000101</v>
          </cell>
          <cell r="C605" t="str">
            <v>DU07</v>
          </cell>
          <cell r="D605" t="str">
            <v>D678</v>
          </cell>
          <cell r="E605" t="str">
            <v>MX-PD0665 TULUM</v>
          </cell>
          <cell r="F605">
            <v>10000101</v>
          </cell>
          <cell r="G605" t="str">
            <v>Arena Triturada Caliza Malla 4</v>
          </cell>
          <cell r="H605">
            <v>207.91</v>
          </cell>
          <cell r="I605">
            <v>117.59</v>
          </cell>
          <cell r="J605">
            <v>325.5</v>
          </cell>
        </row>
        <row r="606">
          <cell r="B606" t="str">
            <v>DU0710000110</v>
          </cell>
          <cell r="C606" t="str">
            <v>DU07</v>
          </cell>
          <cell r="D606" t="str">
            <v>D678</v>
          </cell>
          <cell r="E606" t="str">
            <v>MX-PD0665 TULUM</v>
          </cell>
          <cell r="F606">
            <v>10000110</v>
          </cell>
          <cell r="G606" t="str">
            <v>GRAVA TRITURADA CALIZA 20 MM “</v>
          </cell>
          <cell r="H606">
            <v>203.67</v>
          </cell>
          <cell r="I606">
            <v>94.52</v>
          </cell>
          <cell r="J606">
            <v>298.19</v>
          </cell>
        </row>
        <row r="607">
          <cell r="B607" t="str">
            <v>DU0710000111</v>
          </cell>
          <cell r="C607" t="str">
            <v>DU07</v>
          </cell>
          <cell r="D607" t="str">
            <v>D678</v>
          </cell>
          <cell r="E607" t="str">
            <v>MX-PD0665 TULUM</v>
          </cell>
          <cell r="F607">
            <v>10000111</v>
          </cell>
          <cell r="G607" t="str">
            <v>Grava Triturada Caliza 40mm -1</v>
          </cell>
          <cell r="H607">
            <v>203.67</v>
          </cell>
          <cell r="I607">
            <v>-62.49</v>
          </cell>
          <cell r="J607">
            <v>141.17999999999998</v>
          </cell>
        </row>
        <row r="608">
          <cell r="B608" t="str">
            <v>DU0710000112</v>
          </cell>
          <cell r="C608" t="str">
            <v>DU07</v>
          </cell>
          <cell r="D608" t="str">
            <v>D678</v>
          </cell>
          <cell r="E608" t="str">
            <v>MX-PD0665 TULUM</v>
          </cell>
          <cell r="F608">
            <v>10000112</v>
          </cell>
          <cell r="G608" t="str">
            <v>Grava Triturada Caliza 13 mm -</v>
          </cell>
          <cell r="H608">
            <v>203.67</v>
          </cell>
          <cell r="I608">
            <v>59.42</v>
          </cell>
          <cell r="J608">
            <v>263.08999999999997</v>
          </cell>
        </row>
        <row r="609">
          <cell r="B609" t="str">
            <v>DU0710000115</v>
          </cell>
          <cell r="C609" t="str">
            <v>DU07</v>
          </cell>
          <cell r="D609" t="str">
            <v>D678</v>
          </cell>
          <cell r="E609" t="str">
            <v>MX-PD0665 TULUM</v>
          </cell>
          <cell r="F609">
            <v>10000115</v>
          </cell>
          <cell r="G609" t="str">
            <v>Grava Triturada Caliza 10 mm -</v>
          </cell>
          <cell r="H609">
            <v>203.67</v>
          </cell>
          <cell r="I609">
            <v>141.33000000000001</v>
          </cell>
          <cell r="J609">
            <v>345</v>
          </cell>
        </row>
        <row r="610">
          <cell r="B610" t="str">
            <v>DU0710251742</v>
          </cell>
          <cell r="C610" t="str">
            <v>DU07</v>
          </cell>
          <cell r="D610" t="str">
            <v>D678</v>
          </cell>
          <cell r="E610" t="str">
            <v>MX-PD0665 TULUM</v>
          </cell>
          <cell r="F610">
            <v>10251742</v>
          </cell>
          <cell r="G610" t="str">
            <v>ARENA TRITURADA CALIZA 10MM -3</v>
          </cell>
          <cell r="H610">
            <v>207.91</v>
          </cell>
          <cell r="I610">
            <v>102.23</v>
          </cell>
          <cell r="J610">
            <v>310.14</v>
          </cell>
        </row>
        <row r="611">
          <cell r="B611" t="str">
            <v>DU0710264038</v>
          </cell>
          <cell r="C611" t="str">
            <v>DU07</v>
          </cell>
          <cell r="D611" t="str">
            <v>D678</v>
          </cell>
          <cell r="E611" t="str">
            <v>MX-PD0665 TULUM</v>
          </cell>
          <cell r="F611">
            <v>10264038</v>
          </cell>
          <cell r="G611" t="str">
            <v>MOV ARENA TRITURADA CALIZA MAL</v>
          </cell>
          <cell r="H611">
            <v>207.91</v>
          </cell>
          <cell r="I611">
            <v>102.19</v>
          </cell>
          <cell r="J611">
            <v>310.10000000000002</v>
          </cell>
        </row>
        <row r="612">
          <cell r="B612" t="str">
            <v>DU0710264039</v>
          </cell>
          <cell r="C612" t="str">
            <v>DU07</v>
          </cell>
          <cell r="D612" t="str">
            <v>D678</v>
          </cell>
          <cell r="E612" t="str">
            <v>MX-PD0665 TULUM</v>
          </cell>
          <cell r="F612">
            <v>10264039</v>
          </cell>
          <cell r="G612" t="str">
            <v>MOV GRAVA TRITURADA CALIZA 20M</v>
          </cell>
          <cell r="H612">
            <v>203.67</v>
          </cell>
          <cell r="I612">
            <v>79.430000000000007</v>
          </cell>
          <cell r="J612">
            <v>283.10000000000002</v>
          </cell>
        </row>
        <row r="613">
          <cell r="B613" t="str">
            <v>DU0710000101</v>
          </cell>
          <cell r="C613" t="str">
            <v>DU07</v>
          </cell>
          <cell r="D613" t="str">
            <v>EQ86</v>
          </cell>
          <cell r="E613" t="str">
            <v>MX-PD0457 AEROPUERTO CANCUN</v>
          </cell>
          <cell r="F613">
            <v>10000101</v>
          </cell>
          <cell r="G613" t="str">
            <v>Arena Triturada Caliza Malla 4</v>
          </cell>
          <cell r="H613">
            <v>345.8</v>
          </cell>
          <cell r="I613" t="e">
            <v>#N/A</v>
          </cell>
          <cell r="J613" t="e">
            <v>#N/A</v>
          </cell>
        </row>
        <row r="614">
          <cell r="B614" t="str">
            <v>DU0710000103</v>
          </cell>
          <cell r="C614" t="str">
            <v>DU07</v>
          </cell>
          <cell r="D614" t="str">
            <v>EQ86</v>
          </cell>
          <cell r="E614" t="str">
            <v>MX-PD0457 AEROPUERTO CANCUN</v>
          </cell>
          <cell r="F614">
            <v>10000103</v>
          </cell>
          <cell r="G614" t="str">
            <v>Base H Triturada Caliza 1 1/2"</v>
          </cell>
          <cell r="H614">
            <v>110.47</v>
          </cell>
          <cell r="I614" t="e">
            <v>#N/A</v>
          </cell>
          <cell r="J614" t="e">
            <v>#N/A</v>
          </cell>
        </row>
        <row r="615">
          <cell r="B615" t="str">
            <v>DU0710000110</v>
          </cell>
          <cell r="C615" t="str">
            <v>DU07</v>
          </cell>
          <cell r="D615" t="str">
            <v>EQ86</v>
          </cell>
          <cell r="E615" t="str">
            <v>MX-PD0457 AEROPUERTO CANCUN</v>
          </cell>
          <cell r="F615">
            <v>10000110</v>
          </cell>
          <cell r="G615" t="str">
            <v>GRAVA TRITURADA CALIZA 20 MM “</v>
          </cell>
          <cell r="H615">
            <v>316.39999999999998</v>
          </cell>
          <cell r="I615" t="e">
            <v>#N/A</v>
          </cell>
          <cell r="J615" t="e">
            <v>#N/A</v>
          </cell>
        </row>
        <row r="616">
          <cell r="B616" t="str">
            <v>DU0710000112</v>
          </cell>
          <cell r="C616" t="str">
            <v>DU07</v>
          </cell>
          <cell r="D616" t="str">
            <v>EQ86</v>
          </cell>
          <cell r="E616" t="str">
            <v>MX-PD0457 AEROPUERTO CANCUN</v>
          </cell>
          <cell r="F616">
            <v>10000112</v>
          </cell>
          <cell r="G616" t="str">
            <v>Grava Triturada Caliza 13 mm -</v>
          </cell>
          <cell r="H616">
            <v>263.82</v>
          </cell>
          <cell r="I616" t="e">
            <v>#N/A</v>
          </cell>
          <cell r="J616" t="e">
            <v>#N/A</v>
          </cell>
        </row>
        <row r="617">
          <cell r="B617" t="str">
            <v>DU0710251742</v>
          </cell>
          <cell r="C617" t="str">
            <v>DU07</v>
          </cell>
          <cell r="D617" t="str">
            <v>EQ86</v>
          </cell>
          <cell r="E617" t="str">
            <v>MX-PD0457 AEROPUERTO CANCUN</v>
          </cell>
          <cell r="F617">
            <v>10251742</v>
          </cell>
          <cell r="G617" t="str">
            <v>ARENA TRITURADA CALIZA 10MM -3</v>
          </cell>
          <cell r="H617">
            <v>325.32</v>
          </cell>
          <cell r="I617" t="e">
            <v>#N/A</v>
          </cell>
          <cell r="J617" t="e">
            <v>#N/A</v>
          </cell>
        </row>
        <row r="618">
          <cell r="B618" t="str">
            <v>DU0710264038</v>
          </cell>
          <cell r="C618" t="str">
            <v>DU07</v>
          </cell>
          <cell r="D618" t="str">
            <v>EQ86</v>
          </cell>
          <cell r="E618" t="str">
            <v>MX-PD0457 AEROPUERTO CANCUN</v>
          </cell>
          <cell r="F618">
            <v>10264038</v>
          </cell>
          <cell r="G618" t="str">
            <v>MOV ARENA TRITURADA CALIZA MAL</v>
          </cell>
          <cell r="H618">
            <v>261.11</v>
          </cell>
          <cell r="I618" t="e">
            <v>#N/A</v>
          </cell>
          <cell r="J618" t="e">
            <v>#N/A</v>
          </cell>
        </row>
        <row r="619">
          <cell r="B619" t="str">
            <v>DU0710264039</v>
          </cell>
          <cell r="C619" t="str">
            <v>DU07</v>
          </cell>
          <cell r="D619" t="str">
            <v>EQ86</v>
          </cell>
          <cell r="E619" t="str">
            <v>MX-PD0457 AEROPUERTO CANCUN</v>
          </cell>
          <cell r="F619">
            <v>10264039</v>
          </cell>
          <cell r="G619" t="str">
            <v>MOV GRAVA TRITURADA CALIZA 20M</v>
          </cell>
          <cell r="H619">
            <v>262.27999999999997</v>
          </cell>
          <cell r="I619" t="e">
            <v>#N/A</v>
          </cell>
          <cell r="J619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83EB-1B6F-4CB0-98B0-543B1C1AB194}">
  <sheetPr codeName="Hoja1"/>
  <dimension ref="A1:J133"/>
  <sheetViews>
    <sheetView workbookViewId="0">
      <selection activeCell="F135" sqref="F135"/>
    </sheetView>
  </sheetViews>
  <sheetFormatPr baseColWidth="10" defaultColWidth="8.7109375" defaultRowHeight="15" x14ac:dyDescent="0.25"/>
  <cols>
    <col min="2" max="2" width="24.28515625" bestFit="1" customWidth="1"/>
    <col min="3" max="3" width="8.85546875" bestFit="1" customWidth="1"/>
    <col min="4" max="4" width="31.5703125" bestFit="1" customWidth="1"/>
    <col min="5" max="5" width="5.8554687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10" x14ac:dyDescent="0.25">
      <c r="A2" s="3" t="s">
        <v>5</v>
      </c>
      <c r="B2" s="3" t="s">
        <v>6</v>
      </c>
      <c r="C2" s="3">
        <v>10000252</v>
      </c>
      <c r="D2" s="3" t="s">
        <v>7</v>
      </c>
      <c r="E2" s="4">
        <v>1.234</v>
      </c>
      <c r="J2" s="2"/>
    </row>
    <row r="3" spans="1:10" x14ac:dyDescent="0.25">
      <c r="A3" s="3" t="s">
        <v>5</v>
      </c>
      <c r="B3" s="3" t="s">
        <v>6</v>
      </c>
      <c r="C3" s="3">
        <v>10000253</v>
      </c>
      <c r="D3" s="3" t="s">
        <v>8</v>
      </c>
      <c r="E3" s="4">
        <v>1.385</v>
      </c>
      <c r="J3" s="2"/>
    </row>
    <row r="4" spans="1:10" x14ac:dyDescent="0.25">
      <c r="A4" s="3" t="s">
        <v>5</v>
      </c>
      <c r="B4" s="3" t="s">
        <v>6</v>
      </c>
      <c r="C4" s="3">
        <v>10000255</v>
      </c>
      <c r="D4" s="3" t="s">
        <v>9</v>
      </c>
      <c r="E4" s="4">
        <v>1.5349999999999999</v>
      </c>
      <c r="J4" s="2"/>
    </row>
    <row r="5" spans="1:10" x14ac:dyDescent="0.25">
      <c r="A5" s="3" t="s">
        <v>5</v>
      </c>
      <c r="B5" s="3" t="s">
        <v>6</v>
      </c>
      <c r="C5" s="3">
        <v>10001091</v>
      </c>
      <c r="D5" s="3" t="s">
        <v>10</v>
      </c>
      <c r="E5" s="4">
        <v>1.4</v>
      </c>
      <c r="J5" s="2"/>
    </row>
    <row r="6" spans="1:10" x14ac:dyDescent="0.25">
      <c r="A6" s="3" t="s">
        <v>5</v>
      </c>
      <c r="B6" s="3" t="s">
        <v>6</v>
      </c>
      <c r="C6" s="3">
        <v>10002350</v>
      </c>
      <c r="D6" s="3" t="s">
        <v>11</v>
      </c>
      <c r="E6" s="4">
        <v>1.246</v>
      </c>
      <c r="J6" s="2"/>
    </row>
    <row r="7" spans="1:10" x14ac:dyDescent="0.25">
      <c r="A7" s="3" t="s">
        <v>5</v>
      </c>
      <c r="B7" s="3" t="s">
        <v>6</v>
      </c>
      <c r="C7" s="3">
        <v>10029946</v>
      </c>
      <c r="D7" s="3" t="s">
        <v>9</v>
      </c>
      <c r="E7" s="4">
        <v>1.494</v>
      </c>
      <c r="J7" s="2"/>
    </row>
    <row r="8" spans="1:10" x14ac:dyDescent="0.25">
      <c r="A8" s="3" t="s">
        <v>5</v>
      </c>
      <c r="B8" s="3" t="s">
        <v>6</v>
      </c>
      <c r="C8" s="3">
        <v>10032959</v>
      </c>
      <c r="D8" s="3" t="s">
        <v>12</v>
      </c>
      <c r="E8" s="4">
        <v>1.2789999999999999</v>
      </c>
      <c r="J8" s="2"/>
    </row>
    <row r="9" spans="1:10" x14ac:dyDescent="0.25">
      <c r="A9" s="3" t="s">
        <v>5</v>
      </c>
      <c r="B9" s="3" t="s">
        <v>6</v>
      </c>
      <c r="C9" s="3">
        <v>10000305</v>
      </c>
      <c r="D9" s="3" t="s">
        <v>13</v>
      </c>
      <c r="E9" s="4">
        <v>1.3</v>
      </c>
      <c r="J9" s="2"/>
    </row>
    <row r="10" spans="1:10" x14ac:dyDescent="0.25">
      <c r="A10" s="3" t="s">
        <v>43</v>
      </c>
      <c r="B10" s="3" t="s">
        <v>44</v>
      </c>
      <c r="C10" s="3">
        <v>10000229</v>
      </c>
      <c r="D10" s="3" t="s">
        <v>31</v>
      </c>
      <c r="E10" s="4">
        <v>1.522</v>
      </c>
      <c r="J10" s="2"/>
    </row>
    <row r="11" spans="1:10" x14ac:dyDescent="0.25">
      <c r="A11" s="3" t="s">
        <v>43</v>
      </c>
      <c r="B11" s="3" t="s">
        <v>44</v>
      </c>
      <c r="C11" s="3">
        <v>10000231</v>
      </c>
      <c r="D11" s="3" t="s">
        <v>45</v>
      </c>
      <c r="E11" s="4">
        <v>1.5649999999999999</v>
      </c>
      <c r="J11" s="2"/>
    </row>
    <row r="12" spans="1:10" x14ac:dyDescent="0.25">
      <c r="A12" s="3" t="s">
        <v>43</v>
      </c>
      <c r="B12" s="3" t="s">
        <v>44</v>
      </c>
      <c r="C12" s="3">
        <v>10000233</v>
      </c>
      <c r="D12" s="3" t="s">
        <v>32</v>
      </c>
      <c r="E12" s="4">
        <v>1.456</v>
      </c>
      <c r="J12" s="2"/>
    </row>
    <row r="13" spans="1:10" x14ac:dyDescent="0.25">
      <c r="A13" s="3" t="s">
        <v>43</v>
      </c>
      <c r="B13" s="3" t="s">
        <v>44</v>
      </c>
      <c r="C13" s="3">
        <v>10000311</v>
      </c>
      <c r="D13" s="3" t="s">
        <v>29</v>
      </c>
      <c r="E13" s="4">
        <v>1.651</v>
      </c>
      <c r="J13" s="2"/>
    </row>
    <row r="14" spans="1:10" x14ac:dyDescent="0.25">
      <c r="A14" s="3" t="s">
        <v>43</v>
      </c>
      <c r="B14" s="3" t="s">
        <v>44</v>
      </c>
      <c r="C14" s="3">
        <v>10003153</v>
      </c>
      <c r="D14" s="3" t="s">
        <v>46</v>
      </c>
      <c r="E14" s="4">
        <v>1.546</v>
      </c>
      <c r="J14" s="2"/>
    </row>
    <row r="15" spans="1:10" x14ac:dyDescent="0.25">
      <c r="A15" s="3" t="s">
        <v>43</v>
      </c>
      <c r="B15" s="3" t="s">
        <v>44</v>
      </c>
      <c r="C15" s="3">
        <v>10000290</v>
      </c>
      <c r="D15" s="3" t="s">
        <v>47</v>
      </c>
      <c r="E15" s="4">
        <v>1.3720000000000001</v>
      </c>
      <c r="J15" s="2"/>
    </row>
    <row r="16" spans="1:10" x14ac:dyDescent="0.25">
      <c r="A16" s="3" t="s">
        <v>43</v>
      </c>
      <c r="B16" s="3" t="s">
        <v>44</v>
      </c>
      <c r="C16" s="3">
        <v>10155483</v>
      </c>
      <c r="D16" s="3" t="s">
        <v>48</v>
      </c>
      <c r="E16" s="4">
        <v>1.6</v>
      </c>
      <c r="J16" s="2"/>
    </row>
    <row r="17" spans="1:10" x14ac:dyDescent="0.25">
      <c r="A17" s="3" t="s">
        <v>43</v>
      </c>
      <c r="B17" s="3" t="s">
        <v>44</v>
      </c>
      <c r="C17" s="3">
        <v>10066861</v>
      </c>
      <c r="D17" s="3" t="s">
        <v>49</v>
      </c>
      <c r="E17" s="4">
        <v>1.464</v>
      </c>
      <c r="J17" s="2"/>
    </row>
    <row r="18" spans="1:10" x14ac:dyDescent="0.25">
      <c r="A18" s="3" t="s">
        <v>43</v>
      </c>
      <c r="B18" s="3" t="s">
        <v>44</v>
      </c>
      <c r="C18" s="3">
        <v>10001450</v>
      </c>
      <c r="D18" s="3" t="s">
        <v>138</v>
      </c>
      <c r="E18" s="4">
        <v>1.7490000000000001</v>
      </c>
      <c r="J18" s="2"/>
    </row>
    <row r="19" spans="1:10" x14ac:dyDescent="0.25">
      <c r="A19" s="3" t="s">
        <v>43</v>
      </c>
      <c r="B19" s="3" t="s">
        <v>44</v>
      </c>
      <c r="C19" s="3">
        <v>10065192</v>
      </c>
      <c r="D19" s="3" t="s">
        <v>50</v>
      </c>
      <c r="E19" s="4">
        <v>1.494</v>
      </c>
      <c r="J19" s="2"/>
    </row>
    <row r="20" spans="1:10" x14ac:dyDescent="0.25">
      <c r="A20" s="3" t="s">
        <v>43</v>
      </c>
      <c r="B20" s="3" t="s">
        <v>44</v>
      </c>
      <c r="C20" s="3">
        <v>10087722</v>
      </c>
      <c r="D20" s="3" t="s">
        <v>51</v>
      </c>
      <c r="E20" s="4">
        <v>1.7</v>
      </c>
      <c r="J20" s="2"/>
    </row>
    <row r="21" spans="1:10" x14ac:dyDescent="0.25">
      <c r="A21" s="3" t="s">
        <v>54</v>
      </c>
      <c r="B21" s="3" t="s">
        <v>55</v>
      </c>
      <c r="C21" s="3">
        <v>10000240</v>
      </c>
      <c r="D21" s="3" t="s">
        <v>18</v>
      </c>
      <c r="E21" s="4">
        <v>1.462</v>
      </c>
      <c r="J21" s="2"/>
    </row>
    <row r="22" spans="1:10" x14ac:dyDescent="0.25">
      <c r="A22" s="3" t="s">
        <v>54</v>
      </c>
      <c r="B22" s="3" t="s">
        <v>55</v>
      </c>
      <c r="C22" s="3">
        <v>10000269</v>
      </c>
      <c r="D22" s="3" t="s">
        <v>24</v>
      </c>
      <c r="E22" s="4">
        <v>1.423</v>
      </c>
      <c r="J22" s="2"/>
    </row>
    <row r="23" spans="1:10" x14ac:dyDescent="0.25">
      <c r="A23" s="3" t="s">
        <v>54</v>
      </c>
      <c r="B23" s="3" t="s">
        <v>55</v>
      </c>
      <c r="C23" s="3">
        <v>10001073</v>
      </c>
      <c r="D23" s="3" t="s">
        <v>16</v>
      </c>
      <c r="E23" s="4">
        <v>1.56</v>
      </c>
      <c r="J23" s="2"/>
    </row>
    <row r="24" spans="1:10" x14ac:dyDescent="0.25">
      <c r="A24" s="3" t="s">
        <v>54</v>
      </c>
      <c r="B24" s="3" t="s">
        <v>55</v>
      </c>
      <c r="C24" s="3">
        <v>10001074</v>
      </c>
      <c r="D24" s="3" t="s">
        <v>37</v>
      </c>
      <c r="E24" s="4">
        <v>1.4</v>
      </c>
      <c r="J24" s="2"/>
    </row>
    <row r="25" spans="1:10" x14ac:dyDescent="0.25">
      <c r="A25" s="3" t="s">
        <v>54</v>
      </c>
      <c r="B25" s="3" t="s">
        <v>55</v>
      </c>
      <c r="C25" s="3">
        <v>10000236</v>
      </c>
      <c r="D25" s="3" t="s">
        <v>17</v>
      </c>
      <c r="E25" s="4">
        <v>1.41</v>
      </c>
      <c r="J25" s="2"/>
    </row>
    <row r="26" spans="1:10" x14ac:dyDescent="0.25">
      <c r="A26" s="3" t="s">
        <v>54</v>
      </c>
      <c r="B26" s="3" t="s">
        <v>55</v>
      </c>
      <c r="C26" s="3">
        <v>10001203</v>
      </c>
      <c r="D26" s="3" t="s">
        <v>56</v>
      </c>
      <c r="E26" s="4">
        <v>1.665</v>
      </c>
      <c r="J26" s="2"/>
    </row>
    <row r="27" spans="1:10" x14ac:dyDescent="0.25">
      <c r="A27" s="3" t="s">
        <v>54</v>
      </c>
      <c r="B27" s="3" t="s">
        <v>55</v>
      </c>
      <c r="C27" s="3">
        <v>10000301</v>
      </c>
      <c r="D27" s="3" t="s">
        <v>57</v>
      </c>
      <c r="E27" s="4">
        <v>1.7729999999999999</v>
      </c>
      <c r="J27" s="2"/>
    </row>
    <row r="28" spans="1:10" x14ac:dyDescent="0.25">
      <c r="A28" s="3" t="s">
        <v>54</v>
      </c>
      <c r="B28" s="3" t="s">
        <v>55</v>
      </c>
      <c r="C28" s="3">
        <v>10000319</v>
      </c>
      <c r="D28" s="3" t="s">
        <v>37</v>
      </c>
      <c r="E28" s="4">
        <v>1.444</v>
      </c>
      <c r="J28" s="2"/>
    </row>
    <row r="29" spans="1:10" x14ac:dyDescent="0.25">
      <c r="A29" s="3" t="s">
        <v>54</v>
      </c>
      <c r="B29" s="3" t="s">
        <v>55</v>
      </c>
      <c r="C29" s="3">
        <v>10070027</v>
      </c>
      <c r="D29" s="3" t="s">
        <v>58</v>
      </c>
      <c r="E29" s="4">
        <v>1.3</v>
      </c>
      <c r="J29" s="2"/>
    </row>
    <row r="30" spans="1:10" x14ac:dyDescent="0.25">
      <c r="A30" s="3" t="s">
        <v>54</v>
      </c>
      <c r="B30" s="3" t="s">
        <v>55</v>
      </c>
      <c r="C30" s="3">
        <v>10172785</v>
      </c>
      <c r="D30" s="3" t="s">
        <v>59</v>
      </c>
      <c r="E30" s="4">
        <v>1.5840000000000001</v>
      </c>
      <c r="J30" s="2"/>
    </row>
    <row r="31" spans="1:10" x14ac:dyDescent="0.25">
      <c r="A31" s="3" t="s">
        <v>54</v>
      </c>
      <c r="B31" s="3" t="s">
        <v>55</v>
      </c>
      <c r="C31" s="3">
        <v>10173784</v>
      </c>
      <c r="D31" s="3" t="s">
        <v>60</v>
      </c>
      <c r="E31" s="4">
        <v>1.6240000000000001</v>
      </c>
      <c r="J31" s="2"/>
    </row>
    <row r="32" spans="1:10" x14ac:dyDescent="0.25">
      <c r="A32" s="3" t="s">
        <v>66</v>
      </c>
      <c r="B32" s="3" t="s">
        <v>67</v>
      </c>
      <c r="C32" s="3">
        <v>10000236</v>
      </c>
      <c r="D32" s="3" t="s">
        <v>17</v>
      </c>
      <c r="E32" s="4">
        <v>1.41</v>
      </c>
      <c r="J32" s="2"/>
    </row>
    <row r="33" spans="1:10" x14ac:dyDescent="0.25">
      <c r="A33" s="3" t="s">
        <v>66</v>
      </c>
      <c r="B33" s="3" t="s">
        <v>67</v>
      </c>
      <c r="C33" s="3">
        <v>10000240</v>
      </c>
      <c r="D33" s="3" t="s">
        <v>18</v>
      </c>
      <c r="E33" s="4">
        <v>1.462</v>
      </c>
      <c r="J33" s="2"/>
    </row>
    <row r="34" spans="1:10" x14ac:dyDescent="0.25">
      <c r="A34" s="3" t="s">
        <v>66</v>
      </c>
      <c r="B34" s="3" t="s">
        <v>67</v>
      </c>
      <c r="C34" s="3">
        <v>10001073</v>
      </c>
      <c r="D34" s="3" t="s">
        <v>16</v>
      </c>
      <c r="E34" s="4">
        <v>1.56</v>
      </c>
      <c r="J34" s="2"/>
    </row>
    <row r="35" spans="1:10" x14ac:dyDescent="0.25">
      <c r="A35" s="3" t="s">
        <v>78</v>
      </c>
      <c r="B35" s="3" t="s">
        <v>79</v>
      </c>
      <c r="C35" s="3">
        <v>10226085</v>
      </c>
      <c r="D35" s="3" t="s">
        <v>80</v>
      </c>
      <c r="E35" s="4">
        <v>1.536</v>
      </c>
      <c r="J35" s="2"/>
    </row>
    <row r="36" spans="1:10" x14ac:dyDescent="0.25">
      <c r="A36" s="3" t="s">
        <v>78</v>
      </c>
      <c r="B36" s="3" t="s">
        <v>79</v>
      </c>
      <c r="C36" s="3">
        <v>10226538</v>
      </c>
      <c r="D36" s="3" t="s">
        <v>81</v>
      </c>
      <c r="E36" s="4">
        <v>1.63</v>
      </c>
      <c r="J36" s="2"/>
    </row>
    <row r="37" spans="1:10" x14ac:dyDescent="0.25">
      <c r="A37" s="3" t="s">
        <v>78</v>
      </c>
      <c r="B37" s="3" t="s">
        <v>79</v>
      </c>
      <c r="C37" s="3">
        <v>10226537</v>
      </c>
      <c r="D37" s="3" t="s">
        <v>82</v>
      </c>
      <c r="E37" s="4">
        <v>1.5329999999999999</v>
      </c>
      <c r="J37" s="2"/>
    </row>
    <row r="38" spans="1:10" x14ac:dyDescent="0.25">
      <c r="A38" s="3" t="s">
        <v>86</v>
      </c>
      <c r="B38" s="3" t="s">
        <v>87</v>
      </c>
      <c r="C38" s="3">
        <v>10000101</v>
      </c>
      <c r="D38" s="3" t="s">
        <v>16</v>
      </c>
      <c r="E38" s="4">
        <v>1.417</v>
      </c>
      <c r="J38" s="2"/>
    </row>
    <row r="39" spans="1:10" x14ac:dyDescent="0.25">
      <c r="A39" s="3" t="s">
        <v>86</v>
      </c>
      <c r="B39" s="3" t="s">
        <v>87</v>
      </c>
      <c r="C39" s="3">
        <v>10000110</v>
      </c>
      <c r="D39" s="3" t="s">
        <v>229</v>
      </c>
      <c r="E39" s="4">
        <v>1.2010000000000001</v>
      </c>
      <c r="J39" s="2"/>
    </row>
    <row r="40" spans="1:10" x14ac:dyDescent="0.25">
      <c r="A40" s="3" t="s">
        <v>86</v>
      </c>
      <c r="B40" s="3" t="s">
        <v>87</v>
      </c>
      <c r="C40" s="3">
        <v>10000111</v>
      </c>
      <c r="D40" s="3" t="s">
        <v>88</v>
      </c>
      <c r="E40" s="4">
        <v>1.387</v>
      </c>
      <c r="J40" s="2"/>
    </row>
    <row r="41" spans="1:10" x14ac:dyDescent="0.25">
      <c r="A41" s="3" t="s">
        <v>86</v>
      </c>
      <c r="B41" s="3" t="s">
        <v>87</v>
      </c>
      <c r="C41" s="3">
        <v>10000112</v>
      </c>
      <c r="D41" s="3" t="s">
        <v>24</v>
      </c>
      <c r="E41" s="4">
        <v>1.194</v>
      </c>
      <c r="J41" s="2"/>
    </row>
    <row r="42" spans="1:10" x14ac:dyDescent="0.25">
      <c r="A42" s="3" t="s">
        <v>86</v>
      </c>
      <c r="B42" s="3" t="s">
        <v>87</v>
      </c>
      <c r="C42" s="3">
        <v>10000115</v>
      </c>
      <c r="D42" s="3" t="s">
        <v>17</v>
      </c>
      <c r="E42" s="4">
        <v>1.1559999999999999</v>
      </c>
      <c r="J42" s="2"/>
    </row>
    <row r="43" spans="1:10" x14ac:dyDescent="0.25">
      <c r="A43" s="3" t="s">
        <v>86</v>
      </c>
      <c r="B43" s="3" t="s">
        <v>87</v>
      </c>
      <c r="C43" s="3">
        <v>10251742</v>
      </c>
      <c r="D43" s="3" t="s">
        <v>89</v>
      </c>
      <c r="E43" s="4">
        <v>1.417</v>
      </c>
      <c r="J43" s="2"/>
    </row>
    <row r="44" spans="1:10" x14ac:dyDescent="0.25">
      <c r="A44" s="3" t="s">
        <v>66</v>
      </c>
      <c r="B44" s="3" t="s">
        <v>67</v>
      </c>
      <c r="C44" s="3">
        <v>10000240</v>
      </c>
      <c r="D44" s="3" t="s">
        <v>90</v>
      </c>
      <c r="E44" s="4">
        <v>1.462</v>
      </c>
      <c r="J44" s="2"/>
    </row>
    <row r="45" spans="1:10" x14ac:dyDescent="0.25">
      <c r="A45" s="3" t="s">
        <v>66</v>
      </c>
      <c r="B45" s="3" t="s">
        <v>67</v>
      </c>
      <c r="C45" s="3">
        <v>10001073</v>
      </c>
      <c r="D45" s="3" t="s">
        <v>16</v>
      </c>
      <c r="E45" s="4">
        <v>1.56</v>
      </c>
      <c r="J45" s="2"/>
    </row>
    <row r="46" spans="1:10" x14ac:dyDescent="0.25">
      <c r="A46" s="3" t="s">
        <v>14</v>
      </c>
      <c r="B46" s="3" t="s">
        <v>15</v>
      </c>
      <c r="C46" s="3">
        <v>10000124</v>
      </c>
      <c r="D46" s="3" t="s">
        <v>16</v>
      </c>
      <c r="E46" s="4">
        <v>1.7390000000000001</v>
      </c>
      <c r="J46" s="2"/>
    </row>
    <row r="47" spans="1:10" x14ac:dyDescent="0.25">
      <c r="A47" s="3" t="s">
        <v>14</v>
      </c>
      <c r="B47" s="3" t="s">
        <v>15</v>
      </c>
      <c r="C47" s="3">
        <v>10000237</v>
      </c>
      <c r="D47" s="3" t="s">
        <v>17</v>
      </c>
      <c r="E47" s="4">
        <v>1.5620000000000001</v>
      </c>
      <c r="J47" s="2"/>
    </row>
    <row r="48" spans="1:10" x14ac:dyDescent="0.25">
      <c r="A48" s="3" t="s">
        <v>14</v>
      </c>
      <c r="B48" s="3" t="s">
        <v>15</v>
      </c>
      <c r="C48" s="3">
        <v>10000241</v>
      </c>
      <c r="D48" s="3" t="s">
        <v>18</v>
      </c>
      <c r="E48" s="4">
        <v>1.43</v>
      </c>
      <c r="J48" s="2"/>
    </row>
    <row r="49" spans="1:10" x14ac:dyDescent="0.25">
      <c r="A49" s="3" t="s">
        <v>14</v>
      </c>
      <c r="B49" s="3" t="s">
        <v>15</v>
      </c>
      <c r="C49" s="3">
        <v>10000242</v>
      </c>
      <c r="D49" s="3" t="s">
        <v>19</v>
      </c>
      <c r="E49" s="4">
        <v>1.4730000000000001</v>
      </c>
      <c r="J49" s="2"/>
    </row>
    <row r="50" spans="1:10" x14ac:dyDescent="0.25">
      <c r="A50" s="3" t="s">
        <v>14</v>
      </c>
      <c r="B50" s="3" t="s">
        <v>15</v>
      </c>
      <c r="C50" s="3">
        <v>10000259</v>
      </c>
      <c r="D50" s="3" t="s">
        <v>16</v>
      </c>
      <c r="E50" s="4">
        <v>1.7390000000000001</v>
      </c>
      <c r="J50" s="2"/>
    </row>
    <row r="51" spans="1:10" x14ac:dyDescent="0.25">
      <c r="A51" s="3" t="s">
        <v>14</v>
      </c>
      <c r="B51" s="3" t="s">
        <v>15</v>
      </c>
      <c r="C51" s="3">
        <v>10000260</v>
      </c>
      <c r="D51" s="3" t="s">
        <v>20</v>
      </c>
      <c r="E51" s="4">
        <v>1.72</v>
      </c>
      <c r="J51" s="2"/>
    </row>
    <row r="52" spans="1:10" x14ac:dyDescent="0.25">
      <c r="A52" s="3" t="s">
        <v>14</v>
      </c>
      <c r="B52" s="3" t="s">
        <v>15</v>
      </c>
      <c r="C52" s="3">
        <v>10001201</v>
      </c>
      <c r="D52" s="3" t="s">
        <v>21</v>
      </c>
      <c r="E52" s="4">
        <v>1.698</v>
      </c>
      <c r="J52" s="2"/>
    </row>
    <row r="53" spans="1:10" x14ac:dyDescent="0.25">
      <c r="A53" s="3" t="s">
        <v>14</v>
      </c>
      <c r="B53" s="3" t="s">
        <v>15</v>
      </c>
      <c r="C53" s="3">
        <v>10164169</v>
      </c>
      <c r="D53" s="3" t="s">
        <v>22</v>
      </c>
      <c r="E53" s="4">
        <v>1.7390000000000001</v>
      </c>
      <c r="J53" s="2"/>
    </row>
    <row r="54" spans="1:10" x14ac:dyDescent="0.25">
      <c r="A54" s="3" t="s">
        <v>14</v>
      </c>
      <c r="B54" s="3" t="s">
        <v>15</v>
      </c>
      <c r="C54" s="3">
        <v>10000268</v>
      </c>
      <c r="D54" s="3" t="s">
        <v>20</v>
      </c>
      <c r="E54" s="4">
        <v>1.72</v>
      </c>
      <c r="J54" s="2"/>
    </row>
    <row r="55" spans="1:10" x14ac:dyDescent="0.25">
      <c r="A55" s="3" t="s">
        <v>14</v>
      </c>
      <c r="B55" s="3" t="s">
        <v>15</v>
      </c>
      <c r="C55" s="3">
        <v>10000864</v>
      </c>
      <c r="D55" s="3" t="s">
        <v>23</v>
      </c>
      <c r="E55" s="4">
        <v>1.5</v>
      </c>
      <c r="J55" s="2"/>
    </row>
    <row r="56" spans="1:10" x14ac:dyDescent="0.25">
      <c r="A56" s="3" t="s">
        <v>14</v>
      </c>
      <c r="B56" s="3" t="s">
        <v>15</v>
      </c>
      <c r="C56" s="3">
        <v>10000261</v>
      </c>
      <c r="D56" s="3" t="s">
        <v>24</v>
      </c>
      <c r="E56" s="4">
        <v>1.496</v>
      </c>
      <c r="J56" s="2"/>
    </row>
    <row r="57" spans="1:10" x14ac:dyDescent="0.25">
      <c r="A57" s="3" t="s">
        <v>14</v>
      </c>
      <c r="B57" s="3" t="s">
        <v>15</v>
      </c>
      <c r="C57" s="3">
        <v>10000262</v>
      </c>
      <c r="D57" s="3" t="s">
        <v>25</v>
      </c>
      <c r="E57" s="4">
        <v>1.821</v>
      </c>
      <c r="J57" s="2"/>
    </row>
    <row r="58" spans="1:10" x14ac:dyDescent="0.25">
      <c r="A58" s="3" t="s">
        <v>14</v>
      </c>
      <c r="B58" s="3" t="s">
        <v>15</v>
      </c>
      <c r="C58" s="3">
        <v>10036488</v>
      </c>
      <c r="D58" s="3" t="s">
        <v>26</v>
      </c>
      <c r="E58" s="4">
        <v>1.78</v>
      </c>
      <c r="J58" s="2"/>
    </row>
    <row r="59" spans="1:10" x14ac:dyDescent="0.25">
      <c r="A59" s="3" t="s">
        <v>27</v>
      </c>
      <c r="B59" s="3" t="s">
        <v>28</v>
      </c>
      <c r="C59" s="3">
        <v>10000234</v>
      </c>
      <c r="D59" s="3" t="s">
        <v>29</v>
      </c>
      <c r="E59" s="4">
        <v>1.7789999999999999</v>
      </c>
      <c r="J59" s="2"/>
    </row>
    <row r="60" spans="1:10" x14ac:dyDescent="0.25">
      <c r="A60" s="3" t="s">
        <v>27</v>
      </c>
      <c r="B60" s="3" t="s">
        <v>28</v>
      </c>
      <c r="C60" s="3">
        <v>10000284</v>
      </c>
      <c r="D60" s="3" t="s">
        <v>30</v>
      </c>
      <c r="E60" s="4">
        <v>1.429</v>
      </c>
      <c r="J60" s="2"/>
    </row>
    <row r="61" spans="1:10" x14ac:dyDescent="0.25">
      <c r="A61" s="3" t="s">
        <v>27</v>
      </c>
      <c r="B61" s="3" t="s">
        <v>28</v>
      </c>
      <c r="C61" s="3">
        <v>10000285</v>
      </c>
      <c r="D61" s="3" t="s">
        <v>31</v>
      </c>
      <c r="E61" s="4">
        <v>1.46</v>
      </c>
      <c r="J61" s="2"/>
    </row>
    <row r="62" spans="1:10" x14ac:dyDescent="0.25">
      <c r="A62" s="3" t="s">
        <v>27</v>
      </c>
      <c r="B62" s="3" t="s">
        <v>28</v>
      </c>
      <c r="C62" s="3">
        <v>10000287</v>
      </c>
      <c r="D62" s="3" t="s">
        <v>32</v>
      </c>
      <c r="E62" s="4">
        <v>1.44</v>
      </c>
      <c r="J62" s="2"/>
    </row>
    <row r="63" spans="1:10" x14ac:dyDescent="0.25">
      <c r="A63" s="3" t="s">
        <v>27</v>
      </c>
      <c r="B63" s="3" t="s">
        <v>28</v>
      </c>
      <c r="C63" s="3">
        <v>10000384</v>
      </c>
      <c r="D63" s="3" t="s">
        <v>33</v>
      </c>
      <c r="E63" s="4">
        <v>1.61</v>
      </c>
      <c r="J63" s="2"/>
    </row>
    <row r="64" spans="1:10" x14ac:dyDescent="0.25">
      <c r="A64" s="3" t="s">
        <v>27</v>
      </c>
      <c r="B64" s="3" t="s">
        <v>28</v>
      </c>
      <c r="C64" s="3">
        <v>10110631</v>
      </c>
      <c r="D64" s="3" t="s">
        <v>34</v>
      </c>
      <c r="E64" s="4">
        <v>1.4510000000000001</v>
      </c>
      <c r="J64" s="2"/>
    </row>
    <row r="65" spans="1:10" x14ac:dyDescent="0.25">
      <c r="A65" s="3" t="s">
        <v>35</v>
      </c>
      <c r="B65" s="3" t="s">
        <v>36</v>
      </c>
      <c r="C65" s="3">
        <v>10038659</v>
      </c>
      <c r="D65" s="3" t="s">
        <v>37</v>
      </c>
      <c r="E65" s="4">
        <v>1.56</v>
      </c>
      <c r="J65" s="2"/>
    </row>
    <row r="66" spans="1:10" x14ac:dyDescent="0.25">
      <c r="A66" s="3" t="s">
        <v>35</v>
      </c>
      <c r="B66" s="3" t="s">
        <v>36</v>
      </c>
      <c r="C66" s="3">
        <v>10038942</v>
      </c>
      <c r="D66" s="3" t="s">
        <v>38</v>
      </c>
      <c r="E66" s="4">
        <v>1.629</v>
      </c>
      <c r="J66" s="2"/>
    </row>
    <row r="67" spans="1:10" x14ac:dyDescent="0.25">
      <c r="A67" s="3" t="s">
        <v>35</v>
      </c>
      <c r="B67" s="3" t="s">
        <v>36</v>
      </c>
      <c r="C67" s="3">
        <v>10038943</v>
      </c>
      <c r="D67" s="3" t="s">
        <v>16</v>
      </c>
      <c r="E67" s="4">
        <v>1.61</v>
      </c>
      <c r="J67" s="2"/>
    </row>
    <row r="68" spans="1:10" x14ac:dyDescent="0.25">
      <c r="A68" s="3" t="s">
        <v>35</v>
      </c>
      <c r="B68" s="3" t="s">
        <v>36</v>
      </c>
      <c r="C68" s="3">
        <v>10038945</v>
      </c>
      <c r="D68" s="3" t="s">
        <v>18</v>
      </c>
      <c r="E68" s="4">
        <v>1.54</v>
      </c>
      <c r="J68" s="2"/>
    </row>
    <row r="69" spans="1:10" x14ac:dyDescent="0.25">
      <c r="A69" s="3" t="s">
        <v>35</v>
      </c>
      <c r="B69" s="3" t="s">
        <v>36</v>
      </c>
      <c r="C69" s="3">
        <v>10038947</v>
      </c>
      <c r="D69" s="3" t="s">
        <v>17</v>
      </c>
      <c r="E69" s="4">
        <v>1.52</v>
      </c>
      <c r="J69" s="2"/>
    </row>
    <row r="70" spans="1:10" x14ac:dyDescent="0.25">
      <c r="A70" s="3" t="s">
        <v>35</v>
      </c>
      <c r="B70" s="3" t="s">
        <v>36</v>
      </c>
      <c r="C70" s="3">
        <v>10038940</v>
      </c>
      <c r="D70" s="3" t="s">
        <v>39</v>
      </c>
      <c r="E70" s="4">
        <v>1.56</v>
      </c>
      <c r="J70" s="2"/>
    </row>
    <row r="71" spans="1:10" x14ac:dyDescent="0.25">
      <c r="A71" s="3" t="s">
        <v>35</v>
      </c>
      <c r="B71" s="3" t="s">
        <v>36</v>
      </c>
      <c r="C71" s="3">
        <v>10200431</v>
      </c>
      <c r="D71" s="3" t="s">
        <v>40</v>
      </c>
      <c r="E71" s="4">
        <v>1.629</v>
      </c>
      <c r="J71" s="2"/>
    </row>
    <row r="72" spans="1:10" x14ac:dyDescent="0.25">
      <c r="A72" s="3" t="s">
        <v>35</v>
      </c>
      <c r="B72" s="3" t="s">
        <v>36</v>
      </c>
      <c r="C72" s="3">
        <v>10200433</v>
      </c>
      <c r="D72" s="3" t="s">
        <v>41</v>
      </c>
      <c r="E72" s="4">
        <v>1.56</v>
      </c>
      <c r="J72" s="2"/>
    </row>
    <row r="73" spans="1:10" x14ac:dyDescent="0.25">
      <c r="A73" s="3" t="s">
        <v>35</v>
      </c>
      <c r="B73" s="3" t="s">
        <v>36</v>
      </c>
      <c r="C73" s="3">
        <v>10200434</v>
      </c>
      <c r="D73" s="3" t="s">
        <v>42</v>
      </c>
      <c r="E73" s="4">
        <v>1.56</v>
      </c>
      <c r="J73" s="2"/>
    </row>
    <row r="74" spans="1:10" x14ac:dyDescent="0.25">
      <c r="A74" s="3" t="s">
        <v>52</v>
      </c>
      <c r="B74" s="3" t="s">
        <v>53</v>
      </c>
      <c r="C74" s="3">
        <v>10038949</v>
      </c>
      <c r="D74" s="3" t="s">
        <v>17</v>
      </c>
      <c r="E74" s="4">
        <v>1.5</v>
      </c>
      <c r="J74" s="2"/>
    </row>
    <row r="75" spans="1:10" x14ac:dyDescent="0.25">
      <c r="A75" s="3" t="s">
        <v>52</v>
      </c>
      <c r="B75" s="3" t="s">
        <v>53</v>
      </c>
      <c r="C75" s="3">
        <v>10038950</v>
      </c>
      <c r="D75" s="3" t="s">
        <v>18</v>
      </c>
      <c r="E75" s="4">
        <v>1.474</v>
      </c>
      <c r="J75" s="2"/>
    </row>
    <row r="76" spans="1:10" x14ac:dyDescent="0.25">
      <c r="A76" s="3" t="s">
        <v>52</v>
      </c>
      <c r="B76" s="3" t="s">
        <v>53</v>
      </c>
      <c r="C76" s="3">
        <v>10038951</v>
      </c>
      <c r="D76" s="3" t="s">
        <v>37</v>
      </c>
      <c r="E76" s="4">
        <v>1.37</v>
      </c>
      <c r="J76" s="2"/>
    </row>
    <row r="77" spans="1:10" x14ac:dyDescent="0.25">
      <c r="A77" s="3" t="s">
        <v>52</v>
      </c>
      <c r="B77" s="3" t="s">
        <v>53</v>
      </c>
      <c r="C77" s="3">
        <v>10038952</v>
      </c>
      <c r="D77" s="3" t="s">
        <v>16</v>
      </c>
      <c r="E77" s="4">
        <v>1.6</v>
      </c>
      <c r="J77" s="2"/>
    </row>
    <row r="78" spans="1:10" x14ac:dyDescent="0.25">
      <c r="A78" s="3" t="s">
        <v>52</v>
      </c>
      <c r="B78" s="3" t="s">
        <v>53</v>
      </c>
      <c r="C78" s="3">
        <v>10049672</v>
      </c>
      <c r="D78" s="3" t="s">
        <v>23</v>
      </c>
      <c r="E78" s="4">
        <v>1.625</v>
      </c>
      <c r="J78" s="2"/>
    </row>
    <row r="79" spans="1:10" x14ac:dyDescent="0.25">
      <c r="A79" s="3" t="s">
        <v>52</v>
      </c>
      <c r="B79" s="3" t="s">
        <v>53</v>
      </c>
      <c r="C79" s="3">
        <v>10038958</v>
      </c>
      <c r="D79" s="3" t="s">
        <v>20</v>
      </c>
      <c r="E79" s="4">
        <v>1.661</v>
      </c>
      <c r="J79" s="2"/>
    </row>
    <row r="80" spans="1:10" x14ac:dyDescent="0.25">
      <c r="A80" s="3" t="s">
        <v>61</v>
      </c>
      <c r="B80" s="3" t="s">
        <v>62</v>
      </c>
      <c r="C80" s="3">
        <v>10000266</v>
      </c>
      <c r="D80" s="3" t="s">
        <v>33</v>
      </c>
      <c r="E80" s="4">
        <v>1.6819999999999999</v>
      </c>
      <c r="J80" s="2"/>
    </row>
    <row r="81" spans="1:10" x14ac:dyDescent="0.25">
      <c r="A81" s="3" t="s">
        <v>61</v>
      </c>
      <c r="B81" s="3" t="s">
        <v>62</v>
      </c>
      <c r="C81" s="3">
        <v>10000274</v>
      </c>
      <c r="D81" s="3" t="s">
        <v>30</v>
      </c>
      <c r="E81" s="4">
        <v>1.4710000000000001</v>
      </c>
      <c r="J81" s="2"/>
    </row>
    <row r="82" spans="1:10" x14ac:dyDescent="0.25">
      <c r="A82" s="3" t="s">
        <v>61</v>
      </c>
      <c r="B82" s="3" t="s">
        <v>62</v>
      </c>
      <c r="C82" s="3">
        <v>10000293</v>
      </c>
      <c r="D82" s="3" t="s">
        <v>63</v>
      </c>
      <c r="E82" s="4">
        <v>1.5549999999999999</v>
      </c>
      <c r="J82" s="2"/>
    </row>
    <row r="83" spans="1:10" x14ac:dyDescent="0.25">
      <c r="A83" s="3" t="s">
        <v>61</v>
      </c>
      <c r="B83" s="3" t="s">
        <v>62</v>
      </c>
      <c r="C83" s="3">
        <v>10001180</v>
      </c>
      <c r="D83" s="3" t="s">
        <v>32</v>
      </c>
      <c r="E83" s="4">
        <v>1.395</v>
      </c>
      <c r="J83" s="2"/>
    </row>
    <row r="84" spans="1:10" x14ac:dyDescent="0.25">
      <c r="A84" s="3" t="s">
        <v>61</v>
      </c>
      <c r="B84" s="3" t="s">
        <v>62</v>
      </c>
      <c r="C84" s="3">
        <v>10000312</v>
      </c>
      <c r="D84" s="3" t="s">
        <v>64</v>
      </c>
      <c r="E84" s="4">
        <v>1.35</v>
      </c>
      <c r="J84" s="2"/>
    </row>
    <row r="85" spans="1:10" x14ac:dyDescent="0.25">
      <c r="A85" s="3" t="s">
        <v>61</v>
      </c>
      <c r="B85" s="3" t="s">
        <v>62</v>
      </c>
      <c r="C85" s="3">
        <v>10137737</v>
      </c>
      <c r="D85" s="3" t="s">
        <v>65</v>
      </c>
      <c r="E85" s="4">
        <v>1.35</v>
      </c>
      <c r="J85" s="2"/>
    </row>
    <row r="86" spans="1:10" x14ac:dyDescent="0.25">
      <c r="A86" s="3" t="s">
        <v>68</v>
      </c>
      <c r="B86" s="3" t="s">
        <v>69</v>
      </c>
      <c r="C86" s="3">
        <v>10038952</v>
      </c>
      <c r="D86" s="3" t="s">
        <v>16</v>
      </c>
      <c r="E86" s="4">
        <v>1.6</v>
      </c>
      <c r="J86" s="2"/>
    </row>
    <row r="87" spans="1:10" x14ac:dyDescent="0.25">
      <c r="A87" s="3" t="s">
        <v>70</v>
      </c>
      <c r="B87" s="3" t="s">
        <v>71</v>
      </c>
      <c r="C87" s="3">
        <v>10051293</v>
      </c>
      <c r="D87" s="3" t="s">
        <v>45</v>
      </c>
      <c r="E87" s="4">
        <v>1.403</v>
      </c>
      <c r="J87" s="2"/>
    </row>
    <row r="88" spans="1:10" x14ac:dyDescent="0.25">
      <c r="A88" s="3" t="s">
        <v>70</v>
      </c>
      <c r="B88" s="3" t="s">
        <v>71</v>
      </c>
      <c r="C88" s="3">
        <v>10051294</v>
      </c>
      <c r="D88" s="3" t="s">
        <v>72</v>
      </c>
      <c r="E88" s="4">
        <v>1.4379999999999999</v>
      </c>
      <c r="J88" s="2"/>
    </row>
    <row r="89" spans="1:10" x14ac:dyDescent="0.25">
      <c r="A89" s="3" t="s">
        <v>70</v>
      </c>
      <c r="B89" s="3" t="s">
        <v>71</v>
      </c>
      <c r="C89" s="3">
        <v>10051295</v>
      </c>
      <c r="D89" s="3" t="s">
        <v>73</v>
      </c>
      <c r="E89" s="4">
        <v>1.2529999999999999</v>
      </c>
      <c r="J89" s="2"/>
    </row>
    <row r="90" spans="1:10" x14ac:dyDescent="0.25">
      <c r="A90" s="3" t="s">
        <v>70</v>
      </c>
      <c r="B90" s="3" t="s">
        <v>71</v>
      </c>
      <c r="C90" s="3">
        <v>10051296</v>
      </c>
      <c r="D90" s="3" t="s">
        <v>45</v>
      </c>
      <c r="E90" s="4">
        <v>1.4059999999999999</v>
      </c>
      <c r="J90" s="2"/>
    </row>
    <row r="91" spans="1:10" x14ac:dyDescent="0.25">
      <c r="A91" s="3" t="s">
        <v>70</v>
      </c>
      <c r="B91" s="3" t="s">
        <v>71</v>
      </c>
      <c r="C91" s="3">
        <v>10199160</v>
      </c>
      <c r="D91" s="3" t="s">
        <v>74</v>
      </c>
      <c r="E91" s="4">
        <v>1.4390000000000001</v>
      </c>
      <c r="J91" s="2"/>
    </row>
    <row r="92" spans="1:10" x14ac:dyDescent="0.25">
      <c r="A92" s="3" t="s">
        <v>70</v>
      </c>
      <c r="B92" s="3" t="s">
        <v>71</v>
      </c>
      <c r="C92" s="3">
        <v>10058363</v>
      </c>
      <c r="D92" s="3" t="s">
        <v>75</v>
      </c>
      <c r="E92" s="4">
        <v>1.5109999999999999</v>
      </c>
      <c r="J92" s="2"/>
    </row>
    <row r="93" spans="1:10" x14ac:dyDescent="0.25">
      <c r="A93" s="3" t="s">
        <v>70</v>
      </c>
      <c r="B93" s="3" t="s">
        <v>71</v>
      </c>
      <c r="C93" s="3">
        <v>10103836</v>
      </c>
      <c r="D93" s="3" t="s">
        <v>76</v>
      </c>
      <c r="E93" s="4">
        <v>1.7070000000000001</v>
      </c>
      <c r="J93" s="2"/>
    </row>
    <row r="94" spans="1:10" x14ac:dyDescent="0.25">
      <c r="A94" s="3" t="s">
        <v>70</v>
      </c>
      <c r="B94" s="3" t="s">
        <v>71</v>
      </c>
      <c r="C94" s="3">
        <v>10197865</v>
      </c>
      <c r="D94" s="3" t="s">
        <v>77</v>
      </c>
      <c r="E94" s="4">
        <v>1.4379999999999999</v>
      </c>
      <c r="J94" s="2"/>
    </row>
    <row r="95" spans="1:10" x14ac:dyDescent="0.25">
      <c r="A95" s="3" t="s">
        <v>83</v>
      </c>
      <c r="B95" s="3" t="s">
        <v>84</v>
      </c>
      <c r="C95" s="3">
        <v>10248659</v>
      </c>
      <c r="D95" s="3" t="s">
        <v>85</v>
      </c>
      <c r="E95" s="4">
        <v>1.673</v>
      </c>
      <c r="J95" s="2"/>
    </row>
    <row r="96" spans="1:10" x14ac:dyDescent="0.25">
      <c r="A96" s="3" t="s">
        <v>86</v>
      </c>
      <c r="B96" s="3" t="s">
        <v>87</v>
      </c>
      <c r="C96" s="3">
        <v>10000103</v>
      </c>
      <c r="D96" s="3" t="s">
        <v>160</v>
      </c>
      <c r="E96" s="4">
        <v>1.462</v>
      </c>
      <c r="J96" s="2"/>
    </row>
    <row r="97" spans="1:10" x14ac:dyDescent="0.25">
      <c r="A97" s="3" t="s">
        <v>43</v>
      </c>
      <c r="B97" s="3" t="s">
        <v>44</v>
      </c>
      <c r="C97" s="3">
        <v>10002499</v>
      </c>
      <c r="D97" s="3" t="s">
        <v>167</v>
      </c>
      <c r="E97" s="4">
        <v>1.6659999999999999</v>
      </c>
      <c r="J97" s="2"/>
    </row>
    <row r="98" spans="1:10" x14ac:dyDescent="0.25">
      <c r="A98" s="3" t="s">
        <v>78</v>
      </c>
      <c r="B98" s="3" t="s">
        <v>79</v>
      </c>
      <c r="C98" s="3">
        <v>10226537</v>
      </c>
      <c r="D98" s="3" t="s">
        <v>82</v>
      </c>
      <c r="E98" s="4">
        <v>1.5329999999999999</v>
      </c>
      <c r="J98" s="2"/>
    </row>
    <row r="99" spans="1:10" x14ac:dyDescent="0.25">
      <c r="A99" s="3" t="s">
        <v>43</v>
      </c>
      <c r="B99" s="3" t="s">
        <v>44</v>
      </c>
      <c r="C99" s="3">
        <v>10002497</v>
      </c>
      <c r="D99" s="3" t="s">
        <v>219</v>
      </c>
      <c r="E99" s="4">
        <v>1.5669999999999999</v>
      </c>
      <c r="J99" s="2"/>
    </row>
    <row r="100" spans="1:10" x14ac:dyDescent="0.25">
      <c r="A100" s="3" t="s">
        <v>86</v>
      </c>
      <c r="B100" s="3" t="s">
        <v>87</v>
      </c>
      <c r="C100" s="3">
        <v>10000355</v>
      </c>
      <c r="D100" s="3" t="s">
        <v>132</v>
      </c>
      <c r="E100" s="4">
        <v>1.194</v>
      </c>
      <c r="J100" s="2"/>
    </row>
    <row r="101" spans="1:10" x14ac:dyDescent="0.25">
      <c r="A101" s="3" t="s">
        <v>5</v>
      </c>
      <c r="B101" s="3" t="s">
        <v>6</v>
      </c>
      <c r="C101" s="3">
        <v>10001208</v>
      </c>
      <c r="D101" s="3" t="s">
        <v>225</v>
      </c>
      <c r="E101" s="4">
        <v>1.401</v>
      </c>
      <c r="J101" s="2"/>
    </row>
    <row r="102" spans="1:10" x14ac:dyDescent="0.25">
      <c r="A102" s="3" t="s">
        <v>86</v>
      </c>
      <c r="B102" s="3" t="s">
        <v>87</v>
      </c>
      <c r="C102" s="3">
        <v>10264038</v>
      </c>
      <c r="D102" s="3" t="s">
        <v>230</v>
      </c>
      <c r="E102" s="4">
        <v>1.417</v>
      </c>
      <c r="J102" s="2"/>
    </row>
    <row r="103" spans="1:10" x14ac:dyDescent="0.25">
      <c r="A103" s="3" t="s">
        <v>86</v>
      </c>
      <c r="B103" s="3" t="s">
        <v>87</v>
      </c>
      <c r="C103" s="3">
        <v>10264039</v>
      </c>
      <c r="D103" s="3" t="s">
        <v>227</v>
      </c>
      <c r="E103" s="4">
        <v>1.2010000000000001</v>
      </c>
      <c r="J103" s="2"/>
    </row>
    <row r="104" spans="1:10" x14ac:dyDescent="0.25">
      <c r="A104" s="3" t="s">
        <v>86</v>
      </c>
      <c r="B104" s="3" t="s">
        <v>87</v>
      </c>
      <c r="C104" s="3">
        <v>10264103</v>
      </c>
      <c r="D104" s="3" t="s">
        <v>234</v>
      </c>
      <c r="E104" s="4">
        <v>1.462</v>
      </c>
      <c r="J104" s="2"/>
    </row>
    <row r="105" spans="1:10" x14ac:dyDescent="0.25">
      <c r="A105" s="3" t="s">
        <v>14</v>
      </c>
      <c r="B105" s="3" t="s">
        <v>15</v>
      </c>
      <c r="C105" s="3">
        <v>10001170</v>
      </c>
      <c r="D105" s="3" t="s">
        <v>292</v>
      </c>
      <c r="E105" s="4">
        <v>1.7709999999999999</v>
      </c>
      <c r="J105" s="2"/>
    </row>
    <row r="106" spans="1:10" x14ac:dyDescent="0.25">
      <c r="A106" s="3" t="s">
        <v>86</v>
      </c>
      <c r="B106" s="3" t="s">
        <v>87</v>
      </c>
      <c r="C106" s="3">
        <v>10271224</v>
      </c>
      <c r="D106" s="3" t="s">
        <v>313</v>
      </c>
      <c r="E106" s="4">
        <v>1.462</v>
      </c>
      <c r="J106" s="2"/>
    </row>
    <row r="107" spans="1:10" x14ac:dyDescent="0.25">
      <c r="A107" s="3" t="s">
        <v>78</v>
      </c>
      <c r="B107" s="3" t="s">
        <v>79</v>
      </c>
      <c r="C107" s="3">
        <v>10219135</v>
      </c>
      <c r="D107" s="3" t="s">
        <v>320</v>
      </c>
      <c r="E107" s="4">
        <v>1.494</v>
      </c>
      <c r="J107" s="2"/>
    </row>
    <row r="108" spans="1:10" x14ac:dyDescent="0.25">
      <c r="A108" s="3" t="s">
        <v>86</v>
      </c>
      <c r="B108" s="3" t="s">
        <v>87</v>
      </c>
      <c r="C108" s="3">
        <v>10000579</v>
      </c>
      <c r="D108" s="3" t="s">
        <v>121</v>
      </c>
      <c r="E108" s="4">
        <v>1.387</v>
      </c>
      <c r="J108" s="2"/>
    </row>
    <row r="109" spans="1:10" x14ac:dyDescent="0.25">
      <c r="A109" s="3" t="s">
        <v>54</v>
      </c>
      <c r="B109" s="3" t="s">
        <v>55</v>
      </c>
      <c r="C109" s="3">
        <v>10221147</v>
      </c>
      <c r="D109" s="3" t="s">
        <v>352</v>
      </c>
      <c r="E109" s="4">
        <v>1.452</v>
      </c>
      <c r="J109" s="2"/>
    </row>
    <row r="110" spans="1:10" x14ac:dyDescent="0.25">
      <c r="A110" s="3" t="s">
        <v>360</v>
      </c>
      <c r="B110" s="3" t="s">
        <v>84</v>
      </c>
      <c r="C110" s="3">
        <v>10263701</v>
      </c>
      <c r="D110" s="3" t="s">
        <v>365</v>
      </c>
      <c r="E110" s="4">
        <v>1.363</v>
      </c>
      <c r="J110" s="2"/>
    </row>
    <row r="111" spans="1:10" x14ac:dyDescent="0.25">
      <c r="A111" s="3" t="s">
        <v>360</v>
      </c>
      <c r="B111" s="3" t="s">
        <v>84</v>
      </c>
      <c r="C111" s="3">
        <v>10248659</v>
      </c>
      <c r="D111" s="3" t="s">
        <v>85</v>
      </c>
      <c r="E111" s="4">
        <v>1.673</v>
      </c>
      <c r="J111" s="2"/>
    </row>
    <row r="112" spans="1:10" x14ac:dyDescent="0.25">
      <c r="A112" s="3" t="s">
        <v>27</v>
      </c>
      <c r="B112" s="3" t="s">
        <v>28</v>
      </c>
      <c r="C112" s="3">
        <v>10023108</v>
      </c>
      <c r="D112" s="3" t="str">
        <f>VLOOKUP(C112,'[1]Precio Base '!$D$2:$E$22,2,FALSE)</f>
        <v>Base H Triturada Basalto  1 1/2" a Finos</v>
      </c>
      <c r="E112" s="4">
        <v>1.9690000000000001</v>
      </c>
      <c r="J112" s="2"/>
    </row>
    <row r="113" spans="1:10" x14ac:dyDescent="0.25">
      <c r="A113" s="3" t="s">
        <v>86</v>
      </c>
      <c r="B113" s="3" t="s">
        <v>87</v>
      </c>
      <c r="C113" s="3">
        <v>10000195</v>
      </c>
      <c r="D113" s="3" t="s">
        <v>371</v>
      </c>
      <c r="E113" s="4">
        <v>1.2010000000000001</v>
      </c>
      <c r="J113" s="2"/>
    </row>
    <row r="114" spans="1:10" x14ac:dyDescent="0.25">
      <c r="A114" s="3" t="s">
        <v>27</v>
      </c>
      <c r="B114" s="3" t="s">
        <v>28</v>
      </c>
      <c r="C114" s="3">
        <v>10001077</v>
      </c>
      <c r="D114" s="3" t="s">
        <v>386</v>
      </c>
      <c r="E114" s="4">
        <v>1.35</v>
      </c>
      <c r="J114" s="2"/>
    </row>
    <row r="115" spans="1:10" x14ac:dyDescent="0.25">
      <c r="A115" s="3" t="s">
        <v>27</v>
      </c>
      <c r="B115" s="3" t="s">
        <v>28</v>
      </c>
      <c r="C115" s="3">
        <v>10191647</v>
      </c>
      <c r="D115" s="3" t="s">
        <v>387</v>
      </c>
      <c r="E115" s="4">
        <v>1.4410000000000001</v>
      </c>
      <c r="J115" s="2"/>
    </row>
    <row r="116" spans="1:10" x14ac:dyDescent="0.25">
      <c r="A116" s="3" t="s">
        <v>27</v>
      </c>
      <c r="B116" s="3" t="s">
        <v>28</v>
      </c>
      <c r="C116" s="3">
        <v>10000289</v>
      </c>
      <c r="D116" s="3" t="s">
        <v>388</v>
      </c>
      <c r="E116" s="4">
        <v>1.55</v>
      </c>
      <c r="J116" s="2"/>
    </row>
    <row r="117" spans="1:10" x14ac:dyDescent="0.25">
      <c r="A117" s="3" t="s">
        <v>14</v>
      </c>
      <c r="B117" s="3" t="s">
        <v>15</v>
      </c>
      <c r="C117" s="3">
        <v>10000248</v>
      </c>
      <c r="D117" s="3" t="s">
        <v>410</v>
      </c>
      <c r="E117" s="4">
        <v>1.821</v>
      </c>
      <c r="J117" s="2"/>
    </row>
    <row r="118" spans="1:10" x14ac:dyDescent="0.25">
      <c r="A118" s="3" t="s">
        <v>14</v>
      </c>
      <c r="B118" s="3" t="s">
        <v>15</v>
      </c>
      <c r="C118" s="3">
        <v>10269042</v>
      </c>
      <c r="D118" s="3" t="s">
        <v>457</v>
      </c>
      <c r="E118" s="4">
        <v>1.456</v>
      </c>
      <c r="J118" s="2"/>
    </row>
    <row r="119" spans="1:10" x14ac:dyDescent="0.25">
      <c r="A119" s="3" t="s">
        <v>70</v>
      </c>
      <c r="B119" s="3" t="s">
        <v>71</v>
      </c>
      <c r="C119" s="3">
        <v>10038957</v>
      </c>
      <c r="D119" s="3" t="s">
        <v>292</v>
      </c>
      <c r="E119" s="4">
        <v>1.6870000000000001</v>
      </c>
      <c r="J119" s="2"/>
    </row>
    <row r="120" spans="1:10" x14ac:dyDescent="0.25">
      <c r="A120" s="3" t="s">
        <v>78</v>
      </c>
      <c r="B120" s="3" t="s">
        <v>79</v>
      </c>
      <c r="C120" s="3">
        <v>10269105</v>
      </c>
      <c r="D120" s="3" t="s">
        <v>470</v>
      </c>
      <c r="E120" s="4">
        <v>1.494</v>
      </c>
      <c r="J120" s="2"/>
    </row>
    <row r="121" spans="1:10" x14ac:dyDescent="0.25">
      <c r="A121" s="3" t="s">
        <v>14</v>
      </c>
      <c r="B121" s="3" t="s">
        <v>15</v>
      </c>
      <c r="C121" s="3">
        <v>10001222</v>
      </c>
      <c r="D121" s="3" t="s">
        <v>431</v>
      </c>
      <c r="E121" s="4">
        <v>1.613</v>
      </c>
      <c r="J121" s="2"/>
    </row>
    <row r="122" spans="1:10" x14ac:dyDescent="0.25">
      <c r="A122" s="3" t="s">
        <v>68</v>
      </c>
      <c r="B122" s="3" t="s">
        <v>437</v>
      </c>
      <c r="C122" s="3">
        <v>10258182</v>
      </c>
      <c r="D122" s="3" t="s">
        <v>476</v>
      </c>
      <c r="E122" s="4">
        <v>1.625</v>
      </c>
      <c r="J122" s="2"/>
    </row>
    <row r="123" spans="1:10" x14ac:dyDescent="0.25">
      <c r="A123" s="3" t="s">
        <v>68</v>
      </c>
      <c r="B123" s="3" t="s">
        <v>437</v>
      </c>
      <c r="C123" s="3">
        <v>10258183</v>
      </c>
      <c r="D123" s="3" t="s">
        <v>477</v>
      </c>
      <c r="E123" s="4">
        <v>1.625</v>
      </c>
      <c r="J123" s="2"/>
    </row>
    <row r="124" spans="1:10" x14ac:dyDescent="0.25">
      <c r="A124" s="3" t="s">
        <v>68</v>
      </c>
      <c r="B124" s="3" t="s">
        <v>437</v>
      </c>
      <c r="C124" s="3">
        <v>10258184</v>
      </c>
      <c r="D124" s="3" t="s">
        <v>478</v>
      </c>
      <c r="E124" s="4">
        <v>1.625</v>
      </c>
      <c r="J124" s="2"/>
    </row>
    <row r="125" spans="1:10" x14ac:dyDescent="0.25">
      <c r="A125" s="3" t="s">
        <v>68</v>
      </c>
      <c r="B125" s="3" t="s">
        <v>437</v>
      </c>
      <c r="C125" s="3">
        <v>10258185</v>
      </c>
      <c r="D125" s="3" t="s">
        <v>479</v>
      </c>
      <c r="E125" s="4">
        <v>1.625</v>
      </c>
      <c r="J125" s="2"/>
    </row>
    <row r="126" spans="1:10" x14ac:dyDescent="0.25">
      <c r="A126" s="3" t="s">
        <v>35</v>
      </c>
      <c r="B126" s="3" t="s">
        <v>36</v>
      </c>
      <c r="C126" s="3">
        <v>10152582</v>
      </c>
      <c r="D126" s="3" t="s">
        <v>551</v>
      </c>
      <c r="E126" s="4">
        <v>1.61</v>
      </c>
      <c r="J126" s="2"/>
    </row>
    <row r="127" spans="1:10" x14ac:dyDescent="0.25">
      <c r="A127" s="3" t="s">
        <v>14</v>
      </c>
      <c r="B127" s="3" t="s">
        <v>15</v>
      </c>
      <c r="C127" s="3">
        <v>10148824</v>
      </c>
      <c r="D127" s="3" t="s">
        <v>430</v>
      </c>
      <c r="E127" s="4">
        <v>1.5</v>
      </c>
      <c r="J127" s="2"/>
    </row>
    <row r="128" spans="1:10" x14ac:dyDescent="0.25">
      <c r="A128" s="3" t="s">
        <v>14</v>
      </c>
      <c r="B128" s="3" t="s">
        <v>15</v>
      </c>
      <c r="C128" s="3">
        <v>10148825</v>
      </c>
      <c r="D128" s="3" t="s">
        <v>429</v>
      </c>
      <c r="E128" s="4">
        <v>1.5</v>
      </c>
      <c r="J128" s="2"/>
    </row>
    <row r="129" spans="1:10" x14ac:dyDescent="0.25">
      <c r="A129" s="3" t="s">
        <v>14</v>
      </c>
      <c r="B129" s="3" t="s">
        <v>15</v>
      </c>
      <c r="C129" s="3">
        <v>10000106</v>
      </c>
      <c r="D129" s="3" t="s">
        <v>615</v>
      </c>
      <c r="E129" s="4">
        <v>1.3</v>
      </c>
    </row>
    <row r="130" spans="1:10" x14ac:dyDescent="0.25">
      <c r="A130" s="3" t="s">
        <v>86</v>
      </c>
      <c r="B130" s="3" t="s">
        <v>87</v>
      </c>
      <c r="C130" s="3">
        <v>10000149</v>
      </c>
      <c r="D130" s="3" t="s">
        <v>120</v>
      </c>
      <c r="E130" s="4">
        <v>1.3320000000000001</v>
      </c>
      <c r="J130" s="2"/>
    </row>
    <row r="131" spans="1:10" x14ac:dyDescent="0.25">
      <c r="A131" s="3" t="s">
        <v>14</v>
      </c>
      <c r="B131" s="3" t="s">
        <v>15</v>
      </c>
      <c r="C131" s="3">
        <v>10148824</v>
      </c>
      <c r="D131" s="3" t="s">
        <v>430</v>
      </c>
      <c r="E131" s="4">
        <v>1.5</v>
      </c>
      <c r="J131" s="2"/>
    </row>
    <row r="132" spans="1:10" x14ac:dyDescent="0.25">
      <c r="A132" s="3"/>
      <c r="B132" s="3"/>
      <c r="C132" s="3">
        <v>10038955</v>
      </c>
      <c r="D132" s="3" t="s">
        <v>160</v>
      </c>
      <c r="E132" s="4">
        <v>1.925</v>
      </c>
      <c r="J132" s="2"/>
    </row>
    <row r="133" spans="1:10" x14ac:dyDescent="0.25">
      <c r="A133" s="3" t="s">
        <v>54</v>
      </c>
      <c r="B133" s="3" t="s">
        <v>55</v>
      </c>
      <c r="C133" s="3">
        <v>10279531</v>
      </c>
      <c r="D133" s="3" t="s">
        <v>1064</v>
      </c>
      <c r="E133" s="4">
        <v>1.5</v>
      </c>
      <c r="J1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101B-4D53-429C-8738-2D3DAB18954D}">
  <sheetPr codeName="Hoja4"/>
  <dimension ref="A1:K17"/>
  <sheetViews>
    <sheetView zoomScale="77" zoomScaleNormal="77" workbookViewId="0">
      <selection activeCell="K2" sqref="K2:K15"/>
    </sheetView>
  </sheetViews>
  <sheetFormatPr baseColWidth="10" defaultColWidth="8.7109375" defaultRowHeight="15" x14ac:dyDescent="0.25"/>
  <cols>
    <col min="2" max="2" width="24.28515625" bestFit="1" customWidth="1"/>
    <col min="3" max="3" width="3.28515625" customWidth="1"/>
    <col min="5" max="5" width="3.28515625" bestFit="1" customWidth="1"/>
    <col min="6" max="6" width="10.85546875" bestFit="1" customWidth="1"/>
    <col min="7" max="7" width="24.28515625" bestFit="1" customWidth="1"/>
    <col min="8" max="8" width="8.140625" bestFit="1" customWidth="1"/>
    <col min="9" max="9" width="3.7109375" customWidth="1"/>
    <col min="10" max="10" width="24.28515625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F1" t="s">
        <v>0</v>
      </c>
      <c r="G1" t="s">
        <v>1</v>
      </c>
      <c r="J1" t="s">
        <v>1</v>
      </c>
      <c r="K1" t="s">
        <v>0</v>
      </c>
    </row>
    <row r="2" spans="1:11" x14ac:dyDescent="0.25">
      <c r="A2" s="3" t="s">
        <v>5</v>
      </c>
      <c r="B2" s="3" t="s">
        <v>6</v>
      </c>
      <c r="C2" t="s">
        <v>416</v>
      </c>
      <c r="D2" t="s">
        <v>111</v>
      </c>
      <c r="E2" t="s">
        <v>93</v>
      </c>
      <c r="F2" s="3" t="s">
        <v>5</v>
      </c>
      <c r="G2" s="3" t="s">
        <v>6</v>
      </c>
      <c r="H2" s="3" t="s">
        <v>111</v>
      </c>
      <c r="J2" s="3" t="s">
        <v>6</v>
      </c>
      <c r="K2" s="3" t="s">
        <v>5</v>
      </c>
    </row>
    <row r="3" spans="1:11" x14ac:dyDescent="0.25">
      <c r="A3" s="1" t="s">
        <v>14</v>
      </c>
      <c r="B3" s="1" t="s">
        <v>15</v>
      </c>
      <c r="C3" t="s">
        <v>417</v>
      </c>
      <c r="D3" t="s">
        <v>112</v>
      </c>
      <c r="E3" t="s">
        <v>92</v>
      </c>
      <c r="F3" s="3" t="s">
        <v>43</v>
      </c>
      <c r="G3" s="3" t="s">
        <v>44</v>
      </c>
      <c r="H3" s="3" t="s">
        <v>111</v>
      </c>
      <c r="J3" s="3" t="s">
        <v>44</v>
      </c>
      <c r="K3" s="3" t="s">
        <v>43</v>
      </c>
    </row>
    <row r="4" spans="1:11" x14ac:dyDescent="0.25">
      <c r="A4" s="1" t="s">
        <v>27</v>
      </c>
      <c r="B4" s="1" t="s">
        <v>28</v>
      </c>
      <c r="C4" t="s">
        <v>417</v>
      </c>
      <c r="F4" s="3" t="s">
        <v>54</v>
      </c>
      <c r="G4" s="3" t="s">
        <v>55</v>
      </c>
      <c r="H4" s="3" t="s">
        <v>111</v>
      </c>
      <c r="J4" s="3" t="s">
        <v>55</v>
      </c>
      <c r="K4" s="3" t="s">
        <v>54</v>
      </c>
    </row>
    <row r="5" spans="1:11" x14ac:dyDescent="0.25">
      <c r="A5" s="1" t="s">
        <v>35</v>
      </c>
      <c r="B5" s="1" t="s">
        <v>36</v>
      </c>
      <c r="C5" t="s">
        <v>417</v>
      </c>
      <c r="F5" s="3" t="s">
        <v>66</v>
      </c>
      <c r="G5" s="3" t="s">
        <v>67</v>
      </c>
      <c r="H5" s="3" t="s">
        <v>111</v>
      </c>
      <c r="J5" s="3" t="s">
        <v>67</v>
      </c>
      <c r="K5" s="3" t="s">
        <v>66</v>
      </c>
    </row>
    <row r="6" spans="1:11" x14ac:dyDescent="0.25">
      <c r="A6" s="3" t="s">
        <v>43</v>
      </c>
      <c r="B6" s="3" t="s">
        <v>44</v>
      </c>
      <c r="C6" t="s">
        <v>416</v>
      </c>
      <c r="F6" s="3" t="s">
        <v>78</v>
      </c>
      <c r="G6" s="3" t="s">
        <v>79</v>
      </c>
      <c r="H6" s="3" t="s">
        <v>114</v>
      </c>
      <c r="J6" s="3" t="s">
        <v>79</v>
      </c>
      <c r="K6" s="3" t="s">
        <v>78</v>
      </c>
    </row>
    <row r="7" spans="1:11" x14ac:dyDescent="0.25">
      <c r="A7" s="1" t="s">
        <v>52</v>
      </c>
      <c r="B7" s="1" t="s">
        <v>53</v>
      </c>
      <c r="C7" t="s">
        <v>417</v>
      </c>
      <c r="F7" s="3" t="s">
        <v>86</v>
      </c>
      <c r="G7" s="3" t="s">
        <v>87</v>
      </c>
      <c r="H7" s="3" t="s">
        <v>114</v>
      </c>
      <c r="J7" s="3" t="s">
        <v>87</v>
      </c>
      <c r="K7" s="3" t="s">
        <v>86</v>
      </c>
    </row>
    <row r="8" spans="1:11" x14ac:dyDescent="0.25">
      <c r="A8" s="3" t="s">
        <v>54</v>
      </c>
      <c r="B8" s="3" t="s">
        <v>55</v>
      </c>
      <c r="C8" t="s">
        <v>416</v>
      </c>
      <c r="F8" s="3" t="s">
        <v>14</v>
      </c>
      <c r="G8" s="3" t="s">
        <v>15</v>
      </c>
      <c r="H8" s="3" t="s">
        <v>128</v>
      </c>
      <c r="J8" s="3" t="s">
        <v>15</v>
      </c>
      <c r="K8" s="3" t="s">
        <v>14</v>
      </c>
    </row>
    <row r="9" spans="1:11" x14ac:dyDescent="0.25">
      <c r="A9" s="1" t="s">
        <v>61</v>
      </c>
      <c r="B9" s="1" t="s">
        <v>62</v>
      </c>
      <c r="C9" t="s">
        <v>417</v>
      </c>
      <c r="F9" s="3" t="s">
        <v>70</v>
      </c>
      <c r="G9" s="3" t="s">
        <v>253</v>
      </c>
      <c r="H9" s="3" t="s">
        <v>128</v>
      </c>
      <c r="J9" s="3" t="s">
        <v>253</v>
      </c>
      <c r="K9" s="3" t="s">
        <v>70</v>
      </c>
    </row>
    <row r="10" spans="1:11" x14ac:dyDescent="0.25">
      <c r="A10" s="3" t="s">
        <v>66</v>
      </c>
      <c r="B10" s="3" t="s">
        <v>67</v>
      </c>
      <c r="C10" t="s">
        <v>416</v>
      </c>
      <c r="F10" s="3" t="s">
        <v>83</v>
      </c>
      <c r="G10" s="3" t="s">
        <v>84</v>
      </c>
      <c r="H10" s="3" t="s">
        <v>128</v>
      </c>
      <c r="J10" s="3" t="s">
        <v>84</v>
      </c>
      <c r="K10" s="3" t="s">
        <v>360</v>
      </c>
    </row>
    <row r="11" spans="1:11" x14ac:dyDescent="0.25">
      <c r="A11" s="1" t="s">
        <v>70</v>
      </c>
      <c r="B11" s="1" t="s">
        <v>71</v>
      </c>
      <c r="C11" t="s">
        <v>417</v>
      </c>
      <c r="F11" s="3" t="s">
        <v>27</v>
      </c>
      <c r="G11" s="3" t="s">
        <v>28</v>
      </c>
      <c r="H11" s="3" t="s">
        <v>128</v>
      </c>
      <c r="J11" s="3" t="s">
        <v>62</v>
      </c>
      <c r="K11" s="3" t="s">
        <v>61</v>
      </c>
    </row>
    <row r="12" spans="1:11" x14ac:dyDescent="0.25">
      <c r="A12" s="3" t="s">
        <v>78</v>
      </c>
      <c r="B12" s="3" t="s">
        <v>79</v>
      </c>
      <c r="C12" t="s">
        <v>416</v>
      </c>
      <c r="F12" s="3" t="s">
        <v>61</v>
      </c>
      <c r="G12" s="3" t="s">
        <v>62</v>
      </c>
      <c r="H12" s="3" t="s">
        <v>128</v>
      </c>
      <c r="J12" s="3" t="s">
        <v>36</v>
      </c>
      <c r="K12" s="3" t="s">
        <v>35</v>
      </c>
    </row>
    <row r="13" spans="1:11" x14ac:dyDescent="0.25">
      <c r="A13" s="1" t="s">
        <v>83</v>
      </c>
      <c r="B13" s="1" t="s">
        <v>84</v>
      </c>
      <c r="C13" t="s">
        <v>417</v>
      </c>
      <c r="F13" s="3" t="s">
        <v>35</v>
      </c>
      <c r="G13" s="3" t="s">
        <v>36</v>
      </c>
      <c r="H13" s="3" t="s">
        <v>128</v>
      </c>
      <c r="J13" s="3" t="s">
        <v>28</v>
      </c>
      <c r="K13" s="3" t="s">
        <v>27</v>
      </c>
    </row>
    <row r="14" spans="1:11" x14ac:dyDescent="0.25">
      <c r="A14" s="3" t="s">
        <v>86</v>
      </c>
      <c r="B14" s="3" t="s">
        <v>87</v>
      </c>
      <c r="C14" t="s">
        <v>416</v>
      </c>
      <c r="F14" s="3" t="s">
        <v>52</v>
      </c>
      <c r="G14" s="3" t="s">
        <v>53</v>
      </c>
      <c r="H14" s="3" t="s">
        <v>128</v>
      </c>
      <c r="J14" s="3" t="s">
        <v>53</v>
      </c>
      <c r="K14" s="3" t="s">
        <v>52</v>
      </c>
    </row>
    <row r="15" spans="1:11" x14ac:dyDescent="0.25">
      <c r="F15" s="3" t="s">
        <v>435</v>
      </c>
      <c r="G15" s="3" t="s">
        <v>436</v>
      </c>
      <c r="H15" s="3" t="s">
        <v>128</v>
      </c>
      <c r="J15" s="3"/>
      <c r="K15" s="3"/>
    </row>
    <row r="16" spans="1:11" x14ac:dyDescent="0.25">
      <c r="F16" s="3" t="s">
        <v>68</v>
      </c>
      <c r="G16" s="3" t="s">
        <v>437</v>
      </c>
      <c r="H16" s="3" t="s">
        <v>128</v>
      </c>
    </row>
    <row r="17" spans="6:8" x14ac:dyDescent="0.25">
      <c r="F17" s="3"/>
      <c r="G17" s="3"/>
      <c r="H17" s="4"/>
    </row>
  </sheetData>
  <autoFilter ref="A1:K16" xr:uid="{66D3BCEF-5A17-4484-B83D-2527846991C9}"/>
  <conditionalFormatting sqref="A2:B14">
    <cfRule type="duplicateValues" dxfId="1" priority="2"/>
  </conditionalFormatting>
  <conditionalFormatting sqref="F14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7D69-6081-4FE5-ADC6-584F76DF0A6A}">
  <sheetPr codeName="Hoja3" filterMode="1">
    <tabColor rgb="FF00B050"/>
  </sheetPr>
  <dimension ref="A1:AM1483"/>
  <sheetViews>
    <sheetView showGridLines="0" tabSelected="1" topLeftCell="C1" zoomScale="110" zoomScaleNormal="82" workbookViewId="0">
      <pane ySplit="1" topLeftCell="A447" activePane="bottomLeft" state="frozen"/>
      <selection pane="bottomLeft" activeCell="K1481" sqref="K1481"/>
    </sheetView>
  </sheetViews>
  <sheetFormatPr baseColWidth="10" defaultColWidth="9.140625" defaultRowHeight="15" x14ac:dyDescent="0.25"/>
  <cols>
    <col min="1" max="1" width="11.140625" bestFit="1" customWidth="1"/>
    <col min="2" max="2" width="14.42578125" bestFit="1" customWidth="1"/>
    <col min="3" max="3" width="29.85546875" bestFit="1" customWidth="1"/>
    <col min="4" max="4" width="10.7109375" bestFit="1" customWidth="1"/>
    <col min="5" max="5" width="23.140625" style="103" bestFit="1" customWidth="1"/>
    <col min="6" max="6" width="12.42578125" customWidth="1"/>
    <col min="7" max="7" width="15.28515625" style="28" bestFit="1" customWidth="1"/>
    <col min="8" max="8" width="35.5703125" style="97" bestFit="1" customWidth="1"/>
    <col min="9" max="9" width="14" style="28" bestFit="1" customWidth="1"/>
    <col min="10" max="10" width="38.7109375" style="14" bestFit="1" customWidth="1"/>
    <col min="11" max="11" width="10.7109375" style="5" customWidth="1"/>
    <col min="12" max="12" width="14" style="27" customWidth="1"/>
    <col min="13" max="13" width="4.42578125" style="28" bestFit="1" customWidth="1"/>
    <col min="14" max="14" width="10.42578125" bestFit="1" customWidth="1"/>
    <col min="15" max="15" width="10.140625" bestFit="1" customWidth="1"/>
    <col min="16" max="16" width="9.5703125" customWidth="1"/>
    <col min="17" max="17" width="12.42578125" customWidth="1"/>
    <col min="18" max="18" width="13.140625" customWidth="1"/>
    <col min="19" max="19" width="13.5703125" style="4" customWidth="1"/>
    <col min="20" max="20" width="8.5703125" bestFit="1" customWidth="1"/>
    <col min="21" max="21" width="19.140625" style="16" bestFit="1" customWidth="1"/>
    <col min="22" max="22" width="12.85546875" style="27" bestFit="1" customWidth="1"/>
    <col min="23" max="23" width="13.42578125" style="4" customWidth="1"/>
    <col min="24" max="24" width="11.5703125" bestFit="1" customWidth="1"/>
    <col min="25" max="25" width="17.7109375" bestFit="1" customWidth="1"/>
    <col min="26" max="26" width="16.42578125" bestFit="1" customWidth="1"/>
    <col min="27" max="27" width="14.85546875" bestFit="1" customWidth="1"/>
    <col min="28" max="28" width="11.28515625" bestFit="1" customWidth="1"/>
    <col min="30" max="30" width="146.140625" bestFit="1" customWidth="1"/>
  </cols>
  <sheetData>
    <row r="1" spans="1:31" s="169" customFormat="1" ht="45" x14ac:dyDescent="0.25">
      <c r="A1" s="169" t="s">
        <v>382</v>
      </c>
      <c r="B1" s="161" t="s">
        <v>380</v>
      </c>
      <c r="C1" s="161" t="s">
        <v>381</v>
      </c>
      <c r="D1" s="161" t="s">
        <v>94</v>
      </c>
      <c r="E1" s="160" t="s">
        <v>95</v>
      </c>
      <c r="F1" s="161" t="s">
        <v>96</v>
      </c>
      <c r="G1" s="160" t="s">
        <v>97</v>
      </c>
      <c r="H1" s="160" t="s">
        <v>98</v>
      </c>
      <c r="I1" s="160" t="s">
        <v>2</v>
      </c>
      <c r="J1" s="161" t="s">
        <v>99</v>
      </c>
      <c r="K1" s="161" t="s">
        <v>91</v>
      </c>
      <c r="L1" s="170" t="s">
        <v>161</v>
      </c>
      <c r="M1" s="162" t="s">
        <v>100</v>
      </c>
      <c r="N1" s="161" t="s">
        <v>101</v>
      </c>
      <c r="O1" s="161" t="s">
        <v>102</v>
      </c>
      <c r="P1" s="311" t="s">
        <v>103</v>
      </c>
      <c r="Q1" s="171" t="s">
        <v>104</v>
      </c>
      <c r="R1" s="171" t="s">
        <v>105</v>
      </c>
      <c r="S1" s="171" t="s">
        <v>351</v>
      </c>
      <c r="T1" s="161" t="s">
        <v>106</v>
      </c>
      <c r="U1" s="172" t="s">
        <v>107</v>
      </c>
      <c r="V1" s="18" t="s">
        <v>108</v>
      </c>
      <c r="W1" s="173" t="s">
        <v>109</v>
      </c>
      <c r="X1" s="174" t="s">
        <v>110</v>
      </c>
      <c r="Y1" s="175" t="s">
        <v>133</v>
      </c>
      <c r="Z1" s="175" t="s">
        <v>134</v>
      </c>
      <c r="AA1" s="175" t="s">
        <v>135</v>
      </c>
      <c r="AB1" s="175" t="s">
        <v>136</v>
      </c>
      <c r="AC1" s="175" t="s">
        <v>137</v>
      </c>
      <c r="AD1" s="175" t="s">
        <v>148</v>
      </c>
    </row>
    <row r="2" spans="1:31" s="32" customFormat="1" hidden="1" x14ac:dyDescent="0.25">
      <c r="A2" s="32">
        <v>1</v>
      </c>
      <c r="C2" s="131" t="str">
        <f t="shared" ref="C2:C65" si="0">_xlfn.CONCAT($C$1,D2,G2,I2,W2)</f>
        <v>LlaveD86466883318100010731</v>
      </c>
      <c r="D2" s="33" t="str">
        <f>VLOOKUP(E2,'NO MODIFICAR'!J:K,2,0)</f>
        <v>D864</v>
      </c>
      <c r="E2" s="31" t="s">
        <v>55</v>
      </c>
      <c r="F2" s="33" t="str">
        <f>VLOOKUP(D2,'NO MODIFICAR'!F:H,3,0)</f>
        <v xml:space="preserve">CENTRO </v>
      </c>
      <c r="G2" s="92">
        <v>66883318</v>
      </c>
      <c r="H2" s="93" t="s">
        <v>145</v>
      </c>
      <c r="I2" s="94">
        <v>10001073</v>
      </c>
      <c r="J2" s="34" t="str">
        <f>VLOOKUP(I2,'Materiales,canteras'!C:D,2,0)</f>
        <v>Arena Triturada Caliza Malla 4</v>
      </c>
      <c r="K2" s="33">
        <f>VLOOKUP(I2,'Materiales,canteras'!C:E,3,0)</f>
        <v>1.56</v>
      </c>
      <c r="L2" s="105">
        <v>115.46</v>
      </c>
      <c r="M2" s="25" t="s">
        <v>93</v>
      </c>
      <c r="N2" s="35">
        <f t="shared" ref="N2:N65" ca="1" si="1">TODAY()</f>
        <v>46267</v>
      </c>
      <c r="O2" s="32" t="s">
        <v>113</v>
      </c>
      <c r="P2" s="36"/>
      <c r="Q2" s="37"/>
      <c r="R2" s="36"/>
      <c r="S2" s="84">
        <v>150</v>
      </c>
      <c r="T2" s="36">
        <f t="shared" ref="T2:T49" si="2">L2-S2</f>
        <v>-34.540000000000006</v>
      </c>
      <c r="U2" s="46">
        <f t="shared" ref="U2:U26" si="3">L2</f>
        <v>115.46</v>
      </c>
      <c r="V2" s="82">
        <v>76</v>
      </c>
      <c r="W2" s="29">
        <v>1</v>
      </c>
      <c r="X2" s="38">
        <f t="shared" ref="X2:X33" si="4">V2+U2</f>
        <v>191.45999999999998</v>
      </c>
      <c r="Y2" s="32" t="e">
        <f>IF(+VLOOKUP(I2,P.Referencia!E:S,3,FALSE)&lt;=L2,"Champion","Gerente")</f>
        <v>#N/A</v>
      </c>
      <c r="Z2" s="39" t="e">
        <f>VLOOKUP(I2,P.Referencia!E:S,3,0)</f>
        <v>#N/A</v>
      </c>
      <c r="AA2" s="40" t="e">
        <f t="shared" ref="AA2:AA65" si="5">(Z2-U2)/U2</f>
        <v>#N/A</v>
      </c>
      <c r="AB2" s="41" t="e">
        <f t="shared" ref="AB2:AB65" si="6">U2*AA2</f>
        <v>#N/A</v>
      </c>
      <c r="AC2" s="41" t="e">
        <f t="shared" ref="AC2:AC65" si="7">U2+AB2</f>
        <v>#N/A</v>
      </c>
    </row>
    <row r="3" spans="1:31" s="32" customFormat="1" hidden="1" x14ac:dyDescent="0.25">
      <c r="A3" s="32">
        <v>2</v>
      </c>
      <c r="C3" s="131" t="str">
        <f t="shared" si="0"/>
        <v>LlaveD86466883318100002361</v>
      </c>
      <c r="D3" s="33" t="str">
        <f>VLOOKUP(E3,'NO MODIFICAR'!J:K,2,0)</f>
        <v>D864</v>
      </c>
      <c r="E3" s="31" t="s">
        <v>55</v>
      </c>
      <c r="F3" s="33" t="str">
        <f>VLOOKUP(D3,'NO MODIFICAR'!F:H,3,0)</f>
        <v xml:space="preserve">CENTRO </v>
      </c>
      <c r="G3" s="92">
        <v>66883318</v>
      </c>
      <c r="H3" s="93" t="s">
        <v>145</v>
      </c>
      <c r="I3" s="94">
        <v>10000236</v>
      </c>
      <c r="J3" s="34" t="str">
        <f>VLOOKUP(I3,'Materiales,canteras'!C:D,2,0)</f>
        <v>Grava Triturada Caliza 10 mm -</v>
      </c>
      <c r="K3" s="33">
        <f>VLOOKUP(I3,'Materiales,canteras'!C:E,3,0)</f>
        <v>1.41</v>
      </c>
      <c r="L3" s="105">
        <v>145</v>
      </c>
      <c r="M3" s="25" t="s">
        <v>93</v>
      </c>
      <c r="N3" s="35">
        <f t="shared" ca="1" si="1"/>
        <v>46267</v>
      </c>
      <c r="O3" s="32" t="s">
        <v>113</v>
      </c>
      <c r="P3" s="36"/>
      <c r="Q3" s="37"/>
      <c r="R3" s="36"/>
      <c r="S3" s="84"/>
      <c r="T3" s="36">
        <f t="shared" si="2"/>
        <v>145</v>
      </c>
      <c r="U3" s="46">
        <f t="shared" si="3"/>
        <v>145</v>
      </c>
      <c r="V3" s="82">
        <v>76</v>
      </c>
      <c r="W3" s="29">
        <v>1</v>
      </c>
      <c r="X3" s="38">
        <f t="shared" si="4"/>
        <v>221</v>
      </c>
      <c r="Y3" s="32" t="e">
        <f>IF(+VLOOKUP(I3,P.Referencia!E:S,3,FALSE)&lt;=L3,"Champion","Gerente")</f>
        <v>#N/A</v>
      </c>
      <c r="Z3" s="39" t="e">
        <f>VLOOKUP(I3,P.Referencia!E:S,3,0)</f>
        <v>#N/A</v>
      </c>
      <c r="AA3" s="40" t="e">
        <f t="shared" si="5"/>
        <v>#N/A</v>
      </c>
      <c r="AB3" s="41" t="e">
        <f t="shared" si="6"/>
        <v>#N/A</v>
      </c>
      <c r="AC3" s="41" t="e">
        <f t="shared" si="7"/>
        <v>#N/A</v>
      </c>
    </row>
    <row r="4" spans="1:31" s="32" customFormat="1" hidden="1" x14ac:dyDescent="0.25">
      <c r="A4" s="32">
        <v>3</v>
      </c>
      <c r="C4" s="131" t="str">
        <f t="shared" si="0"/>
        <v>LlaveD86466883318100002401</v>
      </c>
      <c r="D4" s="33" t="str">
        <f>VLOOKUP(E4,'NO MODIFICAR'!J:K,2,0)</f>
        <v>D864</v>
      </c>
      <c r="E4" s="31" t="s">
        <v>55</v>
      </c>
      <c r="F4" s="33" t="str">
        <f>VLOOKUP(D4,'NO MODIFICAR'!F:H,3,0)</f>
        <v xml:space="preserve">CENTRO </v>
      </c>
      <c r="G4" s="92">
        <v>66883318</v>
      </c>
      <c r="H4" s="93" t="s">
        <v>145</v>
      </c>
      <c r="I4" s="94">
        <v>10000240</v>
      </c>
      <c r="J4" s="34" t="str">
        <f>VLOOKUP(I4,'Materiales,canteras'!C:D,2,0)</f>
        <v>Grava Triturada Caliza 20 mm -</v>
      </c>
      <c r="K4" s="33">
        <f>VLOOKUP(I4,'Materiales,canteras'!C:E,3,0)</f>
        <v>1.462</v>
      </c>
      <c r="L4" s="105">
        <v>145</v>
      </c>
      <c r="M4" s="25" t="s">
        <v>93</v>
      </c>
      <c r="N4" s="35">
        <f t="shared" ca="1" si="1"/>
        <v>46267</v>
      </c>
      <c r="O4" s="32" t="s">
        <v>113</v>
      </c>
      <c r="P4" s="36"/>
      <c r="Q4" s="37"/>
      <c r="R4" s="36"/>
      <c r="S4" s="84"/>
      <c r="T4" s="36">
        <f t="shared" si="2"/>
        <v>145</v>
      </c>
      <c r="U4" s="46">
        <f t="shared" si="3"/>
        <v>145</v>
      </c>
      <c r="V4" s="82">
        <v>76</v>
      </c>
      <c r="W4" s="29">
        <v>1</v>
      </c>
      <c r="X4" s="38">
        <f t="shared" si="4"/>
        <v>221</v>
      </c>
      <c r="Y4" s="32" t="e">
        <f>IF(+VLOOKUP(I4,P.Referencia!E:S,3,FALSE)&lt;=L4,"Champion","Gerente")</f>
        <v>#N/A</v>
      </c>
      <c r="Z4" s="39" t="e">
        <f>VLOOKUP(I4,P.Referencia!E:S,3,0)</f>
        <v>#N/A</v>
      </c>
      <c r="AA4" s="40" t="e">
        <f t="shared" si="5"/>
        <v>#N/A</v>
      </c>
      <c r="AB4" s="41" t="e">
        <f t="shared" si="6"/>
        <v>#N/A</v>
      </c>
      <c r="AC4" s="41" t="e">
        <f t="shared" si="7"/>
        <v>#N/A</v>
      </c>
    </row>
    <row r="5" spans="1:31" s="32" customFormat="1" hidden="1" x14ac:dyDescent="0.25">
      <c r="A5" s="32">
        <v>4</v>
      </c>
      <c r="C5" s="131" t="str">
        <f t="shared" si="0"/>
        <v>LlaveD86466883318100002691</v>
      </c>
      <c r="D5" s="33" t="str">
        <f>VLOOKUP(E5,'NO MODIFICAR'!J:K,2,0)</f>
        <v>D864</v>
      </c>
      <c r="E5" s="31" t="s">
        <v>55</v>
      </c>
      <c r="F5" s="33" t="str">
        <f>VLOOKUP(D5,'NO MODIFICAR'!F:H,3,0)</f>
        <v xml:space="preserve">CENTRO </v>
      </c>
      <c r="G5" s="92">
        <v>66883318</v>
      </c>
      <c r="H5" s="93" t="s">
        <v>145</v>
      </c>
      <c r="I5" s="94">
        <v>10000269</v>
      </c>
      <c r="J5" s="34" t="str">
        <f>VLOOKUP(I5,'Materiales,canteras'!C:D,2,0)</f>
        <v>Grava Triturada Caliza 13 mm -</v>
      </c>
      <c r="K5" s="33">
        <f>VLOOKUP(I5,'Materiales,canteras'!C:E,3,0)</f>
        <v>1.423</v>
      </c>
      <c r="L5" s="105">
        <v>161.19999999999999</v>
      </c>
      <c r="M5" s="25" t="s">
        <v>93</v>
      </c>
      <c r="N5" s="35">
        <f t="shared" ca="1" si="1"/>
        <v>46267</v>
      </c>
      <c r="O5" s="32" t="s">
        <v>113</v>
      </c>
      <c r="P5" s="36"/>
      <c r="Q5" s="37"/>
      <c r="R5" s="36"/>
      <c r="S5" s="84"/>
      <c r="T5" s="36">
        <f t="shared" si="2"/>
        <v>161.19999999999999</v>
      </c>
      <c r="U5" s="46">
        <f t="shared" si="3"/>
        <v>161.19999999999999</v>
      </c>
      <c r="V5" s="82">
        <v>76</v>
      </c>
      <c r="W5" s="29">
        <v>1</v>
      </c>
      <c r="X5" s="38">
        <f t="shared" si="4"/>
        <v>237.2</v>
      </c>
      <c r="Y5" s="32" t="e">
        <f>IF(+VLOOKUP(I5,P.Referencia!E:S,3,FALSE)&lt;=L5,"Champion","Gerente")</f>
        <v>#N/A</v>
      </c>
      <c r="Z5" s="39" t="e">
        <f>VLOOKUP(I5,P.Referencia!E:S,3,0)</f>
        <v>#N/A</v>
      </c>
      <c r="AA5" s="40" t="e">
        <f t="shared" si="5"/>
        <v>#N/A</v>
      </c>
      <c r="AB5" s="41" t="e">
        <f t="shared" si="6"/>
        <v>#N/A</v>
      </c>
      <c r="AC5" s="41" t="e">
        <f t="shared" si="7"/>
        <v>#N/A</v>
      </c>
    </row>
    <row r="6" spans="1:31" s="32" customFormat="1" hidden="1" x14ac:dyDescent="0.25">
      <c r="A6" s="32">
        <v>5</v>
      </c>
      <c r="C6" s="131" t="str">
        <f t="shared" si="0"/>
        <v>LlaveD86466883318100010741</v>
      </c>
      <c r="D6" s="33" t="str">
        <f>VLOOKUP(E6,'NO MODIFICAR'!J:K,2,0)</f>
        <v>D864</v>
      </c>
      <c r="E6" s="31" t="s">
        <v>55</v>
      </c>
      <c r="F6" s="33" t="str">
        <f>VLOOKUP(D6,'NO MODIFICAR'!F:H,3,0)</f>
        <v xml:space="preserve">CENTRO </v>
      </c>
      <c r="G6" s="92">
        <v>66883318</v>
      </c>
      <c r="H6" s="93" t="s">
        <v>145</v>
      </c>
      <c r="I6" s="94">
        <v>10001074</v>
      </c>
      <c r="J6" s="34" t="str">
        <f>VLOOKUP(I6,'Materiales,canteras'!C:D,2,0)</f>
        <v>Grava Triturada Caliza 40 mm -</v>
      </c>
      <c r="K6" s="33">
        <f>VLOOKUP(I6,'Materiales,canteras'!C:E,3,0)</f>
        <v>1.4</v>
      </c>
      <c r="L6" s="105">
        <v>147</v>
      </c>
      <c r="M6" s="25" t="s">
        <v>93</v>
      </c>
      <c r="N6" s="35">
        <f t="shared" ca="1" si="1"/>
        <v>46267</v>
      </c>
      <c r="O6" s="32" t="s">
        <v>113</v>
      </c>
      <c r="P6" s="36"/>
      <c r="Q6" s="37"/>
      <c r="R6" s="36"/>
      <c r="S6" s="84"/>
      <c r="T6" s="36">
        <f t="shared" si="2"/>
        <v>147</v>
      </c>
      <c r="U6" s="46">
        <f t="shared" si="3"/>
        <v>147</v>
      </c>
      <c r="V6" s="82">
        <v>76</v>
      </c>
      <c r="W6" s="29">
        <v>1</v>
      </c>
      <c r="X6" s="38">
        <f t="shared" si="4"/>
        <v>223</v>
      </c>
      <c r="Y6" s="32" t="e">
        <f>IF(+VLOOKUP(I6,P.Referencia!E:S,3,FALSE)&lt;=L6,"Champion","Gerente")</f>
        <v>#N/A</v>
      </c>
      <c r="Z6" s="39" t="e">
        <f>VLOOKUP(I6,P.Referencia!E:S,3,0)</f>
        <v>#N/A</v>
      </c>
      <c r="AA6" s="40" t="e">
        <f t="shared" si="5"/>
        <v>#N/A</v>
      </c>
      <c r="AB6" s="41" t="e">
        <f t="shared" si="6"/>
        <v>#N/A</v>
      </c>
      <c r="AC6" s="41" t="e">
        <f t="shared" si="7"/>
        <v>#N/A</v>
      </c>
    </row>
    <row r="7" spans="1:31" s="32" customFormat="1" hidden="1" x14ac:dyDescent="0.25">
      <c r="A7" s="32">
        <v>6</v>
      </c>
      <c r="C7" s="131" t="str">
        <f t="shared" si="0"/>
        <v>LlaveD86167316915100002902</v>
      </c>
      <c r="D7" s="33" t="str">
        <f>VLOOKUP(E7,'NO MODIFICAR'!J:K,2,0)</f>
        <v>D861</v>
      </c>
      <c r="E7" s="31" t="s">
        <v>44</v>
      </c>
      <c r="F7" s="33" t="str">
        <f>VLOOKUP(D7,'NO MODIFICAR'!F:H,3,0)</f>
        <v xml:space="preserve">CENTRO </v>
      </c>
      <c r="G7" s="92">
        <v>67316915</v>
      </c>
      <c r="H7" s="93" t="s">
        <v>146</v>
      </c>
      <c r="I7" s="94">
        <v>10000290</v>
      </c>
      <c r="J7" s="34" t="str">
        <f>VLOOKUP(I7,'Materiales,canteras'!C:D,2,0)</f>
        <v>Polvos Triturado Basalto 3/4"</v>
      </c>
      <c r="K7" s="33">
        <f>VLOOKUP(I7,'Materiales,canteras'!C:E,3,0)</f>
        <v>1.3720000000000001</v>
      </c>
      <c r="L7" s="105">
        <v>1.5</v>
      </c>
      <c r="M7" s="86" t="s">
        <v>93</v>
      </c>
      <c r="N7" s="35">
        <f t="shared" ca="1" si="1"/>
        <v>46267</v>
      </c>
      <c r="O7" s="32" t="s">
        <v>113</v>
      </c>
      <c r="P7" s="36"/>
      <c r="Q7" s="37"/>
      <c r="R7" s="36"/>
      <c r="S7" s="84">
        <v>25</v>
      </c>
      <c r="T7" s="36">
        <f t="shared" si="2"/>
        <v>-23.5</v>
      </c>
      <c r="U7" s="46">
        <f t="shared" si="3"/>
        <v>1.5</v>
      </c>
      <c r="V7" s="30">
        <v>0</v>
      </c>
      <c r="W7" s="29">
        <v>2</v>
      </c>
      <c r="X7" s="38">
        <f t="shared" si="4"/>
        <v>1.5</v>
      </c>
      <c r="Y7" s="32" t="e">
        <f>IF(+VLOOKUP(I7,P.Referencia!E:S,3,FALSE)&lt;=L7,"Champion","Gerente")</f>
        <v>#N/A</v>
      </c>
      <c r="Z7" s="39" t="e">
        <f>VLOOKUP(I7,P.Referencia!E:S,3,0)</f>
        <v>#N/A</v>
      </c>
      <c r="AA7" s="40" t="e">
        <f t="shared" si="5"/>
        <v>#N/A</v>
      </c>
      <c r="AB7" s="41" t="e">
        <f t="shared" si="6"/>
        <v>#N/A</v>
      </c>
      <c r="AC7" s="41" t="e">
        <f t="shared" si="7"/>
        <v>#N/A</v>
      </c>
      <c r="AD7" s="32" t="s">
        <v>147</v>
      </c>
      <c r="AE7" s="32" t="s">
        <v>149</v>
      </c>
    </row>
    <row r="8" spans="1:31" s="32" customFormat="1" hidden="1" x14ac:dyDescent="0.25">
      <c r="A8" s="32">
        <v>7</v>
      </c>
      <c r="C8" s="131" t="str">
        <f t="shared" si="0"/>
        <v>LlaveD86166781275100002901</v>
      </c>
      <c r="D8" s="33" t="str">
        <f>VLOOKUP(E8,'NO MODIFICAR'!J:K,2,0)</f>
        <v>D861</v>
      </c>
      <c r="E8" s="31" t="s">
        <v>44</v>
      </c>
      <c r="F8" s="33" t="str">
        <f>VLOOKUP(D8,'NO MODIFICAR'!F:H,3,0)</f>
        <v xml:space="preserve">CENTRO </v>
      </c>
      <c r="G8" s="92">
        <v>66781275</v>
      </c>
      <c r="H8" s="93" t="s">
        <v>150</v>
      </c>
      <c r="I8" s="94">
        <v>10000290</v>
      </c>
      <c r="J8" s="34" t="str">
        <f>VLOOKUP(I8,'Materiales,canteras'!C:D,2,0)</f>
        <v>Polvos Triturado Basalto 3/4"</v>
      </c>
      <c r="K8" s="33">
        <f>VLOOKUP(I8,'Materiales,canteras'!C:E,3,0)</f>
        <v>1.3720000000000001</v>
      </c>
      <c r="L8" s="105">
        <v>1</v>
      </c>
      <c r="M8" s="25" t="s">
        <v>93</v>
      </c>
      <c r="N8" s="35">
        <f t="shared" ca="1" si="1"/>
        <v>46267</v>
      </c>
      <c r="O8" s="32" t="s">
        <v>113</v>
      </c>
      <c r="P8" s="36"/>
      <c r="Q8" s="37"/>
      <c r="R8" s="36"/>
      <c r="S8" s="84">
        <v>25</v>
      </c>
      <c r="T8" s="36">
        <f t="shared" si="2"/>
        <v>-24</v>
      </c>
      <c r="U8" s="46">
        <f t="shared" si="3"/>
        <v>1</v>
      </c>
      <c r="V8" s="82">
        <v>66.489999999999995</v>
      </c>
      <c r="W8" s="29">
        <v>1</v>
      </c>
      <c r="X8" s="38">
        <f t="shared" si="4"/>
        <v>67.489999999999995</v>
      </c>
      <c r="Y8" s="32" t="e">
        <f>IF(+VLOOKUP(I8,P.Referencia!E:S,3,FALSE)&lt;=L8,"Champion","Gerente")</f>
        <v>#N/A</v>
      </c>
      <c r="Z8" s="39" t="e">
        <f>VLOOKUP(I8,P.Referencia!E:S,3,0)</f>
        <v>#N/A</v>
      </c>
      <c r="AA8" s="40" t="e">
        <f t="shared" si="5"/>
        <v>#N/A</v>
      </c>
      <c r="AB8" s="41" t="e">
        <f t="shared" si="6"/>
        <v>#N/A</v>
      </c>
      <c r="AC8" s="41" t="e">
        <f t="shared" si="7"/>
        <v>#N/A</v>
      </c>
      <c r="AD8" s="32" t="s">
        <v>147</v>
      </c>
      <c r="AE8" s="32" t="s">
        <v>151</v>
      </c>
    </row>
    <row r="9" spans="1:31" s="32" customFormat="1" hidden="1" x14ac:dyDescent="0.25">
      <c r="A9" s="32">
        <v>8</v>
      </c>
      <c r="C9" s="131" t="str">
        <f t="shared" si="0"/>
        <v>LlaveD86166617693100014501</v>
      </c>
      <c r="D9" s="33" t="str">
        <f>VLOOKUP(E9,'NO MODIFICAR'!J:K,2,0)</f>
        <v>D861</v>
      </c>
      <c r="E9" s="31" t="s">
        <v>44</v>
      </c>
      <c r="F9" s="33" t="str">
        <f>VLOOKUP(D9,'NO MODIFICAR'!F:H,3,0)</f>
        <v xml:space="preserve">CENTRO </v>
      </c>
      <c r="G9" s="92">
        <v>66617693</v>
      </c>
      <c r="H9" s="93" t="s">
        <v>152</v>
      </c>
      <c r="I9" s="94">
        <v>10001450</v>
      </c>
      <c r="J9" s="34" t="str">
        <f>VLOOKUP(I9,'Materiales,canteras'!C:D,2,0)</f>
        <v>Base Hidraúlica Basalto de 1 /1/2</v>
      </c>
      <c r="K9" s="33">
        <f>VLOOKUP(I9,'Materiales,canteras'!C:E,3,0)</f>
        <v>1.7490000000000001</v>
      </c>
      <c r="L9" s="105">
        <v>218.28</v>
      </c>
      <c r="M9" s="86" t="s">
        <v>93</v>
      </c>
      <c r="N9" s="35">
        <f t="shared" ca="1" si="1"/>
        <v>46267</v>
      </c>
      <c r="O9" s="32" t="s">
        <v>113</v>
      </c>
      <c r="S9" s="88">
        <v>260</v>
      </c>
      <c r="T9" s="36">
        <f t="shared" si="2"/>
        <v>-41.72</v>
      </c>
      <c r="U9" s="46">
        <f t="shared" si="3"/>
        <v>218.28</v>
      </c>
      <c r="V9" s="83">
        <v>70</v>
      </c>
      <c r="W9" s="29">
        <v>1</v>
      </c>
      <c r="X9" s="38">
        <f t="shared" si="4"/>
        <v>288.27999999999997</v>
      </c>
      <c r="Y9" s="32" t="s">
        <v>153</v>
      </c>
      <c r="Z9" s="39">
        <v>222</v>
      </c>
      <c r="AA9" s="40">
        <f t="shared" si="5"/>
        <v>1.7042330951072011E-2</v>
      </c>
      <c r="AB9" s="41">
        <f t="shared" si="6"/>
        <v>3.7199999999999984</v>
      </c>
      <c r="AC9" s="41">
        <f t="shared" si="7"/>
        <v>222</v>
      </c>
      <c r="AD9" s="32" t="s">
        <v>154</v>
      </c>
    </row>
    <row r="10" spans="1:31" s="32" customFormat="1" hidden="1" x14ac:dyDescent="0.25">
      <c r="A10" s="32">
        <v>9</v>
      </c>
      <c r="C10" s="131" t="str">
        <f t="shared" si="0"/>
        <v>LlaveD86166617693100002311</v>
      </c>
      <c r="D10" s="33" t="str">
        <f>VLOOKUP(E10,'NO MODIFICAR'!J:K,2,0)</f>
        <v>D861</v>
      </c>
      <c r="E10" s="31" t="s">
        <v>44</v>
      </c>
      <c r="F10" s="33" t="str">
        <f>VLOOKUP(D10,'NO MODIFICAR'!F:H,3,0)</f>
        <v xml:space="preserve">CENTRO </v>
      </c>
      <c r="G10" s="92">
        <v>66617693</v>
      </c>
      <c r="H10" s="93" t="s">
        <v>152</v>
      </c>
      <c r="I10" s="94">
        <v>10000231</v>
      </c>
      <c r="J10" s="34" t="str">
        <f>VLOOKUP(I10,'Materiales,canteras'!C:D,2,0)</f>
        <v>Grava Triturada Basalto 20 mm</v>
      </c>
      <c r="K10" s="33">
        <f>VLOOKUP(I10,'Materiales,canteras'!C:E,3,0)</f>
        <v>1.5649999999999999</v>
      </c>
      <c r="L10" s="105">
        <v>203.9</v>
      </c>
      <c r="M10" s="86" t="s">
        <v>93</v>
      </c>
      <c r="N10" s="35">
        <f t="shared" ca="1" si="1"/>
        <v>46267</v>
      </c>
      <c r="O10" s="32" t="s">
        <v>113</v>
      </c>
      <c r="S10" s="88">
        <v>280</v>
      </c>
      <c r="T10" s="36">
        <f t="shared" si="2"/>
        <v>-76.099999999999994</v>
      </c>
      <c r="U10" s="46">
        <f t="shared" si="3"/>
        <v>203.9</v>
      </c>
      <c r="V10" s="83">
        <v>75.58</v>
      </c>
      <c r="W10" s="29">
        <v>1</v>
      </c>
      <c r="X10" s="38">
        <f t="shared" si="4"/>
        <v>279.48</v>
      </c>
      <c r="Y10" s="32" t="e">
        <f>IF(+VLOOKUP(I10,P.Referencia!E:S,3,FALSE)&lt;=L10,"Champion","Gerente")</f>
        <v>#N/A</v>
      </c>
      <c r="Z10" s="39" t="e">
        <f>VLOOKUP(I10,P.Referencia!E:S,3,0)</f>
        <v>#N/A</v>
      </c>
      <c r="AA10" s="40" t="e">
        <f t="shared" si="5"/>
        <v>#N/A</v>
      </c>
      <c r="AB10" s="41" t="e">
        <f t="shared" si="6"/>
        <v>#N/A</v>
      </c>
      <c r="AC10" s="41" t="e">
        <f t="shared" si="7"/>
        <v>#N/A</v>
      </c>
      <c r="AD10" s="32" t="s">
        <v>154</v>
      </c>
    </row>
    <row r="11" spans="1:31" s="32" customFormat="1" hidden="1" x14ac:dyDescent="0.25">
      <c r="A11" s="32">
        <v>10</v>
      </c>
      <c r="C11" s="131" t="str">
        <f t="shared" si="0"/>
        <v>LlaveD81365014664100002551</v>
      </c>
      <c r="D11" s="33" t="str">
        <f>VLOOKUP(E11,'NO MODIFICAR'!J:K,2,0)</f>
        <v>D813</v>
      </c>
      <c r="E11" s="31" t="s">
        <v>6</v>
      </c>
      <c r="F11" s="33" t="str">
        <f>VLOOKUP(D11,'NO MODIFICAR'!F:H,3,0)</f>
        <v xml:space="preserve">CENTRO </v>
      </c>
      <c r="G11" s="92">
        <v>65014664</v>
      </c>
      <c r="H11" s="93" t="s">
        <v>155</v>
      </c>
      <c r="I11" s="94">
        <v>10000255</v>
      </c>
      <c r="J11" s="34" t="str">
        <f>VLOOKUP(I11,'Materiales,canteras'!C:D,2,0)</f>
        <v>Arena Triturada Andesita Malla</v>
      </c>
      <c r="K11" s="33">
        <f>VLOOKUP(I11,'Materiales,canteras'!C:E,3,0)</f>
        <v>1.5349999999999999</v>
      </c>
      <c r="L11" s="105"/>
      <c r="M11" s="25"/>
      <c r="N11" s="35">
        <f t="shared" ca="1" si="1"/>
        <v>46267</v>
      </c>
      <c r="O11" s="32" t="s">
        <v>113</v>
      </c>
      <c r="P11" s="36"/>
      <c r="Q11" s="37"/>
      <c r="R11" s="36"/>
      <c r="S11" s="84"/>
      <c r="T11" s="36">
        <f t="shared" si="2"/>
        <v>0</v>
      </c>
      <c r="U11" s="46">
        <f t="shared" si="3"/>
        <v>0</v>
      </c>
      <c r="V11" s="82">
        <v>58.73</v>
      </c>
      <c r="W11" s="29">
        <v>1</v>
      </c>
      <c r="X11" s="38">
        <f t="shared" si="4"/>
        <v>58.73</v>
      </c>
      <c r="Y11" s="32" t="e">
        <f>IF(+VLOOKUP(I11,P.Referencia!E:S,3,FALSE)&lt;=L11,"Champion","Gerente")</f>
        <v>#N/A</v>
      </c>
      <c r="Z11" s="39" t="e">
        <f>VLOOKUP(I11,P.Referencia!E:S,3,0)</f>
        <v>#N/A</v>
      </c>
      <c r="AA11" s="40" t="e">
        <f t="shared" si="5"/>
        <v>#N/A</v>
      </c>
      <c r="AB11" s="41" t="e">
        <f t="shared" si="6"/>
        <v>#N/A</v>
      </c>
      <c r="AC11" s="41" t="e">
        <f t="shared" si="7"/>
        <v>#N/A</v>
      </c>
      <c r="AD11" s="32" t="s">
        <v>156</v>
      </c>
    </row>
    <row r="12" spans="1:31" s="32" customFormat="1" hidden="1" x14ac:dyDescent="0.25">
      <c r="A12" s="32">
        <v>11</v>
      </c>
      <c r="C12" s="131" t="str">
        <f t="shared" si="0"/>
        <v>LlaveD86466828114100002362</v>
      </c>
      <c r="D12" s="33" t="str">
        <f>VLOOKUP(E12,'NO MODIFICAR'!J:K,2,0)</f>
        <v>D864</v>
      </c>
      <c r="E12" s="31" t="s">
        <v>55</v>
      </c>
      <c r="F12" s="33" t="str">
        <f>VLOOKUP(D12,'NO MODIFICAR'!F:H,3,0)</f>
        <v xml:space="preserve">CENTRO </v>
      </c>
      <c r="G12" s="92">
        <v>66828114</v>
      </c>
      <c r="H12" s="93" t="s">
        <v>157</v>
      </c>
      <c r="I12" s="94">
        <v>10000236</v>
      </c>
      <c r="J12" s="34" t="str">
        <f>VLOOKUP(I12,'Materiales,canteras'!C:D,2,0)</f>
        <v>Grava Triturada Caliza 10 mm -</v>
      </c>
      <c r="K12" s="33">
        <f>VLOOKUP(I12,'Materiales,canteras'!C:E,3,0)</f>
        <v>1.41</v>
      </c>
      <c r="L12" s="105">
        <v>157.19999999999999</v>
      </c>
      <c r="M12" s="25" t="s">
        <v>93</v>
      </c>
      <c r="N12" s="35">
        <f t="shared" ca="1" si="1"/>
        <v>46267</v>
      </c>
      <c r="O12" s="32" t="s">
        <v>113</v>
      </c>
      <c r="P12" s="36"/>
      <c r="Q12" s="37"/>
      <c r="R12" s="36"/>
      <c r="S12" s="84">
        <v>240</v>
      </c>
      <c r="T12" s="36">
        <f t="shared" si="2"/>
        <v>-82.800000000000011</v>
      </c>
      <c r="U12" s="46">
        <f t="shared" si="3"/>
        <v>157.19999999999999</v>
      </c>
      <c r="V12" s="82">
        <v>0</v>
      </c>
      <c r="W12" s="29">
        <v>2</v>
      </c>
      <c r="X12" s="38">
        <f t="shared" si="4"/>
        <v>157.19999999999999</v>
      </c>
      <c r="Y12" s="32" t="e">
        <f>IF(+VLOOKUP(I12,P.Referencia!E:S,3,FALSE)&lt;=L12,"Champion","Gerente")</f>
        <v>#N/A</v>
      </c>
      <c r="Z12" s="39" t="e">
        <f>VLOOKUP(I12,P.Referencia!E:S,3,0)</f>
        <v>#N/A</v>
      </c>
      <c r="AA12" s="40" t="e">
        <f t="shared" si="5"/>
        <v>#N/A</v>
      </c>
      <c r="AB12" s="41" t="e">
        <f t="shared" si="6"/>
        <v>#N/A</v>
      </c>
      <c r="AC12" s="41" t="e">
        <f t="shared" si="7"/>
        <v>#N/A</v>
      </c>
    </row>
    <row r="13" spans="1:31" s="32" customFormat="1" hidden="1" x14ac:dyDescent="0.25">
      <c r="A13" s="32">
        <v>12</v>
      </c>
      <c r="C13" s="131" t="str">
        <f t="shared" si="0"/>
        <v>LlaveD86167198586100031532</v>
      </c>
      <c r="D13" s="33" t="str">
        <f>VLOOKUP(E13,'NO MODIFICAR'!J:K,2,0)</f>
        <v>D861</v>
      </c>
      <c r="E13" s="31" t="s">
        <v>44</v>
      </c>
      <c r="F13" s="33" t="str">
        <f>VLOOKUP(D13,'NO MODIFICAR'!F:H,3,0)</f>
        <v xml:space="preserve">CENTRO </v>
      </c>
      <c r="G13" s="92">
        <v>67198586</v>
      </c>
      <c r="H13" s="93" t="s">
        <v>158</v>
      </c>
      <c r="I13" s="94">
        <v>10003153</v>
      </c>
      <c r="J13" s="34" t="str">
        <f>VLOOKUP(I13,'Materiales,canteras'!C:D,2,0)</f>
        <v>Grava Triturada Basalto 13 mm</v>
      </c>
      <c r="K13" s="33">
        <f>VLOOKUP(I13,'Materiales,canteras'!C:E,3,0)</f>
        <v>1.546</v>
      </c>
      <c r="L13" s="105">
        <v>190</v>
      </c>
      <c r="M13" s="25" t="s">
        <v>93</v>
      </c>
      <c r="N13" s="35">
        <f t="shared" ca="1" si="1"/>
        <v>46267</v>
      </c>
      <c r="O13" s="32" t="s">
        <v>113</v>
      </c>
      <c r="P13" s="36"/>
      <c r="Q13" s="37"/>
      <c r="R13" s="36"/>
      <c r="S13" s="84">
        <v>270</v>
      </c>
      <c r="T13" s="36">
        <f t="shared" si="2"/>
        <v>-80</v>
      </c>
      <c r="U13" s="46">
        <f t="shared" si="3"/>
        <v>190</v>
      </c>
      <c r="V13" s="82">
        <v>0</v>
      </c>
      <c r="W13" s="29">
        <v>2</v>
      </c>
      <c r="X13" s="38">
        <f t="shared" si="4"/>
        <v>190</v>
      </c>
      <c r="Y13" s="32" t="e">
        <f>IF(+VLOOKUP(I13,P.Referencia!E:S,3,FALSE)&lt;=L13,"Champion","Gerente")</f>
        <v>#N/A</v>
      </c>
      <c r="Z13" s="39" t="e">
        <f>VLOOKUP(I13,P.Referencia!E:S,3,0)</f>
        <v>#N/A</v>
      </c>
      <c r="AA13" s="40" t="e">
        <f t="shared" si="5"/>
        <v>#N/A</v>
      </c>
      <c r="AB13" s="41" t="e">
        <f t="shared" si="6"/>
        <v>#N/A</v>
      </c>
      <c r="AC13" s="41" t="e">
        <f t="shared" si="7"/>
        <v>#N/A</v>
      </c>
    </row>
    <row r="14" spans="1:31" s="32" customFormat="1" hidden="1" x14ac:dyDescent="0.25">
      <c r="A14" s="32">
        <v>13</v>
      </c>
      <c r="C14" s="131" t="str">
        <f t="shared" si="0"/>
        <v>LlaveD86167198586100002312</v>
      </c>
      <c r="D14" s="33" t="str">
        <f>VLOOKUP(E14,'NO MODIFICAR'!J:K,2,0)</f>
        <v>D861</v>
      </c>
      <c r="E14" s="31" t="s">
        <v>44</v>
      </c>
      <c r="F14" s="33" t="str">
        <f>VLOOKUP(D14,'NO MODIFICAR'!F:H,3,0)</f>
        <v xml:space="preserve">CENTRO </v>
      </c>
      <c r="G14" s="92">
        <v>67198586</v>
      </c>
      <c r="H14" s="93" t="s">
        <v>158</v>
      </c>
      <c r="I14" s="94">
        <v>10000231</v>
      </c>
      <c r="J14" s="34" t="str">
        <f>VLOOKUP(I14,'Materiales,canteras'!C:D,2,0)</f>
        <v>Grava Triturada Basalto 20 mm</v>
      </c>
      <c r="K14" s="33">
        <f>VLOOKUP(I14,'Materiales,canteras'!C:E,3,0)</f>
        <v>1.5649999999999999</v>
      </c>
      <c r="L14" s="105">
        <v>190</v>
      </c>
      <c r="M14" s="25" t="s">
        <v>93</v>
      </c>
      <c r="N14" s="35">
        <f t="shared" ca="1" si="1"/>
        <v>46267</v>
      </c>
      <c r="O14" s="32" t="s">
        <v>113</v>
      </c>
      <c r="P14" s="36"/>
      <c r="Q14" s="37"/>
      <c r="R14" s="36"/>
      <c r="S14" s="84">
        <v>280</v>
      </c>
      <c r="T14" s="36">
        <f t="shared" si="2"/>
        <v>-90</v>
      </c>
      <c r="U14" s="46">
        <f t="shared" si="3"/>
        <v>190</v>
      </c>
      <c r="V14" s="82">
        <v>0</v>
      </c>
      <c r="W14" s="29">
        <v>2</v>
      </c>
      <c r="X14" s="38">
        <f t="shared" si="4"/>
        <v>190</v>
      </c>
      <c r="Y14" s="32" t="e">
        <f>IF(+VLOOKUP(I14,P.Referencia!E:S,3,FALSE)&lt;=L14,"Champion","Gerente")</f>
        <v>#N/A</v>
      </c>
      <c r="Z14" s="39" t="e">
        <f>VLOOKUP(I14,P.Referencia!E:S,3,0)</f>
        <v>#N/A</v>
      </c>
      <c r="AA14" s="40" t="e">
        <f t="shared" si="5"/>
        <v>#N/A</v>
      </c>
      <c r="AB14" s="41" t="e">
        <f t="shared" si="6"/>
        <v>#N/A</v>
      </c>
      <c r="AC14" s="41" t="e">
        <f t="shared" si="7"/>
        <v>#N/A</v>
      </c>
    </row>
    <row r="15" spans="1:31" s="32" customFormat="1" hidden="1" x14ac:dyDescent="0.25">
      <c r="A15" s="32">
        <v>14</v>
      </c>
      <c r="C15" s="131" t="str">
        <f t="shared" si="0"/>
        <v>LlaveD86167198586100002332</v>
      </c>
      <c r="D15" s="33" t="str">
        <f>VLOOKUP(E15,'NO MODIFICAR'!J:K,2,0)</f>
        <v>D861</v>
      </c>
      <c r="E15" s="31" t="s">
        <v>44</v>
      </c>
      <c r="F15" s="33" t="str">
        <f>VLOOKUP(D15,'NO MODIFICAR'!F:H,3,0)</f>
        <v xml:space="preserve">CENTRO </v>
      </c>
      <c r="G15" s="92">
        <v>67198586</v>
      </c>
      <c r="H15" s="93" t="s">
        <v>158</v>
      </c>
      <c r="I15" s="94">
        <v>10000233</v>
      </c>
      <c r="J15" s="34" t="str">
        <f>VLOOKUP(I15,'Materiales,canteras'!C:D,2,0)</f>
        <v>Grava Triturada Basalto  40 mm</v>
      </c>
      <c r="K15" s="33">
        <f>VLOOKUP(I15,'Materiales,canteras'!C:E,3,0)</f>
        <v>1.456</v>
      </c>
      <c r="L15" s="105">
        <v>190</v>
      </c>
      <c r="M15" s="25" t="s">
        <v>93</v>
      </c>
      <c r="N15" s="35">
        <f t="shared" ca="1" si="1"/>
        <v>46267</v>
      </c>
      <c r="O15" s="32" t="s">
        <v>113</v>
      </c>
      <c r="P15" s="36"/>
      <c r="Q15" s="37"/>
      <c r="R15" s="36"/>
      <c r="S15" s="84">
        <v>282</v>
      </c>
      <c r="T15" s="36">
        <f t="shared" si="2"/>
        <v>-92</v>
      </c>
      <c r="U15" s="46">
        <f t="shared" si="3"/>
        <v>190</v>
      </c>
      <c r="V15" s="82">
        <v>0</v>
      </c>
      <c r="W15" s="29">
        <v>2</v>
      </c>
      <c r="X15" s="38">
        <f t="shared" si="4"/>
        <v>190</v>
      </c>
      <c r="Y15" s="32" t="e">
        <f>IF(+VLOOKUP(I15,P.Referencia!E:S,3,FALSE)&lt;=L15,"Champion","Gerente")</f>
        <v>#N/A</v>
      </c>
      <c r="Z15" s="39" t="e">
        <f>VLOOKUP(I15,P.Referencia!E:S,3,0)</f>
        <v>#N/A</v>
      </c>
      <c r="AA15" s="40" t="e">
        <f t="shared" si="5"/>
        <v>#N/A</v>
      </c>
      <c r="AB15" s="41" t="e">
        <f t="shared" si="6"/>
        <v>#N/A</v>
      </c>
      <c r="AC15" s="41" t="e">
        <f t="shared" si="7"/>
        <v>#N/A</v>
      </c>
    </row>
    <row r="16" spans="1:31" s="32" customFormat="1" hidden="1" x14ac:dyDescent="0.25">
      <c r="A16" s="32">
        <v>15</v>
      </c>
      <c r="C16" s="131" t="str">
        <f t="shared" si="0"/>
        <v>LlaveD86167198586100014502</v>
      </c>
      <c r="D16" s="33" t="str">
        <f>VLOOKUP(E16,'NO MODIFICAR'!J:K,2,0)</f>
        <v>D861</v>
      </c>
      <c r="E16" s="31" t="s">
        <v>44</v>
      </c>
      <c r="F16" s="33" t="str">
        <f>VLOOKUP(D16,'NO MODIFICAR'!F:H,3,0)</f>
        <v xml:space="preserve">CENTRO </v>
      </c>
      <c r="G16" s="92">
        <v>67198586</v>
      </c>
      <c r="H16" s="93" t="s">
        <v>158</v>
      </c>
      <c r="I16" s="94">
        <v>10001450</v>
      </c>
      <c r="J16" s="34" t="str">
        <f>VLOOKUP(I16,'Materiales,canteras'!C:D,2,0)</f>
        <v>Base Hidraúlica Basalto de 1 /1/2</v>
      </c>
      <c r="K16" s="33">
        <f>VLOOKUP(I16,'Materiales,canteras'!C:E,3,0)</f>
        <v>1.7490000000000001</v>
      </c>
      <c r="L16" s="105">
        <v>185</v>
      </c>
      <c r="M16" s="25" t="s">
        <v>93</v>
      </c>
      <c r="N16" s="35">
        <f t="shared" ca="1" si="1"/>
        <v>46267</v>
      </c>
      <c r="O16" s="32" t="s">
        <v>113</v>
      </c>
      <c r="P16" s="36"/>
      <c r="Q16" s="37"/>
      <c r="R16" s="36"/>
      <c r="S16" s="84">
        <v>260</v>
      </c>
      <c r="T16" s="36">
        <f t="shared" si="2"/>
        <v>-75</v>
      </c>
      <c r="U16" s="46">
        <f t="shared" si="3"/>
        <v>185</v>
      </c>
      <c r="V16" s="82">
        <v>0</v>
      </c>
      <c r="W16" s="29">
        <v>2</v>
      </c>
      <c r="X16" s="38">
        <f t="shared" si="4"/>
        <v>185</v>
      </c>
      <c r="Y16" s="32" t="e">
        <f>IF(+VLOOKUP(I16,P.Referencia!E:S,3,FALSE)&lt;=L16,"Champion","Gerente")</f>
        <v>#N/A</v>
      </c>
      <c r="Z16" s="39" t="e">
        <f>VLOOKUP(I16,P.Referencia!E:S,3,0)</f>
        <v>#N/A</v>
      </c>
      <c r="AA16" s="40" t="e">
        <f t="shared" si="5"/>
        <v>#N/A</v>
      </c>
      <c r="AB16" s="41" t="e">
        <f t="shared" si="6"/>
        <v>#N/A</v>
      </c>
      <c r="AC16" s="41" t="e">
        <f t="shared" si="7"/>
        <v>#N/A</v>
      </c>
    </row>
    <row r="17" spans="1:30" s="32" customFormat="1" hidden="1" x14ac:dyDescent="0.25">
      <c r="A17" s="32">
        <v>16</v>
      </c>
      <c r="C17" s="131" t="str">
        <f t="shared" si="0"/>
        <v>LlaveDU0767133267100001032</v>
      </c>
      <c r="D17" s="33" t="str">
        <f>VLOOKUP(E17,'NO MODIFICAR'!J:K,2,0)</f>
        <v>DU07</v>
      </c>
      <c r="E17" s="31" t="s">
        <v>87</v>
      </c>
      <c r="F17" s="33" t="str">
        <f>VLOOKUP(D17,'NO MODIFICAR'!F:H,3,0)</f>
        <v>SURESTE</v>
      </c>
      <c r="G17" s="92">
        <v>67133267</v>
      </c>
      <c r="H17" s="93" t="s">
        <v>159</v>
      </c>
      <c r="I17" s="94">
        <v>10000103</v>
      </c>
      <c r="J17" s="34" t="str">
        <f>VLOOKUP(I17,'Materiales,canteras'!C:D,2,0)</f>
        <v>Base H Triturada Caliza 1 1/2" a Finos</v>
      </c>
      <c r="K17" s="33">
        <f>VLOOKUP(I17,'Materiales,canteras'!C:E,3,0)</f>
        <v>1.462</v>
      </c>
      <c r="L17" s="105">
        <v>119.699</v>
      </c>
      <c r="M17" s="25" t="s">
        <v>93</v>
      </c>
      <c r="N17" s="35">
        <f t="shared" ca="1" si="1"/>
        <v>46267</v>
      </c>
      <c r="O17" s="32" t="s">
        <v>113</v>
      </c>
      <c r="P17" s="36"/>
      <c r="Q17" s="37"/>
      <c r="R17" s="36"/>
      <c r="S17" s="84">
        <v>150</v>
      </c>
      <c r="T17" s="36">
        <f t="shared" si="2"/>
        <v>-30.301000000000002</v>
      </c>
      <c r="U17" s="46">
        <f t="shared" si="3"/>
        <v>119.699</v>
      </c>
      <c r="V17" s="82">
        <v>0</v>
      </c>
      <c r="W17" s="29">
        <v>2</v>
      </c>
      <c r="X17" s="38">
        <f t="shared" si="4"/>
        <v>119.699</v>
      </c>
      <c r="Y17" s="32" t="e">
        <f>IF(+VLOOKUP(I17,P.Referencia!E:S,3,FALSE)&lt;=L17,"Champion","Gerente")</f>
        <v>#N/A</v>
      </c>
      <c r="Z17" s="39" t="e">
        <f>VLOOKUP(I17,P.Referencia!E:S,3,0)</f>
        <v>#N/A</v>
      </c>
      <c r="AA17" s="40" t="e">
        <f t="shared" si="5"/>
        <v>#N/A</v>
      </c>
      <c r="AB17" s="41" t="e">
        <f t="shared" si="6"/>
        <v>#N/A</v>
      </c>
      <c r="AC17" s="41" t="e">
        <f t="shared" si="7"/>
        <v>#N/A</v>
      </c>
    </row>
    <row r="18" spans="1:30" s="32" customFormat="1" hidden="1" x14ac:dyDescent="0.25">
      <c r="A18" s="32">
        <v>17</v>
      </c>
      <c r="C18" s="131" t="str">
        <f t="shared" si="0"/>
        <v>LlaveD81366472003100002552</v>
      </c>
      <c r="D18" s="33" t="str">
        <f>VLOOKUP(E18,'NO MODIFICAR'!J:K,2,0)</f>
        <v>D813</v>
      </c>
      <c r="E18" s="31" t="s">
        <v>6</v>
      </c>
      <c r="F18" s="33" t="str">
        <f>VLOOKUP(D18,'NO MODIFICAR'!F:H,3,0)</f>
        <v xml:space="preserve">CENTRO </v>
      </c>
      <c r="G18" s="92">
        <v>66472003</v>
      </c>
      <c r="H18" s="93" t="s">
        <v>162</v>
      </c>
      <c r="I18" s="94">
        <v>10000255</v>
      </c>
      <c r="J18" s="34" t="str">
        <f>VLOOKUP(I18,'Materiales,canteras'!C:D,2,0)</f>
        <v>Arena Triturada Andesita Malla</v>
      </c>
      <c r="K18" s="33">
        <f>VLOOKUP(I18,'Materiales,canteras'!C:E,3,0)</f>
        <v>1.5349999999999999</v>
      </c>
      <c r="L18" s="105">
        <v>100</v>
      </c>
      <c r="M18" s="86" t="s">
        <v>93</v>
      </c>
      <c r="N18" s="35">
        <f t="shared" ca="1" si="1"/>
        <v>46267</v>
      </c>
      <c r="O18" s="32" t="s">
        <v>113</v>
      </c>
      <c r="S18" s="84"/>
      <c r="T18" s="36">
        <f t="shared" si="2"/>
        <v>100</v>
      </c>
      <c r="U18" s="46">
        <f t="shared" si="3"/>
        <v>100</v>
      </c>
      <c r="V18" s="30">
        <v>0</v>
      </c>
      <c r="W18" s="29">
        <v>2</v>
      </c>
      <c r="X18" s="38">
        <f t="shared" si="4"/>
        <v>100</v>
      </c>
      <c r="Y18" s="32" t="e">
        <f>IF(+VLOOKUP(I18,P.Referencia!E:S,3,FALSE)&lt;=L18,"Champion","Gerente")</f>
        <v>#N/A</v>
      </c>
      <c r="Z18" s="39" t="e">
        <f>VLOOKUP(I18,P.Referencia!E:S,3,0)</f>
        <v>#N/A</v>
      </c>
      <c r="AA18" s="40" t="e">
        <f t="shared" si="5"/>
        <v>#N/A</v>
      </c>
      <c r="AB18" s="41" t="e">
        <f t="shared" si="6"/>
        <v>#N/A</v>
      </c>
      <c r="AC18" s="41" t="e">
        <f t="shared" si="7"/>
        <v>#N/A</v>
      </c>
      <c r="AD18" s="32" t="s">
        <v>164</v>
      </c>
    </row>
    <row r="19" spans="1:30" s="32" customFormat="1" hidden="1" x14ac:dyDescent="0.25">
      <c r="A19" s="32">
        <v>18</v>
      </c>
      <c r="C19" s="131" t="str">
        <f t="shared" si="0"/>
        <v>LlaveD81366472003100002532</v>
      </c>
      <c r="D19" s="33" t="str">
        <f>VLOOKUP(E19,'NO MODIFICAR'!J:K,2,0)</f>
        <v>D813</v>
      </c>
      <c r="E19" s="31" t="s">
        <v>6</v>
      </c>
      <c r="F19" s="33" t="str">
        <f>VLOOKUP(D19,'NO MODIFICAR'!F:H,3,0)</f>
        <v xml:space="preserve">CENTRO </v>
      </c>
      <c r="G19" s="92">
        <v>66472003</v>
      </c>
      <c r="H19" s="93" t="s">
        <v>162</v>
      </c>
      <c r="I19" s="94">
        <v>10000253</v>
      </c>
      <c r="J19" s="34" t="str">
        <f>VLOOKUP(I19,'Materiales,canteras'!C:D,2,0)</f>
        <v>Grava Triturada Andesita 20 mm</v>
      </c>
      <c r="K19" s="33">
        <f>VLOOKUP(I19,'Materiales,canteras'!C:E,3,0)</f>
        <v>1.385</v>
      </c>
      <c r="L19" s="105">
        <v>100</v>
      </c>
      <c r="M19" s="86" t="s">
        <v>93</v>
      </c>
      <c r="N19" s="35">
        <f t="shared" ca="1" si="1"/>
        <v>46267</v>
      </c>
      <c r="O19" s="32" t="s">
        <v>113</v>
      </c>
      <c r="S19" s="84"/>
      <c r="T19" s="36">
        <f t="shared" si="2"/>
        <v>100</v>
      </c>
      <c r="U19" s="46">
        <f t="shared" si="3"/>
        <v>100</v>
      </c>
      <c r="V19" s="30">
        <v>0</v>
      </c>
      <c r="W19" s="29">
        <v>2</v>
      </c>
      <c r="X19" s="38">
        <f t="shared" si="4"/>
        <v>100</v>
      </c>
      <c r="Y19" s="32" t="e">
        <f>IF(+VLOOKUP(I19,P.Referencia!E:S,3,FALSE)&lt;=L19,"Champion","Gerente")</f>
        <v>#N/A</v>
      </c>
      <c r="Z19" s="39" t="e">
        <f>VLOOKUP(I19,P.Referencia!E:S,3,0)</f>
        <v>#N/A</v>
      </c>
      <c r="AA19" s="40" t="e">
        <f t="shared" si="5"/>
        <v>#N/A</v>
      </c>
      <c r="AB19" s="41" t="e">
        <f t="shared" si="6"/>
        <v>#N/A</v>
      </c>
      <c r="AC19" s="41" t="e">
        <f t="shared" si="7"/>
        <v>#N/A</v>
      </c>
      <c r="AD19" s="32" t="s">
        <v>164</v>
      </c>
    </row>
    <row r="20" spans="1:30" s="32" customFormat="1" hidden="1" x14ac:dyDescent="0.25">
      <c r="A20" s="32">
        <v>19</v>
      </c>
      <c r="C20" s="131" t="str">
        <f t="shared" si="0"/>
        <v>LlaveD81366440645100002552</v>
      </c>
      <c r="D20" s="33" t="str">
        <f>VLOOKUP(E20,'NO MODIFICAR'!J:K,2,0)</f>
        <v>D813</v>
      </c>
      <c r="E20" s="31" t="s">
        <v>6</v>
      </c>
      <c r="F20" s="33" t="str">
        <f>VLOOKUP(D20,'NO MODIFICAR'!F:H,3,0)</f>
        <v xml:space="preserve">CENTRO </v>
      </c>
      <c r="G20" s="92">
        <v>66440645</v>
      </c>
      <c r="H20" s="93" t="s">
        <v>163</v>
      </c>
      <c r="I20" s="94">
        <v>10000255</v>
      </c>
      <c r="J20" s="34" t="str">
        <f>VLOOKUP(I20,'Materiales,canteras'!C:D,2,0)</f>
        <v>Arena Triturada Andesita Malla</v>
      </c>
      <c r="K20" s="33">
        <f>VLOOKUP(I20,'Materiales,canteras'!C:E,3,0)</f>
        <v>1.5349999999999999</v>
      </c>
      <c r="L20" s="105">
        <v>100</v>
      </c>
      <c r="M20" s="86" t="s">
        <v>93</v>
      </c>
      <c r="N20" s="35">
        <f t="shared" ca="1" si="1"/>
        <v>46267</v>
      </c>
      <c r="O20" s="32" t="s">
        <v>113</v>
      </c>
      <c r="S20" s="84"/>
      <c r="T20" s="36">
        <f t="shared" si="2"/>
        <v>100</v>
      </c>
      <c r="U20" s="46">
        <f t="shared" si="3"/>
        <v>100</v>
      </c>
      <c r="V20" s="30">
        <v>0</v>
      </c>
      <c r="W20" s="29">
        <v>2</v>
      </c>
      <c r="X20" s="38">
        <f t="shared" si="4"/>
        <v>100</v>
      </c>
      <c r="Y20" s="32" t="e">
        <f>IF(+VLOOKUP(I20,P.Referencia!E:S,3,FALSE)&lt;=L20,"Champion","Gerente")</f>
        <v>#N/A</v>
      </c>
      <c r="Z20" s="39" t="e">
        <f>VLOOKUP(I20,P.Referencia!E:S,3,0)</f>
        <v>#N/A</v>
      </c>
      <c r="AA20" s="40" t="e">
        <f t="shared" si="5"/>
        <v>#N/A</v>
      </c>
      <c r="AB20" s="41" t="e">
        <f t="shared" si="6"/>
        <v>#N/A</v>
      </c>
      <c r="AC20" s="41" t="e">
        <f t="shared" si="7"/>
        <v>#N/A</v>
      </c>
      <c r="AD20" s="32" t="s">
        <v>164</v>
      </c>
    </row>
    <row r="21" spans="1:30" s="32" customFormat="1" hidden="1" x14ac:dyDescent="0.25">
      <c r="A21" s="32">
        <v>20</v>
      </c>
      <c r="C21" s="131" t="str">
        <f t="shared" si="0"/>
        <v>LlaveD81366440645100002532</v>
      </c>
      <c r="D21" s="33" t="str">
        <f>VLOOKUP(E21,'NO MODIFICAR'!J:K,2,0)</f>
        <v>D813</v>
      </c>
      <c r="E21" s="31" t="s">
        <v>6</v>
      </c>
      <c r="F21" s="33" t="str">
        <f>VLOOKUP(D21,'NO MODIFICAR'!F:H,3,0)</f>
        <v xml:space="preserve">CENTRO </v>
      </c>
      <c r="G21" s="92">
        <v>66440645</v>
      </c>
      <c r="H21" s="93" t="s">
        <v>163</v>
      </c>
      <c r="I21" s="94">
        <v>10000253</v>
      </c>
      <c r="J21" s="34" t="str">
        <f>VLOOKUP(I21,'Materiales,canteras'!C:D,2,0)</f>
        <v>Grava Triturada Andesita 20 mm</v>
      </c>
      <c r="K21" s="33">
        <f>VLOOKUP(I21,'Materiales,canteras'!C:E,3,0)</f>
        <v>1.385</v>
      </c>
      <c r="L21" s="105">
        <v>100</v>
      </c>
      <c r="M21" s="86" t="s">
        <v>93</v>
      </c>
      <c r="N21" s="35">
        <f t="shared" ca="1" si="1"/>
        <v>46267</v>
      </c>
      <c r="O21" s="32" t="s">
        <v>113</v>
      </c>
      <c r="S21" s="84"/>
      <c r="T21" s="36">
        <f t="shared" si="2"/>
        <v>100</v>
      </c>
      <c r="U21" s="46">
        <f t="shared" si="3"/>
        <v>100</v>
      </c>
      <c r="V21" s="30">
        <v>0</v>
      </c>
      <c r="W21" s="29">
        <v>2</v>
      </c>
      <c r="X21" s="38">
        <f t="shared" si="4"/>
        <v>100</v>
      </c>
      <c r="Y21" s="32" t="e">
        <f>IF(+VLOOKUP(I21,P.Referencia!E:S,3,FALSE)&lt;=L21,"Champion","Gerente")</f>
        <v>#N/A</v>
      </c>
      <c r="Z21" s="39" t="e">
        <f>VLOOKUP(I21,P.Referencia!E:S,3,0)</f>
        <v>#N/A</v>
      </c>
      <c r="AA21" s="40" t="e">
        <f t="shared" si="5"/>
        <v>#N/A</v>
      </c>
      <c r="AB21" s="41" t="e">
        <f t="shared" si="6"/>
        <v>#N/A</v>
      </c>
      <c r="AC21" s="41" t="e">
        <f t="shared" si="7"/>
        <v>#N/A</v>
      </c>
      <c r="AD21" s="32" t="s">
        <v>164</v>
      </c>
    </row>
    <row r="22" spans="1:30" s="32" customFormat="1" hidden="1" x14ac:dyDescent="0.25">
      <c r="A22" s="32">
        <v>21</v>
      </c>
      <c r="C22" s="131" t="str">
        <f t="shared" si="0"/>
        <v>LlaveD86466472003100010732</v>
      </c>
      <c r="D22" s="33" t="str">
        <f>VLOOKUP(E22,'NO MODIFICAR'!J:K,2,0)</f>
        <v>D864</v>
      </c>
      <c r="E22" s="31" t="s">
        <v>55</v>
      </c>
      <c r="F22" s="33" t="str">
        <f>VLOOKUP(D22,'NO MODIFICAR'!F:H,3,0)</f>
        <v xml:space="preserve">CENTRO </v>
      </c>
      <c r="G22" s="92">
        <v>66472003</v>
      </c>
      <c r="H22" s="93" t="s">
        <v>162</v>
      </c>
      <c r="I22" s="94">
        <v>10001073</v>
      </c>
      <c r="J22" s="34" t="str">
        <f>VLOOKUP(I22,'Materiales,canteras'!C:D,2,0)</f>
        <v>Arena Triturada Caliza Malla 4</v>
      </c>
      <c r="K22" s="33">
        <f>VLOOKUP(I22,'Materiales,canteras'!C:E,3,0)</f>
        <v>1.56</v>
      </c>
      <c r="L22" s="105">
        <v>95</v>
      </c>
      <c r="M22" s="86" t="s">
        <v>93</v>
      </c>
      <c r="N22" s="35">
        <f t="shared" ca="1" si="1"/>
        <v>46267</v>
      </c>
      <c r="O22" s="32" t="s">
        <v>113</v>
      </c>
      <c r="S22" s="84"/>
      <c r="T22" s="36">
        <f t="shared" si="2"/>
        <v>95</v>
      </c>
      <c r="U22" s="46">
        <f t="shared" si="3"/>
        <v>95</v>
      </c>
      <c r="V22" s="30">
        <v>0</v>
      </c>
      <c r="W22" s="29">
        <v>2</v>
      </c>
      <c r="X22" s="38">
        <f t="shared" si="4"/>
        <v>95</v>
      </c>
      <c r="Y22" s="32" t="e">
        <f>IF(+VLOOKUP(I22,P.Referencia!E:S,3,FALSE)&lt;=L22,"Champion","Gerente")</f>
        <v>#N/A</v>
      </c>
      <c r="Z22" s="39" t="e">
        <f>VLOOKUP(I22,P.Referencia!E:S,3,0)</f>
        <v>#N/A</v>
      </c>
      <c r="AA22" s="40" t="e">
        <f t="shared" si="5"/>
        <v>#N/A</v>
      </c>
      <c r="AB22" s="41" t="e">
        <f t="shared" si="6"/>
        <v>#N/A</v>
      </c>
      <c r="AC22" s="41" t="e">
        <f t="shared" si="7"/>
        <v>#N/A</v>
      </c>
      <c r="AD22" s="32" t="s">
        <v>164</v>
      </c>
    </row>
    <row r="23" spans="1:30" s="32" customFormat="1" hidden="1" x14ac:dyDescent="0.25">
      <c r="A23" s="32">
        <v>22</v>
      </c>
      <c r="C23" s="131" t="str">
        <f t="shared" si="0"/>
        <v>LlaveD86466472003100002402</v>
      </c>
      <c r="D23" s="33" t="str">
        <f>VLOOKUP(E23,'NO MODIFICAR'!J:K,2,0)</f>
        <v>D864</v>
      </c>
      <c r="E23" s="31" t="s">
        <v>55</v>
      </c>
      <c r="F23" s="33" t="str">
        <f>VLOOKUP(D23,'NO MODIFICAR'!F:H,3,0)</f>
        <v xml:space="preserve">CENTRO </v>
      </c>
      <c r="G23" s="92">
        <v>66472003</v>
      </c>
      <c r="H23" s="93" t="s">
        <v>162</v>
      </c>
      <c r="I23" s="94">
        <v>10000240</v>
      </c>
      <c r="J23" s="34" t="str">
        <f>VLOOKUP(I23,'Materiales,canteras'!C:D,2,0)</f>
        <v>Grava Triturada Caliza 20 mm -</v>
      </c>
      <c r="K23" s="33">
        <f>VLOOKUP(I23,'Materiales,canteras'!C:E,3,0)</f>
        <v>1.462</v>
      </c>
      <c r="L23" s="105">
        <v>151</v>
      </c>
      <c r="M23" s="86" t="s">
        <v>93</v>
      </c>
      <c r="N23" s="35">
        <f t="shared" ca="1" si="1"/>
        <v>46267</v>
      </c>
      <c r="O23" s="32" t="s">
        <v>113</v>
      </c>
      <c r="S23" s="84"/>
      <c r="T23" s="36">
        <f t="shared" si="2"/>
        <v>151</v>
      </c>
      <c r="U23" s="46">
        <f t="shared" si="3"/>
        <v>151</v>
      </c>
      <c r="V23" s="30">
        <v>0</v>
      </c>
      <c r="W23" s="29">
        <v>2</v>
      </c>
      <c r="X23" s="38">
        <f t="shared" si="4"/>
        <v>151</v>
      </c>
      <c r="Y23" s="32" t="e">
        <f>IF(+VLOOKUP(I23,P.Referencia!E:S,3,FALSE)&lt;=L23,"Champion","Gerente")</f>
        <v>#N/A</v>
      </c>
      <c r="Z23" s="39" t="e">
        <f>VLOOKUP(I23,P.Referencia!E:S,3,0)</f>
        <v>#N/A</v>
      </c>
      <c r="AA23" s="40" t="e">
        <f t="shared" si="5"/>
        <v>#N/A</v>
      </c>
      <c r="AB23" s="41" t="e">
        <f t="shared" si="6"/>
        <v>#N/A</v>
      </c>
      <c r="AC23" s="41" t="e">
        <f t="shared" si="7"/>
        <v>#N/A</v>
      </c>
      <c r="AD23" s="32" t="s">
        <v>164</v>
      </c>
    </row>
    <row r="24" spans="1:30" s="32" customFormat="1" hidden="1" x14ac:dyDescent="0.25">
      <c r="A24" s="32">
        <v>23</v>
      </c>
      <c r="C24" s="131" t="str">
        <f t="shared" si="0"/>
        <v>LlaveD86466440645100010732</v>
      </c>
      <c r="D24" s="33" t="str">
        <f>VLOOKUP(E24,'NO MODIFICAR'!J:K,2,0)</f>
        <v>D864</v>
      </c>
      <c r="E24" s="31" t="s">
        <v>55</v>
      </c>
      <c r="F24" s="33" t="str">
        <f>VLOOKUP(D24,'NO MODIFICAR'!F:H,3,0)</f>
        <v xml:space="preserve">CENTRO </v>
      </c>
      <c r="G24" s="92">
        <v>66440645</v>
      </c>
      <c r="H24" s="93" t="s">
        <v>163</v>
      </c>
      <c r="I24" s="94">
        <v>10001073</v>
      </c>
      <c r="J24" s="34" t="str">
        <f>VLOOKUP(I24,'Materiales,canteras'!C:D,2,0)</f>
        <v>Arena Triturada Caliza Malla 4</v>
      </c>
      <c r="K24" s="33">
        <f>VLOOKUP(I24,'Materiales,canteras'!C:E,3,0)</f>
        <v>1.56</v>
      </c>
      <c r="L24" s="105">
        <v>95</v>
      </c>
      <c r="M24" s="86" t="s">
        <v>93</v>
      </c>
      <c r="N24" s="35">
        <f t="shared" ca="1" si="1"/>
        <v>46267</v>
      </c>
      <c r="O24" s="32" t="s">
        <v>113</v>
      </c>
      <c r="S24" s="84"/>
      <c r="T24" s="36">
        <f t="shared" si="2"/>
        <v>95</v>
      </c>
      <c r="U24" s="46">
        <f t="shared" si="3"/>
        <v>95</v>
      </c>
      <c r="V24" s="30">
        <v>0</v>
      </c>
      <c r="W24" s="29">
        <v>2</v>
      </c>
      <c r="X24" s="38">
        <f t="shared" si="4"/>
        <v>95</v>
      </c>
      <c r="Y24" s="32" t="e">
        <f>IF(+VLOOKUP(I24,P.Referencia!E:S,3,FALSE)&lt;=L24,"Champion","Gerente")</f>
        <v>#N/A</v>
      </c>
      <c r="Z24" s="39" t="e">
        <f>VLOOKUP(I24,P.Referencia!E:S,3,0)</f>
        <v>#N/A</v>
      </c>
      <c r="AA24" s="40" t="e">
        <f t="shared" si="5"/>
        <v>#N/A</v>
      </c>
      <c r="AB24" s="41" t="e">
        <f t="shared" si="6"/>
        <v>#N/A</v>
      </c>
      <c r="AC24" s="41" t="e">
        <f t="shared" si="7"/>
        <v>#N/A</v>
      </c>
      <c r="AD24" s="32" t="s">
        <v>164</v>
      </c>
    </row>
    <row r="25" spans="1:30" s="32" customFormat="1" hidden="1" x14ac:dyDescent="0.25">
      <c r="A25" s="32">
        <v>24</v>
      </c>
      <c r="C25" s="131" t="str">
        <f t="shared" si="0"/>
        <v>LlaveD86466440645100002402</v>
      </c>
      <c r="D25" s="33" t="str">
        <f>VLOOKUP(E25,'NO MODIFICAR'!J:K,2,0)</f>
        <v>D864</v>
      </c>
      <c r="E25" s="31" t="s">
        <v>55</v>
      </c>
      <c r="F25" s="33" t="str">
        <f>VLOOKUP(D25,'NO MODIFICAR'!F:H,3,0)</f>
        <v xml:space="preserve">CENTRO </v>
      </c>
      <c r="G25" s="92">
        <v>66440645</v>
      </c>
      <c r="H25" s="93" t="s">
        <v>163</v>
      </c>
      <c r="I25" s="94">
        <v>10000240</v>
      </c>
      <c r="J25" s="34" t="str">
        <f>VLOOKUP(I25,'Materiales,canteras'!C:D,2,0)</f>
        <v>Grava Triturada Caliza 20 mm -</v>
      </c>
      <c r="K25" s="33">
        <f>VLOOKUP(I25,'Materiales,canteras'!C:E,3,0)</f>
        <v>1.462</v>
      </c>
      <c r="L25" s="105">
        <v>151</v>
      </c>
      <c r="M25" s="86" t="s">
        <v>93</v>
      </c>
      <c r="N25" s="35">
        <f t="shared" ca="1" si="1"/>
        <v>46267</v>
      </c>
      <c r="O25" s="32" t="s">
        <v>113</v>
      </c>
      <c r="S25" s="84"/>
      <c r="T25" s="36">
        <f t="shared" si="2"/>
        <v>151</v>
      </c>
      <c r="U25" s="46">
        <f t="shared" si="3"/>
        <v>151</v>
      </c>
      <c r="V25" s="30">
        <v>0</v>
      </c>
      <c r="W25" s="29">
        <v>2</v>
      </c>
      <c r="X25" s="38">
        <f t="shared" si="4"/>
        <v>151</v>
      </c>
      <c r="Y25" s="32" t="e">
        <f>IF(+VLOOKUP(I25,P.Referencia!E:S,3,FALSE)&lt;=L25,"Champion","Gerente")</f>
        <v>#N/A</v>
      </c>
      <c r="Z25" s="39" t="e">
        <f>VLOOKUP(I25,P.Referencia!E:S,3,0)</f>
        <v>#N/A</v>
      </c>
      <c r="AA25" s="40" t="e">
        <f t="shared" si="5"/>
        <v>#N/A</v>
      </c>
      <c r="AB25" s="41" t="e">
        <f t="shared" si="6"/>
        <v>#N/A</v>
      </c>
      <c r="AC25" s="41" t="e">
        <f t="shared" si="7"/>
        <v>#N/A</v>
      </c>
      <c r="AD25" s="32" t="s">
        <v>164</v>
      </c>
    </row>
    <row r="26" spans="1:30" s="43" customFormat="1" hidden="1" x14ac:dyDescent="0.25">
      <c r="A26" s="43">
        <v>25</v>
      </c>
      <c r="C26" s="131" t="str">
        <f t="shared" si="0"/>
        <v>LlaveD86466857228100002402</v>
      </c>
      <c r="D26" s="44" t="str">
        <f>VLOOKUP(E26,'NO MODIFICAR'!J:K,2,0)</f>
        <v>D864</v>
      </c>
      <c r="E26" s="101" t="s">
        <v>55</v>
      </c>
      <c r="F26" s="44" t="str">
        <f>VLOOKUP(D26,'NO MODIFICAR'!F:H,3,0)</f>
        <v xml:space="preserve">CENTRO </v>
      </c>
      <c r="G26" s="92">
        <v>66857228</v>
      </c>
      <c r="H26" s="93" t="s">
        <v>165</v>
      </c>
      <c r="I26" s="95">
        <v>10000240</v>
      </c>
      <c r="J26" s="45" t="str">
        <f>VLOOKUP(I26,'Materiales,canteras'!C:D,2,0)</f>
        <v>Grava Triturada Caliza 20 mm -</v>
      </c>
      <c r="K26" s="44">
        <f>VLOOKUP(I26,'Materiales,canteras'!C:E,3,0)</f>
        <v>1.462</v>
      </c>
      <c r="L26" s="105">
        <v>135</v>
      </c>
      <c r="M26" s="86" t="s">
        <v>93</v>
      </c>
      <c r="N26" s="47">
        <f t="shared" ca="1" si="1"/>
        <v>46267</v>
      </c>
      <c r="O26" s="43" t="s">
        <v>113</v>
      </c>
      <c r="P26" s="48"/>
      <c r="Q26" s="49"/>
      <c r="R26" s="48"/>
      <c r="S26" s="84">
        <v>280</v>
      </c>
      <c r="T26" s="48">
        <f t="shared" si="2"/>
        <v>-145</v>
      </c>
      <c r="U26" s="46">
        <f t="shared" si="3"/>
        <v>135</v>
      </c>
      <c r="V26" s="84">
        <v>0</v>
      </c>
      <c r="W26" s="24">
        <v>2</v>
      </c>
      <c r="X26" s="51">
        <f t="shared" si="4"/>
        <v>135</v>
      </c>
      <c r="Y26" s="43" t="e">
        <f>IF(+VLOOKUP(I26,P.Referencia!E:S,3,FALSE)&lt;=L26,"Champion","Gerente")</f>
        <v>#N/A</v>
      </c>
      <c r="Z26" s="50" t="e">
        <f>VLOOKUP(I26,P.Referencia!E:S,3,0)</f>
        <v>#N/A</v>
      </c>
      <c r="AA26" s="52" t="e">
        <f t="shared" si="5"/>
        <v>#N/A</v>
      </c>
      <c r="AB26" s="53" t="e">
        <f t="shared" si="6"/>
        <v>#N/A</v>
      </c>
      <c r="AC26" s="53" t="e">
        <f t="shared" si="7"/>
        <v>#N/A</v>
      </c>
      <c r="AD26" s="43" t="s">
        <v>168</v>
      </c>
    </row>
    <row r="27" spans="1:30" s="43" customFormat="1" hidden="1" x14ac:dyDescent="0.25">
      <c r="A27" s="43">
        <v>26</v>
      </c>
      <c r="C27" s="131" t="str">
        <f t="shared" si="0"/>
        <v>LlaveD86165612044100024991</v>
      </c>
      <c r="D27" s="44" t="str">
        <f>VLOOKUP(E27,'NO MODIFICAR'!J:K,2,0)</f>
        <v>D861</v>
      </c>
      <c r="E27" s="101" t="s">
        <v>44</v>
      </c>
      <c r="F27" s="44" t="str">
        <f>VLOOKUP(D27,'NO MODIFICAR'!F:H,3,0)</f>
        <v xml:space="preserve">CENTRO </v>
      </c>
      <c r="G27" s="92">
        <v>65612044</v>
      </c>
      <c r="H27" s="93" t="s">
        <v>166</v>
      </c>
      <c r="I27" s="95">
        <v>10002499</v>
      </c>
      <c r="J27" s="45" t="str">
        <f>VLOOKUP(I27,'Materiales,canteras'!C:D,2,0)</f>
        <v>Arena Triturada Basalto Malla 4  -Mezcla</v>
      </c>
      <c r="K27" s="44">
        <f>VLOOKUP(I27,'Materiales,canteras'!C:E,3,0)</f>
        <v>1.6659999999999999</v>
      </c>
      <c r="L27" s="105">
        <v>168.62</v>
      </c>
      <c r="M27" s="86" t="s">
        <v>93</v>
      </c>
      <c r="N27" s="47">
        <f t="shared" ca="1" si="1"/>
        <v>46267</v>
      </c>
      <c r="O27" s="43" t="s">
        <v>113</v>
      </c>
      <c r="P27" s="48"/>
      <c r="Q27" s="49"/>
      <c r="R27" s="48"/>
      <c r="S27" s="84">
        <v>180</v>
      </c>
      <c r="T27" s="48">
        <f t="shared" si="2"/>
        <v>-11.379999999999995</v>
      </c>
      <c r="U27" s="46">
        <v>168.62</v>
      </c>
      <c r="V27" s="84">
        <v>51.16</v>
      </c>
      <c r="W27" s="24">
        <v>1</v>
      </c>
      <c r="X27" s="51">
        <f t="shared" si="4"/>
        <v>219.78</v>
      </c>
      <c r="Y27" s="43" t="e">
        <f>IF(+VLOOKUP(I27,P.Referencia!E:S,3,FALSE)&lt;=L27,"Champion","Gerente")</f>
        <v>#N/A</v>
      </c>
      <c r="Z27" s="50" t="e">
        <f>VLOOKUP(I27,P.Referencia!E:S,3,0)</f>
        <v>#N/A</v>
      </c>
      <c r="AA27" s="52" t="e">
        <f t="shared" si="5"/>
        <v>#N/A</v>
      </c>
      <c r="AB27" s="53" t="e">
        <f t="shared" si="6"/>
        <v>#N/A</v>
      </c>
      <c r="AC27" s="53" t="e">
        <f t="shared" si="7"/>
        <v>#N/A</v>
      </c>
      <c r="AD27" s="43" t="s">
        <v>169</v>
      </c>
    </row>
    <row r="28" spans="1:30" s="32" customFormat="1" hidden="1" x14ac:dyDescent="0.25">
      <c r="A28" s="32">
        <v>27</v>
      </c>
      <c r="C28" s="131" t="str">
        <f t="shared" si="0"/>
        <v>LlaveD81367019979100023501</v>
      </c>
      <c r="D28" s="33" t="str">
        <f>VLOOKUP(E28,'NO MODIFICAR'!J:K,2,0)</f>
        <v>D813</v>
      </c>
      <c r="E28" s="31" t="s">
        <v>6</v>
      </c>
      <c r="F28" s="33" t="str">
        <f>VLOOKUP(D28,'NO MODIFICAR'!F:H,3,0)</f>
        <v xml:space="preserve">CENTRO </v>
      </c>
      <c r="G28" s="92">
        <v>67019979</v>
      </c>
      <c r="H28" s="93" t="s">
        <v>170</v>
      </c>
      <c r="I28" s="94">
        <v>10002350</v>
      </c>
      <c r="J28" s="34" t="str">
        <f>VLOOKUP(I28,'Materiales,canteras'!C:D,2,0)</f>
        <v>Grava Triturada Andesita 10mm-</v>
      </c>
      <c r="K28" s="33">
        <f>VLOOKUP(I28,'Materiales,canteras'!C:E,3,0)</f>
        <v>1.246</v>
      </c>
      <c r="L28" s="105">
        <v>120.49</v>
      </c>
      <c r="M28" s="25" t="s">
        <v>93</v>
      </c>
      <c r="N28" s="35">
        <f t="shared" ca="1" si="1"/>
        <v>46267</v>
      </c>
      <c r="O28" s="32" t="s">
        <v>113</v>
      </c>
      <c r="P28" s="36"/>
      <c r="Q28" s="37"/>
      <c r="R28" s="36"/>
      <c r="S28" s="84">
        <v>150</v>
      </c>
      <c r="T28" s="36">
        <f t="shared" si="2"/>
        <v>-29.510000000000005</v>
      </c>
      <c r="U28" s="46">
        <v>120.49</v>
      </c>
      <c r="V28" s="82">
        <v>251.46</v>
      </c>
      <c r="W28" s="29">
        <v>1</v>
      </c>
      <c r="X28" s="38">
        <f t="shared" si="4"/>
        <v>371.95</v>
      </c>
      <c r="Y28" s="32" t="e">
        <f>IF(+VLOOKUP(I28,P.Referencia!E:S,3,FALSE)&lt;=L28,"Champion","Gerente")</f>
        <v>#N/A</v>
      </c>
      <c r="Z28" s="39" t="e">
        <f>VLOOKUP(I28,P.Referencia!E:S,3,0)</f>
        <v>#N/A</v>
      </c>
      <c r="AA28" s="40" t="e">
        <f t="shared" si="5"/>
        <v>#N/A</v>
      </c>
      <c r="AB28" s="41" t="e">
        <f t="shared" si="6"/>
        <v>#N/A</v>
      </c>
      <c r="AC28" s="41" t="e">
        <f t="shared" si="7"/>
        <v>#N/A</v>
      </c>
    </row>
    <row r="29" spans="1:30" s="43" customFormat="1" hidden="1" x14ac:dyDescent="0.25">
      <c r="A29" s="43">
        <v>28</v>
      </c>
      <c r="C29" s="131" t="str">
        <f t="shared" si="0"/>
        <v>LlaveD86167317983100002901</v>
      </c>
      <c r="D29" s="44" t="str">
        <f>VLOOKUP(E29,'NO MODIFICAR'!J:K,2,0)</f>
        <v>D861</v>
      </c>
      <c r="E29" s="101" t="s">
        <v>44</v>
      </c>
      <c r="F29" s="44" t="str">
        <f>VLOOKUP(D29,'NO MODIFICAR'!F:H,3,0)</f>
        <v xml:space="preserve">CENTRO </v>
      </c>
      <c r="G29" s="92">
        <v>67317983</v>
      </c>
      <c r="H29" s="93" t="s">
        <v>171</v>
      </c>
      <c r="I29" s="95">
        <v>10000290</v>
      </c>
      <c r="J29" s="45" t="str">
        <f>VLOOKUP(I29,'Materiales,canteras'!C:D,2,0)</f>
        <v>Polvos Triturado Basalto 3/4"</v>
      </c>
      <c r="K29" s="44">
        <f>VLOOKUP(I29,'Materiales,canteras'!C:E,3,0)</f>
        <v>1.3720000000000001</v>
      </c>
      <c r="L29" s="105">
        <v>1</v>
      </c>
      <c r="M29" s="86" t="s">
        <v>93</v>
      </c>
      <c r="N29" s="47">
        <f t="shared" ca="1" si="1"/>
        <v>46267</v>
      </c>
      <c r="O29" s="43" t="s">
        <v>113</v>
      </c>
      <c r="P29" s="48"/>
      <c r="Q29" s="49"/>
      <c r="R29" s="48"/>
      <c r="S29" s="84">
        <v>25</v>
      </c>
      <c r="T29" s="48">
        <f t="shared" si="2"/>
        <v>-24</v>
      </c>
      <c r="U29" s="46">
        <v>1</v>
      </c>
      <c r="V29" s="84">
        <v>72.09</v>
      </c>
      <c r="W29" s="24">
        <v>1</v>
      </c>
      <c r="X29" s="51">
        <f t="shared" si="4"/>
        <v>73.09</v>
      </c>
      <c r="Y29" s="43" t="e">
        <f>IF(+VLOOKUP(I29,P.Referencia!E:S,3,FALSE)&lt;=L29,"Champion","Gerente")</f>
        <v>#N/A</v>
      </c>
      <c r="Z29" s="50" t="e">
        <f>VLOOKUP(I29,P.Referencia!E:S,3,0)</f>
        <v>#N/A</v>
      </c>
      <c r="AA29" s="52" t="e">
        <f t="shared" si="5"/>
        <v>#N/A</v>
      </c>
      <c r="AB29" s="53" t="e">
        <f t="shared" si="6"/>
        <v>#N/A</v>
      </c>
      <c r="AC29" s="53" t="e">
        <f t="shared" si="7"/>
        <v>#N/A</v>
      </c>
      <c r="AD29" s="43" t="s">
        <v>172</v>
      </c>
    </row>
    <row r="30" spans="1:30" s="43" customFormat="1" hidden="1" x14ac:dyDescent="0.25">
      <c r="A30" s="43">
        <v>29</v>
      </c>
      <c r="C30" s="131" t="str">
        <f t="shared" si="0"/>
        <v>LlaveD81366440645100002552</v>
      </c>
      <c r="D30" s="44" t="str">
        <f>VLOOKUP(E30,'NO MODIFICAR'!J:K,2,0)</f>
        <v>D813</v>
      </c>
      <c r="E30" s="101" t="s">
        <v>6</v>
      </c>
      <c r="F30" s="44" t="str">
        <f>VLOOKUP(D30,'NO MODIFICAR'!F:H,3,0)</f>
        <v xml:space="preserve">CENTRO </v>
      </c>
      <c r="G30" s="92">
        <v>66440645</v>
      </c>
      <c r="H30" s="93" t="s">
        <v>173</v>
      </c>
      <c r="I30" s="95">
        <v>10000255</v>
      </c>
      <c r="J30" s="45" t="str">
        <f>VLOOKUP(I30,'Materiales,canteras'!C:D,2,0)</f>
        <v>Arena Triturada Andesita Malla</v>
      </c>
      <c r="K30" s="44">
        <f>VLOOKUP(I30,'Materiales,canteras'!C:E,3,0)</f>
        <v>1.5349999999999999</v>
      </c>
      <c r="L30" s="105">
        <v>100</v>
      </c>
      <c r="M30" s="98" t="s">
        <v>93</v>
      </c>
      <c r="N30" s="47">
        <f t="shared" ca="1" si="1"/>
        <v>46267</v>
      </c>
      <c r="O30" s="43" t="s">
        <v>113</v>
      </c>
      <c r="P30" s="48"/>
      <c r="Q30" s="49"/>
      <c r="R30" s="48"/>
      <c r="S30" s="84">
        <v>150</v>
      </c>
      <c r="T30" s="48">
        <f t="shared" si="2"/>
        <v>-50</v>
      </c>
      <c r="U30" s="46">
        <f>L30</f>
        <v>100</v>
      </c>
      <c r="V30" s="84">
        <v>0</v>
      </c>
      <c r="W30" s="24">
        <v>2</v>
      </c>
      <c r="X30" s="51">
        <f t="shared" si="4"/>
        <v>100</v>
      </c>
      <c r="Y30" s="43" t="e">
        <f>IF(+VLOOKUP(I30,P.Referencia!E:S,3,FALSE)&lt;=L30,"Champion","Gerente")</f>
        <v>#N/A</v>
      </c>
      <c r="Z30" s="50" t="e">
        <f>VLOOKUP(I30,P.Referencia!E:S,3,0)</f>
        <v>#N/A</v>
      </c>
      <c r="AA30" s="52" t="e">
        <f t="shared" si="5"/>
        <v>#N/A</v>
      </c>
      <c r="AB30" s="53" t="e">
        <f t="shared" si="6"/>
        <v>#N/A</v>
      </c>
      <c r="AC30" s="53" t="e">
        <f t="shared" si="7"/>
        <v>#N/A</v>
      </c>
    </row>
    <row r="31" spans="1:30" s="43" customFormat="1" hidden="1" x14ac:dyDescent="0.25">
      <c r="A31" s="43">
        <v>30</v>
      </c>
      <c r="C31" s="131" t="str">
        <f t="shared" si="0"/>
        <v>LlaveD81366440645100002532</v>
      </c>
      <c r="D31" s="44" t="str">
        <f>VLOOKUP(E31,'NO MODIFICAR'!J:K,2,0)</f>
        <v>D813</v>
      </c>
      <c r="E31" s="101" t="s">
        <v>6</v>
      </c>
      <c r="F31" s="44" t="str">
        <f>VLOOKUP(D31,'NO MODIFICAR'!F:H,3,0)</f>
        <v xml:space="preserve">CENTRO </v>
      </c>
      <c r="G31" s="92">
        <v>66440645</v>
      </c>
      <c r="H31" s="93" t="s">
        <v>173</v>
      </c>
      <c r="I31" s="95">
        <v>10000253</v>
      </c>
      <c r="J31" s="45" t="str">
        <f>VLOOKUP(I31,'Materiales,canteras'!C:D,2,0)</f>
        <v>Grava Triturada Andesita 20 mm</v>
      </c>
      <c r="K31" s="44">
        <f>VLOOKUP(I31,'Materiales,canteras'!C:E,3,0)</f>
        <v>1.385</v>
      </c>
      <c r="L31" s="105">
        <v>100</v>
      </c>
      <c r="M31" s="98" t="s">
        <v>93</v>
      </c>
      <c r="N31" s="47">
        <f t="shared" ca="1" si="1"/>
        <v>46267</v>
      </c>
      <c r="O31" s="43" t="s">
        <v>113</v>
      </c>
      <c r="P31" s="48"/>
      <c r="Q31" s="49"/>
      <c r="R31" s="48"/>
      <c r="S31" s="84">
        <v>150</v>
      </c>
      <c r="T31" s="48">
        <f t="shared" si="2"/>
        <v>-50</v>
      </c>
      <c r="U31" s="46">
        <f>L31</f>
        <v>100</v>
      </c>
      <c r="V31" s="84">
        <v>0</v>
      </c>
      <c r="W31" s="24">
        <v>2</v>
      </c>
      <c r="X31" s="51">
        <f t="shared" si="4"/>
        <v>100</v>
      </c>
      <c r="Y31" s="43" t="e">
        <f>IF(+VLOOKUP(I31,P.Referencia!E:S,3,FALSE)&lt;=L31,"Champion","Gerente")</f>
        <v>#N/A</v>
      </c>
      <c r="Z31" s="50" t="e">
        <f>VLOOKUP(I31,P.Referencia!E:S,3,0)</f>
        <v>#N/A</v>
      </c>
      <c r="AA31" s="52" t="e">
        <f t="shared" si="5"/>
        <v>#N/A</v>
      </c>
      <c r="AB31" s="53" t="e">
        <f t="shared" si="6"/>
        <v>#N/A</v>
      </c>
      <c r="AC31" s="53" t="e">
        <f t="shared" si="7"/>
        <v>#N/A</v>
      </c>
    </row>
    <row r="32" spans="1:30" s="43" customFormat="1" hidden="1" x14ac:dyDescent="0.25">
      <c r="A32" s="43">
        <v>31</v>
      </c>
      <c r="C32" s="131" t="str">
        <f t="shared" si="0"/>
        <v>LlaveD86466440645100010732</v>
      </c>
      <c r="D32" s="44" t="str">
        <f>VLOOKUP(E32,'NO MODIFICAR'!J:K,2,0)</f>
        <v>D864</v>
      </c>
      <c r="E32" s="101" t="s">
        <v>55</v>
      </c>
      <c r="F32" s="44" t="str">
        <f>VLOOKUP(D32,'NO MODIFICAR'!F:H,3,0)</f>
        <v xml:space="preserve">CENTRO </v>
      </c>
      <c r="G32" s="92">
        <v>66440645</v>
      </c>
      <c r="H32" s="93" t="s">
        <v>173</v>
      </c>
      <c r="I32" s="95">
        <v>10001073</v>
      </c>
      <c r="J32" s="45" t="str">
        <f>VLOOKUP(I32,'Materiales,canteras'!C:D,2,0)</f>
        <v>Arena Triturada Caliza Malla 4</v>
      </c>
      <c r="K32" s="44">
        <f>VLOOKUP(I32,'Materiales,canteras'!C:E,3,0)</f>
        <v>1.56</v>
      </c>
      <c r="L32" s="105">
        <v>95</v>
      </c>
      <c r="M32" s="98" t="s">
        <v>93</v>
      </c>
      <c r="N32" s="47">
        <f t="shared" ca="1" si="1"/>
        <v>46267</v>
      </c>
      <c r="O32" s="43" t="s">
        <v>113</v>
      </c>
      <c r="P32" s="48"/>
      <c r="Q32" s="49"/>
      <c r="R32" s="48"/>
      <c r="S32" s="84">
        <v>150</v>
      </c>
      <c r="T32" s="48">
        <f t="shared" si="2"/>
        <v>-55</v>
      </c>
      <c r="U32" s="46">
        <f>L32</f>
        <v>95</v>
      </c>
      <c r="V32" s="84">
        <v>0</v>
      </c>
      <c r="W32" s="24">
        <v>2</v>
      </c>
      <c r="X32" s="51">
        <f t="shared" si="4"/>
        <v>95</v>
      </c>
      <c r="Y32" s="43" t="e">
        <f>IF(+VLOOKUP(I32,P.Referencia!E:S,3,FALSE)&lt;=L32,"Champion","Gerente")</f>
        <v>#N/A</v>
      </c>
      <c r="Z32" s="50" t="e">
        <f>VLOOKUP(I32,P.Referencia!E:S,3,0)</f>
        <v>#N/A</v>
      </c>
      <c r="AA32" s="52" t="e">
        <f t="shared" si="5"/>
        <v>#N/A</v>
      </c>
      <c r="AB32" s="53" t="e">
        <f t="shared" si="6"/>
        <v>#N/A</v>
      </c>
      <c r="AC32" s="53" t="e">
        <f t="shared" si="7"/>
        <v>#N/A</v>
      </c>
    </row>
    <row r="33" spans="1:29" s="43" customFormat="1" hidden="1" x14ac:dyDescent="0.25">
      <c r="A33" s="43">
        <v>32</v>
      </c>
      <c r="C33" s="131" t="str">
        <f t="shared" si="0"/>
        <v>LlaveD86466440645100002402</v>
      </c>
      <c r="D33" s="44" t="str">
        <f>VLOOKUP(E33,'NO MODIFICAR'!J:K,2,0)</f>
        <v>D864</v>
      </c>
      <c r="E33" s="101" t="s">
        <v>55</v>
      </c>
      <c r="F33" s="44" t="str">
        <f>VLOOKUP(D33,'NO MODIFICAR'!F:H,3,0)</f>
        <v xml:space="preserve">CENTRO </v>
      </c>
      <c r="G33" s="92">
        <v>66440645</v>
      </c>
      <c r="H33" s="93" t="s">
        <v>173</v>
      </c>
      <c r="I33" s="95">
        <v>10000240</v>
      </c>
      <c r="J33" s="45" t="str">
        <f>VLOOKUP(I33,'Materiales,canteras'!C:D,2,0)</f>
        <v>Grava Triturada Caliza 20 mm -</v>
      </c>
      <c r="K33" s="44">
        <f>VLOOKUP(I33,'Materiales,canteras'!C:E,3,0)</f>
        <v>1.462</v>
      </c>
      <c r="L33" s="105">
        <v>151</v>
      </c>
      <c r="M33" s="98" t="s">
        <v>93</v>
      </c>
      <c r="N33" s="47">
        <f t="shared" ca="1" si="1"/>
        <v>46267</v>
      </c>
      <c r="O33" s="43" t="s">
        <v>113</v>
      </c>
      <c r="P33" s="48"/>
      <c r="Q33" s="49"/>
      <c r="R33" s="48"/>
      <c r="S33" s="84">
        <v>280</v>
      </c>
      <c r="T33" s="48">
        <f t="shared" si="2"/>
        <v>-129</v>
      </c>
      <c r="U33" s="46">
        <f>L33</f>
        <v>151</v>
      </c>
      <c r="V33" s="84">
        <v>0</v>
      </c>
      <c r="W33" s="24">
        <v>2</v>
      </c>
      <c r="X33" s="51">
        <f t="shared" si="4"/>
        <v>151</v>
      </c>
      <c r="Y33" s="43" t="e">
        <f>IF(+VLOOKUP(I33,P.Referencia!E:S,3,FALSE)&lt;=L33,"Champion","Gerente")</f>
        <v>#N/A</v>
      </c>
      <c r="Z33" s="50" t="e">
        <f>VLOOKUP(I33,P.Referencia!E:S,3,0)</f>
        <v>#N/A</v>
      </c>
      <c r="AA33" s="52" t="e">
        <f t="shared" si="5"/>
        <v>#N/A</v>
      </c>
      <c r="AB33" s="53" t="e">
        <f t="shared" si="6"/>
        <v>#N/A</v>
      </c>
      <c r="AC33" s="53" t="e">
        <f t="shared" si="7"/>
        <v>#N/A</v>
      </c>
    </row>
    <row r="34" spans="1:29" s="43" customFormat="1" hidden="1" x14ac:dyDescent="0.25">
      <c r="A34" s="43">
        <v>33</v>
      </c>
      <c r="C34" s="131" t="str">
        <f t="shared" si="0"/>
        <v>LlaveD86467124204100002402</v>
      </c>
      <c r="D34" s="44" t="str">
        <f>VLOOKUP(E34,'NO MODIFICAR'!J:K,2,0)</f>
        <v>D864</v>
      </c>
      <c r="E34" s="101" t="s">
        <v>55</v>
      </c>
      <c r="F34" s="44" t="str">
        <f>VLOOKUP(D34,'NO MODIFICAR'!F:H,3,0)</f>
        <v xml:space="preserve">CENTRO </v>
      </c>
      <c r="G34" s="92">
        <v>67124204</v>
      </c>
      <c r="H34" s="93" t="s">
        <v>174</v>
      </c>
      <c r="I34" s="95">
        <v>10000240</v>
      </c>
      <c r="J34" s="45" t="str">
        <f>VLOOKUP(I34,'Materiales,canteras'!C:D,2,0)</f>
        <v>Grava Triturada Caliza 20 mm -</v>
      </c>
      <c r="K34" s="44">
        <f>VLOOKUP(I34,'Materiales,canteras'!C:E,3,0)</f>
        <v>1.462</v>
      </c>
      <c r="L34" s="105">
        <v>130</v>
      </c>
      <c r="M34" s="88" t="s">
        <v>93</v>
      </c>
      <c r="N34" s="47">
        <f t="shared" ca="1" si="1"/>
        <v>46267</v>
      </c>
      <c r="O34" s="43" t="s">
        <v>113</v>
      </c>
      <c r="S34" s="84">
        <v>280</v>
      </c>
      <c r="T34" s="48">
        <f t="shared" si="2"/>
        <v>-150</v>
      </c>
      <c r="U34" s="46">
        <v>130</v>
      </c>
      <c r="V34" s="84">
        <v>0</v>
      </c>
      <c r="W34" s="24">
        <v>2</v>
      </c>
      <c r="X34" s="51">
        <f t="shared" ref="X34:X58" si="8">V34+U34</f>
        <v>130</v>
      </c>
      <c r="Y34" s="43" t="e">
        <f>IF(+VLOOKUP(I34,P.Referencia!E:S,3,FALSE)&lt;=L34,"Champion","Gerente")</f>
        <v>#N/A</v>
      </c>
      <c r="Z34" s="50" t="e">
        <f>VLOOKUP(I34,P.Referencia!E:S,3,0)</f>
        <v>#N/A</v>
      </c>
      <c r="AA34" s="52" t="e">
        <f t="shared" si="5"/>
        <v>#N/A</v>
      </c>
      <c r="AB34" s="53" t="e">
        <f t="shared" si="6"/>
        <v>#N/A</v>
      </c>
      <c r="AC34" s="53" t="e">
        <f t="shared" si="7"/>
        <v>#N/A</v>
      </c>
    </row>
    <row r="35" spans="1:29" s="43" customFormat="1" hidden="1" x14ac:dyDescent="0.25">
      <c r="A35" s="43">
        <v>34</v>
      </c>
      <c r="C35" s="131" t="str">
        <f t="shared" si="0"/>
        <v>LlaveD86467124204100010742</v>
      </c>
      <c r="D35" s="44" t="str">
        <f>VLOOKUP(E35,'NO MODIFICAR'!J:K,2,0)</f>
        <v>D864</v>
      </c>
      <c r="E35" s="101" t="s">
        <v>55</v>
      </c>
      <c r="F35" s="44" t="str">
        <f>VLOOKUP(D35,'NO MODIFICAR'!F:H,3,0)</f>
        <v xml:space="preserve">CENTRO </v>
      </c>
      <c r="G35" s="92">
        <v>67124204</v>
      </c>
      <c r="H35" s="93" t="s">
        <v>174</v>
      </c>
      <c r="I35" s="95">
        <v>10001074</v>
      </c>
      <c r="J35" s="45" t="str">
        <f>VLOOKUP(I35,'Materiales,canteras'!C:D,2,0)</f>
        <v>Grava Triturada Caliza 40 mm -</v>
      </c>
      <c r="K35" s="44">
        <f>VLOOKUP(I35,'Materiales,canteras'!C:E,3,0)</f>
        <v>1.4</v>
      </c>
      <c r="L35" s="105">
        <v>130</v>
      </c>
      <c r="M35" s="88" t="s">
        <v>93</v>
      </c>
      <c r="N35" s="47">
        <f t="shared" ca="1" si="1"/>
        <v>46267</v>
      </c>
      <c r="O35" s="43" t="s">
        <v>113</v>
      </c>
      <c r="S35" s="84">
        <v>220</v>
      </c>
      <c r="T35" s="48">
        <f t="shared" si="2"/>
        <v>-90</v>
      </c>
      <c r="U35" s="46">
        <v>130</v>
      </c>
      <c r="V35" s="84">
        <v>0</v>
      </c>
      <c r="W35" s="24">
        <v>2</v>
      </c>
      <c r="X35" s="51">
        <f t="shared" si="8"/>
        <v>130</v>
      </c>
      <c r="Y35" s="43" t="e">
        <f>IF(+VLOOKUP(I35,P.Referencia!E:S,3,FALSE)&lt;=L35,"Champion","Gerente")</f>
        <v>#N/A</v>
      </c>
      <c r="Z35" s="50" t="e">
        <f>VLOOKUP(I35,P.Referencia!E:S,3,0)</f>
        <v>#N/A</v>
      </c>
      <c r="AA35" s="52" t="e">
        <f t="shared" si="5"/>
        <v>#N/A</v>
      </c>
      <c r="AB35" s="53" t="e">
        <f t="shared" si="6"/>
        <v>#N/A</v>
      </c>
      <c r="AC35" s="53" t="e">
        <f t="shared" si="7"/>
        <v>#N/A</v>
      </c>
    </row>
    <row r="36" spans="1:29" s="43" customFormat="1" hidden="1" x14ac:dyDescent="0.25">
      <c r="A36" s="43">
        <v>35</v>
      </c>
      <c r="C36" s="131" t="str">
        <f t="shared" si="0"/>
        <v>LlaveD86167320246100002902</v>
      </c>
      <c r="D36" s="44" t="str">
        <f>VLOOKUP(E36,'NO MODIFICAR'!J:K,2,0)</f>
        <v>D861</v>
      </c>
      <c r="E36" s="101" t="s">
        <v>44</v>
      </c>
      <c r="F36" s="44" t="str">
        <f>VLOOKUP(D36,'NO MODIFICAR'!F:H,3,0)</f>
        <v xml:space="preserve">CENTRO </v>
      </c>
      <c r="G36" s="92">
        <v>67320246</v>
      </c>
      <c r="H36" s="93" t="s">
        <v>175</v>
      </c>
      <c r="I36" s="96">
        <v>10000290</v>
      </c>
      <c r="J36" s="45" t="str">
        <f>VLOOKUP(I36,'Materiales,canteras'!C:D,2,0)</f>
        <v>Polvos Triturado Basalto 3/4"</v>
      </c>
      <c r="K36" s="44">
        <f>VLOOKUP(I36,'Materiales,canteras'!C:E,3,0)</f>
        <v>1.3720000000000001</v>
      </c>
      <c r="L36" s="105">
        <v>1</v>
      </c>
      <c r="M36" s="99" t="s">
        <v>93</v>
      </c>
      <c r="N36" s="47">
        <f t="shared" ca="1" si="1"/>
        <v>46267</v>
      </c>
      <c r="O36" s="43" t="s">
        <v>113</v>
      </c>
      <c r="S36" s="84">
        <v>25</v>
      </c>
      <c r="T36" s="48">
        <f t="shared" si="2"/>
        <v>-24</v>
      </c>
      <c r="U36" s="46">
        <v>1</v>
      </c>
      <c r="V36" s="84">
        <v>0</v>
      </c>
      <c r="W36" s="24">
        <v>2</v>
      </c>
      <c r="X36" s="51">
        <f t="shared" si="8"/>
        <v>1</v>
      </c>
      <c r="Y36" s="43" t="e">
        <f>IF(+VLOOKUP(I36,P.Referencia!E:S,3,FALSE)&lt;=L36,"Champion","Gerente")</f>
        <v>#N/A</v>
      </c>
      <c r="Z36" s="50" t="e">
        <f>VLOOKUP(I36,P.Referencia!E:S,3,0)</f>
        <v>#N/A</v>
      </c>
      <c r="AA36" s="52" t="e">
        <f t="shared" si="5"/>
        <v>#N/A</v>
      </c>
      <c r="AB36" s="53" t="e">
        <f t="shared" si="6"/>
        <v>#N/A</v>
      </c>
      <c r="AC36" s="53" t="e">
        <f t="shared" si="7"/>
        <v>#N/A</v>
      </c>
    </row>
    <row r="37" spans="1:29" s="42" customFormat="1" hidden="1" x14ac:dyDescent="0.25">
      <c r="A37" s="54">
        <v>36</v>
      </c>
      <c r="C37" s="131" t="str">
        <f t="shared" si="0"/>
        <v>LlaveD81366942072100002551</v>
      </c>
      <c r="D37" s="55" t="str">
        <f>VLOOKUP(E37,'NO MODIFICAR'!J:K,2,0)</f>
        <v>D813</v>
      </c>
      <c r="E37" s="26" t="s">
        <v>6</v>
      </c>
      <c r="F37" s="55" t="str">
        <f>VLOOKUP(D37,'NO MODIFICAR'!F:H,3,0)</f>
        <v xml:space="preserve">CENTRO </v>
      </c>
      <c r="G37" s="92">
        <v>66942072</v>
      </c>
      <c r="H37" s="93" t="s">
        <v>176</v>
      </c>
      <c r="I37" s="94">
        <v>10000255</v>
      </c>
      <c r="J37" s="56" t="str">
        <f>VLOOKUP(I37,'Materiales,canteras'!C:D,2,0)</f>
        <v>Arena Triturada Andesita Malla</v>
      </c>
      <c r="K37" s="55">
        <f>VLOOKUP(I37,'Materiales,canteras'!C:E,3,0)</f>
        <v>1.5349999999999999</v>
      </c>
      <c r="L37" s="105">
        <v>84</v>
      </c>
      <c r="M37" s="86" t="s">
        <v>93</v>
      </c>
      <c r="N37" s="57">
        <f t="shared" ca="1" si="1"/>
        <v>46267</v>
      </c>
      <c r="O37" s="42" t="s">
        <v>113</v>
      </c>
      <c r="S37" s="104">
        <v>150</v>
      </c>
      <c r="T37" s="59">
        <f t="shared" si="2"/>
        <v>-66</v>
      </c>
      <c r="U37" s="46">
        <v>84</v>
      </c>
      <c r="V37" s="85">
        <v>143.32</v>
      </c>
      <c r="W37" s="86">
        <v>1</v>
      </c>
      <c r="X37" s="60">
        <f t="shared" si="8"/>
        <v>227.32</v>
      </c>
      <c r="Y37" s="61" t="e">
        <f>IF(+VLOOKUP(I37,P.Referencia!E:S,3,FALSE)&lt;=L37,"Champion","Gerente")</f>
        <v>#N/A</v>
      </c>
      <c r="Z37" s="58" t="e">
        <f>VLOOKUP(I37,P.Referencia!E:S,3,0)</f>
        <v>#N/A</v>
      </c>
      <c r="AA37" s="62" t="e">
        <f t="shared" si="5"/>
        <v>#N/A</v>
      </c>
      <c r="AB37" s="63" t="e">
        <f t="shared" si="6"/>
        <v>#N/A</v>
      </c>
      <c r="AC37" s="63" t="e">
        <f t="shared" si="7"/>
        <v>#N/A</v>
      </c>
    </row>
    <row r="38" spans="1:29" s="32" customFormat="1" hidden="1" x14ac:dyDescent="0.25">
      <c r="A38" s="32">
        <v>37</v>
      </c>
      <c r="C38" s="131" t="str">
        <f t="shared" si="0"/>
        <v>LlaveD86166838326100031532</v>
      </c>
      <c r="D38" s="33" t="str">
        <f>VLOOKUP(E38,'NO MODIFICAR'!J:K,2,0)</f>
        <v>D861</v>
      </c>
      <c r="E38" s="31" t="s">
        <v>44</v>
      </c>
      <c r="F38" s="33" t="str">
        <f>VLOOKUP(D38,'NO MODIFICAR'!F:H,3,0)</f>
        <v xml:space="preserve">CENTRO </v>
      </c>
      <c r="G38" s="92">
        <v>66838326</v>
      </c>
      <c r="H38" s="93" t="s">
        <v>177</v>
      </c>
      <c r="I38" s="94">
        <v>10003153</v>
      </c>
      <c r="J38" s="56" t="str">
        <f>VLOOKUP(I38,'Materiales,canteras'!C:D,2,0)</f>
        <v>Grava Triturada Basalto 13 mm</v>
      </c>
      <c r="K38" s="33">
        <f>VLOOKUP(I38,'Materiales,canteras'!C:E,3,0)</f>
        <v>1.546</v>
      </c>
      <c r="L38" s="105">
        <v>220</v>
      </c>
      <c r="M38" s="86" t="s">
        <v>93</v>
      </c>
      <c r="N38" s="57">
        <f t="shared" ca="1" si="1"/>
        <v>46267</v>
      </c>
      <c r="O38" s="32" t="s">
        <v>113</v>
      </c>
      <c r="S38" s="84">
        <v>270</v>
      </c>
      <c r="T38" s="36">
        <f t="shared" si="2"/>
        <v>-50</v>
      </c>
      <c r="U38" s="46">
        <v>220</v>
      </c>
      <c r="V38" s="30">
        <v>0</v>
      </c>
      <c r="W38" s="29">
        <v>2</v>
      </c>
      <c r="X38" s="38">
        <f t="shared" si="8"/>
        <v>220</v>
      </c>
      <c r="Y38" s="32" t="e">
        <f>IF(+VLOOKUP(I38,P.Referencia!E:S,3,FALSE)&lt;=L38,"Champion","Gerente")</f>
        <v>#N/A</v>
      </c>
      <c r="Z38" s="39" t="e">
        <f>VLOOKUP(I38,P.Referencia!E:S,3,0)</f>
        <v>#N/A</v>
      </c>
      <c r="AA38" s="40" t="e">
        <f t="shared" si="5"/>
        <v>#N/A</v>
      </c>
      <c r="AB38" s="41" t="e">
        <f t="shared" si="6"/>
        <v>#N/A</v>
      </c>
      <c r="AC38" s="41" t="e">
        <f t="shared" si="7"/>
        <v>#N/A</v>
      </c>
    </row>
    <row r="39" spans="1:29" s="32" customFormat="1" hidden="1" x14ac:dyDescent="0.25">
      <c r="A39" s="32">
        <v>38</v>
      </c>
      <c r="C39" s="131" t="str">
        <f t="shared" si="0"/>
        <v>LlaveD86467320967100002402</v>
      </c>
      <c r="D39" s="33" t="str">
        <f>VLOOKUP(E39,'NO MODIFICAR'!J:K,2,0)</f>
        <v>D864</v>
      </c>
      <c r="E39" s="31" t="s">
        <v>55</v>
      </c>
      <c r="F39" s="33" t="str">
        <f>VLOOKUP(D39,'NO MODIFICAR'!F:H,3,0)</f>
        <v xml:space="preserve">CENTRO </v>
      </c>
      <c r="G39" s="92">
        <v>67320967</v>
      </c>
      <c r="H39" s="93" t="s">
        <v>178</v>
      </c>
      <c r="I39" s="94">
        <v>10000240</v>
      </c>
      <c r="J39" s="56" t="str">
        <f>VLOOKUP(I39,'Materiales,canteras'!C:D,2,0)</f>
        <v>Grava Triturada Caliza 20 mm -</v>
      </c>
      <c r="K39" s="33">
        <f>VLOOKUP(I39,'Materiales,canteras'!C:E,3,0)</f>
        <v>1.462</v>
      </c>
      <c r="L39" s="105">
        <v>130</v>
      </c>
      <c r="M39" s="86" t="s">
        <v>93</v>
      </c>
      <c r="N39" s="57">
        <f t="shared" ca="1" si="1"/>
        <v>46267</v>
      </c>
      <c r="O39" s="32" t="s">
        <v>113</v>
      </c>
      <c r="S39" s="84">
        <v>280</v>
      </c>
      <c r="T39" s="36">
        <f t="shared" si="2"/>
        <v>-150</v>
      </c>
      <c r="U39" s="46">
        <v>130</v>
      </c>
      <c r="V39" s="30">
        <v>0</v>
      </c>
      <c r="W39" s="29">
        <v>2</v>
      </c>
      <c r="X39" s="38">
        <f t="shared" si="8"/>
        <v>130</v>
      </c>
      <c r="Y39" s="32" t="e">
        <f>IF(+VLOOKUP(I39,P.Referencia!E:S,3,FALSE)&lt;=L39,"Champion","Gerente")</f>
        <v>#N/A</v>
      </c>
      <c r="Z39" s="39" t="e">
        <f>VLOOKUP(I39,P.Referencia!E:S,3,0)</f>
        <v>#N/A</v>
      </c>
      <c r="AA39" s="40" t="e">
        <f t="shared" si="5"/>
        <v>#N/A</v>
      </c>
      <c r="AB39" s="41" t="e">
        <f t="shared" si="6"/>
        <v>#N/A</v>
      </c>
      <c r="AC39" s="41" t="e">
        <f t="shared" si="7"/>
        <v>#N/A</v>
      </c>
    </row>
    <row r="40" spans="1:29" s="32" customFormat="1" hidden="1" x14ac:dyDescent="0.25">
      <c r="A40" s="32">
        <v>39</v>
      </c>
      <c r="C40" s="131" t="str">
        <f t="shared" si="0"/>
        <v>LlaveD81367320967100002552</v>
      </c>
      <c r="D40" s="33" t="str">
        <f>VLOOKUP(E40,'NO MODIFICAR'!J:K,2,0)</f>
        <v>D813</v>
      </c>
      <c r="E40" s="31" t="s">
        <v>6</v>
      </c>
      <c r="F40" s="33" t="str">
        <f>VLOOKUP(D40,'NO MODIFICAR'!F:H,3,0)</f>
        <v xml:space="preserve">CENTRO </v>
      </c>
      <c r="G40" s="92">
        <v>67320967</v>
      </c>
      <c r="H40" s="93" t="s">
        <v>178</v>
      </c>
      <c r="I40" s="94">
        <v>10000255</v>
      </c>
      <c r="J40" s="56" t="str">
        <f>VLOOKUP(I40,'Materiales,canteras'!C:D,2,0)</f>
        <v>Arena Triturada Andesita Malla</v>
      </c>
      <c r="K40" s="33">
        <f>VLOOKUP(I40,'Materiales,canteras'!C:E,3,0)</f>
        <v>1.5349999999999999</v>
      </c>
      <c r="L40" s="105">
        <v>80</v>
      </c>
      <c r="M40" s="86" t="s">
        <v>93</v>
      </c>
      <c r="N40" s="57">
        <f t="shared" ca="1" si="1"/>
        <v>46267</v>
      </c>
      <c r="O40" s="32" t="s">
        <v>113</v>
      </c>
      <c r="S40" s="84">
        <v>150</v>
      </c>
      <c r="T40" s="36">
        <f t="shared" si="2"/>
        <v>-70</v>
      </c>
      <c r="U40" s="46">
        <v>80</v>
      </c>
      <c r="V40" s="30">
        <v>0</v>
      </c>
      <c r="W40" s="29">
        <v>2</v>
      </c>
      <c r="X40" s="38">
        <f t="shared" si="8"/>
        <v>80</v>
      </c>
      <c r="Y40" s="32" t="e">
        <f>IF(+VLOOKUP(I40,P.Referencia!E:S,3,FALSE)&lt;=L40,"Champion","Gerente")</f>
        <v>#N/A</v>
      </c>
      <c r="Z40" s="39" t="e">
        <f>VLOOKUP(I40,P.Referencia!E:S,3,0)</f>
        <v>#N/A</v>
      </c>
      <c r="AA40" s="40" t="e">
        <f t="shared" si="5"/>
        <v>#N/A</v>
      </c>
      <c r="AB40" s="41" t="e">
        <f t="shared" si="6"/>
        <v>#N/A</v>
      </c>
      <c r="AC40" s="41" t="e">
        <f t="shared" si="7"/>
        <v>#N/A</v>
      </c>
    </row>
    <row r="41" spans="1:29" s="32" customFormat="1" hidden="1" x14ac:dyDescent="0.25">
      <c r="A41" s="32">
        <v>40</v>
      </c>
      <c r="C41" s="131" t="str">
        <f t="shared" si="0"/>
        <v>LlaveD86467019979100002692</v>
      </c>
      <c r="D41" s="33" t="str">
        <f>VLOOKUP(E41,'NO MODIFICAR'!J:K,2,0)</f>
        <v>D864</v>
      </c>
      <c r="E41" s="31" t="s">
        <v>55</v>
      </c>
      <c r="F41" s="33" t="str">
        <f>VLOOKUP(D41,'NO MODIFICAR'!F:H,3,0)</f>
        <v xml:space="preserve">CENTRO </v>
      </c>
      <c r="G41" s="92">
        <v>67019979</v>
      </c>
      <c r="H41" s="93" t="s">
        <v>179</v>
      </c>
      <c r="I41" s="94">
        <v>10000269</v>
      </c>
      <c r="J41" s="56" t="str">
        <f>VLOOKUP(I41,'Materiales,canteras'!C:D,2,0)</f>
        <v>Grava Triturada Caliza 13 mm -</v>
      </c>
      <c r="K41" s="33">
        <f>VLOOKUP(I41,'Materiales,canteras'!C:E,3,0)</f>
        <v>1.423</v>
      </c>
      <c r="L41" s="105">
        <v>168.51</v>
      </c>
      <c r="M41" s="28" t="s">
        <v>93</v>
      </c>
      <c r="N41" s="57">
        <f t="shared" ca="1" si="1"/>
        <v>46267</v>
      </c>
      <c r="O41" s="32" t="s">
        <v>113</v>
      </c>
      <c r="S41" s="84"/>
      <c r="T41" s="36">
        <f t="shared" si="2"/>
        <v>168.51</v>
      </c>
      <c r="U41" s="46">
        <f t="shared" ref="U41:U72" si="9">L41</f>
        <v>168.51</v>
      </c>
      <c r="V41" s="30">
        <v>0</v>
      </c>
      <c r="W41" s="29">
        <v>2</v>
      </c>
      <c r="X41" s="38">
        <f t="shared" si="8"/>
        <v>168.51</v>
      </c>
      <c r="Y41" s="32" t="e">
        <f>IF(+VLOOKUP(I41,P.Referencia!E:S,3,FALSE)&lt;=L41,"Champion","Gerente")</f>
        <v>#N/A</v>
      </c>
      <c r="Z41" s="39" t="e">
        <f>VLOOKUP(I41,P.Referencia!E:S,3,0)</f>
        <v>#N/A</v>
      </c>
      <c r="AA41" s="40" t="e">
        <f t="shared" si="5"/>
        <v>#N/A</v>
      </c>
      <c r="AB41" s="41" t="e">
        <f t="shared" si="6"/>
        <v>#N/A</v>
      </c>
      <c r="AC41" s="41" t="e">
        <f t="shared" si="7"/>
        <v>#N/A</v>
      </c>
    </row>
    <row r="42" spans="1:29" s="32" customFormat="1" hidden="1" x14ac:dyDescent="0.25">
      <c r="A42" s="32">
        <v>41</v>
      </c>
      <c r="C42" s="131" t="str">
        <f t="shared" si="0"/>
        <v>LlaveD86466982053100002692</v>
      </c>
      <c r="D42" s="33" t="str">
        <f>VLOOKUP(E42,'NO MODIFICAR'!J:K,2,0)</f>
        <v>D864</v>
      </c>
      <c r="E42" s="31" t="s">
        <v>55</v>
      </c>
      <c r="F42" s="33" t="str">
        <f>VLOOKUP(D42,'NO MODIFICAR'!F:H,3,0)</f>
        <v xml:space="preserve">CENTRO </v>
      </c>
      <c r="G42" s="92">
        <v>66982053</v>
      </c>
      <c r="H42" s="93" t="s">
        <v>180</v>
      </c>
      <c r="I42" s="94">
        <v>10000269</v>
      </c>
      <c r="J42" s="56" t="str">
        <f>VLOOKUP(I42,'Materiales,canteras'!C:D,2,0)</f>
        <v>Grava Triturada Caliza 13 mm -</v>
      </c>
      <c r="K42" s="33">
        <f>VLOOKUP(I42,'Materiales,canteras'!C:E,3,0)</f>
        <v>1.423</v>
      </c>
      <c r="L42" s="105">
        <v>168.51</v>
      </c>
      <c r="M42" s="28" t="s">
        <v>93</v>
      </c>
      <c r="N42" s="57">
        <f t="shared" ca="1" si="1"/>
        <v>46267</v>
      </c>
      <c r="O42" s="32" t="s">
        <v>113</v>
      </c>
      <c r="S42" s="84"/>
      <c r="T42" s="36">
        <f t="shared" si="2"/>
        <v>168.51</v>
      </c>
      <c r="U42" s="46">
        <f t="shared" si="9"/>
        <v>168.51</v>
      </c>
      <c r="V42" s="30">
        <v>0</v>
      </c>
      <c r="W42" s="29">
        <v>2</v>
      </c>
      <c r="X42" s="38">
        <f t="shared" si="8"/>
        <v>168.51</v>
      </c>
      <c r="Y42" s="32" t="e">
        <f>IF(+VLOOKUP(I42,P.Referencia!E:S,3,FALSE)&lt;=L42,"Champion","Gerente")</f>
        <v>#N/A</v>
      </c>
      <c r="Z42" s="39" t="e">
        <f>VLOOKUP(I42,P.Referencia!E:S,3,0)</f>
        <v>#N/A</v>
      </c>
      <c r="AA42" s="40" t="e">
        <f t="shared" si="5"/>
        <v>#N/A</v>
      </c>
      <c r="AB42" s="41" t="e">
        <f t="shared" si="6"/>
        <v>#N/A</v>
      </c>
      <c r="AC42" s="41" t="e">
        <f t="shared" si="7"/>
        <v>#N/A</v>
      </c>
    </row>
    <row r="43" spans="1:29" s="64" customFormat="1" hidden="1" x14ac:dyDescent="0.25">
      <c r="A43" s="32">
        <v>42</v>
      </c>
      <c r="C43" s="131" t="str">
        <f t="shared" si="0"/>
        <v>LlaveD86466982053100010742</v>
      </c>
      <c r="D43" s="33" t="str">
        <f>VLOOKUP(E43,'NO MODIFICAR'!J:K,2,0)</f>
        <v>D864</v>
      </c>
      <c r="E43" s="31" t="s">
        <v>55</v>
      </c>
      <c r="F43" s="33" t="str">
        <f>VLOOKUP(D43,'NO MODIFICAR'!F:H,3,0)</f>
        <v xml:space="preserve">CENTRO </v>
      </c>
      <c r="G43" s="92">
        <v>66982053</v>
      </c>
      <c r="H43" s="93" t="s">
        <v>180</v>
      </c>
      <c r="I43" s="94">
        <v>10001074</v>
      </c>
      <c r="J43" s="56" t="str">
        <f>VLOOKUP(I43,'Materiales,canteras'!C:D,2,0)</f>
        <v>Grava Triturada Caliza 40 mm -</v>
      </c>
      <c r="K43" s="33">
        <f>VLOOKUP(I43,'Materiales,canteras'!C:E,3,0)</f>
        <v>1.4</v>
      </c>
      <c r="L43" s="105">
        <v>154.26</v>
      </c>
      <c r="M43" s="28" t="s">
        <v>93</v>
      </c>
      <c r="N43" s="57">
        <f t="shared" ca="1" si="1"/>
        <v>46267</v>
      </c>
      <c r="O43" s="32" t="s">
        <v>113</v>
      </c>
      <c r="S43" s="89"/>
      <c r="T43" s="36">
        <f t="shared" si="2"/>
        <v>154.26</v>
      </c>
      <c r="U43" s="46">
        <f t="shared" si="9"/>
        <v>154.26</v>
      </c>
      <c r="V43" s="30">
        <v>0</v>
      </c>
      <c r="W43" s="4">
        <v>2</v>
      </c>
      <c r="X43" s="38">
        <f t="shared" si="8"/>
        <v>154.26</v>
      </c>
      <c r="Y43" s="32" t="e">
        <f>IF(+VLOOKUP(I43,P.Referencia!E:S,3,FALSE)&lt;=L43,"Champion","Gerente")</f>
        <v>#N/A</v>
      </c>
      <c r="Z43" s="39" t="e">
        <f>VLOOKUP(I43,P.Referencia!E:S,3,0)</f>
        <v>#N/A</v>
      </c>
      <c r="AA43" s="40" t="e">
        <f t="shared" si="5"/>
        <v>#N/A</v>
      </c>
      <c r="AB43" s="41" t="e">
        <f t="shared" si="6"/>
        <v>#N/A</v>
      </c>
      <c r="AC43" s="41" t="e">
        <f t="shared" si="7"/>
        <v>#N/A</v>
      </c>
    </row>
    <row r="44" spans="1:29" s="64" customFormat="1" hidden="1" x14ac:dyDescent="0.25">
      <c r="A44" s="32">
        <v>43</v>
      </c>
      <c r="C44" s="131" t="str">
        <f t="shared" si="0"/>
        <v>LlaveD81366982053100002532</v>
      </c>
      <c r="D44" s="33" t="str">
        <f>VLOOKUP(E44,'NO MODIFICAR'!J:K,2,0)</f>
        <v>D813</v>
      </c>
      <c r="E44" s="26" t="s">
        <v>6</v>
      </c>
      <c r="F44" s="33" t="str">
        <f>VLOOKUP(D44,'NO MODIFICAR'!F:H,3,0)</f>
        <v xml:space="preserve">CENTRO </v>
      </c>
      <c r="G44" s="92">
        <v>66982053</v>
      </c>
      <c r="H44" s="93" t="s">
        <v>180</v>
      </c>
      <c r="I44" s="94">
        <v>10000253</v>
      </c>
      <c r="J44" s="56" t="str">
        <f>VLOOKUP(I44,'Materiales,canteras'!C:D,2,0)</f>
        <v>Grava Triturada Andesita 20 mm</v>
      </c>
      <c r="K44" s="33">
        <f>VLOOKUP(I44,'Materiales,canteras'!C:E,3,0)</f>
        <v>1.385</v>
      </c>
      <c r="L44" s="105">
        <v>103.9</v>
      </c>
      <c r="M44" s="28" t="s">
        <v>93</v>
      </c>
      <c r="N44" s="57">
        <f t="shared" ca="1" si="1"/>
        <v>46267</v>
      </c>
      <c r="O44" s="32" t="s">
        <v>113</v>
      </c>
      <c r="S44" s="89"/>
      <c r="T44" s="36">
        <f t="shared" si="2"/>
        <v>103.9</v>
      </c>
      <c r="U44" s="46">
        <f t="shared" si="9"/>
        <v>103.9</v>
      </c>
      <c r="V44" s="30">
        <v>0</v>
      </c>
      <c r="W44" s="4">
        <v>2</v>
      </c>
      <c r="X44" s="38">
        <f t="shared" si="8"/>
        <v>103.9</v>
      </c>
      <c r="Y44" s="32" t="e">
        <f>IF(+VLOOKUP(I44,P.Referencia!E:S,3,FALSE)&lt;=L44,"Champion","Gerente")</f>
        <v>#N/A</v>
      </c>
      <c r="Z44" s="39" t="e">
        <f>VLOOKUP(I44,P.Referencia!E:S,3,0)</f>
        <v>#N/A</v>
      </c>
      <c r="AA44" s="40" t="e">
        <f t="shared" si="5"/>
        <v>#N/A</v>
      </c>
      <c r="AB44" s="41" t="e">
        <f t="shared" si="6"/>
        <v>#N/A</v>
      </c>
      <c r="AC44" s="41" t="e">
        <f t="shared" si="7"/>
        <v>#N/A</v>
      </c>
    </row>
    <row r="45" spans="1:29" s="64" customFormat="1" hidden="1" x14ac:dyDescent="0.25">
      <c r="A45" s="32">
        <v>44</v>
      </c>
      <c r="C45" s="131" t="str">
        <f t="shared" si="0"/>
        <v>LlaveD81366982053100023502</v>
      </c>
      <c r="D45" s="33" t="str">
        <f>VLOOKUP(E45,'NO MODIFICAR'!J:K,2,0)</f>
        <v>D813</v>
      </c>
      <c r="E45" s="26" t="s">
        <v>6</v>
      </c>
      <c r="F45" s="33" t="str">
        <f>VLOOKUP(D45,'NO MODIFICAR'!F:H,3,0)</f>
        <v xml:space="preserve">CENTRO </v>
      </c>
      <c r="G45" s="92">
        <v>66982053</v>
      </c>
      <c r="H45" s="93" t="s">
        <v>180</v>
      </c>
      <c r="I45" s="94">
        <v>10002350</v>
      </c>
      <c r="J45" s="56" t="str">
        <f>VLOOKUP(I45,'Materiales,canteras'!C:D,2,0)</f>
        <v>Grava Triturada Andesita 10mm-</v>
      </c>
      <c r="K45" s="33">
        <f>VLOOKUP(I45,'Materiales,canteras'!C:E,3,0)</f>
        <v>1.246</v>
      </c>
      <c r="L45" s="105">
        <v>120.49</v>
      </c>
      <c r="M45" s="28" t="s">
        <v>93</v>
      </c>
      <c r="N45" s="57">
        <f t="shared" ca="1" si="1"/>
        <v>46267</v>
      </c>
      <c r="O45" s="32" t="s">
        <v>113</v>
      </c>
      <c r="S45" s="89"/>
      <c r="T45" s="36">
        <f t="shared" si="2"/>
        <v>120.49</v>
      </c>
      <c r="U45" s="46">
        <f t="shared" si="9"/>
        <v>120.49</v>
      </c>
      <c r="V45" s="30">
        <v>0</v>
      </c>
      <c r="W45" s="4">
        <v>2</v>
      </c>
      <c r="X45" s="38">
        <f t="shared" si="8"/>
        <v>120.49</v>
      </c>
      <c r="Y45" s="32" t="e">
        <f>IF(+VLOOKUP(I45,P.Referencia!E:S,3,FALSE)&lt;=L45,"Champion","Gerente")</f>
        <v>#N/A</v>
      </c>
      <c r="Z45" s="39" t="e">
        <f>VLOOKUP(I45,P.Referencia!E:S,3,0)</f>
        <v>#N/A</v>
      </c>
      <c r="AA45" s="40" t="e">
        <f t="shared" si="5"/>
        <v>#N/A</v>
      </c>
      <c r="AB45" s="41" t="e">
        <f t="shared" si="6"/>
        <v>#N/A</v>
      </c>
      <c r="AC45" s="41" t="e">
        <f t="shared" si="7"/>
        <v>#N/A</v>
      </c>
    </row>
    <row r="46" spans="1:29" s="64" customFormat="1" hidden="1" x14ac:dyDescent="0.25">
      <c r="A46" s="32">
        <v>45</v>
      </c>
      <c r="C46" s="131" t="str">
        <f t="shared" si="0"/>
        <v>LlaveD86466864540100002692</v>
      </c>
      <c r="D46" s="33" t="str">
        <f>VLOOKUP(E46,'NO MODIFICAR'!J:K,2,0)</f>
        <v>D864</v>
      </c>
      <c r="E46" s="31" t="s">
        <v>55</v>
      </c>
      <c r="F46" s="33" t="str">
        <f>VLOOKUP(D46,'NO MODIFICAR'!F:H,3,0)</f>
        <v xml:space="preserve">CENTRO </v>
      </c>
      <c r="G46" s="92">
        <v>66864540</v>
      </c>
      <c r="H46" s="93" t="s">
        <v>181</v>
      </c>
      <c r="I46" s="94">
        <v>10000269</v>
      </c>
      <c r="J46" s="56" t="str">
        <f>VLOOKUP(I46,'Materiales,canteras'!C:D,2,0)</f>
        <v>Grava Triturada Caliza 13 mm -</v>
      </c>
      <c r="K46" s="33">
        <f>VLOOKUP(I46,'Materiales,canteras'!C:E,3,0)</f>
        <v>1.423</v>
      </c>
      <c r="L46" s="105">
        <v>168.51</v>
      </c>
      <c r="M46" s="28" t="s">
        <v>93</v>
      </c>
      <c r="N46" s="57">
        <f t="shared" ca="1" si="1"/>
        <v>46267</v>
      </c>
      <c r="O46" s="32" t="s">
        <v>113</v>
      </c>
      <c r="S46" s="89"/>
      <c r="T46" s="36">
        <f t="shared" si="2"/>
        <v>168.51</v>
      </c>
      <c r="U46" s="46">
        <f t="shared" si="9"/>
        <v>168.51</v>
      </c>
      <c r="V46" s="30">
        <v>0</v>
      </c>
      <c r="W46" s="4">
        <v>2</v>
      </c>
      <c r="X46" s="38">
        <f t="shared" si="8"/>
        <v>168.51</v>
      </c>
      <c r="Y46" s="32" t="e">
        <f>IF(+VLOOKUP(I46,P.Referencia!E:S,3,FALSE)&lt;=L46,"Champion","Gerente")</f>
        <v>#N/A</v>
      </c>
      <c r="Z46" s="39" t="e">
        <f>VLOOKUP(I46,P.Referencia!E:S,3,0)</f>
        <v>#N/A</v>
      </c>
      <c r="AA46" s="40" t="e">
        <f t="shared" si="5"/>
        <v>#N/A</v>
      </c>
      <c r="AB46" s="41" t="e">
        <f t="shared" si="6"/>
        <v>#N/A</v>
      </c>
      <c r="AC46" s="41" t="e">
        <f t="shared" si="7"/>
        <v>#N/A</v>
      </c>
    </row>
    <row r="47" spans="1:29" s="64" customFormat="1" hidden="1" x14ac:dyDescent="0.25">
      <c r="A47" s="32">
        <v>46</v>
      </c>
      <c r="C47" s="131" t="str">
        <f t="shared" si="0"/>
        <v>LlaveD86467243408100002692</v>
      </c>
      <c r="D47" s="33" t="str">
        <f>VLOOKUP(E47,'NO MODIFICAR'!J:K,2,0)</f>
        <v>D864</v>
      </c>
      <c r="E47" s="31" t="s">
        <v>55</v>
      </c>
      <c r="F47" s="33" t="str">
        <f>VLOOKUP(D47,'NO MODIFICAR'!F:H,3,0)</f>
        <v xml:space="preserve">CENTRO </v>
      </c>
      <c r="G47" s="92">
        <v>67243408</v>
      </c>
      <c r="H47" s="93" t="s">
        <v>181</v>
      </c>
      <c r="I47" s="94">
        <v>10000269</v>
      </c>
      <c r="J47" s="56" t="str">
        <f>VLOOKUP(I47,'Materiales,canteras'!C:D,2,0)</f>
        <v>Grava Triturada Caliza 13 mm -</v>
      </c>
      <c r="K47" s="33">
        <f>VLOOKUP(I47,'Materiales,canteras'!C:E,3,0)</f>
        <v>1.423</v>
      </c>
      <c r="L47" s="105">
        <v>168.51</v>
      </c>
      <c r="M47" s="28" t="s">
        <v>93</v>
      </c>
      <c r="N47" s="57">
        <f t="shared" ca="1" si="1"/>
        <v>46267</v>
      </c>
      <c r="O47" s="32" t="s">
        <v>113</v>
      </c>
      <c r="S47" s="89"/>
      <c r="T47" s="36">
        <f t="shared" si="2"/>
        <v>168.51</v>
      </c>
      <c r="U47" s="46">
        <f t="shared" si="9"/>
        <v>168.51</v>
      </c>
      <c r="V47" s="30">
        <v>0</v>
      </c>
      <c r="W47" s="4">
        <v>2</v>
      </c>
      <c r="X47" s="38">
        <f t="shared" si="8"/>
        <v>168.51</v>
      </c>
      <c r="Y47" s="32" t="e">
        <f>IF(+VLOOKUP(I47,P.Referencia!E:S,3,FALSE)&lt;=L47,"Champion","Gerente")</f>
        <v>#N/A</v>
      </c>
      <c r="Z47" s="39" t="e">
        <f>VLOOKUP(I47,P.Referencia!E:S,3,0)</f>
        <v>#N/A</v>
      </c>
      <c r="AA47" s="40" t="e">
        <f t="shared" si="5"/>
        <v>#N/A</v>
      </c>
      <c r="AB47" s="41" t="e">
        <f t="shared" si="6"/>
        <v>#N/A</v>
      </c>
      <c r="AC47" s="41" t="e">
        <f t="shared" si="7"/>
        <v>#N/A</v>
      </c>
    </row>
    <row r="48" spans="1:29" s="64" customFormat="1" hidden="1" x14ac:dyDescent="0.25">
      <c r="A48" s="32">
        <v>47</v>
      </c>
      <c r="C48" s="131" t="str">
        <f t="shared" si="0"/>
        <v>LlaveD81367243408100002532</v>
      </c>
      <c r="D48" s="33" t="str">
        <f>VLOOKUP(E48,'NO MODIFICAR'!J:K,2,0)</f>
        <v>D813</v>
      </c>
      <c r="E48" s="26" t="s">
        <v>6</v>
      </c>
      <c r="F48" s="33" t="str">
        <f>VLOOKUP(D48,'NO MODIFICAR'!F:H,3,0)</f>
        <v xml:space="preserve">CENTRO </v>
      </c>
      <c r="G48" s="92">
        <v>67243408</v>
      </c>
      <c r="H48" s="93" t="s">
        <v>182</v>
      </c>
      <c r="I48" s="94">
        <v>10000253</v>
      </c>
      <c r="J48" s="56" t="str">
        <f>VLOOKUP(I48,'Materiales,canteras'!C:D,2,0)</f>
        <v>Grava Triturada Andesita 20 mm</v>
      </c>
      <c r="K48" s="33">
        <f>VLOOKUP(I48,'Materiales,canteras'!C:E,3,0)</f>
        <v>1.385</v>
      </c>
      <c r="L48" s="105">
        <v>103.9</v>
      </c>
      <c r="M48" s="28" t="s">
        <v>93</v>
      </c>
      <c r="N48" s="57">
        <f t="shared" ca="1" si="1"/>
        <v>46267</v>
      </c>
      <c r="O48" s="32" t="s">
        <v>113</v>
      </c>
      <c r="S48" s="89">
        <v>150</v>
      </c>
      <c r="T48" s="36">
        <f t="shared" si="2"/>
        <v>-46.099999999999994</v>
      </c>
      <c r="U48" s="46">
        <f t="shared" si="9"/>
        <v>103.9</v>
      </c>
      <c r="V48" s="30">
        <v>0</v>
      </c>
      <c r="W48" s="4">
        <v>2</v>
      </c>
      <c r="X48" s="38">
        <f t="shared" si="8"/>
        <v>103.9</v>
      </c>
      <c r="Y48" s="32" t="e">
        <f>IF(+VLOOKUP(I48,P.Referencia!E:S,3,FALSE)&lt;=L48,"Champion","Gerente")</f>
        <v>#N/A</v>
      </c>
      <c r="Z48" s="39" t="e">
        <f>VLOOKUP(I48,P.Referencia!E:S,3,0)</f>
        <v>#N/A</v>
      </c>
      <c r="AA48" s="40" t="e">
        <f t="shared" si="5"/>
        <v>#N/A</v>
      </c>
      <c r="AB48" s="41" t="e">
        <f t="shared" si="6"/>
        <v>#N/A</v>
      </c>
      <c r="AC48" s="41" t="e">
        <f t="shared" si="7"/>
        <v>#N/A</v>
      </c>
    </row>
    <row r="49" spans="1:29" s="64" customFormat="1" hidden="1" x14ac:dyDescent="0.25">
      <c r="A49" s="32">
        <v>48</v>
      </c>
      <c r="C49" s="131" t="str">
        <f t="shared" si="0"/>
        <v>LlaveD81367243408100023502</v>
      </c>
      <c r="D49" s="33" t="str">
        <f>VLOOKUP(E49,'NO MODIFICAR'!J:K,2,0)</f>
        <v>D813</v>
      </c>
      <c r="E49" s="26" t="s">
        <v>6</v>
      </c>
      <c r="F49" s="33" t="str">
        <f>VLOOKUP(D49,'NO MODIFICAR'!F:H,3,0)</f>
        <v xml:space="preserve">CENTRO </v>
      </c>
      <c r="G49" s="92">
        <v>67243408</v>
      </c>
      <c r="H49" s="93" t="s">
        <v>182</v>
      </c>
      <c r="I49" s="94">
        <v>10002350</v>
      </c>
      <c r="J49" s="56" t="str">
        <f>VLOOKUP(I49,'Materiales,canteras'!C:D,2,0)</f>
        <v>Grava Triturada Andesita 10mm-</v>
      </c>
      <c r="K49" s="33">
        <f>VLOOKUP(I49,'Materiales,canteras'!C:E,3,0)</f>
        <v>1.246</v>
      </c>
      <c r="L49" s="105">
        <v>120.49</v>
      </c>
      <c r="M49" s="28" t="s">
        <v>93</v>
      </c>
      <c r="N49" s="57">
        <f t="shared" ca="1" si="1"/>
        <v>46267</v>
      </c>
      <c r="O49" s="32" t="s">
        <v>113</v>
      </c>
      <c r="S49" s="89">
        <v>150</v>
      </c>
      <c r="T49" s="36">
        <f t="shared" si="2"/>
        <v>-29.510000000000005</v>
      </c>
      <c r="U49" s="46">
        <f t="shared" si="9"/>
        <v>120.49</v>
      </c>
      <c r="V49" s="30">
        <v>0</v>
      </c>
      <c r="W49" s="4">
        <v>2</v>
      </c>
      <c r="X49" s="38">
        <f t="shared" si="8"/>
        <v>120.49</v>
      </c>
      <c r="Y49" s="32" t="e">
        <f>IF(+VLOOKUP(I49,P.Referencia!E:S,3,FALSE)&lt;=L49,"Champion","Gerente")</f>
        <v>#N/A</v>
      </c>
      <c r="Z49" s="39" t="e">
        <f>VLOOKUP(I49,P.Referencia!E:S,3,0)</f>
        <v>#N/A</v>
      </c>
      <c r="AA49" s="40" t="e">
        <f t="shared" si="5"/>
        <v>#N/A</v>
      </c>
      <c r="AB49" s="41" t="e">
        <f t="shared" si="6"/>
        <v>#N/A</v>
      </c>
      <c r="AC49" s="41" t="e">
        <f t="shared" si="7"/>
        <v>#N/A</v>
      </c>
    </row>
    <row r="50" spans="1:29" s="64" customFormat="1" hidden="1" x14ac:dyDescent="0.25">
      <c r="A50" s="32">
        <v>49</v>
      </c>
      <c r="C50" s="131" t="str">
        <f t="shared" si="0"/>
        <v>LlaveD86167321663100014501</v>
      </c>
      <c r="D50" s="33" t="str">
        <f>VLOOKUP(E50,'NO MODIFICAR'!J:K,2,0)</f>
        <v>D861</v>
      </c>
      <c r="E50" s="26" t="s">
        <v>44</v>
      </c>
      <c r="F50" s="33" t="str">
        <f>VLOOKUP(D50,'NO MODIFICAR'!F:H,3,0)</f>
        <v xml:space="preserve">CENTRO </v>
      </c>
      <c r="G50" s="92">
        <v>67321663</v>
      </c>
      <c r="H50" s="93" t="s">
        <v>185</v>
      </c>
      <c r="I50" s="94">
        <v>10001450</v>
      </c>
      <c r="J50" s="56" t="str">
        <f>VLOOKUP(I50,'Materiales,canteras'!C:D,2,0)</f>
        <v>Base Hidraúlica Basalto de 1 /1/2</v>
      </c>
      <c r="K50" s="33">
        <f>VLOOKUP(I50,'Materiales,canteras'!C:E,3,0)</f>
        <v>1.7490000000000001</v>
      </c>
      <c r="L50" s="105">
        <v>195</v>
      </c>
      <c r="M50" s="28" t="s">
        <v>93</v>
      </c>
      <c r="N50" s="57">
        <f t="shared" ca="1" si="1"/>
        <v>46267</v>
      </c>
      <c r="O50" s="32" t="s">
        <v>113</v>
      </c>
      <c r="R50" s="65">
        <f>1.5/100</f>
        <v>1.4999999999999999E-2</v>
      </c>
      <c r="S50" s="89">
        <v>260</v>
      </c>
      <c r="T50" s="66">
        <f t="shared" ref="T50:T81" si="10">L50-(S50-(S50*R50))</f>
        <v>-61.100000000000023</v>
      </c>
      <c r="U50" s="46">
        <f t="shared" si="9"/>
        <v>195</v>
      </c>
      <c r="V50" s="30">
        <v>45</v>
      </c>
      <c r="W50" s="4">
        <v>1</v>
      </c>
      <c r="X50" s="38">
        <f t="shared" si="8"/>
        <v>240</v>
      </c>
      <c r="Y50" s="32" t="e">
        <f>IF(+VLOOKUP(I50,P.Referencia!E:S,3,FALSE)&lt;=L50,"Champion","Gerente")</f>
        <v>#N/A</v>
      </c>
      <c r="Z50" s="39" t="e">
        <f>VLOOKUP(I50,P.Referencia!E:S,3,0)</f>
        <v>#N/A</v>
      </c>
      <c r="AA50" s="40" t="e">
        <f t="shared" si="5"/>
        <v>#N/A</v>
      </c>
      <c r="AB50" s="41" t="e">
        <f t="shared" si="6"/>
        <v>#N/A</v>
      </c>
      <c r="AC50" s="41" t="e">
        <f t="shared" si="7"/>
        <v>#N/A</v>
      </c>
    </row>
    <row r="51" spans="1:29" s="64" customFormat="1" hidden="1" x14ac:dyDescent="0.25">
      <c r="A51" s="32">
        <v>50</v>
      </c>
      <c r="C51" s="131" t="str">
        <f t="shared" si="0"/>
        <v>LlaveD86167321663100003111</v>
      </c>
      <c r="D51" s="33" t="str">
        <f>VLOOKUP(E51,'NO MODIFICAR'!J:K,2,0)</f>
        <v>D861</v>
      </c>
      <c r="E51" s="26" t="s">
        <v>44</v>
      </c>
      <c r="F51" s="33" t="str">
        <f>VLOOKUP(D51,'NO MODIFICAR'!F:H,3,0)</f>
        <v xml:space="preserve">CENTRO </v>
      </c>
      <c r="G51" s="92">
        <v>67321663</v>
      </c>
      <c r="H51" s="93" t="s">
        <v>185</v>
      </c>
      <c r="I51" s="94">
        <v>10000311</v>
      </c>
      <c r="J51" s="56" t="str">
        <f>VLOOKUP(I51,'Materiales,canteras'!C:D,2,0)</f>
        <v>Arena Triturada Basalto  Malla</v>
      </c>
      <c r="K51" s="33">
        <f>VLOOKUP(I51,'Materiales,canteras'!C:E,3,0)</f>
        <v>1.651</v>
      </c>
      <c r="L51" s="105">
        <v>195</v>
      </c>
      <c r="M51" s="28" t="s">
        <v>93</v>
      </c>
      <c r="N51" s="57">
        <f t="shared" ca="1" si="1"/>
        <v>46267</v>
      </c>
      <c r="O51" s="32" t="s">
        <v>113</v>
      </c>
      <c r="R51" s="65">
        <f>1.5/100</f>
        <v>1.4999999999999999E-2</v>
      </c>
      <c r="S51" s="89">
        <v>260</v>
      </c>
      <c r="T51" s="66">
        <f t="shared" si="10"/>
        <v>-61.100000000000023</v>
      </c>
      <c r="U51" s="46">
        <f t="shared" si="9"/>
        <v>195</v>
      </c>
      <c r="V51" s="30">
        <v>45</v>
      </c>
      <c r="W51" s="4">
        <v>1</v>
      </c>
      <c r="X51" s="38">
        <f t="shared" si="8"/>
        <v>240</v>
      </c>
      <c r="Y51" s="32" t="e">
        <f>IF(+VLOOKUP(I51,P.Referencia!E:S,3,FALSE)&lt;=L51,"Champion","Gerente")</f>
        <v>#N/A</v>
      </c>
      <c r="Z51" s="39" t="e">
        <f>VLOOKUP(I51,P.Referencia!E:S,3,0)</f>
        <v>#N/A</v>
      </c>
      <c r="AA51" s="40" t="e">
        <f t="shared" si="5"/>
        <v>#N/A</v>
      </c>
      <c r="AB51" s="41" t="e">
        <f t="shared" si="6"/>
        <v>#N/A</v>
      </c>
      <c r="AC51" s="41" t="e">
        <f t="shared" si="7"/>
        <v>#N/A</v>
      </c>
    </row>
    <row r="52" spans="1:29" s="64" customFormat="1" hidden="1" x14ac:dyDescent="0.25">
      <c r="A52" s="32">
        <v>51</v>
      </c>
      <c r="C52" s="131" t="str">
        <f t="shared" si="0"/>
        <v>LlaveD81367248861100002552</v>
      </c>
      <c r="D52" s="33" t="str">
        <f>VLOOKUP(E52,'NO MODIFICAR'!J:K,2,0)</f>
        <v>D813</v>
      </c>
      <c r="E52" s="26" t="s">
        <v>6</v>
      </c>
      <c r="F52" s="33" t="str">
        <f>VLOOKUP(D52,'NO MODIFICAR'!F:H,3,0)</f>
        <v xml:space="preserve">CENTRO </v>
      </c>
      <c r="G52" s="92">
        <v>67248861</v>
      </c>
      <c r="H52" s="93" t="s">
        <v>186</v>
      </c>
      <c r="I52" s="94">
        <v>10000255</v>
      </c>
      <c r="J52" s="56" t="str">
        <f>VLOOKUP(I52,'Materiales,canteras'!C:D,2,0)</f>
        <v>Arena Triturada Andesita Malla</v>
      </c>
      <c r="K52" s="33">
        <f>VLOOKUP(I52,'Materiales,canteras'!C:E,3,0)</f>
        <v>1.5349999999999999</v>
      </c>
      <c r="L52" s="105">
        <v>85</v>
      </c>
      <c r="M52" s="28" t="s">
        <v>93</v>
      </c>
      <c r="N52" s="57">
        <f t="shared" ca="1" si="1"/>
        <v>46267</v>
      </c>
      <c r="O52" s="32" t="s">
        <v>113</v>
      </c>
      <c r="R52" s="65">
        <f>1.5/100</f>
        <v>1.4999999999999999E-2</v>
      </c>
      <c r="S52" s="89">
        <v>150</v>
      </c>
      <c r="T52" s="66">
        <f t="shared" si="10"/>
        <v>-62.75</v>
      </c>
      <c r="U52" s="46">
        <f t="shared" si="9"/>
        <v>85</v>
      </c>
      <c r="V52" s="30">
        <v>0</v>
      </c>
      <c r="W52" s="4">
        <v>2</v>
      </c>
      <c r="X52" s="38">
        <f t="shared" si="8"/>
        <v>85</v>
      </c>
      <c r="Y52" s="32" t="e">
        <f>IF(+VLOOKUP(I52,P.Referencia!E:S,3,FALSE)&lt;=L52,"Champion","Gerente")</f>
        <v>#N/A</v>
      </c>
      <c r="Z52" s="39" t="e">
        <f>VLOOKUP(I52,P.Referencia!E:S,3,0)</f>
        <v>#N/A</v>
      </c>
      <c r="AA52" s="40" t="e">
        <f t="shared" si="5"/>
        <v>#N/A</v>
      </c>
      <c r="AB52" s="41" t="e">
        <f t="shared" si="6"/>
        <v>#N/A</v>
      </c>
      <c r="AC52" s="41" t="e">
        <f t="shared" si="7"/>
        <v>#N/A</v>
      </c>
    </row>
    <row r="53" spans="1:29" s="64" customFormat="1" hidden="1" x14ac:dyDescent="0.25">
      <c r="A53" s="32">
        <v>52</v>
      </c>
      <c r="C53" s="131" t="str">
        <f t="shared" si="0"/>
        <v>LlaveD81367248861100002532</v>
      </c>
      <c r="D53" s="33" t="str">
        <f>VLOOKUP(E53,'NO MODIFICAR'!J:K,2,0)</f>
        <v>D813</v>
      </c>
      <c r="E53" s="26" t="s">
        <v>6</v>
      </c>
      <c r="F53" s="33" t="str">
        <f>VLOOKUP(D53,'NO MODIFICAR'!F:H,3,0)</f>
        <v xml:space="preserve">CENTRO </v>
      </c>
      <c r="G53" s="92">
        <v>67248861</v>
      </c>
      <c r="H53" s="93" t="s">
        <v>186</v>
      </c>
      <c r="I53" s="94">
        <v>10000253</v>
      </c>
      <c r="J53" s="56" t="str">
        <f>VLOOKUP(I53,'Materiales,canteras'!C:D,2,0)</f>
        <v>Grava Triturada Andesita 20 mm</v>
      </c>
      <c r="K53" s="33">
        <f>VLOOKUP(I53,'Materiales,canteras'!C:E,3,0)</f>
        <v>1.385</v>
      </c>
      <c r="L53" s="105">
        <v>100</v>
      </c>
      <c r="M53" s="28" t="s">
        <v>93</v>
      </c>
      <c r="N53" s="57">
        <f t="shared" ca="1" si="1"/>
        <v>46267</v>
      </c>
      <c r="O53" s="32" t="s">
        <v>113</v>
      </c>
      <c r="R53" s="65">
        <v>1.4999999999999999E-2</v>
      </c>
      <c r="S53" s="89">
        <v>150</v>
      </c>
      <c r="T53" s="66">
        <f t="shared" si="10"/>
        <v>-47.75</v>
      </c>
      <c r="U53" s="46">
        <f t="shared" si="9"/>
        <v>100</v>
      </c>
      <c r="V53" s="30">
        <v>0</v>
      </c>
      <c r="W53" s="4">
        <v>2</v>
      </c>
      <c r="X53" s="38">
        <f t="shared" si="8"/>
        <v>100</v>
      </c>
      <c r="Y53" s="32" t="e">
        <f>IF(+VLOOKUP(I53,P.Referencia!E:S,3,FALSE)&lt;=L53,"Champion","Gerente")</f>
        <v>#N/A</v>
      </c>
      <c r="Z53" s="39" t="e">
        <f>VLOOKUP(I53,P.Referencia!E:S,3,0)</f>
        <v>#N/A</v>
      </c>
      <c r="AA53" s="40" t="e">
        <f t="shared" si="5"/>
        <v>#N/A</v>
      </c>
      <c r="AB53" s="41" t="e">
        <f t="shared" si="6"/>
        <v>#N/A</v>
      </c>
      <c r="AC53" s="41" t="e">
        <f t="shared" si="7"/>
        <v>#N/A</v>
      </c>
    </row>
    <row r="54" spans="1:29" s="64" customFormat="1" hidden="1" x14ac:dyDescent="0.25">
      <c r="A54" s="32">
        <v>53</v>
      </c>
      <c r="C54" s="131" t="str">
        <f t="shared" si="0"/>
        <v>LlaveD81367248861100023502</v>
      </c>
      <c r="D54" s="33" t="str">
        <f>VLOOKUP(E54,'NO MODIFICAR'!J:K,2,0)</f>
        <v>D813</v>
      </c>
      <c r="E54" s="26" t="s">
        <v>6</v>
      </c>
      <c r="F54" s="33" t="str">
        <f>VLOOKUP(D54,'NO MODIFICAR'!F:H,3,0)</f>
        <v xml:space="preserve">CENTRO </v>
      </c>
      <c r="G54" s="92">
        <v>67248861</v>
      </c>
      <c r="H54" s="93" t="s">
        <v>186</v>
      </c>
      <c r="I54" s="94">
        <v>10002350</v>
      </c>
      <c r="J54" s="56" t="str">
        <f>VLOOKUP(I54,'Materiales,canteras'!C:D,2,0)</f>
        <v>Grava Triturada Andesita 10mm-</v>
      </c>
      <c r="K54" s="33">
        <f>VLOOKUP(I54,'Materiales,canteras'!C:E,3,0)</f>
        <v>1.246</v>
      </c>
      <c r="L54" s="105">
        <v>95</v>
      </c>
      <c r="M54" s="28" t="s">
        <v>93</v>
      </c>
      <c r="N54" s="57">
        <f t="shared" ca="1" si="1"/>
        <v>46267</v>
      </c>
      <c r="O54" s="32" t="s">
        <v>113</v>
      </c>
      <c r="R54" s="65">
        <v>1.4999999999999999E-2</v>
      </c>
      <c r="S54" s="89">
        <v>150</v>
      </c>
      <c r="T54" s="66">
        <f t="shared" si="10"/>
        <v>-52.75</v>
      </c>
      <c r="U54" s="46">
        <f t="shared" si="9"/>
        <v>95</v>
      </c>
      <c r="V54" s="30">
        <v>0</v>
      </c>
      <c r="W54" s="4">
        <v>2</v>
      </c>
      <c r="X54" s="38">
        <f t="shared" si="8"/>
        <v>95</v>
      </c>
      <c r="Y54" s="32" t="e">
        <f>IF(+VLOOKUP(I54,P.Referencia!E:S,3,FALSE)&lt;=L54,"Champion","Gerente")</f>
        <v>#N/A</v>
      </c>
      <c r="Z54" s="39" t="e">
        <f>VLOOKUP(I54,P.Referencia!E:S,3,0)</f>
        <v>#N/A</v>
      </c>
      <c r="AA54" s="40" t="e">
        <f t="shared" si="5"/>
        <v>#N/A</v>
      </c>
      <c r="AB54" s="41" t="e">
        <f t="shared" si="6"/>
        <v>#N/A</v>
      </c>
      <c r="AC54" s="41" t="e">
        <f t="shared" si="7"/>
        <v>#N/A</v>
      </c>
    </row>
    <row r="55" spans="1:29" s="64" customFormat="1" hidden="1" x14ac:dyDescent="0.25">
      <c r="A55" s="32">
        <v>54</v>
      </c>
      <c r="C55" s="131" t="str">
        <f t="shared" si="0"/>
        <v>LlaveD86466308834100002362</v>
      </c>
      <c r="D55" s="33" t="str">
        <f>VLOOKUP(E55,'NO MODIFICAR'!J:K,2,0)</f>
        <v>D864</v>
      </c>
      <c r="E55" s="26" t="s">
        <v>55</v>
      </c>
      <c r="F55" s="33" t="str">
        <f>VLOOKUP(D55,'NO MODIFICAR'!F:H,3,0)</f>
        <v xml:space="preserve">CENTRO </v>
      </c>
      <c r="G55" s="92">
        <v>66308834</v>
      </c>
      <c r="H55" s="93" t="s">
        <v>187</v>
      </c>
      <c r="I55" s="94">
        <v>10000236</v>
      </c>
      <c r="J55" s="56" t="str">
        <f>VLOOKUP(I55,'Materiales,canteras'!C:D,2,0)</f>
        <v>Grava Triturada Caliza 10 mm -</v>
      </c>
      <c r="K55" s="33">
        <f>VLOOKUP(I55,'Materiales,canteras'!C:E,3,0)</f>
        <v>1.41</v>
      </c>
      <c r="L55" s="105">
        <v>157.19999999999999</v>
      </c>
      <c r="M55" s="28" t="s">
        <v>93</v>
      </c>
      <c r="N55" s="57">
        <f t="shared" ca="1" si="1"/>
        <v>46267</v>
      </c>
      <c r="O55" s="32" t="s">
        <v>113</v>
      </c>
      <c r="S55" s="89">
        <v>240</v>
      </c>
      <c r="T55" s="66">
        <f t="shared" si="10"/>
        <v>-82.800000000000011</v>
      </c>
      <c r="U55" s="46">
        <f t="shared" si="9"/>
        <v>157.19999999999999</v>
      </c>
      <c r="V55" s="30">
        <v>0</v>
      </c>
      <c r="W55" s="4">
        <v>2</v>
      </c>
      <c r="X55" s="38">
        <f t="shared" si="8"/>
        <v>157.19999999999999</v>
      </c>
      <c r="Y55" s="32" t="e">
        <f>IF(+VLOOKUP(I55,P.Referencia!E:S,3,FALSE)&lt;=L55,"Champion","Gerente")</f>
        <v>#N/A</v>
      </c>
      <c r="Z55" s="39" t="e">
        <f>VLOOKUP(I55,P.Referencia!E:S,3,0)</f>
        <v>#N/A</v>
      </c>
      <c r="AA55" s="40" t="e">
        <f t="shared" si="5"/>
        <v>#N/A</v>
      </c>
      <c r="AB55" s="41" t="e">
        <f t="shared" si="6"/>
        <v>#N/A</v>
      </c>
      <c r="AC55" s="41" t="e">
        <f t="shared" si="7"/>
        <v>#N/A</v>
      </c>
    </row>
    <row r="56" spans="1:29" s="64" customFormat="1" hidden="1" x14ac:dyDescent="0.25">
      <c r="A56" s="32">
        <v>55</v>
      </c>
      <c r="C56" s="131" t="str">
        <f t="shared" si="0"/>
        <v>LlaveD9026728177410226537</v>
      </c>
      <c r="D56" s="33" t="str">
        <f>VLOOKUP(E56,'NO MODIFICAR'!J:K,2,0)</f>
        <v>D902</v>
      </c>
      <c r="E56" s="26" t="s">
        <v>79</v>
      </c>
      <c r="F56" s="33" t="str">
        <f>VLOOKUP(D56,'NO MODIFICAR'!F:H,3,0)</f>
        <v>SURESTE</v>
      </c>
      <c r="G56" s="92">
        <v>67281774</v>
      </c>
      <c r="H56" s="93" t="s">
        <v>188</v>
      </c>
      <c r="I56" s="94">
        <v>10226537</v>
      </c>
      <c r="J56" s="56" t="str">
        <f>VLOOKUP(I56,'Materiales,canteras'!C:D,2,0)</f>
        <v>SCREEN (DESPOLVE NOCLA)</v>
      </c>
      <c r="K56" s="33">
        <f>VLOOKUP(I56,'Materiales,canteras'!C:E,3,0)</f>
        <v>1.5329999999999999</v>
      </c>
      <c r="L56" s="105">
        <v>29.35</v>
      </c>
      <c r="M56" s="28" t="s">
        <v>93</v>
      </c>
      <c r="N56" s="57">
        <f t="shared" ca="1" si="1"/>
        <v>46267</v>
      </c>
      <c r="O56" s="32" t="s">
        <v>113</v>
      </c>
      <c r="S56" s="89">
        <v>30</v>
      </c>
      <c r="T56" s="66">
        <f t="shared" si="10"/>
        <v>-0.64999999999999858</v>
      </c>
      <c r="U56" s="46">
        <f t="shared" si="9"/>
        <v>29.35</v>
      </c>
      <c r="V56" s="30">
        <v>0</v>
      </c>
      <c r="W56" s="4"/>
      <c r="X56" s="38">
        <f t="shared" si="8"/>
        <v>29.35</v>
      </c>
      <c r="Y56" s="32" t="e">
        <f>IF(+VLOOKUP(I56,P.Referencia!E:S,3,FALSE)&lt;=L56,"Champion","Gerente")</f>
        <v>#N/A</v>
      </c>
      <c r="Z56" s="39" t="e">
        <f>VLOOKUP(I56,P.Referencia!E:S,3,0)</f>
        <v>#N/A</v>
      </c>
      <c r="AA56" s="40" t="e">
        <f t="shared" si="5"/>
        <v>#N/A</v>
      </c>
      <c r="AB56" s="41" t="e">
        <f t="shared" si="6"/>
        <v>#N/A</v>
      </c>
      <c r="AC56" s="41" t="e">
        <f t="shared" si="7"/>
        <v>#N/A</v>
      </c>
    </row>
    <row r="57" spans="1:29" s="64" customFormat="1" hidden="1" x14ac:dyDescent="0.25">
      <c r="A57" s="32">
        <v>56</v>
      </c>
      <c r="C57" s="131" t="str">
        <f t="shared" si="0"/>
        <v>LlaveD9026521957510226537</v>
      </c>
      <c r="D57" s="33" t="str">
        <f>VLOOKUP(E57,'NO MODIFICAR'!J:K,2,0)</f>
        <v>D902</v>
      </c>
      <c r="E57" s="26" t="s">
        <v>79</v>
      </c>
      <c r="F57" s="33" t="str">
        <f>VLOOKUP(D57,'NO MODIFICAR'!F:H,3,0)</f>
        <v>SURESTE</v>
      </c>
      <c r="G57" s="92">
        <v>65219575</v>
      </c>
      <c r="H57" s="93" t="s">
        <v>189</v>
      </c>
      <c r="I57" s="94">
        <v>10226537</v>
      </c>
      <c r="J57" s="56" t="str">
        <f>VLOOKUP(I57,'Materiales,canteras'!C:D,2,0)</f>
        <v>SCREEN (DESPOLVE NOCLA)</v>
      </c>
      <c r="K57" s="33">
        <f>VLOOKUP(I57,'Materiales,canteras'!C:E,3,0)</f>
        <v>1.5329999999999999</v>
      </c>
      <c r="L57" s="105">
        <v>29.35</v>
      </c>
      <c r="M57" s="28" t="s">
        <v>93</v>
      </c>
      <c r="N57" s="57">
        <f t="shared" ca="1" si="1"/>
        <v>46267</v>
      </c>
      <c r="O57" s="32" t="s">
        <v>113</v>
      </c>
      <c r="S57" s="89">
        <v>30</v>
      </c>
      <c r="T57" s="66">
        <f t="shared" si="10"/>
        <v>-0.64999999999999858</v>
      </c>
      <c r="U57" s="46">
        <f t="shared" si="9"/>
        <v>29.35</v>
      </c>
      <c r="V57" s="30">
        <v>0</v>
      </c>
      <c r="W57" s="4"/>
      <c r="X57" s="38">
        <f t="shared" si="8"/>
        <v>29.35</v>
      </c>
      <c r="Y57" s="32" t="e">
        <f>IF(+VLOOKUP(I57,P.Referencia!E:S,3,FALSE)&lt;=L57,"Champion","Gerente")</f>
        <v>#N/A</v>
      </c>
      <c r="Z57" s="39" t="e">
        <f>VLOOKUP(I57,P.Referencia!E:S,3,0)</f>
        <v>#N/A</v>
      </c>
      <c r="AA57" s="40" t="e">
        <f t="shared" si="5"/>
        <v>#N/A</v>
      </c>
      <c r="AB57" s="41" t="e">
        <f t="shared" si="6"/>
        <v>#N/A</v>
      </c>
      <c r="AC57" s="41" t="e">
        <f t="shared" si="7"/>
        <v>#N/A</v>
      </c>
    </row>
    <row r="58" spans="1:29" s="64" customFormat="1" hidden="1" x14ac:dyDescent="0.25">
      <c r="A58" s="32">
        <v>57</v>
      </c>
      <c r="C58" s="131" t="str">
        <f t="shared" si="0"/>
        <v>LlaveD9026686305210226537</v>
      </c>
      <c r="D58" s="33" t="str">
        <f>VLOOKUP(E58,'NO MODIFICAR'!J:K,2,0)</f>
        <v>D902</v>
      </c>
      <c r="E58" s="26" t="s">
        <v>79</v>
      </c>
      <c r="F58" s="33" t="str">
        <f>VLOOKUP(D58,'NO MODIFICAR'!F:H,3,0)</f>
        <v>SURESTE</v>
      </c>
      <c r="G58" s="92">
        <v>66863052</v>
      </c>
      <c r="H58" s="93" t="s">
        <v>189</v>
      </c>
      <c r="I58" s="94">
        <v>10226537</v>
      </c>
      <c r="J58" s="56" t="str">
        <f>VLOOKUP(I58,'Materiales,canteras'!C:D,2,0)</f>
        <v>SCREEN (DESPOLVE NOCLA)</v>
      </c>
      <c r="K58" s="33">
        <f>VLOOKUP(I58,'Materiales,canteras'!C:E,3,0)</f>
        <v>1.5329999999999999</v>
      </c>
      <c r="L58" s="105">
        <v>29.35</v>
      </c>
      <c r="M58" s="28" t="s">
        <v>93</v>
      </c>
      <c r="N58" s="57">
        <f t="shared" ca="1" si="1"/>
        <v>46267</v>
      </c>
      <c r="O58" s="32" t="s">
        <v>113</v>
      </c>
      <c r="S58" s="89">
        <v>30</v>
      </c>
      <c r="T58" s="66">
        <f t="shared" si="10"/>
        <v>-0.64999999999999858</v>
      </c>
      <c r="U58" s="46">
        <f t="shared" si="9"/>
        <v>29.35</v>
      </c>
      <c r="V58" s="30">
        <v>0</v>
      </c>
      <c r="W58" s="4"/>
      <c r="X58" s="38">
        <f t="shared" si="8"/>
        <v>29.35</v>
      </c>
      <c r="Y58" s="32" t="e">
        <f>IF(+VLOOKUP(I58,P.Referencia!E:S,3,FALSE)&lt;=L58,"Champion","Gerente")</f>
        <v>#N/A</v>
      </c>
      <c r="Z58" s="39" t="e">
        <f>VLOOKUP(I58,P.Referencia!E:S,3,0)</f>
        <v>#N/A</v>
      </c>
      <c r="AA58" s="40" t="e">
        <f t="shared" si="5"/>
        <v>#N/A</v>
      </c>
      <c r="AB58" s="41" t="e">
        <f t="shared" si="6"/>
        <v>#N/A</v>
      </c>
      <c r="AC58" s="41" t="e">
        <f t="shared" si="7"/>
        <v>#N/A</v>
      </c>
    </row>
    <row r="59" spans="1:29" s="64" customFormat="1" hidden="1" x14ac:dyDescent="0.25">
      <c r="A59" s="32">
        <v>58</v>
      </c>
      <c r="C59" s="131" t="str">
        <f t="shared" si="0"/>
        <v>LlaveD86165164446100002332</v>
      </c>
      <c r="D59" s="33" t="str">
        <f>VLOOKUP(E59,'NO MODIFICAR'!J:K,2,0)</f>
        <v>D861</v>
      </c>
      <c r="E59" s="26" t="s">
        <v>44</v>
      </c>
      <c r="F59" s="33" t="str">
        <f>VLOOKUP(D59,'NO MODIFICAR'!F:H,3,0)</f>
        <v xml:space="preserve">CENTRO </v>
      </c>
      <c r="G59" s="92">
        <v>65164446</v>
      </c>
      <c r="H59" s="93" t="s">
        <v>200</v>
      </c>
      <c r="I59" s="94">
        <v>10000233</v>
      </c>
      <c r="J59" s="56" t="str">
        <f>VLOOKUP(I59,'Materiales,canteras'!C:D,2,0)</f>
        <v>Grava Triturada Basalto  40 mm</v>
      </c>
      <c r="K59" s="33">
        <f>VLOOKUP(I59,'Materiales,canteras'!C:E,3,0)</f>
        <v>1.456</v>
      </c>
      <c r="L59" s="105">
        <v>235</v>
      </c>
      <c r="M59" s="28" t="s">
        <v>93</v>
      </c>
      <c r="N59" s="57">
        <f t="shared" ca="1" si="1"/>
        <v>46267</v>
      </c>
      <c r="O59" s="32" t="s">
        <v>201</v>
      </c>
      <c r="R59" s="65">
        <v>1.4999999999999999E-2</v>
      </c>
      <c r="S59" s="89">
        <v>282</v>
      </c>
      <c r="T59" s="66">
        <f t="shared" si="10"/>
        <v>-42.769999999999982</v>
      </c>
      <c r="U59" s="46">
        <f t="shared" si="9"/>
        <v>235</v>
      </c>
      <c r="V59" s="30">
        <v>0</v>
      </c>
      <c r="W59" s="4">
        <v>2</v>
      </c>
      <c r="X59" s="38"/>
      <c r="Y59" s="32" t="e">
        <f>IF(+VLOOKUP(I59,P.Referencia!E:S,3,FALSE)&lt;=L59,"Champion","Gerente")</f>
        <v>#N/A</v>
      </c>
      <c r="Z59" s="39" t="e">
        <f>VLOOKUP(I59,P.Referencia!E:S,3,0)</f>
        <v>#N/A</v>
      </c>
      <c r="AA59" s="40" t="e">
        <f t="shared" si="5"/>
        <v>#N/A</v>
      </c>
      <c r="AB59" s="41" t="e">
        <f t="shared" si="6"/>
        <v>#N/A</v>
      </c>
      <c r="AC59" s="41" t="e">
        <f t="shared" si="7"/>
        <v>#N/A</v>
      </c>
    </row>
    <row r="60" spans="1:29" s="64" customFormat="1" hidden="1" x14ac:dyDescent="0.25">
      <c r="A60" s="32">
        <v>59</v>
      </c>
      <c r="C60" s="131" t="str">
        <f t="shared" si="0"/>
        <v>LlaveD81367320967100002532</v>
      </c>
      <c r="D60" s="33" t="str">
        <f>VLOOKUP(E60,'NO MODIFICAR'!J:K,2,0)</f>
        <v>D813</v>
      </c>
      <c r="E60" s="26" t="s">
        <v>6</v>
      </c>
      <c r="F60" s="33" t="str">
        <f>VLOOKUP(D60,'NO MODIFICAR'!F:H,3,0)</f>
        <v xml:space="preserve">CENTRO </v>
      </c>
      <c r="G60" s="92">
        <v>67320967</v>
      </c>
      <c r="H60" s="93" t="s">
        <v>202</v>
      </c>
      <c r="I60" s="94">
        <v>10000253</v>
      </c>
      <c r="J60" s="56" t="s">
        <v>127</v>
      </c>
      <c r="K60" s="33">
        <f>VLOOKUP(I60,'Materiales,canteras'!C:E,3,0)</f>
        <v>1.385</v>
      </c>
      <c r="L60" s="105">
        <v>100</v>
      </c>
      <c r="M60" s="28" t="s">
        <v>93</v>
      </c>
      <c r="N60" s="57">
        <f t="shared" ca="1" si="1"/>
        <v>46267</v>
      </c>
      <c r="O60" s="32" t="s">
        <v>201</v>
      </c>
      <c r="R60" s="65">
        <v>1.4999999999999999E-2</v>
      </c>
      <c r="S60" s="89">
        <v>150</v>
      </c>
      <c r="T60" s="66">
        <f t="shared" si="10"/>
        <v>-47.75</v>
      </c>
      <c r="U60" s="46">
        <f t="shared" si="9"/>
        <v>100</v>
      </c>
      <c r="V60" s="87">
        <v>0</v>
      </c>
      <c r="W60" s="4">
        <v>2</v>
      </c>
      <c r="X60" s="67">
        <f t="shared" ref="X60:X123" si="11">U60+V60</f>
        <v>100</v>
      </c>
      <c r="Y60" s="32" t="e">
        <f>IF(+VLOOKUP(I60,P.Referencia!E:S,3,FALSE)&lt;=L60,"Champion","Gerente")</f>
        <v>#N/A</v>
      </c>
      <c r="Z60" s="39" t="e">
        <f>VLOOKUP(I60,P.Referencia!E:S,3,0)</f>
        <v>#N/A</v>
      </c>
      <c r="AA60" s="40" t="e">
        <f t="shared" si="5"/>
        <v>#N/A</v>
      </c>
      <c r="AB60" s="41" t="e">
        <f t="shared" si="6"/>
        <v>#N/A</v>
      </c>
      <c r="AC60" s="41" t="e">
        <f t="shared" si="7"/>
        <v>#N/A</v>
      </c>
    </row>
    <row r="61" spans="1:29" s="64" customFormat="1" hidden="1" x14ac:dyDescent="0.25">
      <c r="A61" s="32">
        <v>60</v>
      </c>
      <c r="C61" s="131" t="str">
        <f t="shared" si="0"/>
        <v>LlaveDU0767323242100001032</v>
      </c>
      <c r="D61" s="33" t="str">
        <f>VLOOKUP(E61,'NO MODIFICAR'!J:K,2,0)</f>
        <v>DU07</v>
      </c>
      <c r="E61" s="26" t="s">
        <v>87</v>
      </c>
      <c r="F61" s="33" t="str">
        <f>VLOOKUP(D61,'NO MODIFICAR'!F:H,3,0)</f>
        <v>SURESTE</v>
      </c>
      <c r="G61" s="92">
        <v>67323242</v>
      </c>
      <c r="H61" s="93" t="s">
        <v>204</v>
      </c>
      <c r="I61" s="94">
        <v>10000103</v>
      </c>
      <c r="J61" s="56" t="str">
        <f>VLOOKUP(I61,'Materiales,canteras'!C:D,2,0)</f>
        <v>Base H Triturada Caliza 1 1/2" a Finos</v>
      </c>
      <c r="K61" s="33">
        <f>VLOOKUP(I61,'Materiales,canteras'!C:E,3,0)</f>
        <v>1.462</v>
      </c>
      <c r="L61" s="105">
        <v>123.119</v>
      </c>
      <c r="M61" s="28" t="s">
        <v>93</v>
      </c>
      <c r="N61" s="57">
        <f t="shared" ca="1" si="1"/>
        <v>46267</v>
      </c>
      <c r="O61" s="32" t="s">
        <v>201</v>
      </c>
      <c r="R61" s="64">
        <v>1.4999999999999999E-2</v>
      </c>
      <c r="S61" s="89">
        <v>150</v>
      </c>
      <c r="T61" s="66">
        <f t="shared" si="10"/>
        <v>-24.631</v>
      </c>
      <c r="U61" s="46">
        <f t="shared" si="9"/>
        <v>123.119</v>
      </c>
      <c r="V61" s="87">
        <v>0</v>
      </c>
      <c r="W61" s="4">
        <v>2</v>
      </c>
      <c r="X61" s="67">
        <f t="shared" si="11"/>
        <v>123.119</v>
      </c>
      <c r="Y61" s="32" t="e">
        <f>IF(+VLOOKUP(I61,P.Referencia!E:S,3,FALSE)&lt;=L61,"Champion","Gerente")</f>
        <v>#N/A</v>
      </c>
      <c r="Z61" s="39" t="e">
        <f>VLOOKUP(I61,P.Referencia!E:S,3,0)</f>
        <v>#N/A</v>
      </c>
      <c r="AA61" s="40" t="e">
        <f t="shared" si="5"/>
        <v>#N/A</v>
      </c>
      <c r="AB61" s="41" t="e">
        <f t="shared" si="6"/>
        <v>#N/A</v>
      </c>
      <c r="AC61" s="41" t="e">
        <f t="shared" si="7"/>
        <v>#N/A</v>
      </c>
    </row>
    <row r="62" spans="1:29" s="64" customFormat="1" hidden="1" x14ac:dyDescent="0.25">
      <c r="A62" s="32">
        <v>61</v>
      </c>
      <c r="C62" s="131" t="str">
        <f t="shared" si="0"/>
        <v>LlaveDU0767323138100001032</v>
      </c>
      <c r="D62" s="33" t="str">
        <f>VLOOKUP(E62,'NO MODIFICAR'!J:K,2,0)</f>
        <v>DU07</v>
      </c>
      <c r="E62" s="26" t="s">
        <v>87</v>
      </c>
      <c r="F62" s="33" t="str">
        <f>VLOOKUP(D62,'NO MODIFICAR'!F:H,3,0)</f>
        <v>SURESTE</v>
      </c>
      <c r="G62" s="92">
        <v>67323138</v>
      </c>
      <c r="H62" s="93" t="s">
        <v>205</v>
      </c>
      <c r="I62" s="94">
        <v>10000103</v>
      </c>
      <c r="J62" s="56" t="str">
        <f>VLOOKUP(I62,'Materiales,canteras'!C:D,2,0)</f>
        <v>Base H Triturada Caliza 1 1/2" a Finos</v>
      </c>
      <c r="K62" s="33">
        <f>VLOOKUP(I62,'Materiales,canteras'!C:E,3,0)</f>
        <v>1.462</v>
      </c>
      <c r="L62" s="105">
        <v>123.119</v>
      </c>
      <c r="M62" s="28" t="s">
        <v>93</v>
      </c>
      <c r="N62" s="57">
        <f t="shared" ca="1" si="1"/>
        <v>46267</v>
      </c>
      <c r="O62" s="32" t="s">
        <v>201</v>
      </c>
      <c r="R62" s="64">
        <v>1.4999999999999999E-2</v>
      </c>
      <c r="S62" s="89">
        <v>150</v>
      </c>
      <c r="T62" s="66">
        <f t="shared" si="10"/>
        <v>-24.631</v>
      </c>
      <c r="U62" s="46">
        <f t="shared" si="9"/>
        <v>123.119</v>
      </c>
      <c r="V62" s="87">
        <v>0</v>
      </c>
      <c r="W62" s="4">
        <v>2</v>
      </c>
      <c r="X62" s="67">
        <f t="shared" si="11"/>
        <v>123.119</v>
      </c>
      <c r="Y62" s="32" t="e">
        <f>IF(+VLOOKUP(I62,P.Referencia!E:S,3,FALSE)&lt;=L62,"Champion","Gerente")</f>
        <v>#N/A</v>
      </c>
      <c r="Z62" s="39" t="e">
        <f>VLOOKUP(I62,P.Referencia!E:S,3,0)</f>
        <v>#N/A</v>
      </c>
      <c r="AA62" s="40" t="e">
        <f t="shared" si="5"/>
        <v>#N/A</v>
      </c>
      <c r="AB62" s="41" t="e">
        <f t="shared" si="6"/>
        <v>#N/A</v>
      </c>
      <c r="AC62" s="41" t="e">
        <f t="shared" si="7"/>
        <v>#N/A</v>
      </c>
    </row>
    <row r="63" spans="1:29" s="64" customFormat="1" hidden="1" x14ac:dyDescent="0.25">
      <c r="A63" s="32">
        <v>62</v>
      </c>
      <c r="C63" s="131" t="str">
        <f t="shared" si="0"/>
        <v>LlaveDU0767204433100001032</v>
      </c>
      <c r="D63" s="33" t="str">
        <f>VLOOKUP(E63,'NO MODIFICAR'!J:K,2,0)</f>
        <v>DU07</v>
      </c>
      <c r="E63" s="26" t="s">
        <v>87</v>
      </c>
      <c r="F63" s="33" t="str">
        <f>VLOOKUP(D63,'NO MODIFICAR'!F:H,3,0)</f>
        <v>SURESTE</v>
      </c>
      <c r="G63" s="92">
        <v>67204433</v>
      </c>
      <c r="H63" s="93" t="s">
        <v>206</v>
      </c>
      <c r="I63" s="94">
        <v>10000103</v>
      </c>
      <c r="J63" s="56" t="str">
        <f>VLOOKUP(I63,'Materiales,canteras'!C:D,2,0)</f>
        <v>Base H Triturada Caliza 1 1/2" a Finos</v>
      </c>
      <c r="K63" s="33">
        <f>VLOOKUP(I63,'Materiales,canteras'!C:E,3,0)</f>
        <v>1.462</v>
      </c>
      <c r="L63" s="105">
        <v>112.86</v>
      </c>
      <c r="M63" s="28" t="s">
        <v>93</v>
      </c>
      <c r="N63" s="57">
        <f t="shared" ca="1" si="1"/>
        <v>46267</v>
      </c>
      <c r="O63" s="32" t="s">
        <v>113</v>
      </c>
      <c r="R63" s="64">
        <v>1.4999999999999999E-2</v>
      </c>
      <c r="S63" s="89">
        <v>150</v>
      </c>
      <c r="T63" s="66">
        <f t="shared" si="10"/>
        <v>-34.89</v>
      </c>
      <c r="U63" s="46">
        <f t="shared" si="9"/>
        <v>112.86</v>
      </c>
      <c r="V63" s="87">
        <v>0</v>
      </c>
      <c r="W63" s="4">
        <v>2</v>
      </c>
      <c r="X63" s="67">
        <f t="shared" si="11"/>
        <v>112.86</v>
      </c>
      <c r="Y63" s="32" t="e">
        <f>IF(+VLOOKUP(I63,P.Referencia!E:S,3,FALSE)&lt;=L63,"Champion","Gerente")</f>
        <v>#N/A</v>
      </c>
      <c r="Z63" s="39" t="e">
        <f>VLOOKUP(I63,P.Referencia!E:S,3,0)</f>
        <v>#N/A</v>
      </c>
      <c r="AA63" s="40" t="e">
        <f t="shared" si="5"/>
        <v>#N/A</v>
      </c>
      <c r="AB63" s="41" t="e">
        <f t="shared" si="6"/>
        <v>#N/A</v>
      </c>
      <c r="AC63" s="41" t="e">
        <f t="shared" si="7"/>
        <v>#N/A</v>
      </c>
    </row>
    <row r="64" spans="1:29" s="64" customFormat="1" hidden="1" x14ac:dyDescent="0.25">
      <c r="A64" s="32">
        <v>63</v>
      </c>
      <c r="B64" s="64" t="s">
        <v>373</v>
      </c>
      <c r="C64" s="131" t="str">
        <f t="shared" si="0"/>
        <v>LlaveD86467011332100002402</v>
      </c>
      <c r="D64" s="33" t="str">
        <f>VLOOKUP(E64,'NO MODIFICAR'!J:K,2,0)</f>
        <v>D864</v>
      </c>
      <c r="E64" s="26" t="s">
        <v>55</v>
      </c>
      <c r="F64" s="33" t="str">
        <f>VLOOKUP(D64,'NO MODIFICAR'!F:H,3,0)</f>
        <v xml:space="preserve">CENTRO </v>
      </c>
      <c r="G64" s="92">
        <v>67011332</v>
      </c>
      <c r="H64" s="93" t="s">
        <v>207</v>
      </c>
      <c r="I64" s="94">
        <v>10000240</v>
      </c>
      <c r="J64" s="56" t="str">
        <f>VLOOKUP(I64,'Materiales,canteras'!C:D,2,0)</f>
        <v>Grava Triturada Caliza 20 mm -</v>
      </c>
      <c r="K64" s="33">
        <f>VLOOKUP(I64,'Materiales,canteras'!C:E,3,0)</f>
        <v>1.462</v>
      </c>
      <c r="L64" s="105">
        <v>127</v>
      </c>
      <c r="M64" s="28" t="s">
        <v>93</v>
      </c>
      <c r="N64" s="57">
        <f t="shared" ca="1" si="1"/>
        <v>46267</v>
      </c>
      <c r="O64" s="32" t="s">
        <v>113</v>
      </c>
      <c r="R64" s="64">
        <v>1.4999999999999999E-2</v>
      </c>
      <c r="S64" s="89">
        <v>280</v>
      </c>
      <c r="T64" s="66">
        <f t="shared" si="10"/>
        <v>-148.80000000000001</v>
      </c>
      <c r="U64" s="46">
        <f t="shared" si="9"/>
        <v>127</v>
      </c>
      <c r="V64" s="87">
        <v>0</v>
      </c>
      <c r="W64" s="4">
        <v>2</v>
      </c>
      <c r="X64" s="67">
        <f t="shared" si="11"/>
        <v>127</v>
      </c>
      <c r="Y64" s="32" t="e">
        <f>IF(+VLOOKUP(I64,P.Referencia!E:S,3,FALSE)&lt;=L64,"Champion","Gerente")</f>
        <v>#N/A</v>
      </c>
      <c r="Z64" s="39" t="e">
        <f>VLOOKUP(I64,P.Referencia!E:S,3,0)</f>
        <v>#N/A</v>
      </c>
      <c r="AA64" s="40" t="e">
        <f t="shared" si="5"/>
        <v>#N/A</v>
      </c>
      <c r="AB64" s="41" t="e">
        <f t="shared" si="6"/>
        <v>#N/A</v>
      </c>
      <c r="AC64" s="41" t="e">
        <f t="shared" si="7"/>
        <v>#N/A</v>
      </c>
    </row>
    <row r="65" spans="1:29" s="64" customFormat="1" hidden="1" x14ac:dyDescent="0.25">
      <c r="A65" s="32">
        <v>64</v>
      </c>
      <c r="B65" s="64" t="s">
        <v>374</v>
      </c>
      <c r="C65" s="131" t="str">
        <f t="shared" si="0"/>
        <v>LlaveD86467011332100010732</v>
      </c>
      <c r="D65" s="33" t="str">
        <f>VLOOKUP(E65,'NO MODIFICAR'!J:K,2,0)</f>
        <v>D864</v>
      </c>
      <c r="E65" s="26" t="s">
        <v>55</v>
      </c>
      <c r="F65" s="33" t="str">
        <f>VLOOKUP(D65,'NO MODIFICAR'!F:H,3,0)</f>
        <v xml:space="preserve">CENTRO </v>
      </c>
      <c r="G65" s="92">
        <v>67011332</v>
      </c>
      <c r="H65" s="93" t="s">
        <v>207</v>
      </c>
      <c r="I65" s="94">
        <v>10001073</v>
      </c>
      <c r="J65" s="56" t="str">
        <f>VLOOKUP(I65,'Materiales,canteras'!C:D,2,0)</f>
        <v>Arena Triturada Caliza Malla 4</v>
      </c>
      <c r="K65" s="33">
        <f>VLOOKUP(I65,'Materiales,canteras'!C:E,3,0)</f>
        <v>1.56</v>
      </c>
      <c r="L65" s="105">
        <v>85</v>
      </c>
      <c r="M65" s="28" t="s">
        <v>93</v>
      </c>
      <c r="N65" s="57">
        <f t="shared" ca="1" si="1"/>
        <v>46267</v>
      </c>
      <c r="O65" s="32" t="s">
        <v>201</v>
      </c>
      <c r="R65" s="64">
        <v>1.4999999999999999E-2</v>
      </c>
      <c r="S65" s="89">
        <v>150</v>
      </c>
      <c r="T65" s="66">
        <f t="shared" si="10"/>
        <v>-62.75</v>
      </c>
      <c r="U65" s="46">
        <f t="shared" si="9"/>
        <v>85</v>
      </c>
      <c r="V65" s="87">
        <v>0</v>
      </c>
      <c r="W65" s="4">
        <v>2</v>
      </c>
      <c r="X65" s="67">
        <f t="shared" si="11"/>
        <v>85</v>
      </c>
      <c r="Y65" s="32" t="e">
        <f>IF(+VLOOKUP(I65,P.Referencia!E:S,3,FALSE)&lt;=L65,"Champion","Gerente")</f>
        <v>#N/A</v>
      </c>
      <c r="Z65" s="39" t="e">
        <f>VLOOKUP(I65,P.Referencia!E:S,3,0)</f>
        <v>#N/A</v>
      </c>
      <c r="AA65" s="40" t="e">
        <f t="shared" si="5"/>
        <v>#N/A</v>
      </c>
      <c r="AB65" s="41" t="e">
        <f t="shared" si="6"/>
        <v>#N/A</v>
      </c>
      <c r="AC65" s="41" t="e">
        <f t="shared" si="7"/>
        <v>#N/A</v>
      </c>
    </row>
    <row r="66" spans="1:29" s="64" customFormat="1" hidden="1" x14ac:dyDescent="0.25">
      <c r="A66" s="32">
        <v>65</v>
      </c>
      <c r="B66" s="64" t="s">
        <v>374</v>
      </c>
      <c r="C66" s="131" t="str">
        <f t="shared" ref="C66:C129" si="12">_xlfn.CONCAT($C$1,D66,G66,I66,W66)</f>
        <v>LlaveD86467162298100002402</v>
      </c>
      <c r="D66" s="33" t="str">
        <f>VLOOKUP(E66,'NO MODIFICAR'!J:K,2,0)</f>
        <v>D864</v>
      </c>
      <c r="E66" s="26" t="s">
        <v>55</v>
      </c>
      <c r="F66" s="33" t="str">
        <f>VLOOKUP(D66,'NO MODIFICAR'!F:H,3,0)</f>
        <v xml:space="preserve">CENTRO </v>
      </c>
      <c r="G66" s="92">
        <v>67162298</v>
      </c>
      <c r="H66" s="93" t="s">
        <v>208</v>
      </c>
      <c r="I66" s="94">
        <v>10000240</v>
      </c>
      <c r="J66" s="56" t="str">
        <f>VLOOKUP(I66,'Materiales,canteras'!C:D,2,0)</f>
        <v>Grava Triturada Caliza 20 mm -</v>
      </c>
      <c r="K66" s="33">
        <f>VLOOKUP(I66,'Materiales,canteras'!C:E,3,0)</f>
        <v>1.462</v>
      </c>
      <c r="L66" s="105">
        <v>127</v>
      </c>
      <c r="M66" s="28" t="s">
        <v>93</v>
      </c>
      <c r="N66" s="57">
        <f t="shared" ref="N66:N129" ca="1" si="13">TODAY()</f>
        <v>46267</v>
      </c>
      <c r="O66" s="32" t="s">
        <v>201</v>
      </c>
      <c r="R66" s="64">
        <v>1.4999999999999999E-2</v>
      </c>
      <c r="S66" s="89">
        <v>280</v>
      </c>
      <c r="T66" s="66">
        <f t="shared" si="10"/>
        <v>-148.80000000000001</v>
      </c>
      <c r="U66" s="46">
        <f t="shared" si="9"/>
        <v>127</v>
      </c>
      <c r="V66" s="87">
        <v>0</v>
      </c>
      <c r="W66" s="4">
        <v>2</v>
      </c>
      <c r="X66" s="67">
        <f t="shared" si="11"/>
        <v>127</v>
      </c>
      <c r="Y66" s="32" t="e">
        <f>IF(+VLOOKUP(I66,P.Referencia!E:S,3,FALSE)&lt;=L66,"Champion","Gerente")</f>
        <v>#N/A</v>
      </c>
      <c r="Z66" s="39" t="e">
        <f>VLOOKUP(I66,P.Referencia!E:S,3,0)</f>
        <v>#N/A</v>
      </c>
      <c r="AA66" s="40" t="e">
        <f t="shared" ref="AA66:AA129" si="14">(Z66-U66)/U66</f>
        <v>#N/A</v>
      </c>
      <c r="AB66" s="41" t="e">
        <f t="shared" ref="AB66:AB129" si="15">U66*AA66</f>
        <v>#N/A</v>
      </c>
      <c r="AC66" s="41" t="e">
        <f t="shared" ref="AC66:AC129" si="16">U66+AB66</f>
        <v>#N/A</v>
      </c>
    </row>
    <row r="67" spans="1:29" s="64" customFormat="1" hidden="1" x14ac:dyDescent="0.25">
      <c r="A67" s="32">
        <v>66</v>
      </c>
      <c r="B67" s="64" t="s">
        <v>374</v>
      </c>
      <c r="C67" s="131" t="str">
        <f t="shared" si="12"/>
        <v>LlaveD86467162298100010732</v>
      </c>
      <c r="D67" s="33" t="str">
        <f>VLOOKUP(E67,'NO MODIFICAR'!J:K,2,0)</f>
        <v>D864</v>
      </c>
      <c r="E67" s="26" t="s">
        <v>55</v>
      </c>
      <c r="F67" s="33" t="str">
        <f>VLOOKUP(D67,'NO MODIFICAR'!F:H,3,0)</f>
        <v xml:space="preserve">CENTRO </v>
      </c>
      <c r="G67" s="92">
        <v>67162298</v>
      </c>
      <c r="H67" s="93" t="s">
        <v>208</v>
      </c>
      <c r="I67" s="94">
        <v>10001073</v>
      </c>
      <c r="J67" s="56" t="str">
        <f>VLOOKUP(I67,'Materiales,canteras'!C:D,2,0)</f>
        <v>Arena Triturada Caliza Malla 4</v>
      </c>
      <c r="K67" s="33">
        <f>VLOOKUP(I67,'Materiales,canteras'!C:E,3,0)</f>
        <v>1.56</v>
      </c>
      <c r="L67" s="105">
        <v>85</v>
      </c>
      <c r="M67" s="28" t="s">
        <v>93</v>
      </c>
      <c r="N67" s="57">
        <f t="shared" ca="1" si="13"/>
        <v>46267</v>
      </c>
      <c r="O67" s="32" t="s">
        <v>201</v>
      </c>
      <c r="R67" s="64">
        <v>1.4999999999999999E-2</v>
      </c>
      <c r="S67" s="89">
        <v>150</v>
      </c>
      <c r="T67" s="66">
        <f t="shared" si="10"/>
        <v>-62.75</v>
      </c>
      <c r="U67" s="46">
        <f t="shared" si="9"/>
        <v>85</v>
      </c>
      <c r="V67" s="87">
        <v>0</v>
      </c>
      <c r="W67" s="4">
        <v>2</v>
      </c>
      <c r="X67" s="67">
        <f t="shared" si="11"/>
        <v>85</v>
      </c>
      <c r="Y67" s="32" t="e">
        <f>IF(+VLOOKUP(I67,P.Referencia!E:S,3,FALSE)&lt;=L67,"Champion","Gerente")</f>
        <v>#N/A</v>
      </c>
      <c r="Z67" s="39" t="e">
        <f>VLOOKUP(I67,P.Referencia!E:S,3,0)</f>
        <v>#N/A</v>
      </c>
      <c r="AA67" s="40" t="e">
        <f t="shared" si="14"/>
        <v>#N/A</v>
      </c>
      <c r="AB67" s="41" t="e">
        <f t="shared" si="15"/>
        <v>#N/A</v>
      </c>
      <c r="AC67" s="41" t="e">
        <f t="shared" si="16"/>
        <v>#N/A</v>
      </c>
    </row>
    <row r="68" spans="1:29" s="64" customFormat="1" hidden="1" x14ac:dyDescent="0.25">
      <c r="A68" s="32">
        <v>67</v>
      </c>
      <c r="B68" s="64" t="s">
        <v>374</v>
      </c>
      <c r="C68" s="131" t="str">
        <f t="shared" si="12"/>
        <v>LlaveD86467011332100002692</v>
      </c>
      <c r="D68" s="33" t="str">
        <f>VLOOKUP(E68,'NO MODIFICAR'!J:K,2,0)</f>
        <v>D864</v>
      </c>
      <c r="E68" s="26" t="s">
        <v>55</v>
      </c>
      <c r="F68" s="33" t="str">
        <f>VLOOKUP(D68,'NO MODIFICAR'!F:H,3,0)</f>
        <v xml:space="preserve">CENTRO </v>
      </c>
      <c r="G68" s="92">
        <v>67011332</v>
      </c>
      <c r="H68" s="93" t="s">
        <v>207</v>
      </c>
      <c r="I68" s="94">
        <v>10000269</v>
      </c>
      <c r="J68" s="56" t="str">
        <f>VLOOKUP(I68,'Materiales,canteras'!C:D,2,0)</f>
        <v>Grava Triturada Caliza 13 mm -</v>
      </c>
      <c r="K68" s="33">
        <f>VLOOKUP(I68,'Materiales,canteras'!C:E,3,0)</f>
        <v>1.423</v>
      </c>
      <c r="L68" s="105">
        <v>137</v>
      </c>
      <c r="M68" s="28" t="s">
        <v>93</v>
      </c>
      <c r="N68" s="57">
        <f t="shared" ca="1" si="13"/>
        <v>46267</v>
      </c>
      <c r="O68" s="32" t="s">
        <v>201</v>
      </c>
      <c r="R68" s="64">
        <v>1.4999999999999999E-2</v>
      </c>
      <c r="S68" s="89">
        <v>250</v>
      </c>
      <c r="T68" s="66">
        <f t="shared" si="10"/>
        <v>-109.25</v>
      </c>
      <c r="U68" s="46">
        <f t="shared" si="9"/>
        <v>137</v>
      </c>
      <c r="V68" s="27">
        <v>0</v>
      </c>
      <c r="W68" s="4">
        <v>2</v>
      </c>
      <c r="X68" s="67">
        <f t="shared" si="11"/>
        <v>137</v>
      </c>
      <c r="Y68" s="32" t="e">
        <f>IF(+VLOOKUP(I68,P.Referencia!E:S,3,FALSE)&lt;=L68,"Champion","Gerente")</f>
        <v>#N/A</v>
      </c>
      <c r="Z68" s="39" t="e">
        <f>VLOOKUP(I68,P.Referencia!E:S,3,0)</f>
        <v>#N/A</v>
      </c>
      <c r="AA68" s="40" t="e">
        <f t="shared" si="14"/>
        <v>#N/A</v>
      </c>
      <c r="AB68" s="41" t="e">
        <f t="shared" si="15"/>
        <v>#N/A</v>
      </c>
      <c r="AC68" s="41" t="e">
        <f t="shared" si="16"/>
        <v>#N/A</v>
      </c>
    </row>
    <row r="69" spans="1:29" s="64" customFormat="1" hidden="1" x14ac:dyDescent="0.25">
      <c r="A69" s="32">
        <v>68</v>
      </c>
      <c r="B69" s="64" t="s">
        <v>374</v>
      </c>
      <c r="C69" s="131" t="str">
        <f t="shared" si="12"/>
        <v>LlaveD86467162298100002692</v>
      </c>
      <c r="D69" s="33" t="str">
        <f>VLOOKUP(E69,'NO MODIFICAR'!J:K,2,0)</f>
        <v>D864</v>
      </c>
      <c r="E69" s="26" t="s">
        <v>55</v>
      </c>
      <c r="F69" s="33" t="str">
        <f>VLOOKUP(D69,'NO MODIFICAR'!F:H,3,0)</f>
        <v xml:space="preserve">CENTRO </v>
      </c>
      <c r="G69" s="92">
        <v>67162298</v>
      </c>
      <c r="H69" s="93" t="s">
        <v>208</v>
      </c>
      <c r="I69" s="94">
        <v>10000269</v>
      </c>
      <c r="J69" s="56" t="str">
        <f>VLOOKUP(I69,'Materiales,canteras'!C:D,2,0)</f>
        <v>Grava Triturada Caliza 13 mm -</v>
      </c>
      <c r="K69" s="33">
        <f>VLOOKUP(I69,'Materiales,canteras'!C:E,3,0)</f>
        <v>1.423</v>
      </c>
      <c r="L69" s="105">
        <v>137</v>
      </c>
      <c r="M69" s="28" t="s">
        <v>93</v>
      </c>
      <c r="N69" s="57">
        <f t="shared" ca="1" si="13"/>
        <v>46267</v>
      </c>
      <c r="O69" s="32" t="s">
        <v>201</v>
      </c>
      <c r="R69" s="64">
        <v>1.4999999999999999E-2</v>
      </c>
      <c r="S69" s="89">
        <v>250</v>
      </c>
      <c r="T69" s="66">
        <f t="shared" si="10"/>
        <v>-109.25</v>
      </c>
      <c r="U69" s="46">
        <f t="shared" si="9"/>
        <v>137</v>
      </c>
      <c r="V69" s="27">
        <v>0</v>
      </c>
      <c r="W69" s="4">
        <v>2</v>
      </c>
      <c r="X69" s="67">
        <f t="shared" si="11"/>
        <v>137</v>
      </c>
      <c r="Y69" s="32" t="e">
        <f>IF(+VLOOKUP(I69,P.Referencia!E:S,3,FALSE)&lt;=L69,"Champion","Gerente")</f>
        <v>#N/A</v>
      </c>
      <c r="Z69" s="39" t="e">
        <f>VLOOKUP(I69,P.Referencia!E:S,3,0)</f>
        <v>#N/A</v>
      </c>
      <c r="AA69" s="40" t="e">
        <f t="shared" si="14"/>
        <v>#N/A</v>
      </c>
      <c r="AB69" s="41" t="e">
        <f t="shared" si="15"/>
        <v>#N/A</v>
      </c>
      <c r="AC69" s="41" t="e">
        <f t="shared" si="16"/>
        <v>#N/A</v>
      </c>
    </row>
    <row r="70" spans="1:29" s="64" customFormat="1" hidden="1" x14ac:dyDescent="0.25">
      <c r="A70" s="32">
        <v>69</v>
      </c>
      <c r="B70" s="64" t="s">
        <v>374</v>
      </c>
      <c r="C70" s="131" t="str">
        <f t="shared" si="12"/>
        <v>LlaveD86466534221100010732</v>
      </c>
      <c r="D70" s="33" t="str">
        <f>VLOOKUP(E70,'NO MODIFICAR'!J:K,2,0)</f>
        <v>D864</v>
      </c>
      <c r="E70" s="26" t="s">
        <v>55</v>
      </c>
      <c r="F70" s="33" t="str">
        <f>VLOOKUP(D70,'NO MODIFICAR'!F:H,3,0)</f>
        <v xml:space="preserve">CENTRO </v>
      </c>
      <c r="G70" s="92">
        <v>66534221</v>
      </c>
      <c r="H70" s="93" t="s">
        <v>209</v>
      </c>
      <c r="I70" s="94">
        <v>10001073</v>
      </c>
      <c r="J70" s="56" t="str">
        <f>VLOOKUP(I70,'Materiales,canteras'!C:D,2,0)</f>
        <v>Arena Triturada Caliza Malla 4</v>
      </c>
      <c r="K70" s="33">
        <f>VLOOKUP(I70,'Materiales,canteras'!C:E,3,0)</f>
        <v>1.56</v>
      </c>
      <c r="L70" s="105">
        <v>104.52</v>
      </c>
      <c r="M70" s="28" t="s">
        <v>93</v>
      </c>
      <c r="N70" s="57">
        <f t="shared" ca="1" si="13"/>
        <v>46267</v>
      </c>
      <c r="O70" s="32" t="s">
        <v>201</v>
      </c>
      <c r="R70" s="64">
        <v>0.05</v>
      </c>
      <c r="S70" s="89">
        <v>150</v>
      </c>
      <c r="T70" s="66">
        <f t="shared" si="10"/>
        <v>-37.980000000000004</v>
      </c>
      <c r="U70" s="46">
        <f t="shared" si="9"/>
        <v>104.52</v>
      </c>
      <c r="V70" s="27">
        <v>0</v>
      </c>
      <c r="W70" s="4">
        <v>2</v>
      </c>
      <c r="X70" s="67">
        <f t="shared" si="11"/>
        <v>104.52</v>
      </c>
      <c r="Y70" s="32" t="e">
        <f>IF(+VLOOKUP(I70,P.Referencia!E:S,3,FALSE)&lt;=L70,"Champion","Gerente")</f>
        <v>#N/A</v>
      </c>
      <c r="Z70" s="39" t="e">
        <f>VLOOKUP(I70,P.Referencia!E:S,3,0)</f>
        <v>#N/A</v>
      </c>
      <c r="AA70" s="40" t="e">
        <f t="shared" si="14"/>
        <v>#N/A</v>
      </c>
      <c r="AB70" s="41" t="e">
        <f t="shared" si="15"/>
        <v>#N/A</v>
      </c>
      <c r="AC70" s="41" t="e">
        <f t="shared" si="16"/>
        <v>#N/A</v>
      </c>
    </row>
    <row r="71" spans="1:29" s="64" customFormat="1" hidden="1" x14ac:dyDescent="0.25">
      <c r="A71" s="32">
        <v>70</v>
      </c>
      <c r="B71" s="64" t="s">
        <v>374</v>
      </c>
      <c r="C71" s="131" t="str">
        <f t="shared" si="12"/>
        <v>LlaveD86466534221100002402</v>
      </c>
      <c r="D71" s="33" t="str">
        <f>VLOOKUP(E71,'NO MODIFICAR'!J:K,2,0)</f>
        <v>D864</v>
      </c>
      <c r="E71" s="26" t="s">
        <v>55</v>
      </c>
      <c r="F71" s="33" t="str">
        <f>VLOOKUP(D71,'NO MODIFICAR'!F:H,3,0)</f>
        <v xml:space="preserve">CENTRO </v>
      </c>
      <c r="G71" s="92">
        <v>66534221</v>
      </c>
      <c r="H71" s="93" t="s">
        <v>209</v>
      </c>
      <c r="I71" s="94">
        <v>10000240</v>
      </c>
      <c r="J71" s="56" t="str">
        <f>VLOOKUP(I71,'Materiales,canteras'!C:D,2,0)</f>
        <v>Grava Triturada Caliza 20 mm -</v>
      </c>
      <c r="K71" s="33">
        <f>VLOOKUP(I71,'Materiales,canteras'!C:E,3,0)</f>
        <v>1.462</v>
      </c>
      <c r="L71" s="105">
        <v>186.09</v>
      </c>
      <c r="M71" s="28" t="s">
        <v>93</v>
      </c>
      <c r="N71" s="57">
        <f t="shared" ca="1" si="13"/>
        <v>46267</v>
      </c>
      <c r="O71" s="32" t="s">
        <v>201</v>
      </c>
      <c r="R71" s="64">
        <v>0.05</v>
      </c>
      <c r="S71" s="89">
        <v>280</v>
      </c>
      <c r="T71" s="66">
        <f t="shared" si="10"/>
        <v>-79.91</v>
      </c>
      <c r="U71" s="46">
        <f t="shared" si="9"/>
        <v>186.09</v>
      </c>
      <c r="V71" s="27">
        <v>0</v>
      </c>
      <c r="W71" s="4">
        <v>2</v>
      </c>
      <c r="X71" s="67">
        <f t="shared" si="11"/>
        <v>186.09</v>
      </c>
      <c r="Y71" s="32" t="e">
        <f>IF(+VLOOKUP(I71,P.Referencia!E:S,3,FALSE)&lt;=L71,"Champion","Gerente")</f>
        <v>#N/A</v>
      </c>
      <c r="Z71" s="39" t="e">
        <f>VLOOKUP(I71,P.Referencia!E:S,3,0)</f>
        <v>#N/A</v>
      </c>
      <c r="AA71" s="40" t="e">
        <f t="shared" si="14"/>
        <v>#N/A</v>
      </c>
      <c r="AB71" s="41" t="e">
        <f t="shared" si="15"/>
        <v>#N/A</v>
      </c>
      <c r="AC71" s="41" t="e">
        <f t="shared" si="16"/>
        <v>#N/A</v>
      </c>
    </row>
    <row r="72" spans="1:29" s="64" customFormat="1" hidden="1" x14ac:dyDescent="0.25">
      <c r="A72" s="32">
        <v>71</v>
      </c>
      <c r="B72" s="64" t="s">
        <v>374</v>
      </c>
      <c r="C72" s="131" t="str">
        <f t="shared" si="12"/>
        <v>LlaveD8646729725910001203</v>
      </c>
      <c r="D72" s="33" t="str">
        <f>VLOOKUP(E72,'NO MODIFICAR'!J:K,2,0)</f>
        <v>D864</v>
      </c>
      <c r="E72" s="26" t="s">
        <v>55</v>
      </c>
      <c r="F72" s="33" t="str">
        <f>VLOOKUP(D72,'NO MODIFICAR'!F:H,3,0)</f>
        <v xml:space="preserve">CENTRO </v>
      </c>
      <c r="G72" s="92">
        <v>67297259</v>
      </c>
      <c r="H72" s="93" t="s">
        <v>210</v>
      </c>
      <c r="I72" s="94">
        <v>10001203</v>
      </c>
      <c r="J72" s="56" t="str">
        <f>VLOOKUP(I72,'Materiales,canteras'!C:D,2,0)</f>
        <v>Desperdicio Triturado Caliza</v>
      </c>
      <c r="K72" s="33">
        <f>VLOOKUP(I72,'Materiales,canteras'!C:E,3,0)</f>
        <v>1.665</v>
      </c>
      <c r="L72" s="105">
        <v>20</v>
      </c>
      <c r="M72" s="28" t="s">
        <v>93</v>
      </c>
      <c r="N72" s="57">
        <f t="shared" ca="1" si="13"/>
        <v>46267</v>
      </c>
      <c r="O72" s="32" t="s">
        <v>201</v>
      </c>
      <c r="R72" s="64">
        <v>1.4999999999999999E-2</v>
      </c>
      <c r="S72" s="89">
        <v>22</v>
      </c>
      <c r="T72" s="66">
        <f t="shared" si="10"/>
        <v>-1.6700000000000017</v>
      </c>
      <c r="U72" s="46">
        <f t="shared" si="9"/>
        <v>20</v>
      </c>
      <c r="V72" s="27">
        <v>100</v>
      </c>
      <c r="W72" s="4"/>
      <c r="X72" s="67">
        <f t="shared" si="11"/>
        <v>120</v>
      </c>
      <c r="Y72" s="32" t="e">
        <f>IF(+VLOOKUP(I72,P.Referencia!E:S,3,FALSE)&lt;=L72,"Champion","Gerente")</f>
        <v>#N/A</v>
      </c>
      <c r="Z72" s="39" t="e">
        <f>VLOOKUP(I72,P.Referencia!E:S,3,0)</f>
        <v>#N/A</v>
      </c>
      <c r="AA72" s="40" t="e">
        <f t="shared" si="14"/>
        <v>#N/A</v>
      </c>
      <c r="AB72" s="41" t="e">
        <f t="shared" si="15"/>
        <v>#N/A</v>
      </c>
      <c r="AC72" s="41" t="e">
        <f t="shared" si="16"/>
        <v>#N/A</v>
      </c>
    </row>
    <row r="73" spans="1:29" s="68" customFormat="1" hidden="1" x14ac:dyDescent="0.25">
      <c r="A73" s="43">
        <v>72</v>
      </c>
      <c r="B73" s="64" t="s">
        <v>374</v>
      </c>
      <c r="C73" s="131" t="str">
        <f t="shared" si="12"/>
        <v>LlaveD8616691381910000311</v>
      </c>
      <c r="D73" s="44" t="str">
        <f>VLOOKUP(E73,'NO MODIFICAR'!J:K,2,0)</f>
        <v>D861</v>
      </c>
      <c r="E73" s="98" t="s">
        <v>44</v>
      </c>
      <c r="F73" s="44" t="str">
        <f>VLOOKUP(D73,'NO MODIFICAR'!F:H,3,0)</f>
        <v xml:space="preserve">CENTRO </v>
      </c>
      <c r="G73" s="92">
        <v>66913819</v>
      </c>
      <c r="H73" s="93" t="s">
        <v>211</v>
      </c>
      <c r="I73" s="94">
        <v>10000311</v>
      </c>
      <c r="J73" s="56" t="str">
        <f>VLOOKUP(I73,'Materiales,canteras'!C:D,2,0)</f>
        <v>Arena Triturada Basalto  Malla</v>
      </c>
      <c r="K73" s="44">
        <f>VLOOKUP(I73,'Materiales,canteras'!C:E,3,0)</f>
        <v>1.651</v>
      </c>
      <c r="L73" s="105">
        <v>176</v>
      </c>
      <c r="M73" s="96" t="s">
        <v>93</v>
      </c>
      <c r="N73" s="47">
        <f t="shared" ca="1" si="13"/>
        <v>46267</v>
      </c>
      <c r="O73" s="43" t="s">
        <v>201</v>
      </c>
      <c r="S73" s="89">
        <v>260</v>
      </c>
      <c r="T73" s="69">
        <f t="shared" si="10"/>
        <v>-84</v>
      </c>
      <c r="U73" s="46">
        <f t="shared" ref="U73:U104" si="17">L73</f>
        <v>176</v>
      </c>
      <c r="V73" s="88">
        <v>0</v>
      </c>
      <c r="W73" s="89"/>
      <c r="X73" s="70">
        <f t="shared" si="11"/>
        <v>176</v>
      </c>
      <c r="Y73" s="43" t="e">
        <f>IF(+VLOOKUP(I73,P.Referencia!E:S,3,FALSE)&lt;=L73,"Champion","Gerente")</f>
        <v>#N/A</v>
      </c>
      <c r="Z73" s="50" t="e">
        <f>VLOOKUP(I73,P.Referencia!E:S,3,0)</f>
        <v>#N/A</v>
      </c>
      <c r="AA73" s="52" t="e">
        <f t="shared" si="14"/>
        <v>#N/A</v>
      </c>
      <c r="AB73" s="53" t="e">
        <f t="shared" si="15"/>
        <v>#N/A</v>
      </c>
      <c r="AC73" s="53" t="e">
        <f t="shared" si="16"/>
        <v>#N/A</v>
      </c>
    </row>
    <row r="74" spans="1:29" s="68" customFormat="1" hidden="1" x14ac:dyDescent="0.25">
      <c r="A74" s="43">
        <v>73</v>
      </c>
      <c r="B74" s="64" t="s">
        <v>374</v>
      </c>
      <c r="C74" s="131" t="str">
        <f t="shared" si="12"/>
        <v>LlaveD8616691381910000229</v>
      </c>
      <c r="D74" s="44" t="str">
        <f>VLOOKUP(E74,'NO MODIFICAR'!J:K,2,0)</f>
        <v>D861</v>
      </c>
      <c r="E74" s="98" t="s">
        <v>44</v>
      </c>
      <c r="F74" s="44" t="str">
        <f>VLOOKUP(D74,'NO MODIFICAR'!F:H,3,0)</f>
        <v xml:space="preserve">CENTRO </v>
      </c>
      <c r="G74" s="92">
        <v>66913819</v>
      </c>
      <c r="H74" s="93" t="s">
        <v>211</v>
      </c>
      <c r="I74" s="94">
        <v>10000229</v>
      </c>
      <c r="J74" s="56" t="str">
        <f>VLOOKUP(I74,'Materiales,canteras'!C:D,2,0)</f>
        <v>Grava Triturada Basalto  10 mm</v>
      </c>
      <c r="K74" s="44">
        <f>VLOOKUP(I74,'Materiales,canteras'!C:E,3,0)</f>
        <v>1.522</v>
      </c>
      <c r="L74" s="105">
        <v>217.8</v>
      </c>
      <c r="M74" s="96" t="s">
        <v>93</v>
      </c>
      <c r="N74" s="47">
        <f t="shared" ca="1" si="13"/>
        <v>46267</v>
      </c>
      <c r="O74" s="43" t="s">
        <v>201</v>
      </c>
      <c r="S74" s="89">
        <v>320</v>
      </c>
      <c r="T74" s="69">
        <f t="shared" si="10"/>
        <v>-102.19999999999999</v>
      </c>
      <c r="U74" s="46">
        <f t="shared" si="17"/>
        <v>217.8</v>
      </c>
      <c r="V74" s="88">
        <v>0</v>
      </c>
      <c r="W74" s="89"/>
      <c r="X74" s="70">
        <f t="shared" si="11"/>
        <v>217.8</v>
      </c>
      <c r="Y74" s="43" t="e">
        <f>IF(+VLOOKUP(I74,P.Referencia!E:S,3,FALSE)&lt;=L74,"Champion","Gerente")</f>
        <v>#N/A</v>
      </c>
      <c r="Z74" s="50" t="e">
        <f>VLOOKUP(I74,P.Referencia!E:S,3,0)</f>
        <v>#N/A</v>
      </c>
      <c r="AA74" s="52" t="e">
        <f t="shared" si="14"/>
        <v>#N/A</v>
      </c>
      <c r="AB74" s="53" t="e">
        <f t="shared" si="15"/>
        <v>#N/A</v>
      </c>
      <c r="AC74" s="53" t="e">
        <f t="shared" si="16"/>
        <v>#N/A</v>
      </c>
    </row>
    <row r="75" spans="1:29" s="68" customFormat="1" hidden="1" x14ac:dyDescent="0.25">
      <c r="A75" s="43">
        <v>74</v>
      </c>
      <c r="B75" s="64" t="s">
        <v>374</v>
      </c>
      <c r="C75" s="131" t="str">
        <f t="shared" si="12"/>
        <v>LlaveD8616691381910000231</v>
      </c>
      <c r="D75" s="44" t="str">
        <f>VLOOKUP(E75,'NO MODIFICAR'!J:K,2,0)</f>
        <v>D861</v>
      </c>
      <c r="E75" s="98" t="s">
        <v>44</v>
      </c>
      <c r="F75" s="44" t="str">
        <f>VLOOKUP(D75,'NO MODIFICAR'!F:H,3,0)</f>
        <v xml:space="preserve">CENTRO </v>
      </c>
      <c r="G75" s="92">
        <v>66913819</v>
      </c>
      <c r="H75" s="93" t="s">
        <v>211</v>
      </c>
      <c r="I75" s="94">
        <v>10000231</v>
      </c>
      <c r="J75" s="56" t="str">
        <f>VLOOKUP(I75,'Materiales,canteras'!C:D,2,0)</f>
        <v>Grava Triturada Basalto 20 mm</v>
      </c>
      <c r="K75" s="44">
        <f>VLOOKUP(I75,'Materiales,canteras'!C:E,3,0)</f>
        <v>1.5649999999999999</v>
      </c>
      <c r="L75" s="105">
        <v>209</v>
      </c>
      <c r="M75" s="96" t="s">
        <v>93</v>
      </c>
      <c r="N75" s="47">
        <f t="shared" ca="1" si="13"/>
        <v>46267</v>
      </c>
      <c r="O75" s="43" t="s">
        <v>201</v>
      </c>
      <c r="S75" s="89">
        <v>280</v>
      </c>
      <c r="T75" s="69">
        <f t="shared" si="10"/>
        <v>-71</v>
      </c>
      <c r="U75" s="46">
        <f t="shared" si="17"/>
        <v>209</v>
      </c>
      <c r="V75" s="88">
        <v>0</v>
      </c>
      <c r="W75" s="89"/>
      <c r="X75" s="70">
        <f t="shared" si="11"/>
        <v>209</v>
      </c>
      <c r="Y75" s="43" t="e">
        <f>IF(+VLOOKUP(I75,P.Referencia!E:S,3,FALSE)&lt;=L75,"Champion","Gerente")</f>
        <v>#N/A</v>
      </c>
      <c r="Z75" s="50" t="e">
        <f>VLOOKUP(I75,P.Referencia!E:S,3,0)</f>
        <v>#N/A</v>
      </c>
      <c r="AA75" s="52" t="e">
        <f t="shared" si="14"/>
        <v>#N/A</v>
      </c>
      <c r="AB75" s="53" t="e">
        <f t="shared" si="15"/>
        <v>#N/A</v>
      </c>
      <c r="AC75" s="53" t="e">
        <f t="shared" si="16"/>
        <v>#N/A</v>
      </c>
    </row>
    <row r="76" spans="1:29" s="68" customFormat="1" hidden="1" x14ac:dyDescent="0.25">
      <c r="A76" s="43">
        <v>75</v>
      </c>
      <c r="B76" s="64" t="s">
        <v>374</v>
      </c>
      <c r="C76" s="131" t="str">
        <f t="shared" si="12"/>
        <v>LlaveD8616691381910000233</v>
      </c>
      <c r="D76" s="44" t="str">
        <f>VLOOKUP(E76,'NO MODIFICAR'!J:K,2,0)</f>
        <v>D861</v>
      </c>
      <c r="E76" s="98" t="s">
        <v>44</v>
      </c>
      <c r="F76" s="44" t="str">
        <f>VLOOKUP(D76,'NO MODIFICAR'!F:H,3,0)</f>
        <v xml:space="preserve">CENTRO </v>
      </c>
      <c r="G76" s="92">
        <v>66913819</v>
      </c>
      <c r="H76" s="93" t="s">
        <v>211</v>
      </c>
      <c r="I76" s="94">
        <v>10000233</v>
      </c>
      <c r="J76" s="56" t="str">
        <f>VLOOKUP(I76,'Materiales,canteras'!C:D,2,0)</f>
        <v>Grava Triturada Basalto  40 mm</v>
      </c>
      <c r="K76" s="44">
        <f>VLOOKUP(I76,'Materiales,canteras'!C:E,3,0)</f>
        <v>1.456</v>
      </c>
      <c r="L76" s="105">
        <v>209</v>
      </c>
      <c r="M76" s="96" t="s">
        <v>93</v>
      </c>
      <c r="N76" s="47">
        <f t="shared" ca="1" si="13"/>
        <v>46267</v>
      </c>
      <c r="O76" s="43" t="s">
        <v>201</v>
      </c>
      <c r="S76" s="89">
        <v>282</v>
      </c>
      <c r="T76" s="69">
        <f t="shared" si="10"/>
        <v>-73</v>
      </c>
      <c r="U76" s="46">
        <f t="shared" si="17"/>
        <v>209</v>
      </c>
      <c r="V76" s="88">
        <v>0</v>
      </c>
      <c r="W76" s="89"/>
      <c r="X76" s="70">
        <f t="shared" si="11"/>
        <v>209</v>
      </c>
      <c r="Y76" s="43" t="e">
        <f>IF(+VLOOKUP(I76,P.Referencia!E:S,3,FALSE)&lt;=L76,"Champion","Gerente")</f>
        <v>#N/A</v>
      </c>
      <c r="Z76" s="50" t="e">
        <f>VLOOKUP(I76,P.Referencia!E:S,3,0)</f>
        <v>#N/A</v>
      </c>
      <c r="AA76" s="52" t="e">
        <f t="shared" si="14"/>
        <v>#N/A</v>
      </c>
      <c r="AB76" s="53" t="e">
        <f t="shared" si="15"/>
        <v>#N/A</v>
      </c>
      <c r="AC76" s="53" t="e">
        <f t="shared" si="16"/>
        <v>#N/A</v>
      </c>
    </row>
    <row r="77" spans="1:29" s="64" customFormat="1" hidden="1" x14ac:dyDescent="0.25">
      <c r="A77" s="32">
        <v>76</v>
      </c>
      <c r="B77" s="64" t="s">
        <v>374</v>
      </c>
      <c r="C77" s="131" t="str">
        <f t="shared" si="12"/>
        <v>LlaveD8616691389710000311</v>
      </c>
      <c r="D77" s="33" t="str">
        <f>VLOOKUP(E77,'NO MODIFICAR'!J:K,2,0)</f>
        <v>D861</v>
      </c>
      <c r="E77" s="26" t="s">
        <v>44</v>
      </c>
      <c r="F77" s="33" t="str">
        <f>VLOOKUP(D77,'NO MODIFICAR'!F:H,3,0)</f>
        <v xml:space="preserve">CENTRO </v>
      </c>
      <c r="G77" s="92">
        <v>66913897</v>
      </c>
      <c r="H77" s="93" t="s">
        <v>212</v>
      </c>
      <c r="I77" s="94">
        <v>10000311</v>
      </c>
      <c r="J77" s="56" t="str">
        <f>VLOOKUP(I77,'Materiales,canteras'!C:D,2,0)</f>
        <v>Arena Triturada Basalto  Malla</v>
      </c>
      <c r="K77" s="33">
        <f>VLOOKUP(I77,'Materiales,canteras'!C:E,3,0)</f>
        <v>1.651</v>
      </c>
      <c r="L77" s="105">
        <v>176</v>
      </c>
      <c r="M77" s="28" t="s">
        <v>93</v>
      </c>
      <c r="N77" s="57">
        <f t="shared" ca="1" si="13"/>
        <v>46267</v>
      </c>
      <c r="O77" s="32" t="s">
        <v>201</v>
      </c>
      <c r="S77" s="89">
        <v>260</v>
      </c>
      <c r="T77" s="66">
        <f t="shared" si="10"/>
        <v>-84</v>
      </c>
      <c r="U77" s="46">
        <f t="shared" si="17"/>
        <v>176</v>
      </c>
      <c r="V77" s="87">
        <v>0</v>
      </c>
      <c r="W77" s="4"/>
      <c r="X77" s="67">
        <f t="shared" si="11"/>
        <v>176</v>
      </c>
      <c r="Y77" s="32" t="e">
        <f>IF(+VLOOKUP(I77,P.Referencia!E:S,3,FALSE)&lt;=L77,"Champion","Gerente")</f>
        <v>#N/A</v>
      </c>
      <c r="Z77" s="39" t="e">
        <f>VLOOKUP(I77,P.Referencia!E:S,3,0)</f>
        <v>#N/A</v>
      </c>
      <c r="AA77" s="40" t="e">
        <f t="shared" si="14"/>
        <v>#N/A</v>
      </c>
      <c r="AB77" s="41" t="e">
        <f t="shared" si="15"/>
        <v>#N/A</v>
      </c>
      <c r="AC77" s="41" t="e">
        <f t="shared" si="16"/>
        <v>#N/A</v>
      </c>
    </row>
    <row r="78" spans="1:29" s="64" customFormat="1" hidden="1" x14ac:dyDescent="0.25">
      <c r="A78" s="32">
        <v>77</v>
      </c>
      <c r="B78" s="64" t="s">
        <v>374</v>
      </c>
      <c r="C78" s="131" t="str">
        <f t="shared" si="12"/>
        <v>LlaveD8616691389710000229</v>
      </c>
      <c r="D78" s="33" t="str">
        <f>VLOOKUP(E78,'NO MODIFICAR'!J:K,2,0)</f>
        <v>D861</v>
      </c>
      <c r="E78" s="26" t="s">
        <v>44</v>
      </c>
      <c r="F78" s="33" t="str">
        <f>VLOOKUP(D78,'NO MODIFICAR'!F:H,3,0)</f>
        <v xml:space="preserve">CENTRO </v>
      </c>
      <c r="G78" s="92">
        <v>66913897</v>
      </c>
      <c r="H78" s="93" t="s">
        <v>212</v>
      </c>
      <c r="I78" s="94">
        <v>10000229</v>
      </c>
      <c r="J78" s="56" t="str">
        <f>VLOOKUP(I78,'Materiales,canteras'!C:D,2,0)</f>
        <v>Grava Triturada Basalto  10 mm</v>
      </c>
      <c r="K78" s="33">
        <f>VLOOKUP(I78,'Materiales,canteras'!C:E,3,0)</f>
        <v>1.522</v>
      </c>
      <c r="L78" s="105">
        <v>217.8</v>
      </c>
      <c r="M78" s="28" t="s">
        <v>93</v>
      </c>
      <c r="N78" s="57">
        <f t="shared" ca="1" si="13"/>
        <v>46267</v>
      </c>
      <c r="O78" s="32" t="s">
        <v>201</v>
      </c>
      <c r="S78" s="89">
        <v>320</v>
      </c>
      <c r="T78" s="66">
        <f t="shared" si="10"/>
        <v>-102.19999999999999</v>
      </c>
      <c r="U78" s="46">
        <f t="shared" si="17"/>
        <v>217.8</v>
      </c>
      <c r="V78" s="87">
        <v>0</v>
      </c>
      <c r="W78" s="4"/>
      <c r="X78" s="67">
        <f t="shared" si="11"/>
        <v>217.8</v>
      </c>
      <c r="Y78" s="32" t="e">
        <f>IF(+VLOOKUP(I78,P.Referencia!E:S,3,FALSE)&lt;=L78,"Champion","Gerente")</f>
        <v>#N/A</v>
      </c>
      <c r="Z78" s="39" t="e">
        <f>VLOOKUP(I78,P.Referencia!E:S,3,0)</f>
        <v>#N/A</v>
      </c>
      <c r="AA78" s="40" t="e">
        <f t="shared" si="14"/>
        <v>#N/A</v>
      </c>
      <c r="AB78" s="41" t="e">
        <f t="shared" si="15"/>
        <v>#N/A</v>
      </c>
      <c r="AC78" s="41" t="e">
        <f t="shared" si="16"/>
        <v>#N/A</v>
      </c>
    </row>
    <row r="79" spans="1:29" s="64" customFormat="1" hidden="1" x14ac:dyDescent="0.25">
      <c r="A79" s="32">
        <v>78</v>
      </c>
      <c r="B79" s="64" t="s">
        <v>374</v>
      </c>
      <c r="C79" s="131" t="str">
        <f t="shared" si="12"/>
        <v>LlaveD8616691389710000231</v>
      </c>
      <c r="D79" s="33" t="str">
        <f>VLOOKUP(E79,'NO MODIFICAR'!J:K,2,0)</f>
        <v>D861</v>
      </c>
      <c r="E79" s="26" t="s">
        <v>44</v>
      </c>
      <c r="F79" s="33" t="str">
        <f>VLOOKUP(D79,'NO MODIFICAR'!F:H,3,0)</f>
        <v xml:space="preserve">CENTRO </v>
      </c>
      <c r="G79" s="92">
        <v>66913897</v>
      </c>
      <c r="H79" s="93" t="s">
        <v>212</v>
      </c>
      <c r="I79" s="94">
        <v>10000231</v>
      </c>
      <c r="J79" s="56" t="str">
        <f>VLOOKUP(I79,'Materiales,canteras'!C:D,2,0)</f>
        <v>Grava Triturada Basalto 20 mm</v>
      </c>
      <c r="K79" s="33">
        <f>VLOOKUP(I79,'Materiales,canteras'!C:E,3,0)</f>
        <v>1.5649999999999999</v>
      </c>
      <c r="L79" s="105">
        <v>209</v>
      </c>
      <c r="M79" s="28" t="s">
        <v>93</v>
      </c>
      <c r="N79" s="57">
        <f t="shared" ca="1" si="13"/>
        <v>46267</v>
      </c>
      <c r="O79" s="32" t="s">
        <v>201</v>
      </c>
      <c r="S79" s="89">
        <v>280</v>
      </c>
      <c r="T79" s="66">
        <f t="shared" si="10"/>
        <v>-71</v>
      </c>
      <c r="U79" s="46">
        <f t="shared" si="17"/>
        <v>209</v>
      </c>
      <c r="V79" s="87">
        <v>0</v>
      </c>
      <c r="W79" s="4"/>
      <c r="X79" s="67">
        <f t="shared" si="11"/>
        <v>209</v>
      </c>
      <c r="Y79" s="32" t="e">
        <f>IF(+VLOOKUP(I79,P.Referencia!E:S,3,FALSE)&lt;=L79,"Champion","Gerente")</f>
        <v>#N/A</v>
      </c>
      <c r="Z79" s="39" t="e">
        <f>VLOOKUP(I79,P.Referencia!E:S,3,0)</f>
        <v>#N/A</v>
      </c>
      <c r="AA79" s="40" t="e">
        <f t="shared" si="14"/>
        <v>#N/A</v>
      </c>
      <c r="AB79" s="41" t="e">
        <f t="shared" si="15"/>
        <v>#N/A</v>
      </c>
      <c r="AC79" s="41" t="e">
        <f t="shared" si="16"/>
        <v>#N/A</v>
      </c>
    </row>
    <row r="80" spans="1:29" s="64" customFormat="1" hidden="1" x14ac:dyDescent="0.25">
      <c r="A80" s="32">
        <v>79</v>
      </c>
      <c r="B80" s="64" t="s">
        <v>374</v>
      </c>
      <c r="C80" s="131" t="str">
        <f t="shared" si="12"/>
        <v>LlaveD8616691389710000233</v>
      </c>
      <c r="D80" s="33" t="str">
        <f>VLOOKUP(E80,'NO MODIFICAR'!J:K,2,0)</f>
        <v>D861</v>
      </c>
      <c r="E80" s="26" t="s">
        <v>44</v>
      </c>
      <c r="F80" s="33" t="str">
        <f>VLOOKUP(D80,'NO MODIFICAR'!F:H,3,0)</f>
        <v xml:space="preserve">CENTRO </v>
      </c>
      <c r="G80" s="92">
        <v>66913897</v>
      </c>
      <c r="H80" s="93" t="s">
        <v>212</v>
      </c>
      <c r="I80" s="94">
        <v>10000233</v>
      </c>
      <c r="J80" s="56" t="str">
        <f>VLOOKUP(I80,'Materiales,canteras'!C:D,2,0)</f>
        <v>Grava Triturada Basalto  40 mm</v>
      </c>
      <c r="K80" s="33">
        <f>VLOOKUP(I80,'Materiales,canteras'!C:E,3,0)</f>
        <v>1.456</v>
      </c>
      <c r="L80" s="105">
        <v>209</v>
      </c>
      <c r="M80" s="28" t="s">
        <v>93</v>
      </c>
      <c r="N80" s="57">
        <f t="shared" ca="1" si="13"/>
        <v>46267</v>
      </c>
      <c r="O80" s="32" t="s">
        <v>201</v>
      </c>
      <c r="S80" s="89">
        <v>282</v>
      </c>
      <c r="T80" s="66">
        <f t="shared" si="10"/>
        <v>-73</v>
      </c>
      <c r="U80" s="46">
        <f t="shared" si="17"/>
        <v>209</v>
      </c>
      <c r="V80" s="87">
        <v>0</v>
      </c>
      <c r="W80" s="4"/>
      <c r="X80" s="67">
        <f t="shared" si="11"/>
        <v>209</v>
      </c>
      <c r="Y80" s="32" t="e">
        <f>IF(+VLOOKUP(I80,P.Referencia!E:S,3,FALSE)&lt;=L80,"Champion","Gerente")</f>
        <v>#N/A</v>
      </c>
      <c r="Z80" s="39" t="e">
        <f>VLOOKUP(I80,P.Referencia!E:S,3,0)</f>
        <v>#N/A</v>
      </c>
      <c r="AA80" s="40" t="e">
        <f t="shared" si="14"/>
        <v>#N/A</v>
      </c>
      <c r="AB80" s="41" t="e">
        <f t="shared" si="15"/>
        <v>#N/A</v>
      </c>
      <c r="AC80" s="41" t="e">
        <f t="shared" si="16"/>
        <v>#N/A</v>
      </c>
    </row>
    <row r="81" spans="1:29" s="64" customFormat="1" hidden="1" x14ac:dyDescent="0.25">
      <c r="A81" s="32">
        <v>80</v>
      </c>
      <c r="B81" s="64" t="s">
        <v>374</v>
      </c>
      <c r="C81" s="131" t="str">
        <f t="shared" si="12"/>
        <v>LlaveD8616693678810000311</v>
      </c>
      <c r="D81" s="33" t="str">
        <f>VLOOKUP(E81,'NO MODIFICAR'!J:K,2,0)</f>
        <v>D861</v>
      </c>
      <c r="E81" s="26" t="s">
        <v>44</v>
      </c>
      <c r="F81" s="33" t="str">
        <f>VLOOKUP(D81,'NO MODIFICAR'!F:H,3,0)</f>
        <v xml:space="preserve">CENTRO </v>
      </c>
      <c r="G81" s="92">
        <v>66936788</v>
      </c>
      <c r="H81" s="93" t="s">
        <v>213</v>
      </c>
      <c r="I81" s="94">
        <v>10000311</v>
      </c>
      <c r="J81" s="56" t="str">
        <f>VLOOKUP(I81,'Materiales,canteras'!C:D,2,0)</f>
        <v>Arena Triturada Basalto  Malla</v>
      </c>
      <c r="K81" s="33">
        <f>VLOOKUP(I81,'Materiales,canteras'!C:E,3,0)</f>
        <v>1.651</v>
      </c>
      <c r="L81" s="105">
        <v>176</v>
      </c>
      <c r="M81" s="28" t="s">
        <v>93</v>
      </c>
      <c r="N81" s="57">
        <f t="shared" ca="1" si="13"/>
        <v>46267</v>
      </c>
      <c r="O81" s="32" t="s">
        <v>201</v>
      </c>
      <c r="S81" s="89">
        <v>260</v>
      </c>
      <c r="T81" s="66">
        <f t="shared" si="10"/>
        <v>-84</v>
      </c>
      <c r="U81" s="46">
        <f t="shared" si="17"/>
        <v>176</v>
      </c>
      <c r="V81" s="87">
        <v>0</v>
      </c>
      <c r="W81" s="4"/>
      <c r="X81" s="67">
        <f t="shared" si="11"/>
        <v>176</v>
      </c>
      <c r="Y81" s="32" t="e">
        <f>IF(+VLOOKUP(I81,P.Referencia!E:S,3,FALSE)&lt;=L81,"Champion","Gerente")</f>
        <v>#N/A</v>
      </c>
      <c r="Z81" s="39" t="e">
        <f>VLOOKUP(I81,P.Referencia!E:S,3,0)</f>
        <v>#N/A</v>
      </c>
      <c r="AA81" s="40" t="e">
        <f t="shared" si="14"/>
        <v>#N/A</v>
      </c>
      <c r="AB81" s="41" t="e">
        <f t="shared" si="15"/>
        <v>#N/A</v>
      </c>
      <c r="AC81" s="41" t="e">
        <f t="shared" si="16"/>
        <v>#N/A</v>
      </c>
    </row>
    <row r="82" spans="1:29" s="64" customFormat="1" hidden="1" x14ac:dyDescent="0.25">
      <c r="A82" s="32">
        <v>81</v>
      </c>
      <c r="B82" s="64" t="s">
        <v>374</v>
      </c>
      <c r="C82" s="131" t="str">
        <f t="shared" si="12"/>
        <v>LlaveD8616693678810000229</v>
      </c>
      <c r="D82" s="33" t="str">
        <f>VLOOKUP(E82,'NO MODIFICAR'!J:K,2,0)</f>
        <v>D861</v>
      </c>
      <c r="E82" s="26" t="s">
        <v>44</v>
      </c>
      <c r="F82" s="33" t="str">
        <f>VLOOKUP(D82,'NO MODIFICAR'!F:H,3,0)</f>
        <v xml:space="preserve">CENTRO </v>
      </c>
      <c r="G82" s="92">
        <v>66936788</v>
      </c>
      <c r="H82" s="93" t="s">
        <v>213</v>
      </c>
      <c r="I82" s="94">
        <v>10000229</v>
      </c>
      <c r="J82" s="56" t="str">
        <f>VLOOKUP(I82,'Materiales,canteras'!C:D,2,0)</f>
        <v>Grava Triturada Basalto  10 mm</v>
      </c>
      <c r="K82" s="33">
        <f>VLOOKUP(I82,'Materiales,canteras'!C:E,3,0)</f>
        <v>1.522</v>
      </c>
      <c r="L82" s="105">
        <v>217.8</v>
      </c>
      <c r="M82" s="28" t="s">
        <v>93</v>
      </c>
      <c r="N82" s="57">
        <f t="shared" ca="1" si="13"/>
        <v>46267</v>
      </c>
      <c r="O82" s="32" t="s">
        <v>201</v>
      </c>
      <c r="S82" s="89">
        <v>320</v>
      </c>
      <c r="T82" s="66">
        <f t="shared" ref="T82:T113" si="18">L82-(S82-(S82*R82))</f>
        <v>-102.19999999999999</v>
      </c>
      <c r="U82" s="46">
        <f t="shared" si="17"/>
        <v>217.8</v>
      </c>
      <c r="V82" s="87">
        <v>0</v>
      </c>
      <c r="W82" s="4"/>
      <c r="X82" s="67">
        <f t="shared" si="11"/>
        <v>217.8</v>
      </c>
      <c r="Y82" s="32" t="e">
        <f>IF(+VLOOKUP(I82,P.Referencia!E:S,3,FALSE)&lt;=L82,"Champion","Gerente")</f>
        <v>#N/A</v>
      </c>
      <c r="Z82" s="39" t="e">
        <f>VLOOKUP(I82,P.Referencia!E:S,3,0)</f>
        <v>#N/A</v>
      </c>
      <c r="AA82" s="40" t="e">
        <f t="shared" si="14"/>
        <v>#N/A</v>
      </c>
      <c r="AB82" s="41" t="e">
        <f t="shared" si="15"/>
        <v>#N/A</v>
      </c>
      <c r="AC82" s="41" t="e">
        <f t="shared" si="16"/>
        <v>#N/A</v>
      </c>
    </row>
    <row r="83" spans="1:29" s="64" customFormat="1" hidden="1" x14ac:dyDescent="0.25">
      <c r="A83" s="32">
        <v>82</v>
      </c>
      <c r="B83" s="64" t="s">
        <v>374</v>
      </c>
      <c r="C83" s="131" t="str">
        <f t="shared" si="12"/>
        <v>LlaveD8616693678810000231</v>
      </c>
      <c r="D83" s="33" t="str">
        <f>VLOOKUP(E83,'NO MODIFICAR'!J:K,2,0)</f>
        <v>D861</v>
      </c>
      <c r="E83" s="26" t="s">
        <v>44</v>
      </c>
      <c r="F83" s="33" t="str">
        <f>VLOOKUP(D83,'NO MODIFICAR'!F:H,3,0)</f>
        <v xml:space="preserve">CENTRO </v>
      </c>
      <c r="G83" s="92">
        <v>66936788</v>
      </c>
      <c r="H83" s="93" t="s">
        <v>213</v>
      </c>
      <c r="I83" s="94">
        <v>10000231</v>
      </c>
      <c r="J83" s="56" t="str">
        <f>VLOOKUP(I83,'Materiales,canteras'!C:D,2,0)</f>
        <v>Grava Triturada Basalto 20 mm</v>
      </c>
      <c r="K83" s="33">
        <f>VLOOKUP(I83,'Materiales,canteras'!C:E,3,0)</f>
        <v>1.5649999999999999</v>
      </c>
      <c r="L83" s="105">
        <v>209</v>
      </c>
      <c r="M83" s="28" t="s">
        <v>93</v>
      </c>
      <c r="N83" s="57">
        <f t="shared" ca="1" si="13"/>
        <v>46267</v>
      </c>
      <c r="O83" s="32" t="s">
        <v>201</v>
      </c>
      <c r="S83" s="89">
        <v>280</v>
      </c>
      <c r="T83" s="66">
        <f t="shared" si="18"/>
        <v>-71</v>
      </c>
      <c r="U83" s="46">
        <f t="shared" si="17"/>
        <v>209</v>
      </c>
      <c r="V83" s="87">
        <v>0</v>
      </c>
      <c r="W83" s="4"/>
      <c r="X83" s="67">
        <f t="shared" si="11"/>
        <v>209</v>
      </c>
      <c r="Y83" s="32" t="e">
        <f>IF(+VLOOKUP(I83,P.Referencia!E:S,3,FALSE)&lt;=L83,"Champion","Gerente")</f>
        <v>#N/A</v>
      </c>
      <c r="Z83" s="39" t="e">
        <f>VLOOKUP(I83,P.Referencia!E:S,3,0)</f>
        <v>#N/A</v>
      </c>
      <c r="AA83" s="40" t="e">
        <f t="shared" si="14"/>
        <v>#N/A</v>
      </c>
      <c r="AB83" s="41" t="e">
        <f t="shared" si="15"/>
        <v>#N/A</v>
      </c>
      <c r="AC83" s="41" t="e">
        <f t="shared" si="16"/>
        <v>#N/A</v>
      </c>
    </row>
    <row r="84" spans="1:29" s="64" customFormat="1" hidden="1" x14ac:dyDescent="0.25">
      <c r="A84" s="32">
        <v>83</v>
      </c>
      <c r="B84" s="64" t="s">
        <v>374</v>
      </c>
      <c r="C84" s="131" t="str">
        <f t="shared" si="12"/>
        <v>LlaveD8616693678810000233</v>
      </c>
      <c r="D84" s="33" t="str">
        <f>VLOOKUP(E84,'NO MODIFICAR'!J:K,2,0)</f>
        <v>D861</v>
      </c>
      <c r="E84" s="26" t="s">
        <v>44</v>
      </c>
      <c r="F84" s="33" t="str">
        <f>VLOOKUP(D84,'NO MODIFICAR'!F:H,3,0)</f>
        <v xml:space="preserve">CENTRO </v>
      </c>
      <c r="G84" s="92">
        <v>66936788</v>
      </c>
      <c r="H84" s="93" t="s">
        <v>213</v>
      </c>
      <c r="I84" s="94">
        <v>10000233</v>
      </c>
      <c r="J84" s="56" t="str">
        <f>VLOOKUP(I84,'Materiales,canteras'!C:D,2,0)</f>
        <v>Grava Triturada Basalto  40 mm</v>
      </c>
      <c r="K84" s="33">
        <f>VLOOKUP(I84,'Materiales,canteras'!C:E,3,0)</f>
        <v>1.456</v>
      </c>
      <c r="L84" s="105">
        <v>209</v>
      </c>
      <c r="M84" s="28" t="s">
        <v>93</v>
      </c>
      <c r="N84" s="57">
        <f t="shared" ca="1" si="13"/>
        <v>46267</v>
      </c>
      <c r="O84" s="32" t="s">
        <v>201</v>
      </c>
      <c r="S84" s="89">
        <v>282</v>
      </c>
      <c r="T84" s="66">
        <f t="shared" si="18"/>
        <v>-73</v>
      </c>
      <c r="U84" s="46">
        <f t="shared" si="17"/>
        <v>209</v>
      </c>
      <c r="V84" s="87">
        <v>0</v>
      </c>
      <c r="W84" s="4"/>
      <c r="X84" s="67">
        <f t="shared" si="11"/>
        <v>209</v>
      </c>
      <c r="Y84" s="32" t="e">
        <f>IF(+VLOOKUP(I84,P.Referencia!E:S,3,FALSE)&lt;=L84,"Champion","Gerente")</f>
        <v>#N/A</v>
      </c>
      <c r="Z84" s="39" t="e">
        <f>VLOOKUP(I84,P.Referencia!E:S,3,0)</f>
        <v>#N/A</v>
      </c>
      <c r="AA84" s="40" t="e">
        <f t="shared" si="14"/>
        <v>#N/A</v>
      </c>
      <c r="AB84" s="41" t="e">
        <f t="shared" si="15"/>
        <v>#N/A</v>
      </c>
      <c r="AC84" s="41" t="e">
        <f t="shared" si="16"/>
        <v>#N/A</v>
      </c>
    </row>
    <row r="85" spans="1:29" s="64" customFormat="1" hidden="1" x14ac:dyDescent="0.25">
      <c r="A85" s="32">
        <v>84</v>
      </c>
      <c r="B85" s="64" t="s">
        <v>374</v>
      </c>
      <c r="C85" s="131" t="str">
        <f t="shared" si="12"/>
        <v>LlaveD8616693281310000311</v>
      </c>
      <c r="D85" s="33" t="str">
        <f>VLOOKUP(E85,'NO MODIFICAR'!J:K,2,0)</f>
        <v>D861</v>
      </c>
      <c r="E85" s="26" t="s">
        <v>44</v>
      </c>
      <c r="F85" s="33" t="str">
        <f>VLOOKUP(D85,'NO MODIFICAR'!F:H,3,0)</f>
        <v xml:space="preserve">CENTRO </v>
      </c>
      <c r="G85" s="92">
        <v>66932813</v>
      </c>
      <c r="H85" s="93" t="s">
        <v>214</v>
      </c>
      <c r="I85" s="94">
        <v>10000311</v>
      </c>
      <c r="J85" s="56" t="str">
        <f>VLOOKUP(I85,'Materiales,canteras'!C:D,2,0)</f>
        <v>Arena Triturada Basalto  Malla</v>
      </c>
      <c r="K85" s="33">
        <f>VLOOKUP(I85,'Materiales,canteras'!C:E,3,0)</f>
        <v>1.651</v>
      </c>
      <c r="L85" s="105">
        <v>176</v>
      </c>
      <c r="M85" s="28" t="s">
        <v>93</v>
      </c>
      <c r="N85" s="57">
        <f t="shared" ca="1" si="13"/>
        <v>46267</v>
      </c>
      <c r="O85" s="32" t="s">
        <v>201</v>
      </c>
      <c r="R85" s="64">
        <v>0.04</v>
      </c>
      <c r="S85" s="89">
        <v>260</v>
      </c>
      <c r="T85" s="66">
        <f t="shared" si="18"/>
        <v>-73.599999999999994</v>
      </c>
      <c r="U85" s="46">
        <f t="shared" si="17"/>
        <v>176</v>
      </c>
      <c r="V85" s="87">
        <v>0</v>
      </c>
      <c r="W85" s="4"/>
      <c r="X85" s="67">
        <f t="shared" si="11"/>
        <v>176</v>
      </c>
      <c r="Y85" s="32" t="e">
        <f>IF(+VLOOKUP(I85,P.Referencia!E:S,3,FALSE)&lt;=L85,"Champion","Gerente")</f>
        <v>#N/A</v>
      </c>
      <c r="Z85" s="39" t="e">
        <f>VLOOKUP(I85,P.Referencia!E:S,3,0)</f>
        <v>#N/A</v>
      </c>
      <c r="AA85" s="40" t="e">
        <f t="shared" si="14"/>
        <v>#N/A</v>
      </c>
      <c r="AB85" s="41" t="e">
        <f t="shared" si="15"/>
        <v>#N/A</v>
      </c>
      <c r="AC85" s="41" t="e">
        <f t="shared" si="16"/>
        <v>#N/A</v>
      </c>
    </row>
    <row r="86" spans="1:29" s="64" customFormat="1" hidden="1" x14ac:dyDescent="0.25">
      <c r="A86" s="32">
        <v>85</v>
      </c>
      <c r="B86" s="64" t="s">
        <v>374</v>
      </c>
      <c r="C86" s="131" t="str">
        <f t="shared" si="12"/>
        <v>LlaveD8616693281310000229</v>
      </c>
      <c r="D86" s="33" t="str">
        <f>VLOOKUP(E86,'NO MODIFICAR'!J:K,2,0)</f>
        <v>D861</v>
      </c>
      <c r="E86" s="26" t="s">
        <v>44</v>
      </c>
      <c r="F86" s="33" t="str">
        <f>VLOOKUP(D86,'NO MODIFICAR'!F:H,3,0)</f>
        <v xml:space="preserve">CENTRO </v>
      </c>
      <c r="G86" s="92">
        <v>66932813</v>
      </c>
      <c r="H86" s="93" t="s">
        <v>214</v>
      </c>
      <c r="I86" s="94">
        <v>10000229</v>
      </c>
      <c r="J86" s="56" t="str">
        <f>VLOOKUP(I86,'Materiales,canteras'!C:D,2,0)</f>
        <v>Grava Triturada Basalto  10 mm</v>
      </c>
      <c r="K86" s="33">
        <f>VLOOKUP(I86,'Materiales,canteras'!C:E,3,0)</f>
        <v>1.522</v>
      </c>
      <c r="L86" s="105">
        <v>217.8</v>
      </c>
      <c r="M86" s="28" t="s">
        <v>93</v>
      </c>
      <c r="N86" s="57">
        <f t="shared" ca="1" si="13"/>
        <v>46267</v>
      </c>
      <c r="O86" s="32" t="s">
        <v>201</v>
      </c>
      <c r="R86" s="64">
        <v>0.04</v>
      </c>
      <c r="S86" s="89">
        <v>320</v>
      </c>
      <c r="T86" s="66">
        <f t="shared" si="18"/>
        <v>-89.399999999999977</v>
      </c>
      <c r="U86" s="46">
        <f t="shared" si="17"/>
        <v>217.8</v>
      </c>
      <c r="V86" s="87">
        <v>0</v>
      </c>
      <c r="W86" s="4"/>
      <c r="X86" s="67">
        <f t="shared" si="11"/>
        <v>217.8</v>
      </c>
      <c r="Y86" s="32" t="e">
        <f>IF(+VLOOKUP(I86,P.Referencia!E:S,3,FALSE)&lt;=L86,"Champion","Gerente")</f>
        <v>#N/A</v>
      </c>
      <c r="Z86" s="39" t="e">
        <f>VLOOKUP(I86,P.Referencia!E:S,3,0)</f>
        <v>#N/A</v>
      </c>
      <c r="AA86" s="40" t="e">
        <f t="shared" si="14"/>
        <v>#N/A</v>
      </c>
      <c r="AB86" s="41" t="e">
        <f t="shared" si="15"/>
        <v>#N/A</v>
      </c>
      <c r="AC86" s="41" t="e">
        <f t="shared" si="16"/>
        <v>#N/A</v>
      </c>
    </row>
    <row r="87" spans="1:29" s="64" customFormat="1" hidden="1" x14ac:dyDescent="0.25">
      <c r="A87" s="32">
        <v>86</v>
      </c>
      <c r="B87" s="64" t="s">
        <v>374</v>
      </c>
      <c r="C87" s="131" t="str">
        <f t="shared" si="12"/>
        <v>LlaveD8616693281310000231</v>
      </c>
      <c r="D87" s="33" t="str">
        <f>VLOOKUP(E87,'NO MODIFICAR'!J:K,2,0)</f>
        <v>D861</v>
      </c>
      <c r="E87" s="26" t="s">
        <v>44</v>
      </c>
      <c r="F87" s="33" t="str">
        <f>VLOOKUP(D87,'NO MODIFICAR'!F:H,3,0)</f>
        <v xml:space="preserve">CENTRO </v>
      </c>
      <c r="G87" s="92">
        <v>66932813</v>
      </c>
      <c r="H87" s="93" t="s">
        <v>214</v>
      </c>
      <c r="I87" s="94">
        <v>10000231</v>
      </c>
      <c r="J87" s="56" t="str">
        <f>VLOOKUP(I87,'Materiales,canteras'!C:D,2,0)</f>
        <v>Grava Triturada Basalto 20 mm</v>
      </c>
      <c r="K87" s="33">
        <f>VLOOKUP(I87,'Materiales,canteras'!C:E,3,0)</f>
        <v>1.5649999999999999</v>
      </c>
      <c r="L87" s="105">
        <v>209</v>
      </c>
      <c r="M87" s="28" t="s">
        <v>93</v>
      </c>
      <c r="N87" s="57">
        <f t="shared" ca="1" si="13"/>
        <v>46267</v>
      </c>
      <c r="O87" s="32" t="s">
        <v>201</v>
      </c>
      <c r="R87" s="64">
        <v>0.04</v>
      </c>
      <c r="S87" s="89">
        <v>280</v>
      </c>
      <c r="T87" s="66">
        <f t="shared" si="18"/>
        <v>-59.800000000000011</v>
      </c>
      <c r="U87" s="46">
        <f t="shared" si="17"/>
        <v>209</v>
      </c>
      <c r="V87" s="87">
        <v>0</v>
      </c>
      <c r="W87" s="4"/>
      <c r="X87" s="67">
        <f t="shared" si="11"/>
        <v>209</v>
      </c>
      <c r="Y87" s="32" t="e">
        <f>IF(+VLOOKUP(I87,P.Referencia!E:S,3,FALSE)&lt;=L87,"Champion","Gerente")</f>
        <v>#N/A</v>
      </c>
      <c r="Z87" s="39" t="e">
        <f>VLOOKUP(I87,P.Referencia!E:S,3,0)</f>
        <v>#N/A</v>
      </c>
      <c r="AA87" s="40" t="e">
        <f t="shared" si="14"/>
        <v>#N/A</v>
      </c>
      <c r="AB87" s="41" t="e">
        <f t="shared" si="15"/>
        <v>#N/A</v>
      </c>
      <c r="AC87" s="41" t="e">
        <f t="shared" si="16"/>
        <v>#N/A</v>
      </c>
    </row>
    <row r="88" spans="1:29" s="64" customFormat="1" hidden="1" x14ac:dyDescent="0.25">
      <c r="A88" s="32">
        <v>87</v>
      </c>
      <c r="B88" s="64" t="s">
        <v>374</v>
      </c>
      <c r="C88" s="131" t="str">
        <f t="shared" si="12"/>
        <v>LlaveD8616693281310000233</v>
      </c>
      <c r="D88" s="33" t="str">
        <f>VLOOKUP(E88,'NO MODIFICAR'!J:K,2,0)</f>
        <v>D861</v>
      </c>
      <c r="E88" s="26" t="s">
        <v>44</v>
      </c>
      <c r="F88" s="33" t="str">
        <f>VLOOKUP(D88,'NO MODIFICAR'!F:H,3,0)</f>
        <v xml:space="preserve">CENTRO </v>
      </c>
      <c r="G88" s="92">
        <v>66932813</v>
      </c>
      <c r="H88" s="93" t="s">
        <v>214</v>
      </c>
      <c r="I88" s="94">
        <v>10000233</v>
      </c>
      <c r="J88" s="56" t="str">
        <f>VLOOKUP(I88,'Materiales,canteras'!C:D,2,0)</f>
        <v>Grava Triturada Basalto  40 mm</v>
      </c>
      <c r="K88" s="33">
        <f>VLOOKUP(I88,'Materiales,canteras'!C:E,3,0)</f>
        <v>1.456</v>
      </c>
      <c r="L88" s="105">
        <v>209</v>
      </c>
      <c r="M88" s="28" t="s">
        <v>93</v>
      </c>
      <c r="N88" s="57">
        <f t="shared" ca="1" si="13"/>
        <v>46267</v>
      </c>
      <c r="O88" s="32" t="s">
        <v>201</v>
      </c>
      <c r="R88" s="64">
        <v>0.04</v>
      </c>
      <c r="S88" s="89">
        <v>282</v>
      </c>
      <c r="T88" s="66">
        <f t="shared" si="18"/>
        <v>-61.720000000000027</v>
      </c>
      <c r="U88" s="46">
        <f t="shared" si="17"/>
        <v>209</v>
      </c>
      <c r="V88" s="87">
        <v>0</v>
      </c>
      <c r="W88" s="4"/>
      <c r="X88" s="67">
        <f t="shared" si="11"/>
        <v>209</v>
      </c>
      <c r="Y88" s="32" t="e">
        <f>IF(+VLOOKUP(I88,P.Referencia!E:S,3,FALSE)&lt;=L88,"Champion","Gerente")</f>
        <v>#N/A</v>
      </c>
      <c r="Z88" s="39" t="e">
        <f>VLOOKUP(I88,P.Referencia!E:S,3,0)</f>
        <v>#N/A</v>
      </c>
      <c r="AA88" s="40" t="e">
        <f t="shared" si="14"/>
        <v>#N/A</v>
      </c>
      <c r="AB88" s="41" t="e">
        <f t="shared" si="15"/>
        <v>#N/A</v>
      </c>
      <c r="AC88" s="41" t="e">
        <f t="shared" si="16"/>
        <v>#N/A</v>
      </c>
    </row>
    <row r="89" spans="1:29" s="64" customFormat="1" hidden="1" x14ac:dyDescent="0.25">
      <c r="A89" s="32">
        <v>88</v>
      </c>
      <c r="B89" s="64" t="s">
        <v>374</v>
      </c>
      <c r="C89" s="131" t="str">
        <f t="shared" si="12"/>
        <v>LlaveD8136716639410000253</v>
      </c>
      <c r="D89" s="33" t="str">
        <f>VLOOKUP(E89,'NO MODIFICAR'!J:K,2,0)</f>
        <v>D813</v>
      </c>
      <c r="E89" s="26" t="s">
        <v>6</v>
      </c>
      <c r="F89" s="33" t="str">
        <f>VLOOKUP(D89,'NO MODIFICAR'!F:H,3,0)</f>
        <v xml:space="preserve">CENTRO </v>
      </c>
      <c r="G89" s="92">
        <v>67166394</v>
      </c>
      <c r="H89" s="93" t="s">
        <v>215</v>
      </c>
      <c r="I89" s="94">
        <v>10000253</v>
      </c>
      <c r="J89" s="56" t="str">
        <f>VLOOKUP(I89,'Materiales,canteras'!C:D,2,0)</f>
        <v>Grava Triturada Andesita 20 mm</v>
      </c>
      <c r="K89" s="33">
        <f>VLOOKUP(I89,'Materiales,canteras'!C:E,3,0)</f>
        <v>1.385</v>
      </c>
      <c r="L89" s="105">
        <v>105</v>
      </c>
      <c r="M89" s="28" t="s">
        <v>93</v>
      </c>
      <c r="N89" s="57">
        <f t="shared" ca="1" si="13"/>
        <v>46267</v>
      </c>
      <c r="O89" s="32" t="s">
        <v>201</v>
      </c>
      <c r="R89" s="64">
        <v>1.4999999999999999E-2</v>
      </c>
      <c r="S89" s="89">
        <v>150</v>
      </c>
      <c r="T89" s="66">
        <f t="shared" si="18"/>
        <v>-42.75</v>
      </c>
      <c r="U89" s="46">
        <f t="shared" si="17"/>
        <v>105</v>
      </c>
      <c r="V89" s="87">
        <v>0</v>
      </c>
      <c r="W89" s="4"/>
      <c r="X89" s="67">
        <f t="shared" si="11"/>
        <v>105</v>
      </c>
      <c r="Y89" s="32" t="e">
        <f>IF(+VLOOKUP(I89,P.Referencia!E:S,3,FALSE)&lt;=L89,"Champion","Gerente")</f>
        <v>#N/A</v>
      </c>
      <c r="Z89" s="39" t="e">
        <f>VLOOKUP(I89,P.Referencia!E:S,3,0)</f>
        <v>#N/A</v>
      </c>
      <c r="AA89" s="40" t="e">
        <f t="shared" si="14"/>
        <v>#N/A</v>
      </c>
      <c r="AB89" s="41" t="e">
        <f t="shared" si="15"/>
        <v>#N/A</v>
      </c>
      <c r="AC89" s="41" t="e">
        <f t="shared" si="16"/>
        <v>#N/A</v>
      </c>
    </row>
    <row r="90" spans="1:29" s="64" customFormat="1" hidden="1" x14ac:dyDescent="0.25">
      <c r="A90" s="32">
        <v>89</v>
      </c>
      <c r="B90" s="64" t="s">
        <v>374</v>
      </c>
      <c r="C90" s="131" t="str">
        <f t="shared" si="12"/>
        <v>LlaveD8136716639410000255</v>
      </c>
      <c r="D90" s="33" t="str">
        <f>VLOOKUP(E90,'NO MODIFICAR'!J:K,2,0)</f>
        <v>D813</v>
      </c>
      <c r="E90" s="26" t="s">
        <v>6</v>
      </c>
      <c r="F90" s="33" t="str">
        <f>VLOOKUP(D90,'NO MODIFICAR'!F:H,3,0)</f>
        <v xml:space="preserve">CENTRO </v>
      </c>
      <c r="G90" s="92">
        <v>67166394</v>
      </c>
      <c r="H90" s="93" t="s">
        <v>215</v>
      </c>
      <c r="I90" s="94">
        <v>10000255</v>
      </c>
      <c r="J90" s="56" t="str">
        <f>VLOOKUP(I90,'Materiales,canteras'!C:D,2,0)</f>
        <v>Arena Triturada Andesita Malla</v>
      </c>
      <c r="K90" s="33">
        <f>VLOOKUP(I90,'Materiales,canteras'!C:E,3,0)</f>
        <v>1.5349999999999999</v>
      </c>
      <c r="L90" s="105">
        <v>104</v>
      </c>
      <c r="M90" s="28" t="s">
        <v>93</v>
      </c>
      <c r="N90" s="57">
        <f t="shared" ca="1" si="13"/>
        <v>46267</v>
      </c>
      <c r="O90" s="32" t="s">
        <v>201</v>
      </c>
      <c r="R90" s="64">
        <v>1.4999999999999999E-2</v>
      </c>
      <c r="S90" s="89">
        <v>150</v>
      </c>
      <c r="T90" s="66">
        <f t="shared" si="18"/>
        <v>-43.75</v>
      </c>
      <c r="U90" s="46">
        <f t="shared" si="17"/>
        <v>104</v>
      </c>
      <c r="V90" s="87">
        <v>0</v>
      </c>
      <c r="W90" s="4"/>
      <c r="X90" s="67">
        <f t="shared" si="11"/>
        <v>104</v>
      </c>
      <c r="Y90" s="32" t="e">
        <f>IF(+VLOOKUP(I90,P.Referencia!E:S,3,FALSE)&lt;=L90,"Champion","Gerente")</f>
        <v>#N/A</v>
      </c>
      <c r="Z90" s="39" t="e">
        <f>VLOOKUP(I90,P.Referencia!E:S,3,0)</f>
        <v>#N/A</v>
      </c>
      <c r="AA90" s="40" t="e">
        <f t="shared" si="14"/>
        <v>#N/A</v>
      </c>
      <c r="AB90" s="41" t="e">
        <f t="shared" si="15"/>
        <v>#N/A</v>
      </c>
      <c r="AC90" s="41" t="e">
        <f t="shared" si="16"/>
        <v>#N/A</v>
      </c>
    </row>
    <row r="91" spans="1:29" s="64" customFormat="1" hidden="1" x14ac:dyDescent="0.25">
      <c r="A91" s="32">
        <v>90</v>
      </c>
      <c r="B91" s="64" t="s">
        <v>374</v>
      </c>
      <c r="C91" s="131" t="str">
        <f t="shared" si="12"/>
        <v>LlaveD86167326330100002311</v>
      </c>
      <c r="D91" s="33" t="str">
        <f>VLOOKUP(E91,'NO MODIFICAR'!J:K,2,0)</f>
        <v>D861</v>
      </c>
      <c r="E91" s="26" t="s">
        <v>44</v>
      </c>
      <c r="F91" s="33" t="str">
        <f>VLOOKUP(D91,'NO MODIFICAR'!F:H,3,0)</f>
        <v xml:space="preserve">CENTRO </v>
      </c>
      <c r="G91" s="92">
        <v>67326330</v>
      </c>
      <c r="H91" s="93" t="s">
        <v>218</v>
      </c>
      <c r="I91" s="94">
        <v>10000231</v>
      </c>
      <c r="J91" s="56" t="str">
        <f>VLOOKUP(I91,'Materiales,canteras'!C:D,2,0)</f>
        <v>Grava Triturada Basalto 20 mm</v>
      </c>
      <c r="K91" s="33">
        <f>VLOOKUP(I91,'Materiales,canteras'!C:E,3,0)</f>
        <v>1.5649999999999999</v>
      </c>
      <c r="L91" s="105">
        <v>206.99999999999997</v>
      </c>
      <c r="M91" s="28" t="s">
        <v>93</v>
      </c>
      <c r="N91" s="57">
        <f t="shared" ca="1" si="13"/>
        <v>46267</v>
      </c>
      <c r="O91" s="32" t="s">
        <v>201</v>
      </c>
      <c r="R91" s="64">
        <v>1.4999999999999999E-2</v>
      </c>
      <c r="S91" s="89">
        <v>280</v>
      </c>
      <c r="T91" s="66">
        <f t="shared" si="18"/>
        <v>-68.80000000000004</v>
      </c>
      <c r="U91" s="46">
        <f t="shared" si="17"/>
        <v>206.99999999999997</v>
      </c>
      <c r="V91" s="27">
        <v>90</v>
      </c>
      <c r="W91" s="4">
        <v>1</v>
      </c>
      <c r="X91" s="67">
        <f t="shared" si="11"/>
        <v>297</v>
      </c>
      <c r="Y91" s="32" t="e">
        <f>IF(+VLOOKUP(I91,P.Referencia!E:S,3,FALSE)&lt;=L91,"Champion","Gerente")</f>
        <v>#N/A</v>
      </c>
      <c r="Z91" s="39" t="e">
        <f>VLOOKUP(I91,P.Referencia!E:S,3,0)</f>
        <v>#N/A</v>
      </c>
      <c r="AA91" s="40" t="e">
        <f t="shared" si="14"/>
        <v>#N/A</v>
      </c>
      <c r="AB91" s="41" t="e">
        <f t="shared" si="15"/>
        <v>#N/A</v>
      </c>
      <c r="AC91" s="41" t="e">
        <f t="shared" si="16"/>
        <v>#N/A</v>
      </c>
    </row>
    <row r="92" spans="1:29" s="64" customFormat="1" hidden="1" x14ac:dyDescent="0.25">
      <c r="A92" s="32">
        <v>91</v>
      </c>
      <c r="B92" s="64" t="s">
        <v>374</v>
      </c>
      <c r="C92" s="131" t="str">
        <f t="shared" si="12"/>
        <v>LlaveD86167326330100003111</v>
      </c>
      <c r="D92" s="33" t="str">
        <f>VLOOKUP(E92,'NO MODIFICAR'!J:K,2,0)</f>
        <v>D861</v>
      </c>
      <c r="E92" s="26" t="s">
        <v>44</v>
      </c>
      <c r="F92" s="33" t="str">
        <f>VLOOKUP(D92,'NO MODIFICAR'!F:H,3,0)</f>
        <v xml:space="preserve">CENTRO </v>
      </c>
      <c r="G92" s="92">
        <v>67326330</v>
      </c>
      <c r="H92" s="93" t="s">
        <v>218</v>
      </c>
      <c r="I92" s="94">
        <v>10000311</v>
      </c>
      <c r="J92" s="56" t="str">
        <f>VLOOKUP(I92,'Materiales,canteras'!C:D,2,0)</f>
        <v>Arena Triturada Basalto  Malla</v>
      </c>
      <c r="K92" s="33">
        <f>VLOOKUP(I92,'Materiales,canteras'!C:E,3,0)</f>
        <v>1.651</v>
      </c>
      <c r="L92" s="105">
        <v>187.92149999999998</v>
      </c>
      <c r="M92" s="28" t="s">
        <v>93</v>
      </c>
      <c r="N92" s="57">
        <f t="shared" ca="1" si="13"/>
        <v>46267</v>
      </c>
      <c r="O92" s="32" t="s">
        <v>201</v>
      </c>
      <c r="R92" s="64">
        <v>1.4999999999999999E-2</v>
      </c>
      <c r="S92" s="89">
        <v>260</v>
      </c>
      <c r="T92" s="66">
        <f t="shared" si="18"/>
        <v>-68.178500000000042</v>
      </c>
      <c r="U92" s="46">
        <f t="shared" si="17"/>
        <v>187.92149999999998</v>
      </c>
      <c r="V92" s="27">
        <v>90</v>
      </c>
      <c r="W92" s="4">
        <v>1</v>
      </c>
      <c r="X92" s="67">
        <f t="shared" si="11"/>
        <v>277.92149999999998</v>
      </c>
      <c r="Y92" s="32" t="e">
        <f>IF(+VLOOKUP(I92,P.Referencia!E:S,3,FALSE)&lt;=L92,"Champion","Gerente")</f>
        <v>#N/A</v>
      </c>
      <c r="Z92" s="39" t="e">
        <f>VLOOKUP(I92,P.Referencia!E:S,3,0)</f>
        <v>#N/A</v>
      </c>
      <c r="AA92" s="40" t="e">
        <f t="shared" si="14"/>
        <v>#N/A</v>
      </c>
      <c r="AB92" s="41" t="e">
        <f t="shared" si="15"/>
        <v>#N/A</v>
      </c>
      <c r="AC92" s="41" t="e">
        <f t="shared" si="16"/>
        <v>#N/A</v>
      </c>
    </row>
    <row r="93" spans="1:29" s="64" customFormat="1" hidden="1" x14ac:dyDescent="0.25">
      <c r="A93" s="32">
        <v>92</v>
      </c>
      <c r="B93" s="64" t="s">
        <v>374</v>
      </c>
      <c r="C93" s="131" t="str">
        <f t="shared" si="12"/>
        <v>LlaveD86167326330100024971</v>
      </c>
      <c r="D93" s="33" t="str">
        <f>VLOOKUP(E93,'NO MODIFICAR'!J:K,2,0)</f>
        <v>D861</v>
      </c>
      <c r="E93" s="26" t="s">
        <v>44</v>
      </c>
      <c r="F93" s="33" t="str">
        <f>VLOOKUP(D93,'NO MODIFICAR'!F:H,3,0)</f>
        <v xml:space="preserve">CENTRO </v>
      </c>
      <c r="G93" s="92">
        <v>67326330</v>
      </c>
      <c r="H93" s="93" t="s">
        <v>218</v>
      </c>
      <c r="I93" s="94">
        <v>10002497</v>
      </c>
      <c r="J93" s="56" t="str">
        <f>VLOOKUP(I93,'Materiales,canteras'!C:D,2,0)</f>
        <v>Grava Triturada Basalto 20 mm - 3/4"-Puq</v>
      </c>
      <c r="K93" s="33">
        <f>VLOOKUP(I93,'Materiales,canteras'!C:E,3,0)</f>
        <v>1.5669999999999999</v>
      </c>
      <c r="L93" s="105">
        <v>215.84349999999998</v>
      </c>
      <c r="M93" s="28" t="s">
        <v>93</v>
      </c>
      <c r="N93" s="57">
        <f t="shared" ca="1" si="13"/>
        <v>46267</v>
      </c>
      <c r="O93" s="32" t="s">
        <v>201</v>
      </c>
      <c r="R93" s="64">
        <v>1.4999999999999999E-2</v>
      </c>
      <c r="S93" s="89">
        <v>280</v>
      </c>
      <c r="T93" s="66">
        <f t="shared" si="18"/>
        <v>-59.956500000000034</v>
      </c>
      <c r="U93" s="46">
        <f t="shared" si="17"/>
        <v>215.84349999999998</v>
      </c>
      <c r="V93" s="27">
        <v>90</v>
      </c>
      <c r="W93" s="4">
        <v>1</v>
      </c>
      <c r="X93" s="67">
        <f t="shared" si="11"/>
        <v>305.84349999999995</v>
      </c>
      <c r="Y93" s="32" t="e">
        <f>IF(+VLOOKUP(I93,P.Referencia!E:S,3,FALSE)&lt;=L93,"Champion","Gerente")</f>
        <v>#N/A</v>
      </c>
      <c r="Z93" s="39" t="e">
        <f>VLOOKUP(I93,P.Referencia!E:S,3,0)</f>
        <v>#N/A</v>
      </c>
      <c r="AA93" s="40" t="e">
        <f t="shared" si="14"/>
        <v>#N/A</v>
      </c>
      <c r="AB93" s="41" t="e">
        <f t="shared" si="15"/>
        <v>#N/A</v>
      </c>
      <c r="AC93" s="41" t="e">
        <f t="shared" si="16"/>
        <v>#N/A</v>
      </c>
    </row>
    <row r="94" spans="1:29" s="64" customFormat="1" hidden="1" x14ac:dyDescent="0.25">
      <c r="A94" s="32">
        <v>93</v>
      </c>
      <c r="B94" s="64" t="s">
        <v>374</v>
      </c>
      <c r="C94" s="131" t="str">
        <f t="shared" si="12"/>
        <v>LlaveD86167318801100014502</v>
      </c>
      <c r="D94" s="33" t="str">
        <f>VLOOKUP(E94,'NO MODIFICAR'!J:K,2,0)</f>
        <v>D861</v>
      </c>
      <c r="E94" s="26" t="s">
        <v>44</v>
      </c>
      <c r="F94" s="33" t="str">
        <f>VLOOKUP(D94,'NO MODIFICAR'!F:H,3,0)</f>
        <v xml:space="preserve">CENTRO </v>
      </c>
      <c r="G94" s="92">
        <v>67318801</v>
      </c>
      <c r="H94" s="93" t="s">
        <v>220</v>
      </c>
      <c r="I94" s="94">
        <v>10001450</v>
      </c>
      <c r="J94" s="56" t="str">
        <f>VLOOKUP(I94,'Materiales,canteras'!C:D,2,0)</f>
        <v>Base Hidraúlica Basalto de 1 /1/2</v>
      </c>
      <c r="K94" s="33">
        <f>VLOOKUP(I94,'Materiales,canteras'!C:E,3,0)</f>
        <v>1.7490000000000001</v>
      </c>
      <c r="L94" s="105">
        <v>210</v>
      </c>
      <c r="M94" s="28" t="s">
        <v>93</v>
      </c>
      <c r="N94" s="57">
        <f t="shared" ca="1" si="13"/>
        <v>46267</v>
      </c>
      <c r="O94" s="32" t="s">
        <v>201</v>
      </c>
      <c r="R94" s="64">
        <v>0.05</v>
      </c>
      <c r="S94" s="89">
        <v>260</v>
      </c>
      <c r="T94" s="66">
        <f t="shared" si="18"/>
        <v>-37</v>
      </c>
      <c r="U94" s="46">
        <f t="shared" si="17"/>
        <v>210</v>
      </c>
      <c r="V94" s="27">
        <v>0</v>
      </c>
      <c r="W94" s="4">
        <v>2</v>
      </c>
      <c r="X94" s="67">
        <f t="shared" si="11"/>
        <v>210</v>
      </c>
      <c r="Y94" s="32" t="e">
        <f>IF(+VLOOKUP(I94,P.Referencia!E:S,3,FALSE)&lt;=L94,"Champion","Gerente")</f>
        <v>#N/A</v>
      </c>
      <c r="Z94" s="39" t="e">
        <f>VLOOKUP(I94,P.Referencia!E:S,3,0)</f>
        <v>#N/A</v>
      </c>
      <c r="AA94" s="40" t="e">
        <f t="shared" si="14"/>
        <v>#N/A</v>
      </c>
      <c r="AB94" s="41" t="e">
        <f t="shared" si="15"/>
        <v>#N/A</v>
      </c>
      <c r="AC94" s="41" t="e">
        <f t="shared" si="16"/>
        <v>#N/A</v>
      </c>
    </row>
    <row r="95" spans="1:29" s="64" customFormat="1" hidden="1" x14ac:dyDescent="0.25">
      <c r="A95" s="32">
        <v>94</v>
      </c>
      <c r="B95" s="64" t="s">
        <v>374</v>
      </c>
      <c r="C95" s="131" t="str">
        <f t="shared" si="12"/>
        <v>LlaveD81367321364100002552</v>
      </c>
      <c r="D95" s="33" t="str">
        <f>VLOOKUP(E95,'NO MODIFICAR'!J:K,2,0)</f>
        <v>D813</v>
      </c>
      <c r="E95" s="26" t="s">
        <v>6</v>
      </c>
      <c r="F95" s="33" t="str">
        <f>VLOOKUP(D95,'NO MODIFICAR'!F:H,3,0)</f>
        <v xml:space="preserve">CENTRO </v>
      </c>
      <c r="G95" s="92">
        <v>67321364</v>
      </c>
      <c r="H95" s="93" t="s">
        <v>221</v>
      </c>
      <c r="I95" s="94">
        <v>10000255</v>
      </c>
      <c r="J95" s="56" t="str">
        <f>VLOOKUP(I95,'Materiales,canteras'!C:D,2,0)</f>
        <v>Arena Triturada Andesita Malla</v>
      </c>
      <c r="K95" s="33">
        <f>VLOOKUP(I95,'Materiales,canteras'!C:E,3,0)</f>
        <v>1.5349999999999999</v>
      </c>
      <c r="L95" s="105">
        <v>104.1</v>
      </c>
      <c r="M95" s="28" t="s">
        <v>93</v>
      </c>
      <c r="N95" s="57">
        <f t="shared" ca="1" si="13"/>
        <v>46267</v>
      </c>
      <c r="O95" s="32" t="s">
        <v>201</v>
      </c>
      <c r="R95" s="64">
        <v>1.4999999999999999E-2</v>
      </c>
      <c r="S95" s="89">
        <v>150</v>
      </c>
      <c r="T95" s="66">
        <f t="shared" si="18"/>
        <v>-43.650000000000006</v>
      </c>
      <c r="U95" s="46">
        <f t="shared" si="17"/>
        <v>104.1</v>
      </c>
      <c r="V95" s="27">
        <v>0</v>
      </c>
      <c r="W95" s="4">
        <v>2</v>
      </c>
      <c r="X95" s="67">
        <f t="shared" si="11"/>
        <v>104.1</v>
      </c>
      <c r="Y95" s="32" t="e">
        <f>IF(+VLOOKUP(I95,P.Referencia!E:S,3,FALSE)&lt;=L95,"Champion","Gerente")</f>
        <v>#N/A</v>
      </c>
      <c r="Z95" s="39" t="e">
        <f>VLOOKUP(I95,P.Referencia!E:S,3,0)</f>
        <v>#N/A</v>
      </c>
      <c r="AA95" s="40" t="e">
        <f t="shared" si="14"/>
        <v>#N/A</v>
      </c>
      <c r="AB95" s="41" t="e">
        <f t="shared" si="15"/>
        <v>#N/A</v>
      </c>
      <c r="AC95" s="41" t="e">
        <f t="shared" si="16"/>
        <v>#N/A</v>
      </c>
    </row>
    <row r="96" spans="1:29" s="64" customFormat="1" hidden="1" x14ac:dyDescent="0.25">
      <c r="A96" s="32">
        <v>95</v>
      </c>
      <c r="B96" s="64" t="s">
        <v>374</v>
      </c>
      <c r="C96" s="131" t="str">
        <f t="shared" si="12"/>
        <v>LlaveD81367321364100002532</v>
      </c>
      <c r="D96" s="33" t="str">
        <f>VLOOKUP(E96,'NO MODIFICAR'!J:K,2,0)</f>
        <v>D813</v>
      </c>
      <c r="E96" s="26" t="s">
        <v>6</v>
      </c>
      <c r="F96" s="33" t="str">
        <f>VLOOKUP(D96,'NO MODIFICAR'!F:H,3,0)</f>
        <v xml:space="preserve">CENTRO </v>
      </c>
      <c r="G96" s="92">
        <v>67321364</v>
      </c>
      <c r="H96" s="93" t="s">
        <v>221</v>
      </c>
      <c r="I96" s="94">
        <v>10000253</v>
      </c>
      <c r="J96" s="56" t="str">
        <f>VLOOKUP(I96,'Materiales,canteras'!C:D,2,0)</f>
        <v>Grava Triturada Andesita 20 mm</v>
      </c>
      <c r="K96" s="33">
        <f>VLOOKUP(I96,'Materiales,canteras'!C:E,3,0)</f>
        <v>1.385</v>
      </c>
      <c r="L96" s="105">
        <v>104.1</v>
      </c>
      <c r="M96" s="28" t="s">
        <v>93</v>
      </c>
      <c r="N96" s="57">
        <f t="shared" ca="1" si="13"/>
        <v>46267</v>
      </c>
      <c r="O96" s="32" t="s">
        <v>201</v>
      </c>
      <c r="R96" s="64">
        <v>1.4999999999999999E-2</v>
      </c>
      <c r="S96" s="89">
        <v>150</v>
      </c>
      <c r="T96" s="66">
        <f t="shared" si="18"/>
        <v>-43.650000000000006</v>
      </c>
      <c r="U96" s="46">
        <f t="shared" si="17"/>
        <v>104.1</v>
      </c>
      <c r="V96" s="27">
        <v>0</v>
      </c>
      <c r="W96" s="4">
        <v>2</v>
      </c>
      <c r="X96" s="67">
        <f t="shared" si="11"/>
        <v>104.1</v>
      </c>
      <c r="Y96" s="32" t="e">
        <f>IF(+VLOOKUP(I96,P.Referencia!E:S,3,FALSE)&lt;=L96,"Champion","Gerente")</f>
        <v>#N/A</v>
      </c>
      <c r="Z96" s="39" t="e">
        <f>VLOOKUP(I96,P.Referencia!E:S,3,0)</f>
        <v>#N/A</v>
      </c>
      <c r="AA96" s="40" t="e">
        <f t="shared" si="14"/>
        <v>#N/A</v>
      </c>
      <c r="AB96" s="41" t="e">
        <f t="shared" si="15"/>
        <v>#N/A</v>
      </c>
      <c r="AC96" s="41" t="e">
        <f t="shared" si="16"/>
        <v>#N/A</v>
      </c>
    </row>
    <row r="97" spans="1:29" s="64" customFormat="1" hidden="1" x14ac:dyDescent="0.25">
      <c r="A97" s="32">
        <v>96</v>
      </c>
      <c r="B97" s="64" t="s">
        <v>374</v>
      </c>
      <c r="C97" s="131" t="str">
        <f t="shared" si="12"/>
        <v>LlaveDU076731442310000110</v>
      </c>
      <c r="D97" s="33" t="str">
        <f>VLOOKUP(E97,'NO MODIFICAR'!J:K,2,0)</f>
        <v>DU07</v>
      </c>
      <c r="E97" s="26" t="s">
        <v>87</v>
      </c>
      <c r="F97" s="33" t="str">
        <f>VLOOKUP(D97,'NO MODIFICAR'!F:H,3,0)</f>
        <v>SURESTE</v>
      </c>
      <c r="G97" s="92">
        <v>67314423</v>
      </c>
      <c r="H97" s="93" t="s">
        <v>222</v>
      </c>
      <c r="I97" s="94">
        <v>10000110</v>
      </c>
      <c r="J97" s="56" t="str">
        <f>VLOOKUP(I97,'Materiales,canteras'!C:D,2,0)</f>
        <v>GRAVA TRITURADA CALIZA 20 MM “3/4"–INTEG</v>
      </c>
      <c r="K97" s="33">
        <f>VLOOKUP(I97,'Materiales,canteras'!C:E,3,0)</f>
        <v>1.2010000000000001</v>
      </c>
      <c r="L97" s="105">
        <v>316.40299750208158</v>
      </c>
      <c r="M97" s="28" t="s">
        <v>93</v>
      </c>
      <c r="N97" s="57">
        <f t="shared" ca="1" si="13"/>
        <v>46267</v>
      </c>
      <c r="O97" s="32" t="s">
        <v>201</v>
      </c>
      <c r="S97" s="89">
        <v>390</v>
      </c>
      <c r="T97" s="66">
        <f t="shared" si="18"/>
        <v>-73.597002497918425</v>
      </c>
      <c r="U97" s="46">
        <f t="shared" si="17"/>
        <v>316.40299750208158</v>
      </c>
      <c r="V97" s="27"/>
      <c r="W97" s="4"/>
      <c r="X97" s="67">
        <f t="shared" si="11"/>
        <v>316.40299750208158</v>
      </c>
      <c r="Y97" s="32" t="e">
        <f>IF(+VLOOKUP(I97,P.Referencia!E:S,3,FALSE)&lt;=L97,"Champion","Gerente")</f>
        <v>#N/A</v>
      </c>
      <c r="Z97" s="39" t="e">
        <f>VLOOKUP(I97,P.Referencia!E:S,3,0)</f>
        <v>#N/A</v>
      </c>
      <c r="AA97" s="40" t="e">
        <f t="shared" si="14"/>
        <v>#N/A</v>
      </c>
      <c r="AB97" s="41" t="e">
        <f t="shared" si="15"/>
        <v>#N/A</v>
      </c>
      <c r="AC97" s="41" t="e">
        <f t="shared" si="16"/>
        <v>#N/A</v>
      </c>
    </row>
    <row r="98" spans="1:29" s="64" customFormat="1" hidden="1" x14ac:dyDescent="0.25">
      <c r="A98" s="32">
        <v>97</v>
      </c>
      <c r="B98" s="64" t="s">
        <v>374</v>
      </c>
      <c r="C98" s="131" t="str">
        <f t="shared" si="12"/>
        <v>LlaveDU076731442310000112</v>
      </c>
      <c r="D98" s="33" t="str">
        <f>VLOOKUP(E98,'NO MODIFICAR'!J:K,2,0)</f>
        <v>DU07</v>
      </c>
      <c r="E98" s="26" t="s">
        <v>87</v>
      </c>
      <c r="F98" s="33" t="str">
        <f>VLOOKUP(D98,'NO MODIFICAR'!F:H,3,0)</f>
        <v>SURESTE</v>
      </c>
      <c r="G98" s="92">
        <v>67314423</v>
      </c>
      <c r="H98" s="93" t="s">
        <v>222</v>
      </c>
      <c r="I98" s="94">
        <v>10000112</v>
      </c>
      <c r="J98" s="56" t="s">
        <v>132</v>
      </c>
      <c r="K98" s="33">
        <f>VLOOKUP(I98,'Materiales,canteras'!C:E,3,0)</f>
        <v>1.194</v>
      </c>
      <c r="L98" s="105">
        <v>326.63316582914575</v>
      </c>
      <c r="M98" s="28" t="s">
        <v>93</v>
      </c>
      <c r="N98" s="57">
        <f t="shared" ca="1" si="13"/>
        <v>46267</v>
      </c>
      <c r="O98" s="32" t="s">
        <v>201</v>
      </c>
      <c r="S98" s="89">
        <v>320</v>
      </c>
      <c r="T98" s="66">
        <f t="shared" si="18"/>
        <v>6.6331658291457529</v>
      </c>
      <c r="U98" s="46">
        <f t="shared" si="17"/>
        <v>326.63316582914575</v>
      </c>
      <c r="V98" s="27"/>
      <c r="W98" s="4"/>
      <c r="X98" s="67">
        <f t="shared" si="11"/>
        <v>326.63316582914575</v>
      </c>
      <c r="Y98" s="32" t="e">
        <f>IF(+VLOOKUP(I98,P.Referencia!E:S,3,FALSE)&lt;=L98,"Champion","Gerente")</f>
        <v>#N/A</v>
      </c>
      <c r="Z98" s="39" t="e">
        <f>VLOOKUP(I98,P.Referencia!E:S,3,0)</f>
        <v>#N/A</v>
      </c>
      <c r="AA98" s="40" t="e">
        <f t="shared" si="14"/>
        <v>#N/A</v>
      </c>
      <c r="AB98" s="41" t="e">
        <f t="shared" si="15"/>
        <v>#N/A</v>
      </c>
      <c r="AC98" s="41" t="e">
        <f t="shared" si="16"/>
        <v>#N/A</v>
      </c>
    </row>
    <row r="99" spans="1:29" s="64" customFormat="1" hidden="1" x14ac:dyDescent="0.25">
      <c r="A99" s="32">
        <v>98</v>
      </c>
      <c r="B99" s="64" t="s">
        <v>373</v>
      </c>
      <c r="C99" s="131" t="str">
        <f t="shared" si="12"/>
        <v>LlaveDU076731442310000101</v>
      </c>
      <c r="D99" s="33" t="str">
        <f>VLOOKUP(E99,'NO MODIFICAR'!J:K,2,0)</f>
        <v>DU07</v>
      </c>
      <c r="E99" s="26" t="s">
        <v>87</v>
      </c>
      <c r="F99" s="33" t="str">
        <f>VLOOKUP(D99,'NO MODIFICAR'!F:H,3,0)</f>
        <v>SURESTE</v>
      </c>
      <c r="G99" s="92">
        <v>67314423</v>
      </c>
      <c r="H99" s="93" t="s">
        <v>222</v>
      </c>
      <c r="I99" s="94">
        <v>10000101</v>
      </c>
      <c r="J99" s="56" t="str">
        <f>VLOOKUP(I99,'Materiales,canteras'!C:D,2,0)</f>
        <v>Arena Triturada Caliza Malla 4</v>
      </c>
      <c r="K99" s="33">
        <f>VLOOKUP(I99,'Materiales,canteras'!C:E,3,0)</f>
        <v>1.417</v>
      </c>
      <c r="L99" s="105">
        <v>338.74382498235707</v>
      </c>
      <c r="M99" s="28" t="s">
        <v>93</v>
      </c>
      <c r="N99" s="57">
        <f t="shared" ca="1" si="13"/>
        <v>46267</v>
      </c>
      <c r="O99" s="32" t="s">
        <v>201</v>
      </c>
      <c r="S99" s="89">
        <v>400</v>
      </c>
      <c r="T99" s="66">
        <f t="shared" si="18"/>
        <v>-61.256175017642931</v>
      </c>
      <c r="U99" s="46">
        <f t="shared" si="17"/>
        <v>338.74382498235707</v>
      </c>
      <c r="V99" s="27"/>
      <c r="W99" s="4"/>
      <c r="X99" s="67">
        <f t="shared" si="11"/>
        <v>338.74382498235707</v>
      </c>
      <c r="Y99" s="32" t="e">
        <f>IF(+VLOOKUP(I99,P.Referencia!E:S,3,FALSE)&lt;=L99,"Champion","Gerente")</f>
        <v>#N/A</v>
      </c>
      <c r="Z99" s="39" t="e">
        <f>VLOOKUP(I99,P.Referencia!E:S,3,0)</f>
        <v>#N/A</v>
      </c>
      <c r="AA99" s="40" t="e">
        <f t="shared" si="14"/>
        <v>#N/A</v>
      </c>
      <c r="AB99" s="41" t="e">
        <f t="shared" si="15"/>
        <v>#N/A</v>
      </c>
      <c r="AC99" s="41" t="e">
        <f t="shared" si="16"/>
        <v>#N/A</v>
      </c>
    </row>
    <row r="100" spans="1:29" s="64" customFormat="1" hidden="1" x14ac:dyDescent="0.25">
      <c r="A100" s="32">
        <v>99</v>
      </c>
      <c r="B100" s="64" t="s">
        <v>373</v>
      </c>
      <c r="C100" s="131" t="str">
        <f t="shared" si="12"/>
        <v>LlaveDU076731442310000103</v>
      </c>
      <c r="D100" s="33" t="str">
        <f>VLOOKUP(E100,'NO MODIFICAR'!J:K,2,0)</f>
        <v>DU07</v>
      </c>
      <c r="E100" s="26" t="s">
        <v>87</v>
      </c>
      <c r="F100" s="33" t="str">
        <f>VLOOKUP(D100,'NO MODIFICAR'!F:H,3,0)</f>
        <v>SURESTE</v>
      </c>
      <c r="G100" s="92">
        <v>67314423</v>
      </c>
      <c r="H100" s="93" t="s">
        <v>222</v>
      </c>
      <c r="I100" s="94">
        <v>10000103</v>
      </c>
      <c r="J100" s="56" t="str">
        <f>VLOOKUP(I100,'Materiales,canteras'!C:D,2,0)</f>
        <v>Base H Triturada Caliza 1 1/2" a Finos</v>
      </c>
      <c r="K100" s="33">
        <f>VLOOKUP(I100,'Materiales,canteras'!C:E,3,0)</f>
        <v>1.462</v>
      </c>
      <c r="L100" s="105">
        <v>119.69904240766074</v>
      </c>
      <c r="M100" s="28" t="s">
        <v>93</v>
      </c>
      <c r="N100" s="57">
        <f t="shared" ca="1" si="13"/>
        <v>46267</v>
      </c>
      <c r="O100" s="32" t="s">
        <v>201</v>
      </c>
      <c r="S100" s="89">
        <v>150</v>
      </c>
      <c r="T100" s="66">
        <f t="shared" si="18"/>
        <v>-30.300957592339259</v>
      </c>
      <c r="U100" s="46">
        <f t="shared" si="17"/>
        <v>119.69904240766074</v>
      </c>
      <c r="V100" s="27"/>
      <c r="W100" s="4"/>
      <c r="X100" s="67">
        <f t="shared" si="11"/>
        <v>119.69904240766074</v>
      </c>
      <c r="Y100" s="32" t="e">
        <f>IF(+VLOOKUP(I100,P.Referencia!E:S,3,FALSE)&lt;=L100,"Champion","Gerente")</f>
        <v>#N/A</v>
      </c>
      <c r="Z100" s="39" t="e">
        <f>VLOOKUP(I100,P.Referencia!E:S,3,0)</f>
        <v>#N/A</v>
      </c>
      <c r="AA100" s="40" t="e">
        <f t="shared" si="14"/>
        <v>#N/A</v>
      </c>
      <c r="AB100" s="41" t="e">
        <f t="shared" si="15"/>
        <v>#N/A</v>
      </c>
      <c r="AC100" s="41" t="e">
        <f t="shared" si="16"/>
        <v>#N/A</v>
      </c>
    </row>
    <row r="101" spans="1:29" s="64" customFormat="1" hidden="1" x14ac:dyDescent="0.25">
      <c r="A101" s="32">
        <v>100</v>
      </c>
      <c r="B101" s="64" t="s">
        <v>373</v>
      </c>
      <c r="C101" s="131" t="str">
        <f t="shared" si="12"/>
        <v>LlaveD86467316354100002402</v>
      </c>
      <c r="D101" s="33" t="str">
        <f>VLOOKUP(E101,'NO MODIFICAR'!J:K,2,0)</f>
        <v>D864</v>
      </c>
      <c r="E101" s="26" t="s">
        <v>55</v>
      </c>
      <c r="F101" s="33" t="str">
        <f>VLOOKUP(D101,'NO MODIFICAR'!F:H,3,0)</f>
        <v xml:space="preserve">CENTRO </v>
      </c>
      <c r="G101" s="92">
        <v>67316354</v>
      </c>
      <c r="H101" s="93" t="s">
        <v>223</v>
      </c>
      <c r="I101" s="94">
        <v>10000240</v>
      </c>
      <c r="J101" s="56" t="str">
        <f>VLOOKUP(I101,'Materiales,canteras'!C:D,2,0)</f>
        <v>Grava Triturada Caliza 20 mm -</v>
      </c>
      <c r="K101" s="33">
        <f>VLOOKUP(I101,'Materiales,canteras'!C:E,3,0)</f>
        <v>1.462</v>
      </c>
      <c r="L101" s="105">
        <v>115.5</v>
      </c>
      <c r="M101" s="28" t="s">
        <v>93</v>
      </c>
      <c r="N101" s="57">
        <f t="shared" ca="1" si="13"/>
        <v>46267</v>
      </c>
      <c r="O101" s="32" t="s">
        <v>201</v>
      </c>
      <c r="R101" s="64">
        <v>1.4999999999999999E-2</v>
      </c>
      <c r="S101" s="89">
        <v>280</v>
      </c>
      <c r="T101" s="66">
        <f t="shared" si="18"/>
        <v>-160.30000000000001</v>
      </c>
      <c r="U101" s="46">
        <f t="shared" si="17"/>
        <v>115.5</v>
      </c>
      <c r="V101" s="27">
        <v>0</v>
      </c>
      <c r="W101" s="4">
        <v>2</v>
      </c>
      <c r="X101" s="67">
        <f t="shared" si="11"/>
        <v>115.5</v>
      </c>
      <c r="Y101" s="32" t="e">
        <f>IF(+VLOOKUP(I101,P.Referencia!E:S,3,FALSE)&lt;=L101,"Champion","Gerente")</f>
        <v>#N/A</v>
      </c>
      <c r="Z101" s="39" t="e">
        <f>VLOOKUP(I101,P.Referencia!E:S,3,0)</f>
        <v>#N/A</v>
      </c>
      <c r="AA101" s="40" t="e">
        <f t="shared" si="14"/>
        <v>#N/A</v>
      </c>
      <c r="AB101" s="41" t="e">
        <f t="shared" si="15"/>
        <v>#N/A</v>
      </c>
      <c r="AC101" s="41" t="e">
        <f t="shared" si="16"/>
        <v>#N/A</v>
      </c>
    </row>
    <row r="102" spans="1:29" s="64" customFormat="1" hidden="1" x14ac:dyDescent="0.25">
      <c r="A102" s="32">
        <v>101</v>
      </c>
      <c r="B102" s="64" t="s">
        <v>373</v>
      </c>
      <c r="C102" s="131" t="str">
        <f t="shared" si="12"/>
        <v>LlaveD86467316354100010732</v>
      </c>
      <c r="D102" s="33" t="str">
        <f>VLOOKUP(E102,'NO MODIFICAR'!J:K,2,0)</f>
        <v>D864</v>
      </c>
      <c r="E102" s="26" t="s">
        <v>55</v>
      </c>
      <c r="F102" s="33" t="str">
        <f>VLOOKUP(D102,'NO MODIFICAR'!F:H,3,0)</f>
        <v xml:space="preserve">CENTRO </v>
      </c>
      <c r="G102" s="92">
        <v>67316354</v>
      </c>
      <c r="H102" s="93" t="s">
        <v>223</v>
      </c>
      <c r="I102" s="94">
        <v>10001073</v>
      </c>
      <c r="J102" s="56" t="str">
        <f>VLOOKUP(I102,'Materiales,canteras'!C:D,2,0)</f>
        <v>Arena Triturada Caliza Malla 4</v>
      </c>
      <c r="K102" s="33">
        <f>VLOOKUP(I102,'Materiales,canteras'!C:E,3,0)</f>
        <v>1.56</v>
      </c>
      <c r="L102" s="105">
        <v>89.38</v>
      </c>
      <c r="M102" s="28" t="s">
        <v>93</v>
      </c>
      <c r="N102" s="57">
        <f t="shared" ca="1" si="13"/>
        <v>46267</v>
      </c>
      <c r="O102" s="32" t="s">
        <v>201</v>
      </c>
      <c r="R102" s="64">
        <v>1.4999999999999999E-2</v>
      </c>
      <c r="S102" s="89">
        <v>150</v>
      </c>
      <c r="T102" s="66">
        <f t="shared" si="18"/>
        <v>-58.370000000000005</v>
      </c>
      <c r="U102" s="46">
        <f t="shared" si="17"/>
        <v>89.38</v>
      </c>
      <c r="V102" s="27">
        <v>0</v>
      </c>
      <c r="W102" s="4">
        <v>2</v>
      </c>
      <c r="X102" s="67">
        <f t="shared" si="11"/>
        <v>89.38</v>
      </c>
      <c r="Y102" s="32" t="e">
        <f>IF(+VLOOKUP(I102,P.Referencia!E:S,3,FALSE)&lt;=L102,"Champion","Gerente")</f>
        <v>#N/A</v>
      </c>
      <c r="Z102" s="39" t="e">
        <f>VLOOKUP(I102,P.Referencia!E:S,3,0)</f>
        <v>#N/A</v>
      </c>
      <c r="AA102" s="40" t="e">
        <f t="shared" si="14"/>
        <v>#N/A</v>
      </c>
      <c r="AB102" s="41" t="e">
        <f t="shared" si="15"/>
        <v>#N/A</v>
      </c>
      <c r="AC102" s="41" t="e">
        <f t="shared" si="16"/>
        <v>#N/A</v>
      </c>
    </row>
    <row r="103" spans="1:29" s="64" customFormat="1" hidden="1" x14ac:dyDescent="0.25">
      <c r="A103" s="32">
        <v>102</v>
      </c>
      <c r="B103" s="64" t="s">
        <v>373</v>
      </c>
      <c r="C103" s="131" t="str">
        <f t="shared" si="12"/>
        <v>LlaveD86467327337100002362</v>
      </c>
      <c r="D103" s="33" t="str">
        <f>VLOOKUP(E103,'NO MODIFICAR'!J:K,2,0)</f>
        <v>D864</v>
      </c>
      <c r="E103" s="26" t="s">
        <v>55</v>
      </c>
      <c r="F103" s="33" t="str">
        <f>VLOOKUP(D103,'NO MODIFICAR'!F:H,3,0)</f>
        <v xml:space="preserve">CENTRO </v>
      </c>
      <c r="G103" s="92">
        <v>67327337</v>
      </c>
      <c r="H103" s="93" t="s">
        <v>224</v>
      </c>
      <c r="I103" s="94">
        <v>10000236</v>
      </c>
      <c r="J103" s="56" t="str">
        <f>VLOOKUP(I103,'Materiales,canteras'!C:D,2,0)</f>
        <v>Grava Triturada Caliza 10 mm -</v>
      </c>
      <c r="K103" s="33">
        <f>VLOOKUP(I103,'Materiales,canteras'!C:E,3,0)</f>
        <v>1.41</v>
      </c>
      <c r="L103" s="105">
        <v>130</v>
      </c>
      <c r="M103" s="28" t="s">
        <v>93</v>
      </c>
      <c r="N103" s="57">
        <f t="shared" ca="1" si="13"/>
        <v>46267</v>
      </c>
      <c r="O103" s="32" t="s">
        <v>201</v>
      </c>
      <c r="R103" s="64">
        <v>1.4999999999999999E-2</v>
      </c>
      <c r="S103" s="89">
        <v>240</v>
      </c>
      <c r="T103" s="66">
        <f t="shared" si="18"/>
        <v>-106.4</v>
      </c>
      <c r="U103" s="46">
        <f t="shared" si="17"/>
        <v>130</v>
      </c>
      <c r="V103" s="27">
        <v>0</v>
      </c>
      <c r="W103" s="4">
        <v>2</v>
      </c>
      <c r="X103" s="67">
        <f t="shared" si="11"/>
        <v>130</v>
      </c>
      <c r="Y103" s="32" t="e">
        <f>IF(+VLOOKUP(I103,P.Referencia!E:S,3,FALSE)&lt;=L103,"Champion","Gerente")</f>
        <v>#N/A</v>
      </c>
      <c r="Z103" s="39" t="e">
        <f>VLOOKUP(I103,P.Referencia!E:S,3,0)</f>
        <v>#N/A</v>
      </c>
      <c r="AA103" s="40" t="e">
        <f t="shared" si="14"/>
        <v>#N/A</v>
      </c>
      <c r="AB103" s="41" t="e">
        <f t="shared" si="15"/>
        <v>#N/A</v>
      </c>
      <c r="AC103" s="41" t="e">
        <f t="shared" si="16"/>
        <v>#N/A</v>
      </c>
    </row>
    <row r="104" spans="1:29" s="64" customFormat="1" hidden="1" x14ac:dyDescent="0.25">
      <c r="A104" s="32">
        <v>103</v>
      </c>
      <c r="B104" s="64" t="s">
        <v>373</v>
      </c>
      <c r="C104" s="131" t="str">
        <f t="shared" si="12"/>
        <v>LlaveD86467327337100002402</v>
      </c>
      <c r="D104" s="33" t="str">
        <f>VLOOKUP(E104,'NO MODIFICAR'!J:K,2,0)</f>
        <v>D864</v>
      </c>
      <c r="E104" s="26" t="s">
        <v>55</v>
      </c>
      <c r="F104" s="33" t="str">
        <f>VLOOKUP(D104,'NO MODIFICAR'!F:H,3,0)</f>
        <v xml:space="preserve">CENTRO </v>
      </c>
      <c r="G104" s="92">
        <v>67327337</v>
      </c>
      <c r="H104" s="93" t="s">
        <v>224</v>
      </c>
      <c r="I104" s="94">
        <v>10000240</v>
      </c>
      <c r="J104" s="56" t="str">
        <f>VLOOKUP(I104,'Materiales,canteras'!C:D,2,0)</f>
        <v>Grava Triturada Caliza 20 mm -</v>
      </c>
      <c r="K104" s="33">
        <f>VLOOKUP(I104,'Materiales,canteras'!C:E,3,0)</f>
        <v>1.462</v>
      </c>
      <c r="L104" s="105">
        <v>110</v>
      </c>
      <c r="M104" s="28" t="s">
        <v>93</v>
      </c>
      <c r="N104" s="57">
        <f t="shared" ca="1" si="13"/>
        <v>46267</v>
      </c>
      <c r="O104" s="32" t="s">
        <v>201</v>
      </c>
      <c r="R104" s="64">
        <v>1.4999999999999999E-2</v>
      </c>
      <c r="S104" s="89">
        <v>280</v>
      </c>
      <c r="T104" s="66">
        <f t="shared" si="18"/>
        <v>-165.8</v>
      </c>
      <c r="U104" s="46">
        <f t="shared" si="17"/>
        <v>110</v>
      </c>
      <c r="V104" s="27">
        <v>0</v>
      </c>
      <c r="W104" s="4">
        <v>2</v>
      </c>
      <c r="X104" s="67">
        <f t="shared" si="11"/>
        <v>110</v>
      </c>
      <c r="Y104" s="32" t="e">
        <f>IF(+VLOOKUP(I104,P.Referencia!E:S,3,FALSE)&lt;=L104,"Champion","Gerente")</f>
        <v>#N/A</v>
      </c>
      <c r="Z104" s="39" t="e">
        <f>VLOOKUP(I104,P.Referencia!E:S,3,0)</f>
        <v>#N/A</v>
      </c>
      <c r="AA104" s="40" t="e">
        <f t="shared" si="14"/>
        <v>#N/A</v>
      </c>
      <c r="AB104" s="41" t="e">
        <f t="shared" si="15"/>
        <v>#N/A</v>
      </c>
      <c r="AC104" s="41" t="e">
        <f t="shared" si="16"/>
        <v>#N/A</v>
      </c>
    </row>
    <row r="105" spans="1:29" s="64" customFormat="1" hidden="1" x14ac:dyDescent="0.25">
      <c r="A105" s="32">
        <v>104</v>
      </c>
      <c r="B105" s="64" t="s">
        <v>373</v>
      </c>
      <c r="C105" s="131" t="str">
        <f t="shared" si="12"/>
        <v>LlaveD86467327337100002692</v>
      </c>
      <c r="D105" s="33" t="str">
        <f>VLOOKUP(E105,'NO MODIFICAR'!J:K,2,0)</f>
        <v>D864</v>
      </c>
      <c r="E105" s="26" t="s">
        <v>55</v>
      </c>
      <c r="F105" s="33" t="str">
        <f>VLOOKUP(D105,'NO MODIFICAR'!F:H,3,0)</f>
        <v xml:space="preserve">CENTRO </v>
      </c>
      <c r="G105" s="92">
        <v>67327337</v>
      </c>
      <c r="H105" s="93" t="s">
        <v>224</v>
      </c>
      <c r="I105" s="94">
        <v>10000269</v>
      </c>
      <c r="J105" s="56" t="str">
        <f>VLOOKUP(I105,'Materiales,canteras'!C:D,2,0)</f>
        <v>Grava Triturada Caliza 13 mm -</v>
      </c>
      <c r="K105" s="33">
        <f>VLOOKUP(I105,'Materiales,canteras'!C:E,3,0)</f>
        <v>1.423</v>
      </c>
      <c r="L105" s="105">
        <v>130</v>
      </c>
      <c r="M105" s="28" t="s">
        <v>93</v>
      </c>
      <c r="N105" s="57">
        <f t="shared" ca="1" si="13"/>
        <v>46267</v>
      </c>
      <c r="O105" s="32" t="s">
        <v>201</v>
      </c>
      <c r="R105" s="64">
        <v>1.4999999999999999E-2</v>
      </c>
      <c r="S105" s="89">
        <v>250</v>
      </c>
      <c r="T105" s="66">
        <f t="shared" si="18"/>
        <v>-116.25</v>
      </c>
      <c r="U105" s="46">
        <f t="shared" ref="U105:U136" si="19">L105</f>
        <v>130</v>
      </c>
      <c r="V105" s="27">
        <v>0</v>
      </c>
      <c r="W105" s="4">
        <v>2</v>
      </c>
      <c r="X105" s="67">
        <f t="shared" si="11"/>
        <v>130</v>
      </c>
      <c r="Y105" s="32" t="e">
        <f>IF(+VLOOKUP(I105,P.Referencia!E:S,3,FALSE)&lt;=L105,"Champion","Gerente")</f>
        <v>#N/A</v>
      </c>
      <c r="Z105" s="39" t="e">
        <f>VLOOKUP(I105,P.Referencia!E:S,3,0)</f>
        <v>#N/A</v>
      </c>
      <c r="AA105" s="40" t="e">
        <f t="shared" si="14"/>
        <v>#N/A</v>
      </c>
      <c r="AB105" s="41" t="e">
        <f t="shared" si="15"/>
        <v>#N/A</v>
      </c>
      <c r="AC105" s="41" t="e">
        <f t="shared" si="16"/>
        <v>#N/A</v>
      </c>
    </row>
    <row r="106" spans="1:29" s="64" customFormat="1" hidden="1" x14ac:dyDescent="0.25">
      <c r="A106" s="32">
        <v>105</v>
      </c>
      <c r="B106" s="64" t="s">
        <v>373</v>
      </c>
      <c r="C106" s="131" t="str">
        <f t="shared" si="12"/>
        <v>LlaveD86467327337100010732</v>
      </c>
      <c r="D106" s="33" t="str">
        <f>VLOOKUP(E106,'NO MODIFICAR'!J:K,2,0)</f>
        <v>D864</v>
      </c>
      <c r="E106" s="26" t="s">
        <v>55</v>
      </c>
      <c r="F106" s="33" t="str">
        <f>VLOOKUP(D106,'NO MODIFICAR'!F:H,3,0)</f>
        <v xml:space="preserve">CENTRO </v>
      </c>
      <c r="G106" s="92">
        <v>67327337</v>
      </c>
      <c r="H106" s="93" t="s">
        <v>224</v>
      </c>
      <c r="I106" s="94">
        <v>10001073</v>
      </c>
      <c r="J106" s="56" t="str">
        <f>VLOOKUP(I106,'Materiales,canteras'!C:D,2,0)</f>
        <v>Arena Triturada Caliza Malla 4</v>
      </c>
      <c r="K106" s="33">
        <f>VLOOKUP(I106,'Materiales,canteras'!C:E,3,0)</f>
        <v>1.56</v>
      </c>
      <c r="L106" s="105">
        <v>80</v>
      </c>
      <c r="M106" s="28" t="s">
        <v>93</v>
      </c>
      <c r="N106" s="57">
        <f t="shared" ca="1" si="13"/>
        <v>46267</v>
      </c>
      <c r="O106" s="32" t="s">
        <v>201</v>
      </c>
      <c r="R106" s="64">
        <v>1.4999999999999999E-2</v>
      </c>
      <c r="S106" s="89">
        <v>150</v>
      </c>
      <c r="T106" s="66">
        <f t="shared" si="18"/>
        <v>-67.75</v>
      </c>
      <c r="U106" s="46">
        <f t="shared" si="19"/>
        <v>80</v>
      </c>
      <c r="V106" s="27">
        <v>0</v>
      </c>
      <c r="W106" s="4">
        <v>2</v>
      </c>
      <c r="X106" s="67">
        <f t="shared" si="11"/>
        <v>80</v>
      </c>
      <c r="Y106" s="32" t="e">
        <f>IF(+VLOOKUP(I106,P.Referencia!E:S,3,FALSE)&lt;=L106,"Champion","Gerente")</f>
        <v>#N/A</v>
      </c>
      <c r="Z106" s="39" t="e">
        <f>VLOOKUP(I106,P.Referencia!E:S,3,0)</f>
        <v>#N/A</v>
      </c>
      <c r="AA106" s="40" t="e">
        <f t="shared" si="14"/>
        <v>#N/A</v>
      </c>
      <c r="AB106" s="41" t="e">
        <f t="shared" si="15"/>
        <v>#N/A</v>
      </c>
      <c r="AC106" s="41" t="e">
        <f t="shared" si="16"/>
        <v>#N/A</v>
      </c>
    </row>
    <row r="107" spans="1:29" s="64" customFormat="1" hidden="1" x14ac:dyDescent="0.25">
      <c r="A107" s="32">
        <v>106</v>
      </c>
      <c r="B107" s="64" t="s">
        <v>373</v>
      </c>
      <c r="C107" s="131" t="str">
        <f t="shared" si="12"/>
        <v>LlaveD86467327337100010742</v>
      </c>
      <c r="D107" s="33" t="str">
        <f>VLOOKUP(E107,'NO MODIFICAR'!J:K,2,0)</f>
        <v>D864</v>
      </c>
      <c r="E107" s="26" t="s">
        <v>55</v>
      </c>
      <c r="F107" s="33" t="str">
        <f>VLOOKUP(D107,'NO MODIFICAR'!F:H,3,0)</f>
        <v xml:space="preserve">CENTRO </v>
      </c>
      <c r="G107" s="92">
        <v>67327337</v>
      </c>
      <c r="H107" s="93" t="s">
        <v>224</v>
      </c>
      <c r="I107" s="94">
        <v>10001074</v>
      </c>
      <c r="J107" s="56" t="str">
        <f>VLOOKUP(I107,'Materiales,canteras'!C:D,2,0)</f>
        <v>Grava Triturada Caliza 40 mm -</v>
      </c>
      <c r="K107" s="33">
        <f>VLOOKUP(I107,'Materiales,canteras'!C:E,3,0)</f>
        <v>1.4</v>
      </c>
      <c r="L107" s="105">
        <v>110</v>
      </c>
      <c r="M107" s="28" t="s">
        <v>93</v>
      </c>
      <c r="N107" s="57">
        <f t="shared" ca="1" si="13"/>
        <v>46267</v>
      </c>
      <c r="O107" s="32" t="s">
        <v>201</v>
      </c>
      <c r="R107" s="64">
        <v>1.4999999999999999E-2</v>
      </c>
      <c r="S107" s="89">
        <v>220</v>
      </c>
      <c r="T107" s="66">
        <f t="shared" si="18"/>
        <v>-106.69999999999999</v>
      </c>
      <c r="U107" s="46">
        <f t="shared" si="19"/>
        <v>110</v>
      </c>
      <c r="V107" s="27">
        <v>0</v>
      </c>
      <c r="W107" s="4">
        <v>2</v>
      </c>
      <c r="X107" s="67">
        <f t="shared" si="11"/>
        <v>110</v>
      </c>
      <c r="Y107" s="32" t="e">
        <f>IF(+VLOOKUP(I107,P.Referencia!E:S,3,FALSE)&lt;=L107,"Champion","Gerente")</f>
        <v>#N/A</v>
      </c>
      <c r="Z107" s="39" t="e">
        <f>VLOOKUP(I107,P.Referencia!E:S,3,0)</f>
        <v>#N/A</v>
      </c>
      <c r="AA107" s="40" t="e">
        <f t="shared" si="14"/>
        <v>#N/A</v>
      </c>
      <c r="AB107" s="41" t="e">
        <f t="shared" si="15"/>
        <v>#N/A</v>
      </c>
      <c r="AC107" s="41" t="e">
        <f t="shared" si="16"/>
        <v>#N/A</v>
      </c>
    </row>
    <row r="108" spans="1:29" s="64" customFormat="1" hidden="1" x14ac:dyDescent="0.25">
      <c r="A108" s="32">
        <v>107</v>
      </c>
      <c r="B108" s="64" t="s">
        <v>373</v>
      </c>
      <c r="C108" s="131" t="str">
        <f t="shared" si="12"/>
        <v>LlaveD86467327337100012032</v>
      </c>
      <c r="D108" s="33" t="str">
        <f>VLOOKUP(E108,'NO MODIFICAR'!J:K,2,0)</f>
        <v>D864</v>
      </c>
      <c r="E108" s="26" t="s">
        <v>55</v>
      </c>
      <c r="F108" s="33" t="str">
        <f>VLOOKUP(D108,'NO MODIFICAR'!F:H,3,0)</f>
        <v xml:space="preserve">CENTRO </v>
      </c>
      <c r="G108" s="92">
        <v>67327337</v>
      </c>
      <c r="H108" s="93" t="s">
        <v>224</v>
      </c>
      <c r="I108" s="94">
        <v>10001203</v>
      </c>
      <c r="J108" s="56" t="str">
        <f>VLOOKUP(I108,'Materiales,canteras'!C:D,2,0)</f>
        <v>Desperdicio Triturado Caliza</v>
      </c>
      <c r="K108" s="33">
        <f>VLOOKUP(I108,'Materiales,canteras'!C:E,3,0)</f>
        <v>1.665</v>
      </c>
      <c r="L108" s="105">
        <v>21.67</v>
      </c>
      <c r="M108" s="28" t="s">
        <v>93</v>
      </c>
      <c r="N108" s="57">
        <f t="shared" ca="1" si="13"/>
        <v>46267</v>
      </c>
      <c r="O108" s="32" t="s">
        <v>201</v>
      </c>
      <c r="R108" s="64">
        <v>1.4999999999999999E-2</v>
      </c>
      <c r="S108" s="89">
        <v>22</v>
      </c>
      <c r="T108" s="66">
        <f t="shared" si="18"/>
        <v>0</v>
      </c>
      <c r="U108" s="46">
        <f t="shared" si="19"/>
        <v>21.67</v>
      </c>
      <c r="V108" s="27">
        <v>0</v>
      </c>
      <c r="W108" s="4">
        <v>2</v>
      </c>
      <c r="X108" s="67">
        <f t="shared" si="11"/>
        <v>21.67</v>
      </c>
      <c r="Y108" s="32" t="e">
        <f>IF(+VLOOKUP(I108,P.Referencia!E:S,3,FALSE)&lt;=L108,"Champion","Gerente")</f>
        <v>#N/A</v>
      </c>
      <c r="Z108" s="39" t="e">
        <f>VLOOKUP(I108,P.Referencia!E:S,3,0)</f>
        <v>#N/A</v>
      </c>
      <c r="AA108" s="40" t="e">
        <f t="shared" si="14"/>
        <v>#N/A</v>
      </c>
      <c r="AB108" s="41" t="e">
        <f t="shared" si="15"/>
        <v>#N/A</v>
      </c>
      <c r="AC108" s="41" t="e">
        <f t="shared" si="16"/>
        <v>#N/A</v>
      </c>
    </row>
    <row r="109" spans="1:29" s="64" customFormat="1" hidden="1" x14ac:dyDescent="0.25">
      <c r="A109" s="32">
        <v>108</v>
      </c>
      <c r="B109" s="64" t="s">
        <v>373</v>
      </c>
      <c r="C109" s="131" t="str">
        <f t="shared" si="12"/>
        <v>LlaveD86467327337101727852</v>
      </c>
      <c r="D109" s="33" t="str">
        <f>VLOOKUP(E109,'NO MODIFICAR'!J:K,2,0)</f>
        <v>D864</v>
      </c>
      <c r="E109" s="26" t="s">
        <v>55</v>
      </c>
      <c r="F109" s="33" t="str">
        <f>VLOOKUP(D109,'NO MODIFICAR'!F:H,3,0)</f>
        <v xml:space="preserve">CENTRO </v>
      </c>
      <c r="G109" s="92">
        <v>67327337</v>
      </c>
      <c r="H109" s="93" t="s">
        <v>224</v>
      </c>
      <c r="I109" s="94">
        <v>10172785</v>
      </c>
      <c r="J109" s="56" t="str">
        <f>VLOOKUP(I109,'Materiales,canteras'!C:D,2,0)</f>
        <v>BASE HIDRÁULICA 60%FINOS-40%GR</v>
      </c>
      <c r="K109" s="33">
        <f>VLOOKUP(I109,'Materiales,canteras'!C:E,3,0)</f>
        <v>1.5840000000000001</v>
      </c>
      <c r="L109" s="105">
        <v>60</v>
      </c>
      <c r="M109" s="28" t="s">
        <v>93</v>
      </c>
      <c r="N109" s="57">
        <f t="shared" ca="1" si="13"/>
        <v>46267</v>
      </c>
      <c r="O109" s="32" t="s">
        <v>201</v>
      </c>
      <c r="R109" s="64">
        <v>1.4999999999999999E-2</v>
      </c>
      <c r="S109" s="89">
        <v>105</v>
      </c>
      <c r="T109" s="66">
        <f t="shared" si="18"/>
        <v>-43.424999999999997</v>
      </c>
      <c r="U109" s="46">
        <f t="shared" si="19"/>
        <v>60</v>
      </c>
      <c r="V109" s="27">
        <v>0</v>
      </c>
      <c r="W109" s="4">
        <v>2</v>
      </c>
      <c r="X109" s="67">
        <f t="shared" si="11"/>
        <v>60</v>
      </c>
      <c r="Y109" s="32" t="e">
        <f>IF(+VLOOKUP(I109,P.Referencia!E:S,3,FALSE)&lt;=L109,"Champion","Gerente")</f>
        <v>#N/A</v>
      </c>
      <c r="Z109" s="39" t="e">
        <f>VLOOKUP(I109,P.Referencia!E:S,3,0)</f>
        <v>#N/A</v>
      </c>
      <c r="AA109" s="40" t="e">
        <f t="shared" si="14"/>
        <v>#N/A</v>
      </c>
      <c r="AB109" s="41" t="e">
        <f t="shared" si="15"/>
        <v>#N/A</v>
      </c>
      <c r="AC109" s="41" t="e">
        <f t="shared" si="16"/>
        <v>#N/A</v>
      </c>
    </row>
    <row r="110" spans="1:29" s="64" customFormat="1" hidden="1" x14ac:dyDescent="0.25">
      <c r="A110" s="32">
        <v>109</v>
      </c>
      <c r="B110" s="64" t="s">
        <v>373</v>
      </c>
      <c r="C110" s="131" t="str">
        <f t="shared" si="12"/>
        <v>LlaveD86467327337101737842</v>
      </c>
      <c r="D110" s="33" t="str">
        <f>VLOOKUP(E110,'NO MODIFICAR'!J:K,2,0)</f>
        <v>D864</v>
      </c>
      <c r="E110" s="26" t="s">
        <v>55</v>
      </c>
      <c r="F110" s="33" t="str">
        <f>VLOOKUP(D110,'NO MODIFICAR'!F:H,3,0)</f>
        <v xml:space="preserve">CENTRO </v>
      </c>
      <c r="G110" s="92">
        <v>67327337</v>
      </c>
      <c r="H110" s="93" t="s">
        <v>224</v>
      </c>
      <c r="I110" s="94">
        <v>10173784</v>
      </c>
      <c r="J110" s="56" t="str">
        <f>VLOOKUP(I110,'Materiales,canteras'!C:D,2,0)</f>
        <v>BASE HIDRÁULICA 80%FINOS-20%GR</v>
      </c>
      <c r="K110" s="33">
        <f>VLOOKUP(I110,'Materiales,canteras'!C:E,3,0)</f>
        <v>1.6240000000000001</v>
      </c>
      <c r="L110" s="105">
        <v>42</v>
      </c>
      <c r="M110" s="28" t="s">
        <v>93</v>
      </c>
      <c r="N110" s="57">
        <f t="shared" ca="1" si="13"/>
        <v>46267</v>
      </c>
      <c r="O110" s="32" t="s">
        <v>201</v>
      </c>
      <c r="R110" s="64">
        <v>1.4999999999999999E-2</v>
      </c>
      <c r="S110" s="89">
        <v>65</v>
      </c>
      <c r="T110" s="66">
        <f t="shared" si="18"/>
        <v>-22.025000000000006</v>
      </c>
      <c r="U110" s="46">
        <f t="shared" si="19"/>
        <v>42</v>
      </c>
      <c r="V110" s="27">
        <v>0</v>
      </c>
      <c r="W110" s="4">
        <v>2</v>
      </c>
      <c r="X110" s="67">
        <f t="shared" si="11"/>
        <v>42</v>
      </c>
      <c r="Y110" s="32" t="e">
        <f>IF(+VLOOKUP(I110,P.Referencia!E:S,3,FALSE)&lt;=L110,"Champion","Gerente")</f>
        <v>#N/A</v>
      </c>
      <c r="Z110" s="39" t="e">
        <f>VLOOKUP(I110,P.Referencia!E:S,3,0)</f>
        <v>#N/A</v>
      </c>
      <c r="AA110" s="40" t="e">
        <f t="shared" si="14"/>
        <v>#N/A</v>
      </c>
      <c r="AB110" s="41" t="e">
        <f t="shared" si="15"/>
        <v>#N/A</v>
      </c>
      <c r="AC110" s="41" t="e">
        <f t="shared" si="16"/>
        <v>#N/A</v>
      </c>
    </row>
    <row r="111" spans="1:29" s="64" customFormat="1" hidden="1" x14ac:dyDescent="0.25">
      <c r="A111" s="32">
        <v>110</v>
      </c>
      <c r="B111" s="64" t="s">
        <v>373</v>
      </c>
      <c r="C111" s="131" t="str">
        <f t="shared" si="12"/>
        <v>LlaveD81367327337100002532</v>
      </c>
      <c r="D111" s="33" t="str">
        <f>VLOOKUP(E111,'NO MODIFICAR'!J:K,2,0)</f>
        <v>D813</v>
      </c>
      <c r="E111" s="26" t="s">
        <v>6</v>
      </c>
      <c r="F111" s="33" t="str">
        <f>VLOOKUP(D111,'NO MODIFICAR'!F:H,3,0)</f>
        <v xml:space="preserve">CENTRO </v>
      </c>
      <c r="G111" s="92">
        <v>67327337</v>
      </c>
      <c r="H111" s="93" t="s">
        <v>224</v>
      </c>
      <c r="I111" s="94">
        <v>10000253</v>
      </c>
      <c r="J111" s="56" t="str">
        <f>VLOOKUP(I111,'Materiales,canteras'!C:D,2,0)</f>
        <v>Grava Triturada Andesita 20 mm</v>
      </c>
      <c r="K111" s="33">
        <f>VLOOKUP(I111,'Materiales,canteras'!C:E,3,0)</f>
        <v>1.385</v>
      </c>
      <c r="L111" s="105">
        <v>100</v>
      </c>
      <c r="M111" s="28" t="s">
        <v>93</v>
      </c>
      <c r="N111" s="57">
        <f t="shared" ca="1" si="13"/>
        <v>46267</v>
      </c>
      <c r="O111" s="32" t="s">
        <v>201</v>
      </c>
      <c r="R111" s="64">
        <v>1.4999999999999999E-2</v>
      </c>
      <c r="S111" s="89">
        <v>150</v>
      </c>
      <c r="T111" s="66">
        <f t="shared" si="18"/>
        <v>-47.75</v>
      </c>
      <c r="U111" s="46">
        <f t="shared" si="19"/>
        <v>100</v>
      </c>
      <c r="V111" s="27">
        <v>0</v>
      </c>
      <c r="W111" s="4">
        <v>2</v>
      </c>
      <c r="X111" s="67">
        <f t="shared" si="11"/>
        <v>100</v>
      </c>
      <c r="Y111" s="32" t="e">
        <f>IF(+VLOOKUP(I111,P.Referencia!E:S,3,FALSE)&lt;=L111,"Champion","Gerente")</f>
        <v>#N/A</v>
      </c>
      <c r="Z111" s="39" t="e">
        <f>VLOOKUP(I111,P.Referencia!E:S,3,0)</f>
        <v>#N/A</v>
      </c>
      <c r="AA111" s="40" t="e">
        <f t="shared" si="14"/>
        <v>#N/A</v>
      </c>
      <c r="AB111" s="41" t="e">
        <f t="shared" si="15"/>
        <v>#N/A</v>
      </c>
      <c r="AC111" s="41" t="e">
        <f t="shared" si="16"/>
        <v>#N/A</v>
      </c>
    </row>
    <row r="112" spans="1:29" s="64" customFormat="1" hidden="1" x14ac:dyDescent="0.25">
      <c r="A112" s="32">
        <v>111</v>
      </c>
      <c r="B112" s="64" t="s">
        <v>373</v>
      </c>
      <c r="C112" s="131" t="str">
        <f t="shared" si="12"/>
        <v>LlaveD81367327337100002552</v>
      </c>
      <c r="D112" s="33" t="str">
        <f>VLOOKUP(E112,'NO MODIFICAR'!J:K,2,0)</f>
        <v>D813</v>
      </c>
      <c r="E112" s="26" t="s">
        <v>6</v>
      </c>
      <c r="F112" s="33" t="str">
        <f>VLOOKUP(D112,'NO MODIFICAR'!F:H,3,0)</f>
        <v xml:space="preserve">CENTRO </v>
      </c>
      <c r="G112" s="92">
        <v>67327337</v>
      </c>
      <c r="H112" s="93" t="s">
        <v>224</v>
      </c>
      <c r="I112" s="94">
        <v>10000255</v>
      </c>
      <c r="J112" s="56" t="str">
        <f>VLOOKUP(I112,'Materiales,canteras'!C:D,2,0)</f>
        <v>Arena Triturada Andesita Malla</v>
      </c>
      <c r="K112" s="33">
        <f>VLOOKUP(I112,'Materiales,canteras'!C:E,3,0)</f>
        <v>1.5349999999999999</v>
      </c>
      <c r="L112" s="105">
        <v>80</v>
      </c>
      <c r="M112" s="28" t="s">
        <v>93</v>
      </c>
      <c r="N112" s="57">
        <f t="shared" ca="1" si="13"/>
        <v>46267</v>
      </c>
      <c r="O112" s="32" t="s">
        <v>201</v>
      </c>
      <c r="R112" s="64">
        <v>1.4999999999999999E-2</v>
      </c>
      <c r="S112" s="89">
        <v>150</v>
      </c>
      <c r="T112" s="66">
        <f t="shared" si="18"/>
        <v>-67.75</v>
      </c>
      <c r="U112" s="46">
        <f t="shared" si="19"/>
        <v>80</v>
      </c>
      <c r="V112" s="27">
        <v>0</v>
      </c>
      <c r="W112" s="4">
        <v>2</v>
      </c>
      <c r="X112" s="67">
        <f t="shared" si="11"/>
        <v>80</v>
      </c>
      <c r="Y112" s="32" t="e">
        <f>IF(+VLOOKUP(I112,P.Referencia!E:S,3,FALSE)&lt;=L112,"Champion","Gerente")</f>
        <v>#N/A</v>
      </c>
      <c r="Z112" s="39" t="e">
        <f>VLOOKUP(I112,P.Referencia!E:S,3,0)</f>
        <v>#N/A</v>
      </c>
      <c r="AA112" s="40" t="e">
        <f t="shared" si="14"/>
        <v>#N/A</v>
      </c>
      <c r="AB112" s="41" t="e">
        <f t="shared" si="15"/>
        <v>#N/A</v>
      </c>
      <c r="AC112" s="41" t="e">
        <f t="shared" si="16"/>
        <v>#N/A</v>
      </c>
    </row>
    <row r="113" spans="1:29" s="64" customFormat="1" hidden="1" x14ac:dyDescent="0.25">
      <c r="A113" s="32">
        <v>112</v>
      </c>
      <c r="B113" s="64" t="s">
        <v>373</v>
      </c>
      <c r="C113" s="131" t="str">
        <f t="shared" si="12"/>
        <v>LlaveD81367327337100023502</v>
      </c>
      <c r="D113" s="33" t="str">
        <f>VLOOKUP(E113,'NO MODIFICAR'!J:K,2,0)</f>
        <v>D813</v>
      </c>
      <c r="E113" s="26" t="s">
        <v>6</v>
      </c>
      <c r="F113" s="33" t="str">
        <f>VLOOKUP(D113,'NO MODIFICAR'!F:H,3,0)</f>
        <v xml:space="preserve">CENTRO </v>
      </c>
      <c r="G113" s="92">
        <v>67327337</v>
      </c>
      <c r="H113" s="93" t="s">
        <v>224</v>
      </c>
      <c r="I113" s="94">
        <v>10002350</v>
      </c>
      <c r="J113" s="56" t="str">
        <f>VLOOKUP(I113,'Materiales,canteras'!C:D,2,0)</f>
        <v>Grava Triturada Andesita 10mm-</v>
      </c>
      <c r="K113" s="33">
        <f>VLOOKUP(I113,'Materiales,canteras'!C:E,3,0)</f>
        <v>1.246</v>
      </c>
      <c r="L113" s="105">
        <v>95</v>
      </c>
      <c r="M113" s="28" t="s">
        <v>93</v>
      </c>
      <c r="N113" s="57">
        <f t="shared" ca="1" si="13"/>
        <v>46267</v>
      </c>
      <c r="O113" s="32" t="s">
        <v>201</v>
      </c>
      <c r="R113" s="64">
        <v>1.4999999999999999E-2</v>
      </c>
      <c r="S113" s="89">
        <v>150</v>
      </c>
      <c r="T113" s="66">
        <f t="shared" si="18"/>
        <v>-52.75</v>
      </c>
      <c r="U113" s="46">
        <f t="shared" si="19"/>
        <v>95</v>
      </c>
      <c r="V113" s="27">
        <v>0</v>
      </c>
      <c r="W113" s="4">
        <v>2</v>
      </c>
      <c r="X113" s="67">
        <f t="shared" si="11"/>
        <v>95</v>
      </c>
      <c r="Y113" s="32" t="e">
        <f>IF(+VLOOKUP(I113,P.Referencia!E:S,3,FALSE)&lt;=L113,"Champion","Gerente")</f>
        <v>#N/A</v>
      </c>
      <c r="Z113" s="39" t="e">
        <f>VLOOKUP(I113,P.Referencia!E:S,3,0)</f>
        <v>#N/A</v>
      </c>
      <c r="AA113" s="40" t="e">
        <f t="shared" si="14"/>
        <v>#N/A</v>
      </c>
      <c r="AB113" s="41" t="e">
        <f t="shared" si="15"/>
        <v>#N/A</v>
      </c>
      <c r="AC113" s="41" t="e">
        <f t="shared" si="16"/>
        <v>#N/A</v>
      </c>
    </row>
    <row r="114" spans="1:29" s="64" customFormat="1" hidden="1" x14ac:dyDescent="0.25">
      <c r="A114" s="32">
        <v>113</v>
      </c>
      <c r="B114" s="64" t="s">
        <v>373</v>
      </c>
      <c r="C114" s="131" t="str">
        <f t="shared" si="12"/>
        <v>LlaveD81367327337100012082</v>
      </c>
      <c r="D114" s="33" t="str">
        <f>VLOOKUP(E114,'NO MODIFICAR'!J:K,2,0)</f>
        <v>D813</v>
      </c>
      <c r="E114" s="26" t="s">
        <v>6</v>
      </c>
      <c r="F114" s="33" t="str">
        <f>VLOOKUP(D114,'NO MODIFICAR'!F:H,3,0)</f>
        <v xml:space="preserve">CENTRO </v>
      </c>
      <c r="G114" s="92">
        <v>67327337</v>
      </c>
      <c r="H114" s="93" t="s">
        <v>224</v>
      </c>
      <c r="I114" s="94">
        <v>10001208</v>
      </c>
      <c r="J114" s="56" t="str">
        <f>VLOOKUP(I114,'Materiales,canteras'!C:D,2,0)</f>
        <v>Desperdicio Triturado Andesita</v>
      </c>
      <c r="K114" s="33">
        <f>VLOOKUP(I114,'Materiales,canteras'!C:E,3,0)</f>
        <v>1.401</v>
      </c>
      <c r="L114" s="105">
        <v>49.25</v>
      </c>
      <c r="M114" s="28" t="s">
        <v>93</v>
      </c>
      <c r="N114" s="57">
        <f t="shared" ca="1" si="13"/>
        <v>46267</v>
      </c>
      <c r="O114" s="32" t="s">
        <v>201</v>
      </c>
      <c r="R114" s="64">
        <v>1.4999999999999999E-2</v>
      </c>
      <c r="S114" s="89">
        <v>50</v>
      </c>
      <c r="T114" s="66">
        <f t="shared" ref="T114:T131" si="20">L114-(S114-(S114*R114))</f>
        <v>0</v>
      </c>
      <c r="U114" s="46">
        <f t="shared" si="19"/>
        <v>49.25</v>
      </c>
      <c r="V114" s="27">
        <v>0</v>
      </c>
      <c r="W114" s="4">
        <v>2</v>
      </c>
      <c r="X114" s="67">
        <f t="shared" si="11"/>
        <v>49.25</v>
      </c>
      <c r="Y114" s="32" t="e">
        <f>IF(+VLOOKUP(I114,P.Referencia!E:S,3,FALSE)&lt;=L114,"Champion","Gerente")</f>
        <v>#N/A</v>
      </c>
      <c r="Z114" s="39" t="e">
        <f>VLOOKUP(I114,P.Referencia!E:S,3,0)</f>
        <v>#N/A</v>
      </c>
      <c r="AA114" s="40" t="e">
        <f t="shared" si="14"/>
        <v>#N/A</v>
      </c>
      <c r="AB114" s="41" t="e">
        <f t="shared" si="15"/>
        <v>#N/A</v>
      </c>
      <c r="AC114" s="41" t="e">
        <f t="shared" si="16"/>
        <v>#N/A</v>
      </c>
    </row>
    <row r="115" spans="1:29" s="64" customFormat="1" hidden="1" x14ac:dyDescent="0.25">
      <c r="A115" s="32">
        <v>114</v>
      </c>
      <c r="B115" s="64" t="s">
        <v>373</v>
      </c>
      <c r="C115" s="131" t="str">
        <f t="shared" si="12"/>
        <v>LlaveDU0766520164100001101</v>
      </c>
      <c r="D115" s="33" t="str">
        <f>VLOOKUP(E115,'NO MODIFICAR'!J:K,2,0)</f>
        <v>DU07</v>
      </c>
      <c r="E115" s="26" t="s">
        <v>87</v>
      </c>
      <c r="F115" s="33" t="str">
        <f>VLOOKUP(D115,'NO MODIFICAR'!F:H,3,0)</f>
        <v>SURESTE</v>
      </c>
      <c r="G115" s="92">
        <v>66520164</v>
      </c>
      <c r="H115" s="93" t="s">
        <v>226</v>
      </c>
      <c r="I115" s="94">
        <v>10000110</v>
      </c>
      <c r="J115" s="56" t="str">
        <f>VLOOKUP(I115,'Materiales,canteras'!C:D,2,0)</f>
        <v>GRAVA TRITURADA CALIZA 20 MM “3/4"–INTEG</v>
      </c>
      <c r="K115" s="33">
        <f>VLOOKUP(I115,'Materiales,canteras'!C:E,3,0)</f>
        <v>1.2010000000000001</v>
      </c>
      <c r="L115" s="105">
        <v>301.41548709408823</v>
      </c>
      <c r="M115" s="28" t="s">
        <v>93</v>
      </c>
      <c r="N115" s="57">
        <f t="shared" ca="1" si="13"/>
        <v>46267</v>
      </c>
      <c r="O115" s="32" t="s">
        <v>201</v>
      </c>
      <c r="S115" s="89">
        <v>390</v>
      </c>
      <c r="T115" s="66">
        <f t="shared" si="20"/>
        <v>-88.584512905911765</v>
      </c>
      <c r="U115" s="46">
        <f t="shared" si="19"/>
        <v>301.41548709408823</v>
      </c>
      <c r="V115" s="27">
        <v>98.251457119067439</v>
      </c>
      <c r="W115" s="4">
        <v>1</v>
      </c>
      <c r="X115" s="67">
        <f t="shared" si="11"/>
        <v>399.66694421315566</v>
      </c>
      <c r="Y115" s="32" t="e">
        <f>IF(+VLOOKUP(I115,P.Referencia!E:S,3,FALSE)&lt;=L115,"Champion","Gerente")</f>
        <v>#N/A</v>
      </c>
      <c r="Z115" s="39" t="e">
        <f>VLOOKUP(I115,P.Referencia!E:S,3,0)</f>
        <v>#N/A</v>
      </c>
      <c r="AA115" s="40" t="e">
        <f t="shared" si="14"/>
        <v>#N/A</v>
      </c>
      <c r="AB115" s="41" t="e">
        <f t="shared" si="15"/>
        <v>#N/A</v>
      </c>
      <c r="AC115" s="41" t="e">
        <f t="shared" si="16"/>
        <v>#N/A</v>
      </c>
    </row>
    <row r="116" spans="1:29" s="64" customFormat="1" hidden="1" x14ac:dyDescent="0.25">
      <c r="A116" s="32">
        <v>115</v>
      </c>
      <c r="B116" s="64" t="s">
        <v>373</v>
      </c>
      <c r="C116" s="131" t="str">
        <f t="shared" si="12"/>
        <v>LlaveDU0766520164100001011</v>
      </c>
      <c r="D116" s="33" t="str">
        <f>VLOOKUP(E116,'NO MODIFICAR'!J:K,2,0)</f>
        <v>DU07</v>
      </c>
      <c r="E116" s="26" t="s">
        <v>87</v>
      </c>
      <c r="F116" s="33" t="str">
        <f>VLOOKUP(D116,'NO MODIFICAR'!F:H,3,0)</f>
        <v>SURESTE</v>
      </c>
      <c r="G116" s="92">
        <v>66520164</v>
      </c>
      <c r="H116" s="93" t="s">
        <v>226</v>
      </c>
      <c r="I116" s="94">
        <v>10000101</v>
      </c>
      <c r="J116" s="56" t="str">
        <f>VLOOKUP(I116,'Materiales,canteras'!C:D,2,0)</f>
        <v>Arena Triturada Caliza Malla 4</v>
      </c>
      <c r="K116" s="33">
        <f>VLOOKUP(I116,'Materiales,canteras'!C:E,3,0)</f>
        <v>1.417</v>
      </c>
      <c r="L116" s="105">
        <v>326.04093154551867</v>
      </c>
      <c r="M116" s="28" t="s">
        <v>93</v>
      </c>
      <c r="N116" s="57">
        <f t="shared" ca="1" si="13"/>
        <v>46267</v>
      </c>
      <c r="O116" s="32" t="s">
        <v>201</v>
      </c>
      <c r="S116" s="89">
        <v>400</v>
      </c>
      <c r="T116" s="66">
        <f t="shared" si="20"/>
        <v>-73.959068454481326</v>
      </c>
      <c r="U116" s="46">
        <f t="shared" si="19"/>
        <v>326.04093154551867</v>
      </c>
      <c r="V116" s="27">
        <v>83.274523641496117</v>
      </c>
      <c r="W116" s="4">
        <v>1</v>
      </c>
      <c r="X116" s="67">
        <f t="shared" si="11"/>
        <v>409.31545518701478</v>
      </c>
      <c r="Y116" s="32" t="e">
        <f>IF(+VLOOKUP(I116,P.Referencia!E:S,3,FALSE)&lt;=L116,"Champion","Gerente")</f>
        <v>#N/A</v>
      </c>
      <c r="Z116" s="39" t="e">
        <f>VLOOKUP(I116,P.Referencia!E:S,3,0)</f>
        <v>#N/A</v>
      </c>
      <c r="AA116" s="40" t="e">
        <f t="shared" si="14"/>
        <v>#N/A</v>
      </c>
      <c r="AB116" s="41" t="e">
        <f t="shared" si="15"/>
        <v>#N/A</v>
      </c>
      <c r="AC116" s="41" t="e">
        <f t="shared" si="16"/>
        <v>#N/A</v>
      </c>
    </row>
    <row r="117" spans="1:29" s="64" customFormat="1" hidden="1" x14ac:dyDescent="0.25">
      <c r="A117" s="32">
        <v>116</v>
      </c>
      <c r="B117" s="64" t="s">
        <v>373</v>
      </c>
      <c r="C117" s="131" t="str">
        <f t="shared" si="12"/>
        <v>LlaveDU0766520164102640381</v>
      </c>
      <c r="D117" s="33" t="str">
        <f>VLOOKUP(E117,'NO MODIFICAR'!J:K,2,0)</f>
        <v>DU07</v>
      </c>
      <c r="E117" s="26" t="s">
        <v>87</v>
      </c>
      <c r="F117" s="33" t="str">
        <f>VLOOKUP(D117,'NO MODIFICAR'!F:H,3,0)</f>
        <v>SURESTE</v>
      </c>
      <c r="G117" s="92">
        <v>66520164</v>
      </c>
      <c r="H117" s="93" t="s">
        <v>226</v>
      </c>
      <c r="I117" s="94">
        <v>10264038</v>
      </c>
      <c r="J117" s="56" t="str">
        <f>VLOOKUP(I117,'Materiales,canteras'!C:D,2,0)</f>
        <v>MOV ARENA TRITURADA CALIZA MALLA 4</v>
      </c>
      <c r="K117" s="33">
        <f>VLOOKUP(I117,'Materiales,canteras'!C:E,3,0)</f>
        <v>1.417</v>
      </c>
      <c r="L117" s="105">
        <v>326.04093154551867</v>
      </c>
      <c r="M117" s="28" t="s">
        <v>93</v>
      </c>
      <c r="N117" s="57">
        <f t="shared" ca="1" si="13"/>
        <v>46267</v>
      </c>
      <c r="O117" s="32" t="s">
        <v>201</v>
      </c>
      <c r="S117" s="89">
        <v>400</v>
      </c>
      <c r="T117" s="66">
        <f t="shared" si="20"/>
        <v>-73.959068454481326</v>
      </c>
      <c r="U117" s="46">
        <f t="shared" si="19"/>
        <v>326.04093154551867</v>
      </c>
      <c r="V117" s="27">
        <v>83.274523641496117</v>
      </c>
      <c r="W117" s="4">
        <v>1</v>
      </c>
      <c r="X117" s="67">
        <f t="shared" si="11"/>
        <v>409.31545518701478</v>
      </c>
      <c r="Y117" s="32" t="e">
        <f>IF(+VLOOKUP(I117,P.Referencia!E:S,3,FALSE)&lt;=L117,"Champion","Gerente")</f>
        <v>#N/A</v>
      </c>
      <c r="Z117" s="39" t="e">
        <f>VLOOKUP(I117,P.Referencia!E:S,3,0)</f>
        <v>#N/A</v>
      </c>
      <c r="AA117" s="40" t="e">
        <f t="shared" si="14"/>
        <v>#N/A</v>
      </c>
      <c r="AB117" s="41" t="e">
        <f t="shared" si="15"/>
        <v>#N/A</v>
      </c>
      <c r="AC117" s="41" t="e">
        <f t="shared" si="16"/>
        <v>#N/A</v>
      </c>
    </row>
    <row r="118" spans="1:29" s="64" customFormat="1" hidden="1" x14ac:dyDescent="0.25">
      <c r="A118" s="32">
        <v>117</v>
      </c>
      <c r="B118" s="64" t="s">
        <v>373</v>
      </c>
      <c r="C118" s="131" t="str">
        <f t="shared" si="12"/>
        <v>LlaveDU0766520164102640391</v>
      </c>
      <c r="D118" s="33" t="str">
        <f>VLOOKUP(E118,'NO MODIFICAR'!J:K,2,0)</f>
        <v>DU07</v>
      </c>
      <c r="E118" s="26" t="s">
        <v>87</v>
      </c>
      <c r="F118" s="33" t="str">
        <f>VLOOKUP(D118,'NO MODIFICAR'!F:H,3,0)</f>
        <v>SURESTE</v>
      </c>
      <c r="G118" s="92">
        <v>66520164</v>
      </c>
      <c r="H118" s="93" t="s">
        <v>226</v>
      </c>
      <c r="I118" s="94">
        <v>10264039</v>
      </c>
      <c r="J118" s="56" t="str">
        <f>VLOOKUP(I118,'Materiales,canteras'!C:D,2,0)</f>
        <v>MOV GRAVA TRITURADA CALIZA 20MM 3/4 INTE</v>
      </c>
      <c r="K118" s="33">
        <f>VLOOKUP(I118,'Materiales,canteras'!C:E,3,0)</f>
        <v>1.2010000000000001</v>
      </c>
      <c r="L118" s="105">
        <v>301.41548709408823</v>
      </c>
      <c r="M118" s="28" t="s">
        <v>93</v>
      </c>
      <c r="N118" s="57">
        <f t="shared" ca="1" si="13"/>
        <v>46267</v>
      </c>
      <c r="O118" s="32" t="s">
        <v>201</v>
      </c>
      <c r="S118" s="89">
        <v>150</v>
      </c>
      <c r="T118" s="66">
        <f t="shared" si="20"/>
        <v>151.41548709408823</v>
      </c>
      <c r="U118" s="46">
        <f t="shared" si="19"/>
        <v>301.41548709408823</v>
      </c>
      <c r="V118" s="27">
        <v>98.251457119067439</v>
      </c>
      <c r="W118" s="4">
        <v>1</v>
      </c>
      <c r="X118" s="67">
        <f t="shared" si="11"/>
        <v>399.66694421315566</v>
      </c>
      <c r="Y118" s="32" t="e">
        <f>IF(+VLOOKUP(I118,P.Referencia!E:S,3,FALSE)&lt;=L118,"Champion","Gerente")</f>
        <v>#N/A</v>
      </c>
      <c r="Z118" s="39" t="e">
        <f>VLOOKUP(I118,P.Referencia!E:S,3,0)</f>
        <v>#N/A</v>
      </c>
      <c r="AA118" s="40" t="e">
        <f t="shared" si="14"/>
        <v>#N/A</v>
      </c>
      <c r="AB118" s="41" t="e">
        <f t="shared" si="15"/>
        <v>#N/A</v>
      </c>
      <c r="AC118" s="41" t="e">
        <f t="shared" si="16"/>
        <v>#N/A</v>
      </c>
    </row>
    <row r="119" spans="1:29" s="64" customFormat="1" hidden="1" x14ac:dyDescent="0.25">
      <c r="A119" s="32">
        <v>118</v>
      </c>
      <c r="B119" s="64" t="s">
        <v>373</v>
      </c>
      <c r="C119" s="131" t="str">
        <f t="shared" si="12"/>
        <v>LlaveD8616732736910000311</v>
      </c>
      <c r="D119" s="33" t="str">
        <f>VLOOKUP(E119,'NO MODIFICAR'!J:K,2,0)</f>
        <v>D861</v>
      </c>
      <c r="E119" s="26" t="s">
        <v>44</v>
      </c>
      <c r="F119" s="33" t="str">
        <f>VLOOKUP(D119,'NO MODIFICAR'!F:H,3,0)</f>
        <v xml:space="preserve">CENTRO </v>
      </c>
      <c r="G119" s="92">
        <v>67327369</v>
      </c>
      <c r="H119" s="93" t="s">
        <v>231</v>
      </c>
      <c r="I119" s="94">
        <v>10000311</v>
      </c>
      <c r="J119" s="56" t="str">
        <f>VLOOKUP(I119,'Materiales,canteras'!C:D,2,0)</f>
        <v>Arena Triturada Basalto  Malla</v>
      </c>
      <c r="K119" s="33">
        <f>VLOOKUP(I119,'Materiales,canteras'!C:E,3,0)</f>
        <v>1.651</v>
      </c>
      <c r="L119" s="105">
        <v>180</v>
      </c>
      <c r="M119" s="28" t="s">
        <v>93</v>
      </c>
      <c r="N119" s="57">
        <f t="shared" ca="1" si="13"/>
        <v>46267</v>
      </c>
      <c r="O119" s="32" t="s">
        <v>201</v>
      </c>
      <c r="R119" s="64">
        <v>1.4999999999999999E-2</v>
      </c>
      <c r="S119" s="89">
        <v>260</v>
      </c>
      <c r="T119" s="66">
        <f t="shared" si="20"/>
        <v>-76.100000000000023</v>
      </c>
      <c r="U119" s="46">
        <f t="shared" si="19"/>
        <v>180</v>
      </c>
      <c r="V119" s="27"/>
      <c r="W119" s="4"/>
      <c r="X119" s="67">
        <f t="shared" si="11"/>
        <v>180</v>
      </c>
      <c r="Y119" s="32" t="e">
        <f>IF(+VLOOKUP(I119,P.Referencia!E:S,3,FALSE)&lt;=L119,"Champion","Gerente")</f>
        <v>#N/A</v>
      </c>
      <c r="Z119" s="39" t="e">
        <f>VLOOKUP(I119,P.Referencia!E:S,3,0)</f>
        <v>#N/A</v>
      </c>
      <c r="AA119" s="40" t="e">
        <f t="shared" si="14"/>
        <v>#N/A</v>
      </c>
      <c r="AB119" s="41" t="e">
        <f t="shared" si="15"/>
        <v>#N/A</v>
      </c>
      <c r="AC119" s="41" t="e">
        <f t="shared" si="16"/>
        <v>#N/A</v>
      </c>
    </row>
    <row r="120" spans="1:29" s="64" customFormat="1" hidden="1" x14ac:dyDescent="0.25">
      <c r="A120" s="32">
        <v>119</v>
      </c>
      <c r="B120" s="64" t="s">
        <v>373</v>
      </c>
      <c r="C120" s="131" t="str">
        <f t="shared" si="12"/>
        <v>LlaveD8616732736910003153</v>
      </c>
      <c r="D120" s="33" t="str">
        <f>VLOOKUP(E120,'NO MODIFICAR'!J:K,2,0)</f>
        <v>D861</v>
      </c>
      <c r="E120" s="26" t="s">
        <v>44</v>
      </c>
      <c r="F120" s="33" t="str">
        <f>VLOOKUP(D120,'NO MODIFICAR'!F:H,3,0)</f>
        <v xml:space="preserve">CENTRO </v>
      </c>
      <c r="G120" s="92">
        <v>67327369</v>
      </c>
      <c r="H120" s="93" t="s">
        <v>231</v>
      </c>
      <c r="I120" s="94">
        <v>10003153</v>
      </c>
      <c r="J120" s="56" t="str">
        <f>VLOOKUP(I120,'Materiales,canteras'!C:D,2,0)</f>
        <v>Grava Triturada Basalto 13 mm</v>
      </c>
      <c r="K120" s="33">
        <f>VLOOKUP(I120,'Materiales,canteras'!C:E,3,0)</f>
        <v>1.546</v>
      </c>
      <c r="L120" s="105">
        <v>190</v>
      </c>
      <c r="M120" s="28" t="s">
        <v>93</v>
      </c>
      <c r="N120" s="57">
        <f t="shared" ca="1" si="13"/>
        <v>46267</v>
      </c>
      <c r="O120" s="32" t="s">
        <v>201</v>
      </c>
      <c r="R120" s="64">
        <v>1.4999999999999999E-2</v>
      </c>
      <c r="S120" s="89">
        <v>270</v>
      </c>
      <c r="T120" s="66">
        <f t="shared" si="20"/>
        <v>-75.949999999999989</v>
      </c>
      <c r="U120" s="46">
        <f t="shared" si="19"/>
        <v>190</v>
      </c>
      <c r="V120" s="27"/>
      <c r="W120" s="4"/>
      <c r="X120" s="67">
        <f t="shared" si="11"/>
        <v>190</v>
      </c>
      <c r="Y120" s="32" t="e">
        <f>IF(+VLOOKUP(I120,P.Referencia!E:S,3,FALSE)&lt;=L120,"Champion","Gerente")</f>
        <v>#N/A</v>
      </c>
      <c r="Z120" s="39" t="e">
        <f>VLOOKUP(I120,P.Referencia!E:S,3,0)</f>
        <v>#N/A</v>
      </c>
      <c r="AA120" s="40" t="e">
        <f t="shared" si="14"/>
        <v>#N/A</v>
      </c>
      <c r="AB120" s="41" t="e">
        <f t="shared" si="15"/>
        <v>#N/A</v>
      </c>
      <c r="AC120" s="41" t="e">
        <f t="shared" si="16"/>
        <v>#N/A</v>
      </c>
    </row>
    <row r="121" spans="1:29" s="64" customFormat="1" hidden="1" x14ac:dyDescent="0.25">
      <c r="A121" s="32">
        <v>120</v>
      </c>
      <c r="B121" s="64" t="s">
        <v>373</v>
      </c>
      <c r="C121" s="131" t="str">
        <f t="shared" si="12"/>
        <v>LlaveD8616732736910000231</v>
      </c>
      <c r="D121" s="33" t="str">
        <f>VLOOKUP(E121,'NO MODIFICAR'!J:K,2,0)</f>
        <v>D861</v>
      </c>
      <c r="E121" s="26" t="s">
        <v>44</v>
      </c>
      <c r="F121" s="33" t="str">
        <f>VLOOKUP(D121,'NO MODIFICAR'!F:H,3,0)</f>
        <v xml:space="preserve">CENTRO </v>
      </c>
      <c r="G121" s="92">
        <v>67327369</v>
      </c>
      <c r="H121" s="93" t="s">
        <v>231</v>
      </c>
      <c r="I121" s="94">
        <v>10000231</v>
      </c>
      <c r="J121" s="56" t="str">
        <f>VLOOKUP(I121,'Materiales,canteras'!C:D,2,0)</f>
        <v>Grava Triturada Basalto 20 mm</v>
      </c>
      <c r="K121" s="33">
        <f>VLOOKUP(I121,'Materiales,canteras'!C:E,3,0)</f>
        <v>1.5649999999999999</v>
      </c>
      <c r="L121" s="105">
        <v>190</v>
      </c>
      <c r="M121" s="28" t="s">
        <v>93</v>
      </c>
      <c r="N121" s="57">
        <f t="shared" ca="1" si="13"/>
        <v>46267</v>
      </c>
      <c r="O121" s="32" t="s">
        <v>201</v>
      </c>
      <c r="R121" s="64">
        <v>1.4999999999999999E-2</v>
      </c>
      <c r="S121" s="89">
        <v>280</v>
      </c>
      <c r="T121" s="66">
        <f t="shared" si="20"/>
        <v>-85.800000000000011</v>
      </c>
      <c r="U121" s="46">
        <f t="shared" si="19"/>
        <v>190</v>
      </c>
      <c r="V121" s="27"/>
      <c r="W121" s="4"/>
      <c r="X121" s="67">
        <f t="shared" si="11"/>
        <v>190</v>
      </c>
      <c r="Y121" s="32" t="e">
        <f>IF(+VLOOKUP(I121,P.Referencia!E:S,3,FALSE)&lt;=L121,"Champion","Gerente")</f>
        <v>#N/A</v>
      </c>
      <c r="Z121" s="39" t="e">
        <f>VLOOKUP(I121,P.Referencia!E:S,3,0)</f>
        <v>#N/A</v>
      </c>
      <c r="AA121" s="40" t="e">
        <f t="shared" si="14"/>
        <v>#N/A</v>
      </c>
      <c r="AB121" s="41" t="e">
        <f t="shared" si="15"/>
        <v>#N/A</v>
      </c>
      <c r="AC121" s="41" t="e">
        <f t="shared" si="16"/>
        <v>#N/A</v>
      </c>
    </row>
    <row r="122" spans="1:29" s="64" customFormat="1" hidden="1" x14ac:dyDescent="0.25">
      <c r="A122" s="32">
        <v>121</v>
      </c>
      <c r="B122" s="64" t="s">
        <v>373</v>
      </c>
      <c r="C122" s="131" t="str">
        <f t="shared" si="12"/>
        <v>LlaveD8616732814110000290</v>
      </c>
      <c r="D122" s="33" t="str">
        <f>VLOOKUP(E122,'NO MODIFICAR'!J:K,2,0)</f>
        <v>D861</v>
      </c>
      <c r="E122" s="26" t="s">
        <v>44</v>
      </c>
      <c r="F122" s="33" t="str">
        <f>VLOOKUP(D122,'NO MODIFICAR'!F:H,3,0)</f>
        <v xml:space="preserve">CENTRO </v>
      </c>
      <c r="G122" s="92">
        <v>67328141</v>
      </c>
      <c r="H122" s="93" t="s">
        <v>232</v>
      </c>
      <c r="I122" s="94">
        <v>10000290</v>
      </c>
      <c r="J122" s="56" t="str">
        <f>VLOOKUP(I122,'Materiales,canteras'!C:D,2,0)</f>
        <v>Polvos Triturado Basalto 3/4"</v>
      </c>
      <c r="K122" s="33">
        <f>VLOOKUP(I122,'Materiales,canteras'!C:E,3,0)</f>
        <v>1.3720000000000001</v>
      </c>
      <c r="L122" s="105">
        <v>18</v>
      </c>
      <c r="M122" s="28" t="s">
        <v>93</v>
      </c>
      <c r="N122" s="57">
        <f t="shared" ca="1" si="13"/>
        <v>46267</v>
      </c>
      <c r="O122" s="32" t="s">
        <v>201</v>
      </c>
      <c r="S122" s="89">
        <v>25</v>
      </c>
      <c r="T122" s="66">
        <f t="shared" si="20"/>
        <v>-7</v>
      </c>
      <c r="U122" s="46">
        <f t="shared" si="19"/>
        <v>18</v>
      </c>
      <c r="V122" s="27"/>
      <c r="W122" s="4"/>
      <c r="X122" s="67">
        <f t="shared" si="11"/>
        <v>18</v>
      </c>
      <c r="Y122" s="32" t="e">
        <f>IF(+VLOOKUP(I122,P.Referencia!E:S,3,FALSE)&lt;=L122,"Champion","Gerente")</f>
        <v>#N/A</v>
      </c>
      <c r="Z122" s="39" t="e">
        <f>VLOOKUP(I122,P.Referencia!E:S,3,0)</f>
        <v>#N/A</v>
      </c>
      <c r="AA122" s="40" t="e">
        <f t="shared" si="14"/>
        <v>#N/A</v>
      </c>
      <c r="AB122" s="41" t="e">
        <f t="shared" si="15"/>
        <v>#N/A</v>
      </c>
      <c r="AC122" s="41" t="e">
        <f t="shared" si="16"/>
        <v>#N/A</v>
      </c>
    </row>
    <row r="123" spans="1:29" s="64" customFormat="1" hidden="1" x14ac:dyDescent="0.25">
      <c r="A123" s="32">
        <v>122</v>
      </c>
      <c r="B123" s="64" t="s">
        <v>373</v>
      </c>
      <c r="C123" s="131" t="str">
        <f t="shared" si="12"/>
        <v>LlaveDU0767328184100001031</v>
      </c>
      <c r="D123" s="33" t="str">
        <f>VLOOKUP(E123,'NO MODIFICAR'!J:K,2,0)</f>
        <v>DU07</v>
      </c>
      <c r="E123" s="26" t="s">
        <v>87</v>
      </c>
      <c r="F123" s="33" t="str">
        <f>VLOOKUP(D123,'NO MODIFICAR'!F:H,3,0)</f>
        <v>SURESTE</v>
      </c>
      <c r="G123" s="92">
        <v>67328184</v>
      </c>
      <c r="H123" s="93" t="s">
        <v>233</v>
      </c>
      <c r="I123" s="94">
        <v>10000103</v>
      </c>
      <c r="J123" s="56" t="str">
        <f>VLOOKUP(I123,'Materiales,canteras'!C:D,2,0)</f>
        <v>Base H Triturada Caliza 1 1/2" a Finos</v>
      </c>
      <c r="K123" s="33">
        <f>VLOOKUP(I123,'Materiales,canteras'!C:E,3,0)</f>
        <v>1.462</v>
      </c>
      <c r="L123" s="105">
        <v>114.91</v>
      </c>
      <c r="M123" s="28" t="s">
        <v>93</v>
      </c>
      <c r="N123" s="57">
        <f t="shared" ca="1" si="13"/>
        <v>46267</v>
      </c>
      <c r="O123" s="32" t="s">
        <v>201</v>
      </c>
      <c r="S123" s="89">
        <v>150</v>
      </c>
      <c r="T123" s="66">
        <f t="shared" si="20"/>
        <v>-35.090000000000003</v>
      </c>
      <c r="U123" s="46">
        <f t="shared" si="19"/>
        <v>114.91</v>
      </c>
      <c r="V123" s="27">
        <v>86.867305061559506</v>
      </c>
      <c r="W123" s="4">
        <v>1</v>
      </c>
      <c r="X123" s="67">
        <f t="shared" si="11"/>
        <v>201.7773050615595</v>
      </c>
      <c r="Y123" s="32" t="e">
        <f>IF(+VLOOKUP(I123,P.Referencia!E:S,3,FALSE)&lt;=L123,"Champion","Gerente")</f>
        <v>#N/A</v>
      </c>
      <c r="Z123" s="39" t="e">
        <f>VLOOKUP(I123,P.Referencia!E:S,3,0)</f>
        <v>#N/A</v>
      </c>
      <c r="AA123" s="40" t="e">
        <f t="shared" si="14"/>
        <v>#N/A</v>
      </c>
      <c r="AB123" s="41" t="e">
        <f t="shared" si="15"/>
        <v>#N/A</v>
      </c>
      <c r="AC123" s="41" t="e">
        <f t="shared" si="16"/>
        <v>#N/A</v>
      </c>
    </row>
    <row r="124" spans="1:29" s="64" customFormat="1" hidden="1" x14ac:dyDescent="0.25">
      <c r="A124" s="32">
        <v>123</v>
      </c>
      <c r="B124" s="64" t="s">
        <v>373</v>
      </c>
      <c r="C124" s="131" t="str">
        <f t="shared" si="12"/>
        <v>LlaveDU0767328184102641031</v>
      </c>
      <c r="D124" s="33" t="str">
        <f>VLOOKUP(E124,'NO MODIFICAR'!J:K,2,0)</f>
        <v>DU07</v>
      </c>
      <c r="E124" s="26" t="s">
        <v>87</v>
      </c>
      <c r="F124" s="33" t="str">
        <f>VLOOKUP(D124,'NO MODIFICAR'!F:H,3,0)</f>
        <v>SURESTE</v>
      </c>
      <c r="G124" s="92">
        <v>67328184</v>
      </c>
      <c r="H124" s="93" t="s">
        <v>233</v>
      </c>
      <c r="I124" s="94">
        <v>10264103</v>
      </c>
      <c r="J124" s="56" t="str">
        <f>VLOOKUP(I124,'Materiales,canteras'!C:D,2,0)</f>
        <v>MOV BASE H TRITURADA CALIZA 1 1/2</v>
      </c>
      <c r="K124" s="33">
        <f>VLOOKUP(I124,'Materiales,canteras'!C:E,3,0)</f>
        <v>1.462</v>
      </c>
      <c r="L124" s="105">
        <v>114.91</v>
      </c>
      <c r="M124" s="28" t="s">
        <v>93</v>
      </c>
      <c r="N124" s="57">
        <f t="shared" ca="1" si="13"/>
        <v>46267</v>
      </c>
      <c r="O124" s="32" t="s">
        <v>201</v>
      </c>
      <c r="S124" s="89">
        <v>390</v>
      </c>
      <c r="T124" s="66">
        <f t="shared" si="20"/>
        <v>-275.09000000000003</v>
      </c>
      <c r="U124" s="46">
        <f t="shared" si="19"/>
        <v>114.91</v>
      </c>
      <c r="V124" s="27">
        <v>86.867305061559506</v>
      </c>
      <c r="W124" s="4">
        <v>1</v>
      </c>
      <c r="X124" s="67">
        <f t="shared" ref="X124:X187" si="21">U124+V124</f>
        <v>201.7773050615595</v>
      </c>
      <c r="Y124" s="32" t="e">
        <f>IF(+VLOOKUP(I124,P.Referencia!E:S,3,FALSE)&lt;=L124,"Champion","Gerente")</f>
        <v>#N/A</v>
      </c>
      <c r="Z124" s="39" t="e">
        <f>VLOOKUP(I124,P.Referencia!E:S,3,0)</f>
        <v>#N/A</v>
      </c>
      <c r="AA124" s="40" t="e">
        <f t="shared" si="14"/>
        <v>#N/A</v>
      </c>
      <c r="AB124" s="41" t="e">
        <f t="shared" si="15"/>
        <v>#N/A</v>
      </c>
      <c r="AC124" s="41" t="e">
        <f t="shared" si="16"/>
        <v>#N/A</v>
      </c>
    </row>
    <row r="125" spans="1:29" s="64" customFormat="1" hidden="1" x14ac:dyDescent="0.25">
      <c r="A125" s="32">
        <v>124</v>
      </c>
      <c r="B125" s="64" t="s">
        <v>373</v>
      </c>
      <c r="C125" s="131" t="str">
        <f t="shared" si="12"/>
        <v>LlaveD81367328420100002552</v>
      </c>
      <c r="D125" s="33" t="str">
        <f>VLOOKUP(E125,'NO MODIFICAR'!J:K,2,0)</f>
        <v>D813</v>
      </c>
      <c r="E125" s="26" t="s">
        <v>6</v>
      </c>
      <c r="F125" s="33" t="str">
        <f>VLOOKUP(D125,'NO MODIFICAR'!F:H,3,0)</f>
        <v xml:space="preserve">CENTRO </v>
      </c>
      <c r="G125" s="92">
        <v>67328420</v>
      </c>
      <c r="H125" s="93" t="s">
        <v>221</v>
      </c>
      <c r="I125" s="94">
        <v>10000255</v>
      </c>
      <c r="J125" s="56" t="str">
        <f>VLOOKUP(I125,'Materiales,canteras'!C:D,2,0)</f>
        <v>Arena Triturada Andesita Malla</v>
      </c>
      <c r="K125" s="33">
        <f>VLOOKUP(I125,'Materiales,canteras'!C:E,3,0)</f>
        <v>1.5349999999999999</v>
      </c>
      <c r="L125" s="105">
        <v>104.1</v>
      </c>
      <c r="M125" s="28" t="s">
        <v>93</v>
      </c>
      <c r="N125" s="57">
        <f t="shared" ca="1" si="13"/>
        <v>46267</v>
      </c>
      <c r="O125" s="32" t="s">
        <v>201</v>
      </c>
      <c r="R125" s="64">
        <v>1.4999999999999999E-2</v>
      </c>
      <c r="S125" s="89">
        <v>150</v>
      </c>
      <c r="T125" s="66">
        <f t="shared" si="20"/>
        <v>-43.650000000000006</v>
      </c>
      <c r="U125" s="46">
        <f t="shared" si="19"/>
        <v>104.1</v>
      </c>
      <c r="V125" s="27">
        <v>0</v>
      </c>
      <c r="W125" s="4">
        <v>2</v>
      </c>
      <c r="X125" s="67">
        <f t="shared" si="21"/>
        <v>104.1</v>
      </c>
      <c r="Y125" s="32" t="e">
        <f>IF(+VLOOKUP(I125,P.Referencia!E:S,3,FALSE)&lt;=L125,"Champion","Gerente")</f>
        <v>#N/A</v>
      </c>
      <c r="Z125" s="39" t="e">
        <f>VLOOKUP(I125,P.Referencia!E:S,3,0)</f>
        <v>#N/A</v>
      </c>
      <c r="AA125" s="40" t="e">
        <f t="shared" si="14"/>
        <v>#N/A</v>
      </c>
      <c r="AB125" s="41" t="e">
        <f t="shared" si="15"/>
        <v>#N/A</v>
      </c>
      <c r="AC125" s="41" t="e">
        <f t="shared" si="16"/>
        <v>#N/A</v>
      </c>
    </row>
    <row r="126" spans="1:29" s="64" customFormat="1" hidden="1" x14ac:dyDescent="0.25">
      <c r="A126" s="32">
        <v>125</v>
      </c>
      <c r="B126" s="64" t="s">
        <v>378</v>
      </c>
      <c r="C126" s="131" t="str">
        <f t="shared" si="12"/>
        <v>LlaveD81367328420100002532</v>
      </c>
      <c r="D126" s="33" t="str">
        <f>VLOOKUP(E126,'NO MODIFICAR'!J:K,2,0)</f>
        <v>D813</v>
      </c>
      <c r="E126" s="26" t="s">
        <v>6</v>
      </c>
      <c r="F126" s="33" t="str">
        <f>VLOOKUP(D126,'NO MODIFICAR'!F:H,3,0)</f>
        <v xml:space="preserve">CENTRO </v>
      </c>
      <c r="G126" s="92">
        <v>67328420</v>
      </c>
      <c r="H126" s="93" t="s">
        <v>221</v>
      </c>
      <c r="I126" s="94">
        <v>10000253</v>
      </c>
      <c r="J126" s="56" t="str">
        <f>VLOOKUP(I126,'Materiales,canteras'!C:D,2,0)</f>
        <v>Grava Triturada Andesita 20 mm</v>
      </c>
      <c r="K126" s="33">
        <f>VLOOKUP(I126,'Materiales,canteras'!C:E,3,0)</f>
        <v>1.385</v>
      </c>
      <c r="L126" s="105">
        <v>104.1</v>
      </c>
      <c r="M126" s="28" t="s">
        <v>93</v>
      </c>
      <c r="N126" s="57">
        <f t="shared" ca="1" si="13"/>
        <v>46267</v>
      </c>
      <c r="O126" s="32" t="s">
        <v>201</v>
      </c>
      <c r="R126" s="64">
        <v>1.4999999999999999E-2</v>
      </c>
      <c r="S126" s="89">
        <v>150</v>
      </c>
      <c r="T126" s="66">
        <f t="shared" si="20"/>
        <v>-43.650000000000006</v>
      </c>
      <c r="U126" s="46">
        <f t="shared" si="19"/>
        <v>104.1</v>
      </c>
      <c r="V126" s="27">
        <v>0</v>
      </c>
      <c r="W126" s="4">
        <v>2</v>
      </c>
      <c r="X126" s="67">
        <f t="shared" si="21"/>
        <v>104.1</v>
      </c>
      <c r="Y126" s="32" t="e">
        <f>IF(+VLOOKUP(I126,P.Referencia!E:S,3,FALSE)&lt;=L126,"Champion","Gerente")</f>
        <v>#N/A</v>
      </c>
      <c r="Z126" s="39" t="e">
        <f>VLOOKUP(I126,P.Referencia!E:S,3,0)</f>
        <v>#N/A</v>
      </c>
      <c r="AA126" s="40" t="e">
        <f t="shared" si="14"/>
        <v>#N/A</v>
      </c>
      <c r="AB126" s="41" t="e">
        <f t="shared" si="15"/>
        <v>#N/A</v>
      </c>
      <c r="AC126" s="41" t="e">
        <f t="shared" si="16"/>
        <v>#N/A</v>
      </c>
    </row>
    <row r="127" spans="1:29" s="74" customFormat="1" hidden="1" x14ac:dyDescent="0.25">
      <c r="A127" s="71">
        <v>126</v>
      </c>
      <c r="B127" s="64" t="s">
        <v>378</v>
      </c>
      <c r="C127" s="131" t="str">
        <f t="shared" si="12"/>
        <v>LlaveD86467328658100002362</v>
      </c>
      <c r="D127" s="72" t="str">
        <f>VLOOKUP(E127,'NO MODIFICAR'!J:K,2,0)</f>
        <v>D864</v>
      </c>
      <c r="E127" s="102" t="s">
        <v>55</v>
      </c>
      <c r="F127" s="72" t="str">
        <f>VLOOKUP(D127,'NO MODIFICAR'!F:H,3,0)</f>
        <v xml:space="preserve">CENTRO </v>
      </c>
      <c r="G127" s="92">
        <v>67328658</v>
      </c>
      <c r="H127" s="93" t="s">
        <v>235</v>
      </c>
      <c r="I127" s="94">
        <v>10000236</v>
      </c>
      <c r="J127" s="56" t="str">
        <f>VLOOKUP(I127,'Materiales,canteras'!C:D,2,0)</f>
        <v>Grava Triturada Caliza 10 mm -</v>
      </c>
      <c r="K127" s="72">
        <f>VLOOKUP(I127,'Materiales,canteras'!C:E,3,0)</f>
        <v>1.41</v>
      </c>
      <c r="L127" s="105">
        <v>139.1</v>
      </c>
      <c r="M127" s="100" t="s">
        <v>93</v>
      </c>
      <c r="N127" s="73">
        <f t="shared" ca="1" si="13"/>
        <v>46267</v>
      </c>
      <c r="O127" s="71" t="s">
        <v>201</v>
      </c>
      <c r="R127" s="74">
        <v>1.4999999999999999E-2</v>
      </c>
      <c r="S127" s="89">
        <v>240</v>
      </c>
      <c r="T127" s="75">
        <f t="shared" si="20"/>
        <v>-97.300000000000011</v>
      </c>
      <c r="U127" s="46">
        <f t="shared" si="19"/>
        <v>139.1</v>
      </c>
      <c r="V127" s="90">
        <v>0</v>
      </c>
      <c r="W127" s="91">
        <v>2</v>
      </c>
      <c r="X127" s="76">
        <f t="shared" si="21"/>
        <v>139.1</v>
      </c>
      <c r="Y127" s="71" t="e">
        <f>IF(+VLOOKUP(I127,P.Referencia!E:S,3,FALSE)&lt;=L127,"Champion","Gerente")</f>
        <v>#N/A</v>
      </c>
      <c r="Z127" s="77" t="e">
        <f>VLOOKUP(I127,P.Referencia!E:S,3,0)</f>
        <v>#N/A</v>
      </c>
      <c r="AA127" s="78" t="e">
        <f t="shared" si="14"/>
        <v>#N/A</v>
      </c>
      <c r="AB127" s="79" t="e">
        <f t="shared" si="15"/>
        <v>#N/A</v>
      </c>
      <c r="AC127" s="79" t="e">
        <f t="shared" si="16"/>
        <v>#N/A</v>
      </c>
    </row>
    <row r="128" spans="1:29" s="74" customFormat="1" hidden="1" x14ac:dyDescent="0.25">
      <c r="A128" s="71">
        <v>127</v>
      </c>
      <c r="B128" s="64" t="s">
        <v>378</v>
      </c>
      <c r="C128" s="131" t="str">
        <f t="shared" si="12"/>
        <v>LlaveD86467328658100002402</v>
      </c>
      <c r="D128" s="72" t="str">
        <f>VLOOKUP(E128,'NO MODIFICAR'!J:K,2,0)</f>
        <v>D864</v>
      </c>
      <c r="E128" s="102" t="s">
        <v>55</v>
      </c>
      <c r="F128" s="72" t="str">
        <f>VLOOKUP(D128,'NO MODIFICAR'!F:H,3,0)</f>
        <v xml:space="preserve">CENTRO </v>
      </c>
      <c r="G128" s="92">
        <v>67328658</v>
      </c>
      <c r="H128" s="93" t="s">
        <v>235</v>
      </c>
      <c r="I128" s="94">
        <v>10000240</v>
      </c>
      <c r="J128" s="56" t="str">
        <f>VLOOKUP(I128,'Materiales,canteras'!C:D,2,0)</f>
        <v>Grava Triturada Caliza 20 mm -</v>
      </c>
      <c r="K128" s="72">
        <f>VLOOKUP(I128,'Materiales,canteras'!C:E,3,0)</f>
        <v>1.462</v>
      </c>
      <c r="L128" s="105">
        <v>151.05000000000001</v>
      </c>
      <c r="M128" s="100" t="s">
        <v>93</v>
      </c>
      <c r="N128" s="73">
        <f t="shared" ca="1" si="13"/>
        <v>46267</v>
      </c>
      <c r="O128" s="71" t="s">
        <v>201</v>
      </c>
      <c r="R128" s="74">
        <v>1.4999999999999999E-2</v>
      </c>
      <c r="S128" s="89">
        <v>280</v>
      </c>
      <c r="T128" s="75">
        <f t="shared" si="20"/>
        <v>-124.75</v>
      </c>
      <c r="U128" s="46">
        <f t="shared" si="19"/>
        <v>151.05000000000001</v>
      </c>
      <c r="V128" s="90">
        <v>0</v>
      </c>
      <c r="W128" s="91">
        <v>2</v>
      </c>
      <c r="X128" s="76">
        <f t="shared" si="21"/>
        <v>151.05000000000001</v>
      </c>
      <c r="Y128" s="71" t="e">
        <f>IF(+VLOOKUP(I128,P.Referencia!E:S,3,FALSE)&lt;=L128,"Champion","Gerente")</f>
        <v>#N/A</v>
      </c>
      <c r="Z128" s="77" t="e">
        <f>VLOOKUP(I128,P.Referencia!E:S,3,0)</f>
        <v>#N/A</v>
      </c>
      <c r="AA128" s="78" t="e">
        <f t="shared" si="14"/>
        <v>#N/A</v>
      </c>
      <c r="AB128" s="79" t="e">
        <f t="shared" si="15"/>
        <v>#N/A</v>
      </c>
      <c r="AC128" s="79" t="e">
        <f t="shared" si="16"/>
        <v>#N/A</v>
      </c>
    </row>
    <row r="129" spans="1:29" s="74" customFormat="1" hidden="1" x14ac:dyDescent="0.25">
      <c r="A129" s="71">
        <v>128</v>
      </c>
      <c r="B129" s="64" t="s">
        <v>378</v>
      </c>
      <c r="C129" s="131" t="str">
        <f t="shared" si="12"/>
        <v>LlaveD86467328658100002692</v>
      </c>
      <c r="D129" s="72" t="str">
        <f>VLOOKUP(E129,'NO MODIFICAR'!J:K,2,0)</f>
        <v>D864</v>
      </c>
      <c r="E129" s="102" t="s">
        <v>55</v>
      </c>
      <c r="F129" s="72" t="str">
        <f>VLOOKUP(D129,'NO MODIFICAR'!F:H,3,0)</f>
        <v xml:space="preserve">CENTRO </v>
      </c>
      <c r="G129" s="92">
        <v>67328658</v>
      </c>
      <c r="H129" s="93" t="s">
        <v>235</v>
      </c>
      <c r="I129" s="94">
        <v>10000269</v>
      </c>
      <c r="J129" s="56" t="str">
        <f>VLOOKUP(I129,'Materiales,canteras'!C:D,2,0)</f>
        <v>Grava Triturada Caliza 13 mm -</v>
      </c>
      <c r="K129" s="72">
        <f>VLOOKUP(I129,'Materiales,canteras'!C:E,3,0)</f>
        <v>1.423</v>
      </c>
      <c r="L129" s="105">
        <v>171.2</v>
      </c>
      <c r="M129" s="100" t="s">
        <v>93</v>
      </c>
      <c r="N129" s="73">
        <f t="shared" ca="1" si="13"/>
        <v>46267</v>
      </c>
      <c r="O129" s="71" t="s">
        <v>201</v>
      </c>
      <c r="R129" s="74">
        <v>1.4999999999999999E-2</v>
      </c>
      <c r="S129" s="89">
        <v>250</v>
      </c>
      <c r="T129" s="75">
        <f t="shared" si="20"/>
        <v>-75.050000000000011</v>
      </c>
      <c r="U129" s="46">
        <f t="shared" si="19"/>
        <v>171.2</v>
      </c>
      <c r="V129" s="90">
        <v>0</v>
      </c>
      <c r="W129" s="91">
        <v>2</v>
      </c>
      <c r="X129" s="76">
        <f t="shared" si="21"/>
        <v>171.2</v>
      </c>
      <c r="Y129" s="71" t="e">
        <f>IF(+VLOOKUP(I129,P.Referencia!E:S,3,FALSE)&lt;=L129,"Champion","Gerente")</f>
        <v>#N/A</v>
      </c>
      <c r="Z129" s="77" t="e">
        <f>VLOOKUP(I129,P.Referencia!E:S,3,0)</f>
        <v>#N/A</v>
      </c>
      <c r="AA129" s="78" t="e">
        <f t="shared" si="14"/>
        <v>#N/A</v>
      </c>
      <c r="AB129" s="79" t="e">
        <f t="shared" si="15"/>
        <v>#N/A</v>
      </c>
      <c r="AC129" s="79" t="e">
        <f t="shared" si="16"/>
        <v>#N/A</v>
      </c>
    </row>
    <row r="130" spans="1:29" s="74" customFormat="1" hidden="1" x14ac:dyDescent="0.25">
      <c r="A130" s="71">
        <v>129</v>
      </c>
      <c r="B130" s="64" t="s">
        <v>378</v>
      </c>
      <c r="C130" s="131" t="str">
        <f t="shared" ref="C130:C193" si="22">_xlfn.CONCAT($C$1,D130,G130,I130,W130)</f>
        <v>LlaveD86467328658100010732</v>
      </c>
      <c r="D130" s="72" t="str">
        <f>VLOOKUP(E130,'NO MODIFICAR'!J:K,2,0)</f>
        <v>D864</v>
      </c>
      <c r="E130" s="102" t="s">
        <v>55</v>
      </c>
      <c r="F130" s="72" t="str">
        <f>VLOOKUP(D130,'NO MODIFICAR'!F:H,3,0)</f>
        <v xml:space="preserve">CENTRO </v>
      </c>
      <c r="G130" s="92">
        <v>67328658</v>
      </c>
      <c r="H130" s="93" t="s">
        <v>235</v>
      </c>
      <c r="I130" s="94">
        <v>10001073</v>
      </c>
      <c r="J130" s="56" t="str">
        <f>VLOOKUP(I130,'Materiales,canteras'!C:D,2,0)</f>
        <v>Arena Triturada Caliza Malla 4</v>
      </c>
      <c r="K130" s="72">
        <f>VLOOKUP(I130,'Materiales,canteras'!C:E,3,0)</f>
        <v>1.56</v>
      </c>
      <c r="L130" s="105">
        <v>112.61</v>
      </c>
      <c r="M130" s="100" t="s">
        <v>93</v>
      </c>
      <c r="N130" s="73">
        <f t="shared" ref="N130:N193" ca="1" si="23">TODAY()</f>
        <v>46267</v>
      </c>
      <c r="O130" s="71" t="s">
        <v>201</v>
      </c>
      <c r="R130" s="74">
        <v>1.4999999999999999E-2</v>
      </c>
      <c r="S130" s="89">
        <v>150</v>
      </c>
      <c r="T130" s="75">
        <f t="shared" si="20"/>
        <v>-35.14</v>
      </c>
      <c r="U130" s="46">
        <f t="shared" si="19"/>
        <v>112.61</v>
      </c>
      <c r="V130" s="90">
        <v>0</v>
      </c>
      <c r="W130" s="91">
        <v>2</v>
      </c>
      <c r="X130" s="76">
        <f t="shared" si="21"/>
        <v>112.61</v>
      </c>
      <c r="Y130" s="71" t="e">
        <f>IF(+VLOOKUP(I130,P.Referencia!E:S,3,FALSE)&lt;=L130,"Champion","Gerente")</f>
        <v>#N/A</v>
      </c>
      <c r="Z130" s="77" t="e">
        <f>VLOOKUP(I130,P.Referencia!E:S,3,0)</f>
        <v>#N/A</v>
      </c>
      <c r="AA130" s="78" t="e">
        <f t="shared" ref="AA130:AA193" si="24">(Z130-U130)/U130</f>
        <v>#N/A</v>
      </c>
      <c r="AB130" s="79" t="e">
        <f t="shared" ref="AB130:AB193" si="25">U130*AA130</f>
        <v>#N/A</v>
      </c>
      <c r="AC130" s="79" t="e">
        <f t="shared" ref="AC130:AC193" si="26">U130+AB130</f>
        <v>#N/A</v>
      </c>
    </row>
    <row r="131" spans="1:29" s="74" customFormat="1" hidden="1" x14ac:dyDescent="0.25">
      <c r="A131" s="71">
        <v>130</v>
      </c>
      <c r="B131" s="64" t="s">
        <v>378</v>
      </c>
      <c r="C131" s="131" t="str">
        <f t="shared" si="22"/>
        <v>LlaveD86467328658100010742</v>
      </c>
      <c r="D131" s="72" t="str">
        <f>VLOOKUP(E131,'NO MODIFICAR'!J:K,2,0)</f>
        <v>D864</v>
      </c>
      <c r="E131" s="102" t="s">
        <v>55</v>
      </c>
      <c r="F131" s="72" t="str">
        <f>VLOOKUP(D131,'NO MODIFICAR'!F:H,3,0)</f>
        <v xml:space="preserve">CENTRO </v>
      </c>
      <c r="G131" s="92">
        <v>67328658</v>
      </c>
      <c r="H131" s="93" t="s">
        <v>235</v>
      </c>
      <c r="I131" s="94">
        <v>10001074</v>
      </c>
      <c r="J131" s="56" t="str">
        <f>VLOOKUP(I131,'Materiales,canteras'!C:D,2,0)</f>
        <v>Grava Triturada Caliza 40 mm -</v>
      </c>
      <c r="K131" s="72">
        <f>VLOOKUP(I131,'Materiales,canteras'!C:E,3,0)</f>
        <v>1.4</v>
      </c>
      <c r="L131" s="105">
        <v>128.4</v>
      </c>
      <c r="M131" s="100" t="s">
        <v>93</v>
      </c>
      <c r="N131" s="73">
        <f t="shared" ca="1" si="23"/>
        <v>46267</v>
      </c>
      <c r="O131" s="71" t="s">
        <v>201</v>
      </c>
      <c r="R131" s="74">
        <v>1.4999999999999999E-2</v>
      </c>
      <c r="S131" s="89">
        <v>220</v>
      </c>
      <c r="T131" s="75">
        <f t="shared" si="20"/>
        <v>-88.299999999999983</v>
      </c>
      <c r="U131" s="46">
        <f t="shared" si="19"/>
        <v>128.4</v>
      </c>
      <c r="V131" s="90">
        <v>0</v>
      </c>
      <c r="W131" s="91">
        <v>2</v>
      </c>
      <c r="X131" s="76">
        <f t="shared" si="21"/>
        <v>128.4</v>
      </c>
      <c r="Y131" s="71" t="e">
        <f>IF(+VLOOKUP(I131,P.Referencia!E:S,3,FALSE)&lt;=L131,"Champion","Gerente")</f>
        <v>#N/A</v>
      </c>
      <c r="Z131" s="77" t="e">
        <f>VLOOKUP(I131,P.Referencia!E:S,3,0)</f>
        <v>#N/A</v>
      </c>
      <c r="AA131" s="78" t="e">
        <f t="shared" si="24"/>
        <v>#N/A</v>
      </c>
      <c r="AB131" s="79" t="e">
        <f t="shared" si="25"/>
        <v>#N/A</v>
      </c>
      <c r="AC131" s="79" t="e">
        <f t="shared" si="26"/>
        <v>#N/A</v>
      </c>
    </row>
    <row r="132" spans="1:29" s="64" customFormat="1" hidden="1" x14ac:dyDescent="0.25">
      <c r="A132" s="71">
        <v>131</v>
      </c>
      <c r="B132" s="64" t="s">
        <v>378</v>
      </c>
      <c r="C132" s="131" t="str">
        <f t="shared" si="22"/>
        <v>LlaveD8646732863710000236</v>
      </c>
      <c r="D132" s="72" t="str">
        <f>VLOOKUP(E132,'NO MODIFICAR'!J:K,2,0)</f>
        <v>D864</v>
      </c>
      <c r="E132" s="102" t="s">
        <v>55</v>
      </c>
      <c r="F132" s="72" t="str">
        <f>VLOOKUP(D132,'NO MODIFICAR'!F:H,3,0)</f>
        <v xml:space="preserve">CENTRO </v>
      </c>
      <c r="G132" s="159">
        <v>67328637</v>
      </c>
      <c r="H132" s="163" t="s">
        <v>236</v>
      </c>
      <c r="I132" s="164">
        <v>10000236</v>
      </c>
      <c r="J132" s="165" t="str">
        <f>VLOOKUP(I132,'Materiales,canteras'!C:D,2,0)</f>
        <v>Grava Triturada Caliza 10 mm -</v>
      </c>
      <c r="K132" s="72">
        <f>VLOOKUP(I132,'Materiales,canteras'!C:E,3,0)</f>
        <v>1.41</v>
      </c>
      <c r="L132" s="166">
        <v>139.1</v>
      </c>
      <c r="M132" s="100" t="s">
        <v>93</v>
      </c>
      <c r="N132" s="73">
        <f t="shared" ca="1" si="23"/>
        <v>46267</v>
      </c>
      <c r="O132" s="71" t="s">
        <v>201</v>
      </c>
      <c r="P132" s="74"/>
      <c r="Q132" s="74">
        <v>12</v>
      </c>
      <c r="R132" s="74">
        <v>3.42</v>
      </c>
      <c r="S132" s="91">
        <v>240</v>
      </c>
      <c r="T132" s="75">
        <f>L132-((S132-Q132)-(R132))</f>
        <v>-85.480000000000018</v>
      </c>
      <c r="U132" s="167">
        <f t="shared" si="19"/>
        <v>139.1</v>
      </c>
      <c r="V132" s="90"/>
      <c r="W132" s="91"/>
      <c r="X132" s="76">
        <f t="shared" si="21"/>
        <v>139.1</v>
      </c>
      <c r="Y132" s="71" t="e">
        <f>IF(+VLOOKUP(I132,P.Referencia!E:S,3,FALSE)&lt;=L132,"Champion","Gerente")</f>
        <v>#N/A</v>
      </c>
      <c r="Z132" s="77" t="e">
        <f>VLOOKUP(I132,P.Referencia!E:S,3,0)</f>
        <v>#N/A</v>
      </c>
      <c r="AA132" s="78" t="e">
        <f t="shared" si="24"/>
        <v>#N/A</v>
      </c>
      <c r="AB132" s="79" t="e">
        <f t="shared" si="25"/>
        <v>#N/A</v>
      </c>
      <c r="AC132" s="79" t="e">
        <f t="shared" si="26"/>
        <v>#N/A</v>
      </c>
    </row>
    <row r="133" spans="1:29" s="64" customFormat="1" hidden="1" x14ac:dyDescent="0.25">
      <c r="A133" s="71">
        <v>132</v>
      </c>
      <c r="B133" s="64" t="s">
        <v>378</v>
      </c>
      <c r="C133" s="131" t="str">
        <f t="shared" si="22"/>
        <v>LlaveD8646732863710000240</v>
      </c>
      <c r="D133" s="72" t="str">
        <f>VLOOKUP(E133,'NO MODIFICAR'!J:K,2,0)</f>
        <v>D864</v>
      </c>
      <c r="E133" s="102" t="s">
        <v>55</v>
      </c>
      <c r="F133" s="72" t="str">
        <f>VLOOKUP(D133,'NO MODIFICAR'!F:H,3,0)</f>
        <v xml:space="preserve">CENTRO </v>
      </c>
      <c r="G133" s="159">
        <v>67328637</v>
      </c>
      <c r="H133" s="163" t="s">
        <v>236</v>
      </c>
      <c r="I133" s="164">
        <v>10000240</v>
      </c>
      <c r="J133" s="165" t="str">
        <f>VLOOKUP(I133,'Materiales,canteras'!C:D,2,0)</f>
        <v>Grava Triturada Caliza 20 mm -</v>
      </c>
      <c r="K133" s="72">
        <f>VLOOKUP(I133,'Materiales,canteras'!C:E,3,0)</f>
        <v>1.462</v>
      </c>
      <c r="L133" s="166">
        <v>151.05000000000001</v>
      </c>
      <c r="M133" s="100" t="s">
        <v>93</v>
      </c>
      <c r="N133" s="73">
        <f t="shared" ca="1" si="23"/>
        <v>46267</v>
      </c>
      <c r="O133" s="71" t="s">
        <v>201</v>
      </c>
      <c r="P133" s="74"/>
      <c r="Q133" s="80">
        <f>S133*0.05</f>
        <v>14</v>
      </c>
      <c r="R133" s="80">
        <f>(S133-Q133)*0.015</f>
        <v>3.9899999999999998</v>
      </c>
      <c r="S133" s="91">
        <v>280</v>
      </c>
      <c r="T133" s="75">
        <f>L133-((S133-Q133)-(R133))</f>
        <v>-110.95999999999998</v>
      </c>
      <c r="U133" s="167">
        <f t="shared" si="19"/>
        <v>151.05000000000001</v>
      </c>
      <c r="V133" s="90"/>
      <c r="W133" s="91"/>
      <c r="X133" s="76">
        <f t="shared" si="21"/>
        <v>151.05000000000001</v>
      </c>
      <c r="Y133" s="71" t="e">
        <f>IF(+VLOOKUP(I133,P.Referencia!E:S,3,FALSE)&lt;=L133,"Champion","Gerente")</f>
        <v>#N/A</v>
      </c>
      <c r="Z133" s="77" t="e">
        <f>VLOOKUP(I133,P.Referencia!E:S,3,0)</f>
        <v>#N/A</v>
      </c>
      <c r="AA133" s="78" t="e">
        <f t="shared" si="24"/>
        <v>#N/A</v>
      </c>
      <c r="AB133" s="79" t="e">
        <f t="shared" si="25"/>
        <v>#N/A</v>
      </c>
      <c r="AC133" s="79" t="e">
        <f t="shared" si="26"/>
        <v>#N/A</v>
      </c>
    </row>
    <row r="134" spans="1:29" s="64" customFormat="1" hidden="1" x14ac:dyDescent="0.25">
      <c r="A134" s="71">
        <v>133</v>
      </c>
      <c r="B134" s="64" t="s">
        <v>378</v>
      </c>
      <c r="C134" s="131" t="str">
        <f t="shared" si="22"/>
        <v>LlaveD8646732863710000269</v>
      </c>
      <c r="D134" s="72" t="str">
        <f>VLOOKUP(E134,'NO MODIFICAR'!J:K,2,0)</f>
        <v>D864</v>
      </c>
      <c r="E134" s="102" t="s">
        <v>55</v>
      </c>
      <c r="F134" s="72" t="str">
        <f>VLOOKUP(D134,'NO MODIFICAR'!F:H,3,0)</f>
        <v xml:space="preserve">CENTRO </v>
      </c>
      <c r="G134" s="159">
        <v>67328637</v>
      </c>
      <c r="H134" s="163" t="s">
        <v>236</v>
      </c>
      <c r="I134" s="164">
        <v>10000269</v>
      </c>
      <c r="J134" s="165" t="str">
        <f>VLOOKUP(I134,'Materiales,canteras'!C:D,2,0)</f>
        <v>Grava Triturada Caliza 13 mm -</v>
      </c>
      <c r="K134" s="72">
        <f>VLOOKUP(I134,'Materiales,canteras'!C:E,3,0)</f>
        <v>1.423</v>
      </c>
      <c r="L134" s="166">
        <v>171.2</v>
      </c>
      <c r="M134" s="100" t="s">
        <v>93</v>
      </c>
      <c r="N134" s="73">
        <f t="shared" ca="1" si="23"/>
        <v>46267</v>
      </c>
      <c r="O134" s="71" t="s">
        <v>201</v>
      </c>
      <c r="P134" s="74"/>
      <c r="Q134" s="74">
        <v>12.5</v>
      </c>
      <c r="R134" s="80">
        <v>3.5625</v>
      </c>
      <c r="S134" s="91">
        <v>250</v>
      </c>
      <c r="T134" s="75">
        <f>L134-((S134-Q134)-(R134))</f>
        <v>-62.737500000000011</v>
      </c>
      <c r="U134" s="167">
        <f t="shared" si="19"/>
        <v>171.2</v>
      </c>
      <c r="V134" s="90"/>
      <c r="W134" s="91"/>
      <c r="X134" s="76">
        <f t="shared" si="21"/>
        <v>171.2</v>
      </c>
      <c r="Y134" s="71" t="e">
        <f>IF(+VLOOKUP(I134,P.Referencia!E:S,3,FALSE)&lt;=L134,"Champion","Gerente")</f>
        <v>#N/A</v>
      </c>
      <c r="Z134" s="77" t="e">
        <f>VLOOKUP(I134,P.Referencia!E:S,3,0)</f>
        <v>#N/A</v>
      </c>
      <c r="AA134" s="78" t="e">
        <f t="shared" si="24"/>
        <v>#N/A</v>
      </c>
      <c r="AB134" s="79" t="e">
        <f t="shared" si="25"/>
        <v>#N/A</v>
      </c>
      <c r="AC134" s="79" t="e">
        <f t="shared" si="26"/>
        <v>#N/A</v>
      </c>
    </row>
    <row r="135" spans="1:29" s="64" customFormat="1" hidden="1" x14ac:dyDescent="0.25">
      <c r="A135" s="71">
        <v>134</v>
      </c>
      <c r="B135" s="64" t="s">
        <v>378</v>
      </c>
      <c r="C135" s="131" t="str">
        <f t="shared" si="22"/>
        <v>LlaveD8646732863710001073</v>
      </c>
      <c r="D135" s="72" t="str">
        <f>VLOOKUP(E135,'NO MODIFICAR'!J:K,2,0)</f>
        <v>D864</v>
      </c>
      <c r="E135" s="102" t="s">
        <v>55</v>
      </c>
      <c r="F135" s="72" t="str">
        <f>VLOOKUP(D135,'NO MODIFICAR'!F:H,3,0)</f>
        <v xml:space="preserve">CENTRO </v>
      </c>
      <c r="G135" s="159">
        <v>67328637</v>
      </c>
      <c r="H135" s="163" t="s">
        <v>236</v>
      </c>
      <c r="I135" s="164">
        <v>10001073</v>
      </c>
      <c r="J135" s="165" t="str">
        <f>VLOOKUP(I135,'Materiales,canteras'!C:D,2,0)</f>
        <v>Arena Triturada Caliza Malla 4</v>
      </c>
      <c r="K135" s="72">
        <f>VLOOKUP(I135,'Materiales,canteras'!C:E,3,0)</f>
        <v>1.56</v>
      </c>
      <c r="L135" s="166">
        <v>112.61</v>
      </c>
      <c r="M135" s="100" t="s">
        <v>93</v>
      </c>
      <c r="N135" s="73">
        <f t="shared" ca="1" si="23"/>
        <v>46267</v>
      </c>
      <c r="O135" s="71" t="s">
        <v>201</v>
      </c>
      <c r="P135" s="74"/>
      <c r="Q135" s="74">
        <v>7.5</v>
      </c>
      <c r="R135" s="80">
        <v>2.1375000000000002</v>
      </c>
      <c r="S135" s="91">
        <v>150</v>
      </c>
      <c r="T135" s="75">
        <f>L135-((S135-Q135)-(R135))</f>
        <v>-27.752500000000012</v>
      </c>
      <c r="U135" s="167">
        <f t="shared" si="19"/>
        <v>112.61</v>
      </c>
      <c r="V135" s="90"/>
      <c r="W135" s="91"/>
      <c r="X135" s="76">
        <f t="shared" si="21"/>
        <v>112.61</v>
      </c>
      <c r="Y135" s="71" t="e">
        <f>IF(+VLOOKUP(I135,P.Referencia!E:S,3,FALSE)&lt;=L135,"Champion","Gerente")</f>
        <v>#N/A</v>
      </c>
      <c r="Z135" s="77" t="e">
        <f>VLOOKUP(I135,P.Referencia!E:S,3,0)</f>
        <v>#N/A</v>
      </c>
      <c r="AA135" s="78" t="e">
        <f t="shared" si="24"/>
        <v>#N/A</v>
      </c>
      <c r="AB135" s="79" t="e">
        <f t="shared" si="25"/>
        <v>#N/A</v>
      </c>
      <c r="AC135" s="79" t="e">
        <f t="shared" si="26"/>
        <v>#N/A</v>
      </c>
    </row>
    <row r="136" spans="1:29" s="64" customFormat="1" hidden="1" x14ac:dyDescent="0.25">
      <c r="A136" s="71">
        <v>135</v>
      </c>
      <c r="B136" s="64" t="s">
        <v>378</v>
      </c>
      <c r="C136" s="131" t="str">
        <f t="shared" si="22"/>
        <v>LlaveD8646732863710001074</v>
      </c>
      <c r="D136" s="72" t="str">
        <f>VLOOKUP(E136,'NO MODIFICAR'!J:K,2,0)</f>
        <v>D864</v>
      </c>
      <c r="E136" s="102" t="s">
        <v>55</v>
      </c>
      <c r="F136" s="72" t="str">
        <f>VLOOKUP(D136,'NO MODIFICAR'!F:H,3,0)</f>
        <v xml:space="preserve">CENTRO </v>
      </c>
      <c r="G136" s="159">
        <v>67328637</v>
      </c>
      <c r="H136" s="163" t="s">
        <v>236</v>
      </c>
      <c r="I136" s="164">
        <v>10001074</v>
      </c>
      <c r="J136" s="165" t="str">
        <f>VLOOKUP(I136,'Materiales,canteras'!C:D,2,0)</f>
        <v>Grava Triturada Caliza 40 mm -</v>
      </c>
      <c r="K136" s="72">
        <f>VLOOKUP(I136,'Materiales,canteras'!C:E,3,0)</f>
        <v>1.4</v>
      </c>
      <c r="L136" s="166">
        <v>128.4</v>
      </c>
      <c r="M136" s="100" t="s">
        <v>93</v>
      </c>
      <c r="N136" s="73">
        <f t="shared" ca="1" si="23"/>
        <v>46267</v>
      </c>
      <c r="O136" s="71" t="s">
        <v>201</v>
      </c>
      <c r="P136" s="74"/>
      <c r="Q136" s="74">
        <v>11</v>
      </c>
      <c r="R136" s="80">
        <v>3.1349999999999998</v>
      </c>
      <c r="S136" s="91">
        <v>220</v>
      </c>
      <c r="T136" s="75">
        <f>L136-((S136-Q136)-(R136))</f>
        <v>-77.465000000000003</v>
      </c>
      <c r="U136" s="167">
        <f t="shared" si="19"/>
        <v>128.4</v>
      </c>
      <c r="V136" s="90"/>
      <c r="W136" s="91"/>
      <c r="X136" s="76">
        <f t="shared" si="21"/>
        <v>128.4</v>
      </c>
      <c r="Y136" s="71" t="e">
        <f>IF(+VLOOKUP(I136,P.Referencia!E:S,3,FALSE)&lt;=L136,"Champion","Gerente")</f>
        <v>#N/A</v>
      </c>
      <c r="Z136" s="77" t="e">
        <f>VLOOKUP(I136,P.Referencia!E:S,3,0)</f>
        <v>#N/A</v>
      </c>
      <c r="AA136" s="78" t="e">
        <f t="shared" si="24"/>
        <v>#N/A</v>
      </c>
      <c r="AB136" s="79" t="e">
        <f t="shared" si="25"/>
        <v>#N/A</v>
      </c>
      <c r="AC136" s="79" t="e">
        <f t="shared" si="26"/>
        <v>#N/A</v>
      </c>
    </row>
    <row r="137" spans="1:29" s="64" customFormat="1" hidden="1" x14ac:dyDescent="0.25">
      <c r="A137" s="43">
        <v>136</v>
      </c>
      <c r="B137" s="64" t="s">
        <v>378</v>
      </c>
      <c r="C137" s="131" t="str">
        <f t="shared" si="22"/>
        <v>LlaveD86467303785100010732</v>
      </c>
      <c r="D137" s="33" t="str">
        <f>VLOOKUP(E137,'NO MODIFICAR'!J:K,2,0)</f>
        <v>D864</v>
      </c>
      <c r="E137" s="26" t="s">
        <v>55</v>
      </c>
      <c r="F137" s="33" t="str">
        <f>VLOOKUP(D137,'NO MODIFICAR'!F:H,3,0)</f>
        <v xml:space="preserve">CENTRO </v>
      </c>
      <c r="G137" s="92">
        <v>67303785</v>
      </c>
      <c r="H137" s="93" t="s">
        <v>237</v>
      </c>
      <c r="I137" s="94">
        <v>10001073</v>
      </c>
      <c r="J137" s="56" t="str">
        <f>VLOOKUP(I137,'Materiales,canteras'!C:D,2,0)</f>
        <v>Arena Triturada Caliza Malla 4</v>
      </c>
      <c r="K137" s="33">
        <f>VLOOKUP(I137,'Materiales,canteras'!C:E,3,0)</f>
        <v>1.56</v>
      </c>
      <c r="L137" s="105">
        <v>101.92</v>
      </c>
      <c r="M137" s="28" t="s">
        <v>93</v>
      </c>
      <c r="N137" s="57">
        <f t="shared" ca="1" si="23"/>
        <v>46267</v>
      </c>
      <c r="O137" s="32" t="s">
        <v>201</v>
      </c>
      <c r="R137" s="81"/>
      <c r="S137" s="89">
        <v>150</v>
      </c>
      <c r="T137" s="66">
        <f>L137-(S137-(S137*R137))</f>
        <v>-48.08</v>
      </c>
      <c r="U137" s="46">
        <f t="shared" ref="U137:U171" si="27">L137</f>
        <v>101.92</v>
      </c>
      <c r="V137" s="27">
        <v>0</v>
      </c>
      <c r="W137" s="4">
        <v>2</v>
      </c>
      <c r="X137" s="67">
        <f t="shared" si="21"/>
        <v>101.92</v>
      </c>
      <c r="Y137" s="32" t="e">
        <f>IF(+VLOOKUP(I137,P.Referencia!E:S,3,FALSE)&lt;=L137,"Champion","Gerente")</f>
        <v>#N/A</v>
      </c>
      <c r="Z137" s="39" t="e">
        <f>VLOOKUP(I137,P.Referencia!E:S,3,0)</f>
        <v>#N/A</v>
      </c>
      <c r="AA137" s="40" t="e">
        <f t="shared" si="24"/>
        <v>#N/A</v>
      </c>
      <c r="AB137" s="41" t="e">
        <f t="shared" si="25"/>
        <v>#N/A</v>
      </c>
      <c r="AC137" s="41" t="e">
        <f t="shared" si="26"/>
        <v>#N/A</v>
      </c>
    </row>
    <row r="138" spans="1:29" s="64" customFormat="1" hidden="1" x14ac:dyDescent="0.25">
      <c r="A138" s="43">
        <v>137</v>
      </c>
      <c r="B138" s="64" t="s">
        <v>378</v>
      </c>
      <c r="C138" s="131" t="str">
        <f t="shared" si="22"/>
        <v>LlaveD86467303785100002362</v>
      </c>
      <c r="D138" s="33" t="str">
        <f>VLOOKUP(E138,'NO MODIFICAR'!J:K,2,0)</f>
        <v>D864</v>
      </c>
      <c r="E138" s="26" t="s">
        <v>55</v>
      </c>
      <c r="F138" s="33" t="str">
        <f>VLOOKUP(D138,'NO MODIFICAR'!F:H,3,0)</f>
        <v xml:space="preserve">CENTRO </v>
      </c>
      <c r="G138" s="92">
        <v>67303785</v>
      </c>
      <c r="H138" s="93" t="s">
        <v>237</v>
      </c>
      <c r="I138" s="94">
        <v>10000236</v>
      </c>
      <c r="J138" s="56" t="str">
        <f>VLOOKUP(I138,'Materiales,canteras'!C:D,2,0)</f>
        <v>Grava Triturada Caliza 10 mm -</v>
      </c>
      <c r="K138" s="33">
        <f>VLOOKUP(I138,'Materiales,canteras'!C:E,3,0)</f>
        <v>1.41</v>
      </c>
      <c r="L138" s="105">
        <v>145</v>
      </c>
      <c r="M138" s="28" t="s">
        <v>93</v>
      </c>
      <c r="N138" s="57">
        <f t="shared" ca="1" si="23"/>
        <v>46267</v>
      </c>
      <c r="O138" s="32" t="s">
        <v>201</v>
      </c>
      <c r="S138" s="89">
        <v>240</v>
      </c>
      <c r="T138" s="66">
        <f>L138-(S138-(S138*R138))</f>
        <v>-95</v>
      </c>
      <c r="U138" s="46">
        <f t="shared" si="27"/>
        <v>145</v>
      </c>
      <c r="V138" s="27">
        <v>0</v>
      </c>
      <c r="W138" s="4">
        <v>2</v>
      </c>
      <c r="X138" s="67">
        <f t="shared" si="21"/>
        <v>145</v>
      </c>
      <c r="Y138" s="32" t="e">
        <f>IF(+VLOOKUP(I138,P.Referencia!E:S,3,FALSE)&lt;=L138,"Champion","Gerente")</f>
        <v>#N/A</v>
      </c>
      <c r="Z138" s="39" t="e">
        <f>VLOOKUP(I138,P.Referencia!E:S,3,0)</f>
        <v>#N/A</v>
      </c>
      <c r="AA138" s="40" t="e">
        <f t="shared" si="24"/>
        <v>#N/A</v>
      </c>
      <c r="AB138" s="41" t="e">
        <f t="shared" si="25"/>
        <v>#N/A</v>
      </c>
      <c r="AC138" s="41" t="e">
        <f t="shared" si="26"/>
        <v>#N/A</v>
      </c>
    </row>
    <row r="139" spans="1:29" s="64" customFormat="1" hidden="1" x14ac:dyDescent="0.25">
      <c r="A139" s="43">
        <v>138</v>
      </c>
      <c r="B139" s="64" t="s">
        <v>378</v>
      </c>
      <c r="C139" s="131" t="str">
        <f t="shared" si="22"/>
        <v>LlaveD86467303785100002402</v>
      </c>
      <c r="D139" s="33" t="str">
        <f>VLOOKUP(E139,'NO MODIFICAR'!J:K,2,0)</f>
        <v>D864</v>
      </c>
      <c r="E139" s="26" t="s">
        <v>55</v>
      </c>
      <c r="F139" s="33" t="str">
        <f>VLOOKUP(D139,'NO MODIFICAR'!F:H,3,0)</f>
        <v xml:space="preserve">CENTRO </v>
      </c>
      <c r="G139" s="92">
        <v>67303785</v>
      </c>
      <c r="H139" s="93" t="s">
        <v>237</v>
      </c>
      <c r="I139" s="94">
        <v>10000240</v>
      </c>
      <c r="J139" s="56" t="str">
        <f>VLOOKUP(I139,'Materiales,canteras'!C:D,2,0)</f>
        <v>Grava Triturada Caliza 20 mm -</v>
      </c>
      <c r="K139" s="33">
        <f>VLOOKUP(I139,'Materiales,canteras'!C:E,3,0)</f>
        <v>1.462</v>
      </c>
      <c r="L139" s="105">
        <v>168.48</v>
      </c>
      <c r="M139" s="28" t="s">
        <v>93</v>
      </c>
      <c r="N139" s="57">
        <f t="shared" ca="1" si="23"/>
        <v>46267</v>
      </c>
      <c r="O139" s="32" t="s">
        <v>201</v>
      </c>
      <c r="S139" s="89">
        <v>280</v>
      </c>
      <c r="T139" s="66">
        <f>L139-(S139-(S139*R139))</f>
        <v>-111.52000000000001</v>
      </c>
      <c r="U139" s="46">
        <f t="shared" si="27"/>
        <v>168.48</v>
      </c>
      <c r="V139" s="27">
        <v>0</v>
      </c>
      <c r="W139" s="4">
        <v>2</v>
      </c>
      <c r="X139" s="67">
        <f t="shared" si="21"/>
        <v>168.48</v>
      </c>
      <c r="Y139" s="32" t="e">
        <f>IF(+VLOOKUP(I139,P.Referencia!E:S,3,FALSE)&lt;=L139,"Champion","Gerente")</f>
        <v>#N/A</v>
      </c>
      <c r="Z139" s="39" t="e">
        <f>VLOOKUP(I139,P.Referencia!E:S,3,0)</f>
        <v>#N/A</v>
      </c>
      <c r="AA139" s="40" t="e">
        <f t="shared" si="24"/>
        <v>#N/A</v>
      </c>
      <c r="AB139" s="41" t="e">
        <f t="shared" si="25"/>
        <v>#N/A</v>
      </c>
      <c r="AC139" s="41" t="e">
        <f t="shared" si="26"/>
        <v>#N/A</v>
      </c>
    </row>
    <row r="140" spans="1:29" s="64" customFormat="1" hidden="1" x14ac:dyDescent="0.25">
      <c r="A140" s="43">
        <v>139</v>
      </c>
      <c r="B140" s="64" t="s">
        <v>378</v>
      </c>
      <c r="C140" s="131" t="str">
        <f t="shared" si="22"/>
        <v>LlaveD86467303785100002692</v>
      </c>
      <c r="D140" s="33" t="str">
        <f>VLOOKUP(E140,'NO MODIFICAR'!J:K,2,0)</f>
        <v>D864</v>
      </c>
      <c r="E140" s="26" t="s">
        <v>55</v>
      </c>
      <c r="F140" s="33" t="str">
        <f>VLOOKUP(D140,'NO MODIFICAR'!F:H,3,0)</f>
        <v xml:space="preserve">CENTRO </v>
      </c>
      <c r="G140" s="92">
        <v>67303785</v>
      </c>
      <c r="H140" s="93" t="s">
        <v>237</v>
      </c>
      <c r="I140" s="94">
        <v>10000269</v>
      </c>
      <c r="J140" s="56" t="str">
        <f>VLOOKUP(I140,'Materiales,canteras'!C:D,2,0)</f>
        <v>Grava Triturada Caliza 13 mm -</v>
      </c>
      <c r="K140" s="33">
        <f>VLOOKUP(I140,'Materiales,canteras'!C:E,3,0)</f>
        <v>1.423</v>
      </c>
      <c r="L140" s="105">
        <v>161.19999999999999</v>
      </c>
      <c r="M140" s="28" t="s">
        <v>93</v>
      </c>
      <c r="N140" s="57">
        <f t="shared" ca="1" si="23"/>
        <v>46267</v>
      </c>
      <c r="O140" s="32" t="s">
        <v>201</v>
      </c>
      <c r="S140" s="89">
        <v>250</v>
      </c>
      <c r="T140" s="66">
        <f>L140-(S140-(S140*R140))</f>
        <v>-88.800000000000011</v>
      </c>
      <c r="U140" s="46">
        <f t="shared" si="27"/>
        <v>161.19999999999999</v>
      </c>
      <c r="V140" s="27">
        <v>0</v>
      </c>
      <c r="W140" s="4">
        <v>2</v>
      </c>
      <c r="X140" s="67">
        <f t="shared" si="21"/>
        <v>161.19999999999999</v>
      </c>
      <c r="Y140" s="32" t="e">
        <f>IF(+VLOOKUP(I140,P.Referencia!E:S,3,FALSE)&lt;=L140,"Champion","Gerente")</f>
        <v>#N/A</v>
      </c>
      <c r="Z140" s="39" t="e">
        <f>VLOOKUP(I140,P.Referencia!E:S,3,0)</f>
        <v>#N/A</v>
      </c>
      <c r="AA140" s="40" t="e">
        <f t="shared" si="24"/>
        <v>#N/A</v>
      </c>
      <c r="AB140" s="41" t="e">
        <f t="shared" si="25"/>
        <v>#N/A</v>
      </c>
      <c r="AC140" s="41" t="e">
        <f t="shared" si="26"/>
        <v>#N/A</v>
      </c>
    </row>
    <row r="141" spans="1:29" s="64" customFormat="1" hidden="1" x14ac:dyDescent="0.25">
      <c r="A141" s="43">
        <v>140</v>
      </c>
      <c r="B141" s="64" t="s">
        <v>378</v>
      </c>
      <c r="C141" s="131" t="str">
        <f t="shared" si="22"/>
        <v>LlaveD86467303785100010742</v>
      </c>
      <c r="D141" s="33" t="str">
        <f>VLOOKUP(E141,'NO MODIFICAR'!J:K,2,0)</f>
        <v>D864</v>
      </c>
      <c r="E141" s="26" t="s">
        <v>55</v>
      </c>
      <c r="F141" s="33" t="str">
        <f>VLOOKUP(D141,'NO MODIFICAR'!F:H,3,0)</f>
        <v xml:space="preserve">CENTRO </v>
      </c>
      <c r="G141" s="92">
        <v>67303785</v>
      </c>
      <c r="H141" s="93" t="s">
        <v>237</v>
      </c>
      <c r="I141" s="94">
        <v>10001074</v>
      </c>
      <c r="J141" s="56" t="str">
        <f>VLOOKUP(I141,'Materiales,canteras'!C:D,2,0)</f>
        <v>Grava Triturada Caliza 40 mm -</v>
      </c>
      <c r="K141" s="33">
        <f>VLOOKUP(I141,'Materiales,canteras'!C:E,3,0)</f>
        <v>1.4</v>
      </c>
      <c r="L141" s="105">
        <v>162.24</v>
      </c>
      <c r="M141" s="28" t="s">
        <v>93</v>
      </c>
      <c r="N141" s="57">
        <f t="shared" ca="1" si="23"/>
        <v>46267</v>
      </c>
      <c r="O141" s="32" t="s">
        <v>201</v>
      </c>
      <c r="S141" s="89">
        <v>220</v>
      </c>
      <c r="T141" s="66">
        <f>L141-(S141-(S141*R141))</f>
        <v>-57.759999999999991</v>
      </c>
      <c r="U141" s="46">
        <f t="shared" si="27"/>
        <v>162.24</v>
      </c>
      <c r="V141" s="27">
        <v>0</v>
      </c>
      <c r="W141" s="4">
        <v>2</v>
      </c>
      <c r="X141" s="67">
        <f t="shared" si="21"/>
        <v>162.24</v>
      </c>
      <c r="Y141" s="32" t="e">
        <f>IF(+VLOOKUP(I141,P.Referencia!E:S,3,FALSE)&lt;=L141,"Champion","Gerente")</f>
        <v>#N/A</v>
      </c>
      <c r="Z141" s="39" t="e">
        <f>VLOOKUP(I141,P.Referencia!E:S,3,0)</f>
        <v>#N/A</v>
      </c>
      <c r="AA141" s="40" t="e">
        <f t="shared" si="24"/>
        <v>#N/A</v>
      </c>
      <c r="AB141" s="41" t="e">
        <f t="shared" si="25"/>
        <v>#N/A</v>
      </c>
      <c r="AC141" s="41" t="e">
        <f t="shared" si="26"/>
        <v>#N/A</v>
      </c>
    </row>
    <row r="142" spans="1:29" s="64" customFormat="1" hidden="1" x14ac:dyDescent="0.25">
      <c r="A142" s="43">
        <v>141</v>
      </c>
      <c r="B142" s="64" t="s">
        <v>378</v>
      </c>
      <c r="C142" s="131" t="str">
        <f t="shared" si="22"/>
        <v>LlaveD86466415270100002362</v>
      </c>
      <c r="D142" s="33" t="str">
        <f>VLOOKUP(E142,'NO MODIFICAR'!J:K,2,0)</f>
        <v>D864</v>
      </c>
      <c r="E142" s="26" t="s">
        <v>55</v>
      </c>
      <c r="F142" s="33" t="str">
        <f>VLOOKUP(D142,'NO MODIFICAR'!F:H,3,0)</f>
        <v xml:space="preserve">CENTRO </v>
      </c>
      <c r="G142" s="92">
        <v>66415270</v>
      </c>
      <c r="H142" s="93" t="s">
        <v>238</v>
      </c>
      <c r="I142" s="94">
        <v>10000236</v>
      </c>
      <c r="J142" s="56" t="str">
        <f>VLOOKUP(I142,'Materiales,canteras'!C:D,2,0)</f>
        <v>Grava Triturada Caliza 10 mm -</v>
      </c>
      <c r="K142" s="33">
        <f>VLOOKUP(I142,'Materiales,canteras'!C:E,3,0)</f>
        <v>1.41</v>
      </c>
      <c r="L142" s="105">
        <v>137</v>
      </c>
      <c r="M142" s="28" t="s">
        <v>93</v>
      </c>
      <c r="N142" s="57">
        <f t="shared" ca="1" si="23"/>
        <v>46267</v>
      </c>
      <c r="O142" s="32" t="s">
        <v>201</v>
      </c>
      <c r="Q142" s="64">
        <v>19.2</v>
      </c>
      <c r="R142" s="64">
        <v>8.8320000000000007</v>
      </c>
      <c r="S142" s="89">
        <v>240</v>
      </c>
      <c r="T142" s="66">
        <f>L142-((S142-Q142)-(R142))</f>
        <v>-74.968000000000018</v>
      </c>
      <c r="U142" s="46">
        <f t="shared" si="27"/>
        <v>137</v>
      </c>
      <c r="V142" s="27">
        <v>0</v>
      </c>
      <c r="W142" s="4">
        <v>2</v>
      </c>
      <c r="X142" s="67">
        <f t="shared" si="21"/>
        <v>137</v>
      </c>
      <c r="Y142" s="32" t="e">
        <f>IF(+VLOOKUP(I142,P.Referencia!E:S,3,FALSE)&lt;=L142,"Champion","Gerente")</f>
        <v>#N/A</v>
      </c>
      <c r="Z142" s="39" t="e">
        <f>VLOOKUP(I142,P.Referencia!E:S,3,0)</f>
        <v>#N/A</v>
      </c>
      <c r="AA142" s="40" t="e">
        <f t="shared" si="24"/>
        <v>#N/A</v>
      </c>
      <c r="AB142" s="41" t="e">
        <f t="shared" si="25"/>
        <v>#N/A</v>
      </c>
      <c r="AC142" s="41" t="e">
        <f t="shared" si="26"/>
        <v>#N/A</v>
      </c>
    </row>
    <row r="143" spans="1:29" s="64" customFormat="1" hidden="1" x14ac:dyDescent="0.25">
      <c r="A143" s="43">
        <v>142</v>
      </c>
      <c r="B143" s="64" t="s">
        <v>378</v>
      </c>
      <c r="C143" s="131" t="str">
        <f t="shared" si="22"/>
        <v>LlaveD8646508721910000269</v>
      </c>
      <c r="D143" s="33" t="str">
        <f>VLOOKUP(E143,'NO MODIFICAR'!J:K,2,0)</f>
        <v>D864</v>
      </c>
      <c r="E143" s="26" t="s">
        <v>55</v>
      </c>
      <c r="F143" s="33" t="str">
        <f>VLOOKUP(D143,'NO MODIFICAR'!F:H,3,0)</f>
        <v xml:space="preserve">CENTRO </v>
      </c>
      <c r="G143" s="92">
        <v>65087219</v>
      </c>
      <c r="H143" s="93" t="s">
        <v>239</v>
      </c>
      <c r="I143" s="94">
        <v>10000269</v>
      </c>
      <c r="J143" s="56" t="str">
        <f>VLOOKUP(I143,'Materiales,canteras'!C:D,2,0)</f>
        <v>Grava Triturada Caliza 13 mm -</v>
      </c>
      <c r="K143" s="33">
        <f>VLOOKUP(I143,'Materiales,canteras'!C:E,3,0)</f>
        <v>1.423</v>
      </c>
      <c r="L143" s="105">
        <v>150</v>
      </c>
      <c r="M143" s="28" t="s">
        <v>93</v>
      </c>
      <c r="N143" s="57">
        <f t="shared" ca="1" si="23"/>
        <v>46267</v>
      </c>
      <c r="O143" s="32" t="s">
        <v>201</v>
      </c>
      <c r="S143" s="89">
        <v>250</v>
      </c>
      <c r="T143" s="66">
        <f>L143-(S143-(S143*R143))</f>
        <v>-100</v>
      </c>
      <c r="U143" s="46">
        <f t="shared" si="27"/>
        <v>150</v>
      </c>
      <c r="V143" s="27"/>
      <c r="W143" s="4"/>
      <c r="X143" s="67">
        <f t="shared" si="21"/>
        <v>150</v>
      </c>
      <c r="Y143" s="32" t="e">
        <f>IF(+VLOOKUP(I143,P.Referencia!E:S,3,FALSE)&lt;=L143,"Champion","Gerente")</f>
        <v>#N/A</v>
      </c>
      <c r="Z143" s="39" t="e">
        <f>VLOOKUP(I143,P.Referencia!E:S,3,0)</f>
        <v>#N/A</v>
      </c>
      <c r="AA143" s="40" t="e">
        <f t="shared" si="24"/>
        <v>#N/A</v>
      </c>
      <c r="AB143" s="41" t="e">
        <f t="shared" si="25"/>
        <v>#N/A</v>
      </c>
      <c r="AC143" s="41" t="e">
        <f t="shared" si="26"/>
        <v>#N/A</v>
      </c>
    </row>
    <row r="144" spans="1:29" s="64" customFormat="1" hidden="1" x14ac:dyDescent="0.25">
      <c r="A144" s="43">
        <v>143</v>
      </c>
      <c r="B144" s="64" t="s">
        <v>378</v>
      </c>
      <c r="C144" s="131" t="str">
        <f t="shared" si="22"/>
        <v>LlaveD81367003746100002552</v>
      </c>
      <c r="D144" s="33" t="str">
        <f>VLOOKUP(E144,'NO MODIFICAR'!J:K,2,0)</f>
        <v>D813</v>
      </c>
      <c r="E144" s="26" t="s">
        <v>6</v>
      </c>
      <c r="F144" s="33" t="str">
        <f>VLOOKUP(D144,'NO MODIFICAR'!F:H,3,0)</f>
        <v xml:space="preserve">CENTRO </v>
      </c>
      <c r="G144" s="92">
        <v>67003746</v>
      </c>
      <c r="H144" s="93" t="s">
        <v>240</v>
      </c>
      <c r="I144" s="94">
        <v>10000255</v>
      </c>
      <c r="J144" s="56" t="str">
        <f>VLOOKUP(I144,'Materiales,canteras'!C:D,2,0)</f>
        <v>Arena Triturada Andesita Malla</v>
      </c>
      <c r="K144" s="33">
        <f>VLOOKUP(I144,'Materiales,canteras'!C:E,3,0)</f>
        <v>1.5349999999999999</v>
      </c>
      <c r="L144" s="105">
        <v>90</v>
      </c>
      <c r="M144" s="28" t="s">
        <v>93</v>
      </c>
      <c r="N144" s="57">
        <f t="shared" ca="1" si="23"/>
        <v>46267</v>
      </c>
      <c r="O144" s="32" t="s">
        <v>201</v>
      </c>
      <c r="Q144" s="64">
        <v>7.5</v>
      </c>
      <c r="R144" s="64">
        <v>7.125</v>
      </c>
      <c r="S144" s="89">
        <v>150</v>
      </c>
      <c r="T144" s="66">
        <f>L144-((S144-Q144)-(R144))</f>
        <v>-45.375</v>
      </c>
      <c r="U144" s="46">
        <f t="shared" si="27"/>
        <v>90</v>
      </c>
      <c r="V144" s="27">
        <v>0</v>
      </c>
      <c r="W144" s="4">
        <v>2</v>
      </c>
      <c r="X144" s="67">
        <f t="shared" si="21"/>
        <v>90</v>
      </c>
      <c r="Y144" s="32" t="e">
        <f>IF(+VLOOKUP(I144,P.Referencia!E:S,3,FALSE)&lt;=L144,"Champion","Gerente")</f>
        <v>#N/A</v>
      </c>
      <c r="Z144" s="39" t="e">
        <f>VLOOKUP(I144,P.Referencia!E:S,3,0)</f>
        <v>#N/A</v>
      </c>
      <c r="AA144" s="40" t="e">
        <f t="shared" si="24"/>
        <v>#N/A</v>
      </c>
      <c r="AB144" s="41" t="e">
        <f t="shared" si="25"/>
        <v>#N/A</v>
      </c>
      <c r="AC144" s="41" t="e">
        <f t="shared" si="26"/>
        <v>#N/A</v>
      </c>
    </row>
    <row r="145" spans="1:32" s="64" customFormat="1" hidden="1" x14ac:dyDescent="0.25">
      <c r="A145" s="43">
        <v>144</v>
      </c>
      <c r="B145" s="64" t="s">
        <v>378</v>
      </c>
      <c r="C145" s="131" t="str">
        <f t="shared" si="22"/>
        <v>LlaveD81367003746100002532</v>
      </c>
      <c r="D145" s="33" t="str">
        <f>VLOOKUP(E145,'NO MODIFICAR'!J:K,2,0)</f>
        <v>D813</v>
      </c>
      <c r="E145" s="26" t="s">
        <v>6</v>
      </c>
      <c r="F145" s="33" t="str">
        <f>VLOOKUP(D145,'NO MODIFICAR'!F:H,3,0)</f>
        <v xml:space="preserve">CENTRO </v>
      </c>
      <c r="G145" s="92">
        <v>67003746</v>
      </c>
      <c r="H145" s="93" t="s">
        <v>240</v>
      </c>
      <c r="I145" s="94">
        <v>10000253</v>
      </c>
      <c r="J145" s="56" t="str">
        <f>VLOOKUP(I145,'Materiales,canteras'!C:D,2,0)</f>
        <v>Grava Triturada Andesita 20 mm</v>
      </c>
      <c r="K145" s="33">
        <f>VLOOKUP(I145,'Materiales,canteras'!C:E,3,0)</f>
        <v>1.385</v>
      </c>
      <c r="L145" s="105">
        <v>110</v>
      </c>
      <c r="M145" s="28" t="s">
        <v>93</v>
      </c>
      <c r="N145" s="57">
        <f t="shared" ca="1" si="23"/>
        <v>46267</v>
      </c>
      <c r="O145" s="32" t="s">
        <v>201</v>
      </c>
      <c r="Q145" s="64">
        <v>7.5</v>
      </c>
      <c r="R145" s="64">
        <v>7.125</v>
      </c>
      <c r="S145" s="89">
        <v>150</v>
      </c>
      <c r="T145" s="66">
        <f>L145-((S145-Q145)-(R145))</f>
        <v>-25.375</v>
      </c>
      <c r="U145" s="46">
        <f t="shared" si="27"/>
        <v>110</v>
      </c>
      <c r="V145" s="27">
        <v>0</v>
      </c>
      <c r="W145" s="4">
        <v>2</v>
      </c>
      <c r="X145" s="67">
        <f t="shared" si="21"/>
        <v>110</v>
      </c>
      <c r="Y145" s="32" t="e">
        <f>IF(+VLOOKUP(I145,P.Referencia!E:S,3,FALSE)&lt;=L145,"Champion","Gerente")</f>
        <v>#N/A</v>
      </c>
      <c r="Z145" s="39" t="e">
        <f>VLOOKUP(I145,P.Referencia!E:S,3,0)</f>
        <v>#N/A</v>
      </c>
      <c r="AA145" s="40" t="e">
        <f t="shared" si="24"/>
        <v>#N/A</v>
      </c>
      <c r="AB145" s="41" t="e">
        <f t="shared" si="25"/>
        <v>#N/A</v>
      </c>
      <c r="AC145" s="41" t="e">
        <f t="shared" si="26"/>
        <v>#N/A</v>
      </c>
    </row>
    <row r="146" spans="1:32" s="64" customFormat="1" hidden="1" x14ac:dyDescent="0.25">
      <c r="A146" s="43">
        <v>145</v>
      </c>
      <c r="B146" s="64" t="s">
        <v>378</v>
      </c>
      <c r="C146" s="131" t="str">
        <f t="shared" si="22"/>
        <v>LlaveD81367003746100023502</v>
      </c>
      <c r="D146" s="33" t="str">
        <f>VLOOKUP(E146,'NO MODIFICAR'!J:K,2,0)</f>
        <v>D813</v>
      </c>
      <c r="E146" s="26" t="s">
        <v>6</v>
      </c>
      <c r="F146" s="33" t="str">
        <f>VLOOKUP(D146,'NO MODIFICAR'!F:H,3,0)</f>
        <v xml:space="preserve">CENTRO </v>
      </c>
      <c r="G146" s="92">
        <v>67003746</v>
      </c>
      <c r="H146" s="93" t="s">
        <v>240</v>
      </c>
      <c r="I146" s="94">
        <v>10002350</v>
      </c>
      <c r="J146" s="56" t="str">
        <f>VLOOKUP(I146,'Materiales,canteras'!C:D,2,0)</f>
        <v>Grava Triturada Andesita 10mm-</v>
      </c>
      <c r="K146" s="33">
        <f>VLOOKUP(I146,'Materiales,canteras'!C:E,3,0)</f>
        <v>1.246</v>
      </c>
      <c r="L146" s="105">
        <v>100</v>
      </c>
      <c r="M146" s="28" t="s">
        <v>93</v>
      </c>
      <c r="N146" s="57">
        <f t="shared" ca="1" si="23"/>
        <v>46267</v>
      </c>
      <c r="O146" s="32" t="s">
        <v>201</v>
      </c>
      <c r="Q146" s="64">
        <v>7.5</v>
      </c>
      <c r="R146" s="64">
        <v>7.125</v>
      </c>
      <c r="S146" s="89">
        <v>150</v>
      </c>
      <c r="T146" s="66">
        <f>L146-((S146-Q146)-(R146))</f>
        <v>-35.375</v>
      </c>
      <c r="U146" s="46">
        <f t="shared" si="27"/>
        <v>100</v>
      </c>
      <c r="V146" s="27">
        <v>0</v>
      </c>
      <c r="W146" s="4">
        <v>2</v>
      </c>
      <c r="X146" s="67">
        <f t="shared" si="21"/>
        <v>100</v>
      </c>
      <c r="Y146" s="32" t="e">
        <f>IF(+VLOOKUP(I146,P.Referencia!E:S,3,FALSE)&lt;=L146,"Champion","Gerente")</f>
        <v>#N/A</v>
      </c>
      <c r="Z146" s="39" t="e">
        <f>VLOOKUP(I146,P.Referencia!E:S,3,0)</f>
        <v>#N/A</v>
      </c>
      <c r="AA146" s="40" t="e">
        <f t="shared" si="24"/>
        <v>#N/A</v>
      </c>
      <c r="AB146" s="41" t="e">
        <f t="shared" si="25"/>
        <v>#N/A</v>
      </c>
      <c r="AC146" s="41" t="e">
        <f t="shared" si="26"/>
        <v>#N/A</v>
      </c>
    </row>
    <row r="147" spans="1:32" s="64" customFormat="1" hidden="1" x14ac:dyDescent="0.25">
      <c r="A147" s="43">
        <v>146</v>
      </c>
      <c r="B147" s="64" t="s">
        <v>378</v>
      </c>
      <c r="C147" s="131" t="str">
        <f t="shared" si="22"/>
        <v>LlaveD86467220765100002402</v>
      </c>
      <c r="D147" s="33" t="str">
        <f>VLOOKUP(E147,'NO MODIFICAR'!J:K,2,0)</f>
        <v>D864</v>
      </c>
      <c r="E147" s="26" t="s">
        <v>55</v>
      </c>
      <c r="F147" s="33" t="str">
        <f>VLOOKUP(D147,'NO MODIFICAR'!F:H,3,0)</f>
        <v xml:space="preserve">CENTRO </v>
      </c>
      <c r="G147" s="92">
        <v>67220765</v>
      </c>
      <c r="H147" s="93" t="s">
        <v>241</v>
      </c>
      <c r="I147" s="94">
        <v>10000240</v>
      </c>
      <c r="J147" s="56" t="s">
        <v>90</v>
      </c>
      <c r="K147" s="33">
        <f>VLOOKUP(I147,'Materiales,canteras'!C:E,3,0)</f>
        <v>1.462</v>
      </c>
      <c r="L147" s="105">
        <v>127</v>
      </c>
      <c r="M147" s="28" t="s">
        <v>93</v>
      </c>
      <c r="N147" s="57">
        <f t="shared" ca="1" si="23"/>
        <v>46267</v>
      </c>
      <c r="O147" s="32" t="s">
        <v>201</v>
      </c>
      <c r="R147" s="64">
        <v>1.4999999999999999E-2</v>
      </c>
      <c r="S147" s="89">
        <v>280</v>
      </c>
      <c r="T147" s="66">
        <f t="shared" ref="T147:T152" si="28">L147-(S147-(S147*R147))</f>
        <v>-148.80000000000001</v>
      </c>
      <c r="U147" s="46">
        <f t="shared" si="27"/>
        <v>127</v>
      </c>
      <c r="V147" s="27">
        <v>0</v>
      </c>
      <c r="W147" s="4">
        <v>2</v>
      </c>
      <c r="X147" s="67">
        <f t="shared" si="21"/>
        <v>127</v>
      </c>
      <c r="Y147" s="32" t="e">
        <f>IF(+VLOOKUP(I147,P.Referencia!E:S,3,FALSE)&lt;=L147,"Champion","Gerente")</f>
        <v>#N/A</v>
      </c>
      <c r="Z147" s="39" t="e">
        <f>VLOOKUP(I147,P.Referencia!E:S,3,0)</f>
        <v>#N/A</v>
      </c>
      <c r="AA147" s="40" t="e">
        <f t="shared" si="24"/>
        <v>#N/A</v>
      </c>
      <c r="AB147" s="41" t="e">
        <f t="shared" si="25"/>
        <v>#N/A</v>
      </c>
      <c r="AC147" s="41" t="e">
        <f t="shared" si="26"/>
        <v>#N/A</v>
      </c>
    </row>
    <row r="148" spans="1:32" s="64" customFormat="1" hidden="1" x14ac:dyDescent="0.25">
      <c r="A148" s="43">
        <v>147</v>
      </c>
      <c r="B148" s="64" t="s">
        <v>378</v>
      </c>
      <c r="C148" s="131" t="str">
        <f t="shared" si="22"/>
        <v>LlaveD86467220765100010732</v>
      </c>
      <c r="D148" s="33" t="str">
        <f>VLOOKUP(E148,'NO MODIFICAR'!J:K,2,0)</f>
        <v>D864</v>
      </c>
      <c r="E148" s="26" t="s">
        <v>55</v>
      </c>
      <c r="F148" s="33" t="str">
        <f>VLOOKUP(D148,'NO MODIFICAR'!F:H,3,0)</f>
        <v xml:space="preserve">CENTRO </v>
      </c>
      <c r="G148" s="92">
        <v>67220765</v>
      </c>
      <c r="H148" s="93" t="s">
        <v>241</v>
      </c>
      <c r="I148" s="94">
        <v>10001073</v>
      </c>
      <c r="J148" s="56" t="s">
        <v>16</v>
      </c>
      <c r="K148" s="33">
        <f>VLOOKUP(I148,'Materiales,canteras'!C:E,3,0)</f>
        <v>1.56</v>
      </c>
      <c r="L148" s="105">
        <v>87</v>
      </c>
      <c r="M148" s="28" t="s">
        <v>93</v>
      </c>
      <c r="N148" s="57">
        <f t="shared" ca="1" si="23"/>
        <v>46267</v>
      </c>
      <c r="O148" s="32" t="s">
        <v>201</v>
      </c>
      <c r="R148" s="64">
        <v>1.4999999999999999E-2</v>
      </c>
      <c r="S148" s="89">
        <v>150</v>
      </c>
      <c r="T148" s="66">
        <f t="shared" si="28"/>
        <v>-60.75</v>
      </c>
      <c r="U148" s="46">
        <f t="shared" si="27"/>
        <v>87</v>
      </c>
      <c r="V148" s="27">
        <v>0</v>
      </c>
      <c r="W148" s="4">
        <v>2</v>
      </c>
      <c r="X148" s="67">
        <f t="shared" si="21"/>
        <v>87</v>
      </c>
      <c r="Y148" s="32" t="e">
        <f>IF(+VLOOKUP(I148,P.Referencia!E:S,3,FALSE)&lt;=L148,"Champion","Gerente")</f>
        <v>#N/A</v>
      </c>
      <c r="Z148" s="39" t="e">
        <f>VLOOKUP(I148,P.Referencia!E:S,3,0)</f>
        <v>#N/A</v>
      </c>
      <c r="AA148" s="40" t="e">
        <f t="shared" si="24"/>
        <v>#N/A</v>
      </c>
      <c r="AB148" s="41" t="e">
        <f t="shared" si="25"/>
        <v>#N/A</v>
      </c>
      <c r="AC148" s="41" t="e">
        <f t="shared" si="26"/>
        <v>#N/A</v>
      </c>
    </row>
    <row r="149" spans="1:32" s="64" customFormat="1" hidden="1" x14ac:dyDescent="0.25">
      <c r="A149" s="43">
        <v>148</v>
      </c>
      <c r="B149" s="64" t="s">
        <v>378</v>
      </c>
      <c r="C149" s="131" t="str">
        <f t="shared" si="22"/>
        <v>LlaveD86467237930100002402</v>
      </c>
      <c r="D149" s="33" t="str">
        <f>VLOOKUP(E149,'NO MODIFICAR'!J:K,2,0)</f>
        <v>D864</v>
      </c>
      <c r="E149" s="26" t="s">
        <v>55</v>
      </c>
      <c r="F149" s="33" t="str">
        <f>VLOOKUP(D149,'NO MODIFICAR'!F:H,3,0)</f>
        <v xml:space="preserve">CENTRO </v>
      </c>
      <c r="G149" s="92">
        <v>67237930</v>
      </c>
      <c r="H149" s="93" t="s">
        <v>242</v>
      </c>
      <c r="I149" s="94">
        <v>10000240</v>
      </c>
      <c r="J149" s="56" t="s">
        <v>90</v>
      </c>
      <c r="K149" s="33">
        <f>VLOOKUP(I149,'Materiales,canteras'!C:E,3,0)</f>
        <v>1.462</v>
      </c>
      <c r="L149" s="105">
        <v>127</v>
      </c>
      <c r="M149" s="28" t="s">
        <v>93</v>
      </c>
      <c r="N149" s="57">
        <f t="shared" ca="1" si="23"/>
        <v>46267</v>
      </c>
      <c r="O149" s="32" t="s">
        <v>201</v>
      </c>
      <c r="R149" s="64">
        <v>1.4999999999999999E-2</v>
      </c>
      <c r="S149" s="89">
        <v>280</v>
      </c>
      <c r="T149" s="66">
        <f t="shared" si="28"/>
        <v>-148.80000000000001</v>
      </c>
      <c r="U149" s="46">
        <f t="shared" si="27"/>
        <v>127</v>
      </c>
      <c r="V149" s="27">
        <v>0</v>
      </c>
      <c r="W149" s="4">
        <v>2</v>
      </c>
      <c r="X149" s="67">
        <f t="shared" si="21"/>
        <v>127</v>
      </c>
      <c r="Y149" s="32" t="e">
        <f>IF(+VLOOKUP(I149,P.Referencia!E:S,3,FALSE)&lt;=L149,"Champion","Gerente")</f>
        <v>#N/A</v>
      </c>
      <c r="Z149" s="39" t="e">
        <f>VLOOKUP(I149,P.Referencia!E:S,3,0)</f>
        <v>#N/A</v>
      </c>
      <c r="AA149" s="40" t="e">
        <f t="shared" si="24"/>
        <v>#N/A</v>
      </c>
      <c r="AB149" s="41" t="e">
        <f t="shared" si="25"/>
        <v>#N/A</v>
      </c>
      <c r="AC149" s="41" t="e">
        <f t="shared" si="26"/>
        <v>#N/A</v>
      </c>
    </row>
    <row r="150" spans="1:32" s="64" customFormat="1" hidden="1" x14ac:dyDescent="0.25">
      <c r="A150" s="43">
        <v>149</v>
      </c>
      <c r="B150" s="64" t="s">
        <v>378</v>
      </c>
      <c r="C150" s="131" t="str">
        <f t="shared" si="22"/>
        <v>LlaveD86467237930100010732</v>
      </c>
      <c r="D150" s="33" t="str">
        <f>VLOOKUP(E150,'NO MODIFICAR'!J:K,2,0)</f>
        <v>D864</v>
      </c>
      <c r="E150" s="26" t="s">
        <v>55</v>
      </c>
      <c r="F150" s="33" t="str">
        <f>VLOOKUP(D150,'NO MODIFICAR'!F:H,3,0)</f>
        <v xml:space="preserve">CENTRO </v>
      </c>
      <c r="G150" s="92">
        <v>67237930</v>
      </c>
      <c r="H150" s="93" t="s">
        <v>242</v>
      </c>
      <c r="I150" s="94">
        <v>10001073</v>
      </c>
      <c r="J150" s="56" t="s">
        <v>16</v>
      </c>
      <c r="K150" s="33">
        <f>VLOOKUP(I150,'Materiales,canteras'!C:E,3,0)</f>
        <v>1.56</v>
      </c>
      <c r="L150" s="105">
        <v>87</v>
      </c>
      <c r="M150" s="28" t="s">
        <v>93</v>
      </c>
      <c r="N150" s="57">
        <f t="shared" ca="1" si="23"/>
        <v>46267</v>
      </c>
      <c r="O150" s="32" t="s">
        <v>201</v>
      </c>
      <c r="R150" s="64">
        <v>1.4999999999999999E-2</v>
      </c>
      <c r="S150" s="89">
        <v>150</v>
      </c>
      <c r="T150" s="66">
        <f t="shared" si="28"/>
        <v>-60.75</v>
      </c>
      <c r="U150" s="46">
        <f t="shared" si="27"/>
        <v>87</v>
      </c>
      <c r="V150" s="27">
        <v>0</v>
      </c>
      <c r="W150" s="4">
        <v>2</v>
      </c>
      <c r="X150" s="67">
        <f t="shared" si="21"/>
        <v>87</v>
      </c>
      <c r="Y150" s="32" t="e">
        <f>IF(+VLOOKUP(I150,P.Referencia!E:S,3,FALSE)&lt;=L150,"Champion","Gerente")</f>
        <v>#N/A</v>
      </c>
      <c r="Z150" s="39" t="e">
        <f>VLOOKUP(I150,P.Referencia!E:S,3,0)</f>
        <v>#N/A</v>
      </c>
      <c r="AA150" s="40" t="e">
        <f t="shared" si="24"/>
        <v>#N/A</v>
      </c>
      <c r="AB150" s="41" t="e">
        <f t="shared" si="25"/>
        <v>#N/A</v>
      </c>
      <c r="AC150" s="41" t="e">
        <f t="shared" si="26"/>
        <v>#N/A</v>
      </c>
    </row>
    <row r="151" spans="1:32" s="64" customFormat="1" hidden="1" x14ac:dyDescent="0.25">
      <c r="A151" s="43">
        <v>150</v>
      </c>
      <c r="B151" s="64" t="s">
        <v>378</v>
      </c>
      <c r="C151" s="131" t="str">
        <f t="shared" si="22"/>
        <v>LlaveD86467332437100002402</v>
      </c>
      <c r="D151" s="33" t="str">
        <f>VLOOKUP(E151,'NO MODIFICAR'!J:K,2,0)</f>
        <v>D864</v>
      </c>
      <c r="E151" s="26" t="s">
        <v>55</v>
      </c>
      <c r="F151" s="33" t="str">
        <f>VLOOKUP(D151,'NO MODIFICAR'!F:H,3,0)</f>
        <v xml:space="preserve">CENTRO </v>
      </c>
      <c r="G151" s="92">
        <v>67332437</v>
      </c>
      <c r="H151" s="93" t="s">
        <v>261</v>
      </c>
      <c r="I151" s="94">
        <v>10000240</v>
      </c>
      <c r="J151" s="56" t="s">
        <v>90</v>
      </c>
      <c r="K151" s="33">
        <f>VLOOKUP(I151,'Materiales,canteras'!C:E,3,0)</f>
        <v>1.462</v>
      </c>
      <c r="L151" s="105">
        <v>127</v>
      </c>
      <c r="M151" s="28" t="s">
        <v>93</v>
      </c>
      <c r="N151" s="57">
        <f t="shared" ca="1" si="23"/>
        <v>46267</v>
      </c>
      <c r="O151" s="32" t="s">
        <v>201</v>
      </c>
      <c r="R151" s="64">
        <v>1.4999999999999999E-2</v>
      </c>
      <c r="S151" s="89">
        <v>280</v>
      </c>
      <c r="T151" s="66">
        <f t="shared" si="28"/>
        <v>-148.80000000000001</v>
      </c>
      <c r="U151" s="46">
        <f t="shared" si="27"/>
        <v>127</v>
      </c>
      <c r="V151" s="27">
        <v>0</v>
      </c>
      <c r="W151" s="4">
        <v>2</v>
      </c>
      <c r="X151" s="67">
        <f t="shared" si="21"/>
        <v>127</v>
      </c>
      <c r="Y151" s="32" t="e">
        <f>IF(+VLOOKUP(I151,P.Referencia!E:S,3,FALSE)&lt;=L151,"Champion","Gerente")</f>
        <v>#N/A</v>
      </c>
      <c r="Z151" s="39" t="e">
        <f>VLOOKUP(I151,P.Referencia!E:S,3,0)</f>
        <v>#N/A</v>
      </c>
      <c r="AA151" s="40" t="e">
        <f t="shared" si="24"/>
        <v>#N/A</v>
      </c>
      <c r="AB151" s="41" t="e">
        <f t="shared" si="25"/>
        <v>#N/A</v>
      </c>
      <c r="AC151" s="41" t="e">
        <f t="shared" si="26"/>
        <v>#N/A</v>
      </c>
    </row>
    <row r="152" spans="1:32" s="64" customFormat="1" hidden="1" x14ac:dyDescent="0.25">
      <c r="A152" s="43">
        <v>151</v>
      </c>
      <c r="B152" s="64" t="s">
        <v>378</v>
      </c>
      <c r="C152" s="131" t="str">
        <f t="shared" si="22"/>
        <v>LlaveD86467332437100010732</v>
      </c>
      <c r="D152" s="33" t="str">
        <f>VLOOKUP(E152,'NO MODIFICAR'!J:K,2,0)</f>
        <v>D864</v>
      </c>
      <c r="E152" s="26" t="s">
        <v>55</v>
      </c>
      <c r="F152" s="33" t="str">
        <f>VLOOKUP(D152,'NO MODIFICAR'!F:H,3,0)</f>
        <v xml:space="preserve">CENTRO </v>
      </c>
      <c r="G152" s="92">
        <v>67332437</v>
      </c>
      <c r="H152" s="93" t="s">
        <v>261</v>
      </c>
      <c r="I152" s="94">
        <v>10001073</v>
      </c>
      <c r="J152" s="56" t="s">
        <v>16</v>
      </c>
      <c r="K152" s="33">
        <f>VLOOKUP(I152,'Materiales,canteras'!C:E,3,0)</f>
        <v>1.56</v>
      </c>
      <c r="L152" s="105">
        <v>87</v>
      </c>
      <c r="M152" s="28" t="s">
        <v>93</v>
      </c>
      <c r="N152" s="57">
        <f t="shared" ca="1" si="23"/>
        <v>46267</v>
      </c>
      <c r="O152" s="32" t="s">
        <v>201</v>
      </c>
      <c r="R152" s="64">
        <v>1.4999999999999999E-2</v>
      </c>
      <c r="S152" s="89">
        <v>150</v>
      </c>
      <c r="T152" s="66">
        <f t="shared" si="28"/>
        <v>-60.75</v>
      </c>
      <c r="U152" s="46">
        <f t="shared" si="27"/>
        <v>87</v>
      </c>
      <c r="V152" s="27">
        <v>0</v>
      </c>
      <c r="W152" s="4">
        <v>2</v>
      </c>
      <c r="X152" s="67">
        <f t="shared" si="21"/>
        <v>87</v>
      </c>
      <c r="Y152" s="32" t="e">
        <f>IF(+VLOOKUP(I152,P.Referencia!E:S,3,FALSE)&lt;=L152,"Champion","Gerente")</f>
        <v>#N/A</v>
      </c>
      <c r="Z152" s="39" t="e">
        <f>VLOOKUP(I152,P.Referencia!E:S,3,0)</f>
        <v>#N/A</v>
      </c>
      <c r="AA152" s="40" t="e">
        <f t="shared" si="24"/>
        <v>#N/A</v>
      </c>
      <c r="AB152" s="41" t="e">
        <f t="shared" si="25"/>
        <v>#N/A</v>
      </c>
      <c r="AC152" s="41" t="e">
        <f t="shared" si="26"/>
        <v>#N/A</v>
      </c>
    </row>
    <row r="153" spans="1:32" s="64" customFormat="1" hidden="1" x14ac:dyDescent="0.25">
      <c r="A153" s="43">
        <v>152</v>
      </c>
      <c r="B153" s="64" t="s">
        <v>378</v>
      </c>
      <c r="C153" s="131" t="str">
        <f t="shared" si="22"/>
        <v>LlaveD86466415270100002402</v>
      </c>
      <c r="D153" s="33" t="str">
        <f>VLOOKUP(E153,'NO MODIFICAR'!J:K,2,0)</f>
        <v>D864</v>
      </c>
      <c r="E153" s="26" t="s">
        <v>55</v>
      </c>
      <c r="F153" s="33" t="str">
        <f>VLOOKUP(D153,'NO MODIFICAR'!F:H,3,0)</f>
        <v xml:space="preserve">CENTRO </v>
      </c>
      <c r="G153" s="92">
        <v>66415270</v>
      </c>
      <c r="H153" s="93" t="s">
        <v>244</v>
      </c>
      <c r="I153" s="94">
        <v>10000240</v>
      </c>
      <c r="J153" s="56" t="str">
        <f>VLOOKUP(I153,'Materiales,canteras'!C:D,2,0)</f>
        <v>Grava Triturada Caliza 20 mm -</v>
      </c>
      <c r="K153" s="33">
        <f>VLOOKUP(I153,'Materiales,canteras'!C:E,3,0)</f>
        <v>1.462</v>
      </c>
      <c r="L153" s="105">
        <v>127</v>
      </c>
      <c r="M153" s="28" t="s">
        <v>93</v>
      </c>
      <c r="N153" s="57">
        <f t="shared" ca="1" si="23"/>
        <v>46267</v>
      </c>
      <c r="O153" s="32" t="s">
        <v>201</v>
      </c>
      <c r="Q153" s="64">
        <v>22.4</v>
      </c>
      <c r="R153" s="64">
        <v>10.3</v>
      </c>
      <c r="S153" s="89">
        <v>280</v>
      </c>
      <c r="T153" s="66">
        <f>L153-((S153-Q153)-(R153))</f>
        <v>-120.30000000000001</v>
      </c>
      <c r="U153" s="46">
        <f t="shared" si="27"/>
        <v>127</v>
      </c>
      <c r="V153" s="27">
        <v>0</v>
      </c>
      <c r="W153" s="4">
        <v>2</v>
      </c>
      <c r="X153" s="67">
        <f t="shared" si="21"/>
        <v>127</v>
      </c>
      <c r="Y153" s="32" t="e">
        <f>IF(+VLOOKUP(I153,P.Referencia!E:S,3,FALSE)&lt;=L153,"Champion","Gerente")</f>
        <v>#N/A</v>
      </c>
      <c r="Z153" s="39" t="e">
        <f>VLOOKUP(I153,P.Referencia!E:S,3,0)</f>
        <v>#N/A</v>
      </c>
      <c r="AA153" s="40" t="e">
        <f t="shared" si="24"/>
        <v>#N/A</v>
      </c>
      <c r="AB153" s="41" t="e">
        <f t="shared" si="25"/>
        <v>#N/A</v>
      </c>
      <c r="AC153" s="41" t="e">
        <f t="shared" si="26"/>
        <v>#N/A</v>
      </c>
    </row>
    <row r="154" spans="1:32" s="64" customFormat="1" hidden="1" x14ac:dyDescent="0.25">
      <c r="A154" s="43">
        <v>153</v>
      </c>
      <c r="B154" s="64" t="s">
        <v>378</v>
      </c>
      <c r="C154" s="131" t="str">
        <f t="shared" si="22"/>
        <v>LlaveDU0766559297100001012</v>
      </c>
      <c r="D154" s="33" t="str">
        <f>VLOOKUP(E154,'NO MODIFICAR'!J:K,2,0)</f>
        <v>DU07</v>
      </c>
      <c r="E154" s="26" t="s">
        <v>87</v>
      </c>
      <c r="F154" s="33" t="str">
        <f>VLOOKUP(D154,'NO MODIFICAR'!F:H,3,0)</f>
        <v>SURESTE</v>
      </c>
      <c r="G154" s="92">
        <v>66559297</v>
      </c>
      <c r="H154" s="93" t="s">
        <v>245</v>
      </c>
      <c r="I154" s="94">
        <v>10000101</v>
      </c>
      <c r="J154" s="56" t="str">
        <f>VLOOKUP(I154,'Materiales,canteras'!C:D,2,0)</f>
        <v>Arena Triturada Caliza Malla 4</v>
      </c>
      <c r="K154" s="33">
        <f>VLOOKUP(I154,'Materiales,canteras'!C:E,3,0)</f>
        <v>1.417</v>
      </c>
      <c r="L154" s="105">
        <v>338.74382498235707</v>
      </c>
      <c r="M154" s="28" t="s">
        <v>93</v>
      </c>
      <c r="N154" s="57">
        <f t="shared" ca="1" si="23"/>
        <v>46267</v>
      </c>
      <c r="O154" s="32" t="s">
        <v>201</v>
      </c>
      <c r="S154" s="89">
        <v>400</v>
      </c>
      <c r="T154" s="66">
        <f>L154-(S154-(S154*R154))</f>
        <v>-61.256175017642931</v>
      </c>
      <c r="U154" s="46">
        <f t="shared" si="27"/>
        <v>338.74382498235707</v>
      </c>
      <c r="V154" s="27">
        <v>0</v>
      </c>
      <c r="W154" s="4">
        <v>2</v>
      </c>
      <c r="X154" s="67">
        <f t="shared" si="21"/>
        <v>338.74382498235707</v>
      </c>
      <c r="Y154" s="32" t="e">
        <f>IF(+VLOOKUP(I154,P.Referencia!E:S,3,FALSE)&lt;=L154,"Champion","Gerente")</f>
        <v>#N/A</v>
      </c>
      <c r="Z154" s="39" t="e">
        <f>VLOOKUP(I154,P.Referencia!E:S,3,0)</f>
        <v>#N/A</v>
      </c>
      <c r="AA154" s="40" t="e">
        <f t="shared" si="24"/>
        <v>#N/A</v>
      </c>
      <c r="AB154" s="41" t="e">
        <f t="shared" si="25"/>
        <v>#N/A</v>
      </c>
      <c r="AC154" s="41" t="e">
        <f t="shared" si="26"/>
        <v>#N/A</v>
      </c>
    </row>
    <row r="155" spans="1:32" s="64" customFormat="1" hidden="1" x14ac:dyDescent="0.25">
      <c r="A155" s="43">
        <v>154</v>
      </c>
      <c r="B155" s="64" t="s">
        <v>378</v>
      </c>
      <c r="C155" s="131" t="str">
        <f t="shared" si="22"/>
        <v>LlaveDU0766559297100003552</v>
      </c>
      <c r="D155" s="33" t="str">
        <f>VLOOKUP(E155,'NO MODIFICAR'!J:K,2,0)</f>
        <v>DU07</v>
      </c>
      <c r="E155" s="26" t="s">
        <v>87</v>
      </c>
      <c r="F155" s="33" t="str">
        <f>VLOOKUP(D155,'NO MODIFICAR'!F:H,3,0)</f>
        <v>SURESTE</v>
      </c>
      <c r="G155" s="92">
        <v>66559297</v>
      </c>
      <c r="H155" s="93" t="s">
        <v>245</v>
      </c>
      <c r="I155" s="94">
        <v>10000355</v>
      </c>
      <c r="J155" s="56" t="str">
        <f>VLOOKUP(I155,'Materiales,canteras'!C:D,2,0)</f>
        <v>Grava Triturada Caliza 13 mm - 1/2"</v>
      </c>
      <c r="K155" s="33">
        <f>VLOOKUP(I155,'Materiales,canteras'!C:E,3,0)</f>
        <v>1.194</v>
      </c>
      <c r="L155" s="105">
        <v>318.25795644891122</v>
      </c>
      <c r="M155" s="28" t="s">
        <v>93</v>
      </c>
      <c r="N155" s="57">
        <f t="shared" ca="1" si="23"/>
        <v>46267</v>
      </c>
      <c r="O155" s="32" t="s">
        <v>201</v>
      </c>
      <c r="S155" s="89">
        <v>380</v>
      </c>
      <c r="T155" s="66">
        <f>L155-(S155-(S155*R155))</f>
        <v>-61.742043551088784</v>
      </c>
      <c r="U155" s="46">
        <f t="shared" si="27"/>
        <v>318.25795644891122</v>
      </c>
      <c r="V155" s="27">
        <v>0</v>
      </c>
      <c r="W155" s="4">
        <v>2</v>
      </c>
      <c r="X155" s="67">
        <f t="shared" si="21"/>
        <v>318.25795644891122</v>
      </c>
      <c r="Y155" s="32" t="e">
        <f>IF(+VLOOKUP(I155,P.Referencia!E:S,3,FALSE)&lt;=L155,"Champion","Gerente")</f>
        <v>#N/A</v>
      </c>
      <c r="Z155" s="39" t="e">
        <f>VLOOKUP(I155,P.Referencia!E:S,3,0)</f>
        <v>#N/A</v>
      </c>
      <c r="AA155" s="40" t="e">
        <f t="shared" si="24"/>
        <v>#N/A</v>
      </c>
      <c r="AB155" s="41" t="e">
        <f t="shared" si="25"/>
        <v>#N/A</v>
      </c>
      <c r="AC155" s="41" t="e">
        <f t="shared" si="26"/>
        <v>#N/A</v>
      </c>
    </row>
    <row r="156" spans="1:32" s="64" customFormat="1" hidden="1" x14ac:dyDescent="0.25">
      <c r="A156" s="43">
        <v>155</v>
      </c>
      <c r="B156" s="64" t="s">
        <v>378</v>
      </c>
      <c r="C156" s="131" t="str">
        <f t="shared" si="22"/>
        <v>LlaveDU0766970002100001032</v>
      </c>
      <c r="D156" s="33" t="str">
        <f>VLOOKUP(E156,'NO MODIFICAR'!J:K,2,0)</f>
        <v>DU07</v>
      </c>
      <c r="E156" s="26" t="s">
        <v>87</v>
      </c>
      <c r="F156" s="33" t="str">
        <f>VLOOKUP(D156,'NO MODIFICAR'!F:H,3,0)</f>
        <v>SURESTE</v>
      </c>
      <c r="G156" s="92">
        <v>66970002</v>
      </c>
      <c r="H156" s="93" t="s">
        <v>246</v>
      </c>
      <c r="I156" s="94">
        <v>10000103</v>
      </c>
      <c r="J156" s="56" t="str">
        <f>VLOOKUP(I156,'Materiales,canteras'!C:D,2,0)</f>
        <v>Base H Triturada Caliza 1 1/2" a Finos</v>
      </c>
      <c r="K156" s="33">
        <f>VLOOKUP(I156,'Materiales,canteras'!C:E,3,0)</f>
        <v>1.462</v>
      </c>
      <c r="L156" s="105">
        <v>109.43912448700411</v>
      </c>
      <c r="M156" s="28" t="s">
        <v>93</v>
      </c>
      <c r="N156" s="57">
        <f t="shared" ca="1" si="23"/>
        <v>46267</v>
      </c>
      <c r="O156" s="32" t="s">
        <v>201</v>
      </c>
      <c r="R156" s="64">
        <v>1.4999999999999999E-2</v>
      </c>
      <c r="S156" s="89">
        <v>150</v>
      </c>
      <c r="T156" s="66">
        <f>L156-(S156-(S156*R156))</f>
        <v>-38.310875512995892</v>
      </c>
      <c r="U156" s="46">
        <f t="shared" si="27"/>
        <v>109.43912448700411</v>
      </c>
      <c r="V156" s="27">
        <v>0</v>
      </c>
      <c r="W156" s="4">
        <v>2</v>
      </c>
      <c r="X156" s="67">
        <f t="shared" si="21"/>
        <v>109.43912448700411</v>
      </c>
      <c r="Y156" s="32" t="e">
        <f>IF(+VLOOKUP(I156,P.Referencia!E:S,3,FALSE)&lt;=L156,"Champion","Gerente")</f>
        <v>#N/A</v>
      </c>
      <c r="Z156" s="39" t="e">
        <f>VLOOKUP(I156,P.Referencia!E:S,3,0)</f>
        <v>#N/A</v>
      </c>
      <c r="AA156" s="40" t="e">
        <f t="shared" si="24"/>
        <v>#N/A</v>
      </c>
      <c r="AB156" s="41" t="e">
        <f t="shared" si="25"/>
        <v>#N/A</v>
      </c>
      <c r="AC156" s="41" t="e">
        <f t="shared" si="26"/>
        <v>#N/A</v>
      </c>
    </row>
    <row r="157" spans="1:32" s="64" customFormat="1" hidden="1" x14ac:dyDescent="0.25">
      <c r="A157" s="43">
        <v>156</v>
      </c>
      <c r="B157" s="64" t="s">
        <v>378</v>
      </c>
      <c r="C157" s="131" t="str">
        <f t="shared" si="22"/>
        <v>LlaveD86166808298100002292</v>
      </c>
      <c r="D157" s="33" t="str">
        <f>VLOOKUP(E157,'NO MODIFICAR'!J:K,2,0)</f>
        <v>D861</v>
      </c>
      <c r="E157" s="26" t="s">
        <v>44</v>
      </c>
      <c r="F157" s="33" t="str">
        <f>VLOOKUP(D157,'NO MODIFICAR'!F:H,3,0)</f>
        <v xml:space="preserve">CENTRO </v>
      </c>
      <c r="G157" s="92">
        <v>66808298</v>
      </c>
      <c r="H157" s="93" t="s">
        <v>247</v>
      </c>
      <c r="I157" s="94">
        <v>10000229</v>
      </c>
      <c r="J157" s="56" t="str">
        <f>VLOOKUP(I157,'Materiales,canteras'!C:D,2,0)</f>
        <v>Grava Triturada Basalto  10 mm</v>
      </c>
      <c r="K157" s="33">
        <f>VLOOKUP(I157,'Materiales,canteras'!C:E,3,0)</f>
        <v>1.522</v>
      </c>
      <c r="L157" s="105">
        <v>195</v>
      </c>
      <c r="M157" s="28" t="s">
        <v>93</v>
      </c>
      <c r="N157" s="57">
        <f t="shared" ca="1" si="23"/>
        <v>46267</v>
      </c>
      <c r="O157" s="32" t="s">
        <v>201</v>
      </c>
      <c r="Q157" s="64">
        <v>16</v>
      </c>
      <c r="R157" s="64">
        <v>15.2</v>
      </c>
      <c r="S157" s="89">
        <v>320</v>
      </c>
      <c r="T157" s="66">
        <f>L157-((S157-Q157)-(R157))</f>
        <v>-93.800000000000011</v>
      </c>
      <c r="U157" s="46">
        <f t="shared" si="27"/>
        <v>195</v>
      </c>
      <c r="V157" s="27">
        <v>0</v>
      </c>
      <c r="W157" s="4">
        <v>2</v>
      </c>
      <c r="X157" s="67">
        <f t="shared" si="21"/>
        <v>195</v>
      </c>
      <c r="Y157" s="32" t="e">
        <f>IF(+VLOOKUP(I157,P.Referencia!E:S,3,FALSE)&lt;=L157,"Champion","Gerente")</f>
        <v>#N/A</v>
      </c>
      <c r="Z157" s="39" t="e">
        <f>VLOOKUP(I157,P.Referencia!E:S,3,0)</f>
        <v>#N/A</v>
      </c>
      <c r="AA157" s="40" t="e">
        <f t="shared" si="24"/>
        <v>#N/A</v>
      </c>
      <c r="AB157" s="41" t="e">
        <f t="shared" si="25"/>
        <v>#N/A</v>
      </c>
      <c r="AC157" s="41" t="e">
        <f t="shared" si="26"/>
        <v>#N/A</v>
      </c>
    </row>
    <row r="158" spans="1:32" s="64" customFormat="1" hidden="1" x14ac:dyDescent="0.25">
      <c r="A158" s="43">
        <v>157</v>
      </c>
      <c r="B158" s="64" t="s">
        <v>378</v>
      </c>
      <c r="C158" s="131" t="str">
        <f t="shared" si="22"/>
        <v>LlaveD86467277484100002402</v>
      </c>
      <c r="D158" s="33" t="str">
        <f>VLOOKUP(E158,'NO MODIFICAR'!J:K,2,0)</f>
        <v>D864</v>
      </c>
      <c r="E158" s="26" t="s">
        <v>55</v>
      </c>
      <c r="F158" s="33" t="str">
        <f>VLOOKUP(D158,'NO MODIFICAR'!F:H,3,0)</f>
        <v xml:space="preserve">CENTRO </v>
      </c>
      <c r="G158" s="92">
        <v>67277484</v>
      </c>
      <c r="H158" s="93" t="s">
        <v>248</v>
      </c>
      <c r="I158" s="94">
        <v>10000240</v>
      </c>
      <c r="J158" s="56" t="str">
        <f>VLOOKUP(I158,'Materiales,canteras'!C:D,2,0)</f>
        <v>Grava Triturada Caliza 20 mm -</v>
      </c>
      <c r="K158" s="33">
        <f>VLOOKUP(I158,'Materiales,canteras'!C:E,3,0)</f>
        <v>1.462</v>
      </c>
      <c r="L158" s="105">
        <v>117.7</v>
      </c>
      <c r="M158" s="28" t="s">
        <v>93</v>
      </c>
      <c r="N158" s="57">
        <f t="shared" ca="1" si="23"/>
        <v>46267</v>
      </c>
      <c r="O158" s="32" t="s">
        <v>201</v>
      </c>
      <c r="R158" s="64">
        <v>1.4999999999999999E-2</v>
      </c>
      <c r="S158" s="89">
        <v>280</v>
      </c>
      <c r="T158" s="66">
        <f t="shared" ref="T158:T189" si="29">L158-(S158-(S158*R158))</f>
        <v>-158.10000000000002</v>
      </c>
      <c r="U158" s="46">
        <f t="shared" si="27"/>
        <v>117.7</v>
      </c>
      <c r="V158" s="27">
        <v>0</v>
      </c>
      <c r="W158" s="4">
        <v>2</v>
      </c>
      <c r="X158" s="67">
        <f t="shared" si="21"/>
        <v>117.7</v>
      </c>
      <c r="Y158" s="32" t="e">
        <f>IF(+VLOOKUP(I158,P.Referencia!E:S,3,FALSE)&lt;=L158,"Champion","Gerente")</f>
        <v>#N/A</v>
      </c>
      <c r="Z158" s="39" t="e">
        <f>VLOOKUP(I158,P.Referencia!E:S,3,0)</f>
        <v>#N/A</v>
      </c>
      <c r="AA158" s="40" t="e">
        <f t="shared" si="24"/>
        <v>#N/A</v>
      </c>
      <c r="AB158" s="41" t="e">
        <f t="shared" si="25"/>
        <v>#N/A</v>
      </c>
      <c r="AC158" s="41" t="e">
        <f t="shared" si="26"/>
        <v>#N/A</v>
      </c>
    </row>
    <row r="159" spans="1:32" s="64" customFormat="1" hidden="1" x14ac:dyDescent="0.25">
      <c r="A159" s="43">
        <v>158</v>
      </c>
      <c r="B159" s="64" t="s">
        <v>378</v>
      </c>
      <c r="C159" s="131" t="str">
        <f t="shared" si="22"/>
        <v>LlaveD86467277484100010742</v>
      </c>
      <c r="D159" s="33" t="str">
        <f>VLOOKUP(E159,'NO MODIFICAR'!J:K,2,0)</f>
        <v>D864</v>
      </c>
      <c r="E159" s="26" t="s">
        <v>55</v>
      </c>
      <c r="F159" s="33" t="str">
        <f>VLOOKUP(D159,'NO MODIFICAR'!F:H,3,0)</f>
        <v xml:space="preserve">CENTRO </v>
      </c>
      <c r="G159" s="92">
        <v>67277484</v>
      </c>
      <c r="H159" s="93" t="s">
        <v>248</v>
      </c>
      <c r="I159" s="94">
        <v>10001074</v>
      </c>
      <c r="J159" s="56" t="str">
        <f>VLOOKUP(I159,'Materiales,canteras'!C:D,2,0)</f>
        <v>Grava Triturada Caliza 40 mm -</v>
      </c>
      <c r="K159" s="33">
        <f>VLOOKUP(I159,'Materiales,canteras'!C:E,3,0)</f>
        <v>1.4</v>
      </c>
      <c r="L159" s="105">
        <v>126.47</v>
      </c>
      <c r="M159" s="28" t="s">
        <v>93</v>
      </c>
      <c r="N159" s="57">
        <f t="shared" ca="1" si="23"/>
        <v>46267</v>
      </c>
      <c r="O159" s="32" t="s">
        <v>201</v>
      </c>
      <c r="R159" s="64">
        <v>1.4999999999999999E-2</v>
      </c>
      <c r="S159" s="89">
        <v>220</v>
      </c>
      <c r="T159" s="66">
        <f t="shared" si="29"/>
        <v>-90.22999999999999</v>
      </c>
      <c r="U159" s="46">
        <f t="shared" si="27"/>
        <v>126.47</v>
      </c>
      <c r="V159" s="27">
        <v>0</v>
      </c>
      <c r="W159" s="4">
        <v>2</v>
      </c>
      <c r="X159" s="67">
        <f t="shared" si="21"/>
        <v>126.47</v>
      </c>
      <c r="Y159" s="32" t="e">
        <f>IF(+VLOOKUP(I159,P.Referencia!E:S,3,FALSE)&lt;=L159,"Champion","Gerente")</f>
        <v>#N/A</v>
      </c>
      <c r="Z159" s="39" t="e">
        <f>VLOOKUP(I159,P.Referencia!E:S,3,0)</f>
        <v>#N/A</v>
      </c>
      <c r="AA159" s="40" t="e">
        <f t="shared" si="24"/>
        <v>#N/A</v>
      </c>
      <c r="AB159" s="41" t="e">
        <f t="shared" si="25"/>
        <v>#N/A</v>
      </c>
      <c r="AC159" s="41" t="e">
        <f t="shared" si="26"/>
        <v>#N/A</v>
      </c>
    </row>
    <row r="160" spans="1:32" s="64" customFormat="1" hidden="1" x14ac:dyDescent="0.25">
      <c r="A160" s="71">
        <v>159</v>
      </c>
      <c r="B160" s="64" t="s">
        <v>378</v>
      </c>
      <c r="C160" s="131" t="str">
        <f t="shared" si="22"/>
        <v>LlaveD8136733089810000255</v>
      </c>
      <c r="D160" s="72" t="str">
        <f>VLOOKUP(E160,'NO MODIFICAR'!J:K,2,0)</f>
        <v>D813</v>
      </c>
      <c r="E160" s="102" t="s">
        <v>6</v>
      </c>
      <c r="F160" s="72" t="str">
        <f>VLOOKUP(D160,'NO MODIFICAR'!F:H,3,0)</f>
        <v xml:space="preserve">CENTRO </v>
      </c>
      <c r="G160" s="159">
        <v>67330898</v>
      </c>
      <c r="H160" s="163" t="s">
        <v>249</v>
      </c>
      <c r="I160" s="164">
        <v>10000255</v>
      </c>
      <c r="J160" s="165" t="str">
        <f>VLOOKUP(I160,'Materiales,canteras'!C:D,2,0)</f>
        <v>Arena Triturada Andesita Malla</v>
      </c>
      <c r="K160" s="72">
        <f>VLOOKUP(I160,'Materiales,canteras'!C:E,3,0)</f>
        <v>1.5349999999999999</v>
      </c>
      <c r="L160" s="166">
        <v>80</v>
      </c>
      <c r="M160" s="100" t="s">
        <v>93</v>
      </c>
      <c r="N160" s="73">
        <f t="shared" ca="1" si="23"/>
        <v>46267</v>
      </c>
      <c r="O160" s="71" t="s">
        <v>201</v>
      </c>
      <c r="P160" s="74"/>
      <c r="Q160" s="74"/>
      <c r="R160" s="74">
        <v>1.4999999999999999E-2</v>
      </c>
      <c r="S160" s="91">
        <v>150</v>
      </c>
      <c r="T160" s="75">
        <f t="shared" si="29"/>
        <v>-67.75</v>
      </c>
      <c r="U160" s="167">
        <f t="shared" si="27"/>
        <v>80</v>
      </c>
      <c r="V160" s="90"/>
      <c r="W160" s="91"/>
      <c r="X160" s="76">
        <f t="shared" si="21"/>
        <v>80</v>
      </c>
      <c r="Y160" s="71" t="e">
        <f>IF(+VLOOKUP(I160,P.Referencia!E:S,3,FALSE)&lt;=L160,"Champion","Gerente")</f>
        <v>#N/A</v>
      </c>
      <c r="Z160" s="77" t="e">
        <f>VLOOKUP(I160,P.Referencia!E:S,3,0)</f>
        <v>#N/A</v>
      </c>
      <c r="AA160" s="78" t="e">
        <f t="shared" si="24"/>
        <v>#N/A</v>
      </c>
      <c r="AB160" s="79" t="e">
        <f t="shared" si="25"/>
        <v>#N/A</v>
      </c>
      <c r="AC160" s="79" t="e">
        <f t="shared" si="26"/>
        <v>#N/A</v>
      </c>
      <c r="AD160" s="74"/>
      <c r="AE160" s="74"/>
      <c r="AF160" s="74"/>
    </row>
    <row r="161" spans="1:32" s="64" customFormat="1" hidden="1" x14ac:dyDescent="0.25">
      <c r="A161" s="71">
        <v>160</v>
      </c>
      <c r="B161" s="64" t="s">
        <v>378</v>
      </c>
      <c r="C161" s="131" t="str">
        <f t="shared" si="22"/>
        <v>LlaveD8136733089810000253</v>
      </c>
      <c r="D161" s="72" t="str">
        <f>VLOOKUP(E161,'NO MODIFICAR'!J:K,2,0)</f>
        <v>D813</v>
      </c>
      <c r="E161" s="102" t="s">
        <v>6</v>
      </c>
      <c r="F161" s="72" t="str">
        <f>VLOOKUP(D161,'NO MODIFICAR'!F:H,3,0)</f>
        <v xml:space="preserve">CENTRO </v>
      </c>
      <c r="G161" s="159">
        <v>67330898</v>
      </c>
      <c r="H161" s="163" t="s">
        <v>249</v>
      </c>
      <c r="I161" s="164">
        <v>10000253</v>
      </c>
      <c r="J161" s="165" t="str">
        <f>VLOOKUP(I161,'Materiales,canteras'!C:D,2,0)</f>
        <v>Grava Triturada Andesita 20 mm</v>
      </c>
      <c r="K161" s="72">
        <f>VLOOKUP(I161,'Materiales,canteras'!C:E,3,0)</f>
        <v>1.385</v>
      </c>
      <c r="L161" s="166">
        <v>100</v>
      </c>
      <c r="M161" s="100" t="s">
        <v>93</v>
      </c>
      <c r="N161" s="73">
        <f t="shared" ca="1" si="23"/>
        <v>46267</v>
      </c>
      <c r="O161" s="71" t="s">
        <v>201</v>
      </c>
      <c r="P161" s="74"/>
      <c r="Q161" s="74"/>
      <c r="R161" s="74">
        <v>1.4999999999999999E-2</v>
      </c>
      <c r="S161" s="91">
        <v>150</v>
      </c>
      <c r="T161" s="75">
        <f t="shared" si="29"/>
        <v>-47.75</v>
      </c>
      <c r="U161" s="167">
        <f t="shared" si="27"/>
        <v>100</v>
      </c>
      <c r="V161" s="90"/>
      <c r="W161" s="91"/>
      <c r="X161" s="76">
        <f t="shared" si="21"/>
        <v>100</v>
      </c>
      <c r="Y161" s="71" t="e">
        <f>IF(+VLOOKUP(I161,P.Referencia!E:S,3,FALSE)&lt;=L161,"Champion","Gerente")</f>
        <v>#N/A</v>
      </c>
      <c r="Z161" s="77" t="e">
        <f>VLOOKUP(I161,P.Referencia!E:S,3,0)</f>
        <v>#N/A</v>
      </c>
      <c r="AA161" s="78" t="e">
        <f t="shared" si="24"/>
        <v>#N/A</v>
      </c>
      <c r="AB161" s="79" t="e">
        <f t="shared" si="25"/>
        <v>#N/A</v>
      </c>
      <c r="AC161" s="79" t="e">
        <f t="shared" si="26"/>
        <v>#N/A</v>
      </c>
      <c r="AD161" s="74"/>
      <c r="AE161" s="74"/>
      <c r="AF161" s="74"/>
    </row>
    <row r="162" spans="1:32" s="64" customFormat="1" hidden="1" x14ac:dyDescent="0.25">
      <c r="A162" s="71">
        <v>161</v>
      </c>
      <c r="B162" s="64" t="s">
        <v>378</v>
      </c>
      <c r="C162" s="131" t="str">
        <f t="shared" si="22"/>
        <v>LlaveD8136733089810002350</v>
      </c>
      <c r="D162" s="72" t="str">
        <f>VLOOKUP(E162,'NO MODIFICAR'!J:K,2,0)</f>
        <v>D813</v>
      </c>
      <c r="E162" s="102" t="s">
        <v>6</v>
      </c>
      <c r="F162" s="72" t="str">
        <f>VLOOKUP(D162,'NO MODIFICAR'!F:H,3,0)</f>
        <v xml:space="preserve">CENTRO </v>
      </c>
      <c r="G162" s="159">
        <v>67330898</v>
      </c>
      <c r="H162" s="163" t="s">
        <v>249</v>
      </c>
      <c r="I162" s="164">
        <v>10002350</v>
      </c>
      <c r="J162" s="165" t="str">
        <f>VLOOKUP(I162,'Materiales,canteras'!C:D,2,0)</f>
        <v>Grava Triturada Andesita 10mm-</v>
      </c>
      <c r="K162" s="72">
        <f>VLOOKUP(I162,'Materiales,canteras'!C:E,3,0)</f>
        <v>1.246</v>
      </c>
      <c r="L162" s="166">
        <v>90</v>
      </c>
      <c r="M162" s="100" t="s">
        <v>93</v>
      </c>
      <c r="N162" s="73">
        <f t="shared" ca="1" si="23"/>
        <v>46267</v>
      </c>
      <c r="O162" s="71" t="s">
        <v>201</v>
      </c>
      <c r="P162" s="74"/>
      <c r="Q162" s="74"/>
      <c r="R162" s="74">
        <v>1.4999999999999999E-2</v>
      </c>
      <c r="S162" s="91">
        <v>150</v>
      </c>
      <c r="T162" s="75">
        <f t="shared" si="29"/>
        <v>-57.75</v>
      </c>
      <c r="U162" s="167">
        <f t="shared" si="27"/>
        <v>90</v>
      </c>
      <c r="V162" s="90"/>
      <c r="W162" s="91"/>
      <c r="X162" s="76">
        <f t="shared" si="21"/>
        <v>90</v>
      </c>
      <c r="Y162" s="71" t="e">
        <f>IF(+VLOOKUP(I162,P.Referencia!E:S,3,FALSE)&lt;=L162,"Champion","Gerente")</f>
        <v>#N/A</v>
      </c>
      <c r="Z162" s="77" t="e">
        <f>VLOOKUP(I162,P.Referencia!E:S,3,0)</f>
        <v>#N/A</v>
      </c>
      <c r="AA162" s="78" t="e">
        <f t="shared" si="24"/>
        <v>#N/A</v>
      </c>
      <c r="AB162" s="79" t="e">
        <f t="shared" si="25"/>
        <v>#N/A</v>
      </c>
      <c r="AC162" s="79" t="e">
        <f t="shared" si="26"/>
        <v>#N/A</v>
      </c>
      <c r="AD162" s="74"/>
      <c r="AE162" s="74"/>
      <c r="AF162" s="74"/>
    </row>
    <row r="163" spans="1:32" s="64" customFormat="1" hidden="1" x14ac:dyDescent="0.25">
      <c r="A163" s="43">
        <v>162</v>
      </c>
      <c r="B163" s="64" t="s">
        <v>378</v>
      </c>
      <c r="C163" s="131" t="str">
        <f t="shared" si="22"/>
        <v>LlaveD8166729824210000237</v>
      </c>
      <c r="D163" s="33" t="str">
        <f>VLOOKUP(E163,'NO MODIFICAR'!J:K,2,0)</f>
        <v>D816</v>
      </c>
      <c r="E163" s="26" t="s">
        <v>15</v>
      </c>
      <c r="F163" s="33" t="str">
        <f>VLOOKUP(D163,'NO MODIFICAR'!F:H,3,0)</f>
        <v>NORESTE</v>
      </c>
      <c r="G163" s="92">
        <v>67298242</v>
      </c>
      <c r="H163" s="93" t="s">
        <v>250</v>
      </c>
      <c r="I163" s="94">
        <v>10000237</v>
      </c>
      <c r="J163" s="56" t="str">
        <f>VLOOKUP(I163,'Materiales,canteras'!C:D,2,0)</f>
        <v>Grava Triturada Caliza 10 mm -</v>
      </c>
      <c r="K163" s="33">
        <f>VLOOKUP(I163,'Materiales,canteras'!C:E,3,0)</f>
        <v>1.5620000000000001</v>
      </c>
      <c r="L163" s="105">
        <v>330</v>
      </c>
      <c r="M163" s="28" t="s">
        <v>93</v>
      </c>
      <c r="N163" s="57">
        <f t="shared" ca="1" si="23"/>
        <v>46267</v>
      </c>
      <c r="O163" s="32" t="s">
        <v>201</v>
      </c>
      <c r="R163" s="64">
        <v>0.05</v>
      </c>
      <c r="S163" s="89">
        <v>360</v>
      </c>
      <c r="T163" s="66">
        <f t="shared" si="29"/>
        <v>-12</v>
      </c>
      <c r="U163" s="46">
        <f t="shared" si="27"/>
        <v>330</v>
      </c>
      <c r="V163" s="27">
        <v>89.89</v>
      </c>
      <c r="W163" s="4"/>
      <c r="X163" s="67">
        <f t="shared" si="21"/>
        <v>419.89</v>
      </c>
      <c r="Y163" s="32" t="e">
        <f>IF(+VLOOKUP(I163,P.Referencia!E:S,3,FALSE)&lt;=L163,"Champion","Gerente")</f>
        <v>#N/A</v>
      </c>
      <c r="Z163" s="39" t="e">
        <f>VLOOKUP(I163,P.Referencia!E:S,3,0)</f>
        <v>#N/A</v>
      </c>
      <c r="AA163" s="40" t="e">
        <f t="shared" si="24"/>
        <v>#N/A</v>
      </c>
      <c r="AB163" s="41" t="e">
        <f t="shared" si="25"/>
        <v>#N/A</v>
      </c>
      <c r="AC163" s="41" t="e">
        <f t="shared" si="26"/>
        <v>#N/A</v>
      </c>
    </row>
    <row r="164" spans="1:32" s="64" customFormat="1" hidden="1" x14ac:dyDescent="0.25">
      <c r="A164" s="43">
        <v>163</v>
      </c>
      <c r="B164" s="64" t="s">
        <v>378</v>
      </c>
      <c r="C164" s="131" t="str">
        <f t="shared" si="22"/>
        <v>LlaveD8166729824210000260</v>
      </c>
      <c r="D164" s="33" t="str">
        <f>VLOOKUP(E164,'NO MODIFICAR'!J:K,2,0)</f>
        <v>D816</v>
      </c>
      <c r="E164" s="26" t="s">
        <v>15</v>
      </c>
      <c r="F164" s="33" t="str">
        <f>VLOOKUP(D164,'NO MODIFICAR'!F:H,3,0)</f>
        <v>NORESTE</v>
      </c>
      <c r="G164" s="92">
        <v>67298242</v>
      </c>
      <c r="H164" s="93" t="s">
        <v>250</v>
      </c>
      <c r="I164" s="94">
        <v>10000260</v>
      </c>
      <c r="J164" s="56" t="str">
        <f>VLOOKUP(I164,'Materiales,canteras'!C:D,2,0)</f>
        <v>Arena Triturada Caliza Malla 5</v>
      </c>
      <c r="K164" s="33">
        <f>VLOOKUP(I164,'Materiales,canteras'!C:E,3,0)</f>
        <v>1.72</v>
      </c>
      <c r="L164" s="105">
        <v>385</v>
      </c>
      <c r="M164" s="28" t="s">
        <v>93</v>
      </c>
      <c r="N164" s="57">
        <f t="shared" ca="1" si="23"/>
        <v>46267</v>
      </c>
      <c r="O164" s="32" t="s">
        <v>201</v>
      </c>
      <c r="R164" s="64">
        <v>0.05</v>
      </c>
      <c r="S164" s="89">
        <v>430</v>
      </c>
      <c r="T164" s="66">
        <f t="shared" si="29"/>
        <v>-23.5</v>
      </c>
      <c r="U164" s="46">
        <f t="shared" si="27"/>
        <v>385</v>
      </c>
      <c r="V164" s="27">
        <v>89.89</v>
      </c>
      <c r="W164" s="4"/>
      <c r="X164" s="67">
        <f t="shared" si="21"/>
        <v>474.89</v>
      </c>
      <c r="Y164" s="32" t="e">
        <f>IF(+VLOOKUP(I164,P.Referencia!E:S,3,FALSE)&lt;=L164,"Champion","Gerente")</f>
        <v>#N/A</v>
      </c>
      <c r="Z164" s="39" t="e">
        <f>VLOOKUP(I164,P.Referencia!E:S,3,0)</f>
        <v>#N/A</v>
      </c>
      <c r="AA164" s="40" t="e">
        <f t="shared" si="24"/>
        <v>#N/A</v>
      </c>
      <c r="AB164" s="41" t="e">
        <f t="shared" si="25"/>
        <v>#N/A</v>
      </c>
      <c r="AC164" s="41" t="e">
        <f t="shared" si="26"/>
        <v>#N/A</v>
      </c>
    </row>
    <row r="165" spans="1:32" s="64" customFormat="1" hidden="1" x14ac:dyDescent="0.25">
      <c r="A165" s="43">
        <v>164</v>
      </c>
      <c r="B165" s="64" t="s">
        <v>378</v>
      </c>
      <c r="C165" s="131" t="str">
        <f t="shared" si="22"/>
        <v>LlaveD86167330780100003111</v>
      </c>
      <c r="D165" s="33" t="str">
        <f>VLOOKUP(E165,'NO MODIFICAR'!J:K,2,0)</f>
        <v>D861</v>
      </c>
      <c r="E165" s="26" t="s">
        <v>44</v>
      </c>
      <c r="F165" s="33" t="str">
        <f>VLOOKUP(D165,'NO MODIFICAR'!F:H,3,0)</f>
        <v xml:space="preserve">CENTRO </v>
      </c>
      <c r="G165" s="92">
        <v>67330780</v>
      </c>
      <c r="H165" s="93" t="s">
        <v>251</v>
      </c>
      <c r="I165" s="94">
        <v>10000311</v>
      </c>
      <c r="J165" s="56" t="str">
        <f>VLOOKUP(I165,'Materiales,canteras'!C:D,2,0)</f>
        <v>Arena Triturada Basalto  Malla</v>
      </c>
      <c r="K165" s="33">
        <f>VLOOKUP(I165,'Materiales,canteras'!C:E,3,0)</f>
        <v>1.651</v>
      </c>
      <c r="L165" s="105">
        <v>195</v>
      </c>
      <c r="M165" s="28" t="s">
        <v>93</v>
      </c>
      <c r="N165" s="57">
        <f t="shared" ca="1" si="23"/>
        <v>46267</v>
      </c>
      <c r="O165" s="32" t="s">
        <v>201</v>
      </c>
      <c r="R165" s="64">
        <v>1.4999999999999999E-2</v>
      </c>
      <c r="S165" s="89">
        <v>260</v>
      </c>
      <c r="T165" s="66">
        <f t="shared" si="29"/>
        <v>-61.100000000000023</v>
      </c>
      <c r="U165" s="46">
        <f t="shared" si="27"/>
        <v>195</v>
      </c>
      <c r="V165" s="27">
        <v>81</v>
      </c>
      <c r="W165" s="4">
        <v>1</v>
      </c>
      <c r="X165" s="67">
        <f t="shared" si="21"/>
        <v>276</v>
      </c>
      <c r="Y165" s="32" t="e">
        <f>IF(+VLOOKUP(I165,P.Referencia!E:S,3,FALSE)&lt;=L165,"Champion","Gerente")</f>
        <v>#N/A</v>
      </c>
      <c r="Z165" s="39" t="e">
        <f>VLOOKUP(I165,P.Referencia!E:S,3,0)</f>
        <v>#N/A</v>
      </c>
      <c r="AA165" s="40" t="e">
        <f t="shared" si="24"/>
        <v>#N/A</v>
      </c>
      <c r="AB165" s="41" t="e">
        <f t="shared" si="25"/>
        <v>#N/A</v>
      </c>
      <c r="AC165" s="41" t="e">
        <f t="shared" si="26"/>
        <v>#N/A</v>
      </c>
    </row>
    <row r="166" spans="1:32" s="64" customFormat="1" hidden="1" x14ac:dyDescent="0.25">
      <c r="A166" s="43">
        <v>165</v>
      </c>
      <c r="B166" s="64" t="s">
        <v>378</v>
      </c>
      <c r="C166" s="131" t="str">
        <f t="shared" si="22"/>
        <v>LlaveD86167330780100002291</v>
      </c>
      <c r="D166" s="33" t="str">
        <f>VLOOKUP(E166,'NO MODIFICAR'!J:K,2,0)</f>
        <v>D861</v>
      </c>
      <c r="E166" s="26" t="s">
        <v>44</v>
      </c>
      <c r="F166" s="33" t="str">
        <f>VLOOKUP(D166,'NO MODIFICAR'!F:H,3,0)</f>
        <v xml:space="preserve">CENTRO </v>
      </c>
      <c r="G166" s="92">
        <v>67330780</v>
      </c>
      <c r="H166" s="93" t="s">
        <v>251</v>
      </c>
      <c r="I166" s="94">
        <v>10000229</v>
      </c>
      <c r="J166" s="56" t="str">
        <f>VLOOKUP(I166,'Materiales,canteras'!C:D,2,0)</f>
        <v>Grava Triturada Basalto  10 mm</v>
      </c>
      <c r="K166" s="33">
        <f>VLOOKUP(I166,'Materiales,canteras'!C:E,3,0)</f>
        <v>1.522</v>
      </c>
      <c r="L166" s="105">
        <v>230</v>
      </c>
      <c r="M166" s="28" t="s">
        <v>93</v>
      </c>
      <c r="N166" s="57">
        <f t="shared" ca="1" si="23"/>
        <v>46267</v>
      </c>
      <c r="O166" s="32" t="s">
        <v>201</v>
      </c>
      <c r="R166" s="64">
        <v>1.4999999999999999E-2</v>
      </c>
      <c r="S166" s="89">
        <v>320</v>
      </c>
      <c r="T166" s="66">
        <f t="shared" si="29"/>
        <v>-85.199999999999989</v>
      </c>
      <c r="U166" s="46">
        <f t="shared" si="27"/>
        <v>230</v>
      </c>
      <c r="V166" s="27">
        <v>81</v>
      </c>
      <c r="W166" s="4">
        <v>1</v>
      </c>
      <c r="X166" s="67">
        <f t="shared" si="21"/>
        <v>311</v>
      </c>
      <c r="Y166" s="32" t="e">
        <f>IF(+VLOOKUP(I166,P.Referencia!E:S,3,FALSE)&lt;=L166,"Champion","Gerente")</f>
        <v>#N/A</v>
      </c>
      <c r="Z166" s="39" t="e">
        <f>VLOOKUP(I166,P.Referencia!E:S,3,0)</f>
        <v>#N/A</v>
      </c>
      <c r="AA166" s="40" t="e">
        <f t="shared" si="24"/>
        <v>#N/A</v>
      </c>
      <c r="AB166" s="41" t="e">
        <f t="shared" si="25"/>
        <v>#N/A</v>
      </c>
      <c r="AC166" s="41" t="e">
        <f t="shared" si="26"/>
        <v>#N/A</v>
      </c>
    </row>
    <row r="167" spans="1:32" s="64" customFormat="1" hidden="1" x14ac:dyDescent="0.25">
      <c r="A167" s="43">
        <v>166</v>
      </c>
      <c r="B167" s="64" t="s">
        <v>378</v>
      </c>
      <c r="C167" s="131" t="str">
        <f t="shared" si="22"/>
        <v>LlaveD86167330780100002311</v>
      </c>
      <c r="D167" s="33" t="str">
        <f>VLOOKUP(E167,'NO MODIFICAR'!J:K,2,0)</f>
        <v>D861</v>
      </c>
      <c r="E167" s="26" t="s">
        <v>44</v>
      </c>
      <c r="F167" s="33" t="str">
        <f>VLOOKUP(D167,'NO MODIFICAR'!F:H,3,0)</f>
        <v xml:space="preserve">CENTRO </v>
      </c>
      <c r="G167" s="92">
        <v>67330780</v>
      </c>
      <c r="H167" s="93" t="s">
        <v>251</v>
      </c>
      <c r="I167" s="94">
        <v>10000231</v>
      </c>
      <c r="J167" s="56" t="str">
        <f>VLOOKUP(I167,'Materiales,canteras'!C:D,2,0)</f>
        <v>Grava Triturada Basalto 20 mm</v>
      </c>
      <c r="K167" s="33">
        <f>VLOOKUP(I167,'Materiales,canteras'!C:E,3,0)</f>
        <v>1.5649999999999999</v>
      </c>
      <c r="L167" s="105">
        <v>220</v>
      </c>
      <c r="M167" s="28" t="s">
        <v>93</v>
      </c>
      <c r="N167" s="57">
        <f t="shared" ca="1" si="23"/>
        <v>46267</v>
      </c>
      <c r="O167" s="32" t="s">
        <v>201</v>
      </c>
      <c r="R167" s="64">
        <v>1.4999999999999999E-2</v>
      </c>
      <c r="S167" s="89">
        <v>280</v>
      </c>
      <c r="T167" s="66">
        <f t="shared" si="29"/>
        <v>-55.800000000000011</v>
      </c>
      <c r="U167" s="46">
        <f t="shared" si="27"/>
        <v>220</v>
      </c>
      <c r="V167" s="27">
        <v>81</v>
      </c>
      <c r="W167" s="4">
        <v>1</v>
      </c>
      <c r="X167" s="67">
        <f t="shared" si="21"/>
        <v>301</v>
      </c>
      <c r="Y167" s="32" t="e">
        <f>IF(+VLOOKUP(I167,P.Referencia!E:S,3,FALSE)&lt;=L167,"Champion","Gerente")</f>
        <v>#N/A</v>
      </c>
      <c r="Z167" s="39" t="e">
        <f>VLOOKUP(I167,P.Referencia!E:S,3,0)</f>
        <v>#N/A</v>
      </c>
      <c r="AA167" s="40" t="e">
        <f t="shared" si="24"/>
        <v>#N/A</v>
      </c>
      <c r="AB167" s="41" t="e">
        <f t="shared" si="25"/>
        <v>#N/A</v>
      </c>
      <c r="AC167" s="41" t="e">
        <f t="shared" si="26"/>
        <v>#N/A</v>
      </c>
    </row>
    <row r="168" spans="1:32" s="64" customFormat="1" hidden="1" x14ac:dyDescent="0.25">
      <c r="A168" s="43">
        <v>167</v>
      </c>
      <c r="B168" s="64" t="s">
        <v>378</v>
      </c>
      <c r="C168" s="131" t="str">
        <f t="shared" si="22"/>
        <v>LlaveD86167330780100002331</v>
      </c>
      <c r="D168" s="33" t="str">
        <f>VLOOKUP(E168,'NO MODIFICAR'!J:K,2,0)</f>
        <v>D861</v>
      </c>
      <c r="E168" s="26" t="s">
        <v>44</v>
      </c>
      <c r="F168" s="33" t="str">
        <f>VLOOKUP(D168,'NO MODIFICAR'!F:H,3,0)</f>
        <v xml:space="preserve">CENTRO </v>
      </c>
      <c r="G168" s="92">
        <v>67330780</v>
      </c>
      <c r="H168" s="93" t="s">
        <v>251</v>
      </c>
      <c r="I168" s="94">
        <v>10000233</v>
      </c>
      <c r="J168" s="56" t="str">
        <f>VLOOKUP(I168,'Materiales,canteras'!C:D,2,0)</f>
        <v>Grava Triturada Basalto  40 mm</v>
      </c>
      <c r="K168" s="33">
        <f>VLOOKUP(I168,'Materiales,canteras'!C:E,3,0)</f>
        <v>1.456</v>
      </c>
      <c r="L168" s="105">
        <v>220</v>
      </c>
      <c r="M168" s="28" t="s">
        <v>93</v>
      </c>
      <c r="N168" s="57">
        <f t="shared" ca="1" si="23"/>
        <v>46267</v>
      </c>
      <c r="O168" s="32" t="s">
        <v>201</v>
      </c>
      <c r="R168" s="64">
        <v>1.4999999999999999E-2</v>
      </c>
      <c r="S168" s="89">
        <v>282</v>
      </c>
      <c r="T168" s="66">
        <f t="shared" si="29"/>
        <v>-57.769999999999982</v>
      </c>
      <c r="U168" s="46">
        <f t="shared" si="27"/>
        <v>220</v>
      </c>
      <c r="V168" s="27">
        <v>81</v>
      </c>
      <c r="W168" s="4">
        <v>1</v>
      </c>
      <c r="X168" s="67">
        <f t="shared" si="21"/>
        <v>301</v>
      </c>
      <c r="Y168" s="32" t="e">
        <f>IF(+VLOOKUP(I168,P.Referencia!E:S,3,FALSE)&lt;=L168,"Champion","Gerente")</f>
        <v>#N/A</v>
      </c>
      <c r="Z168" s="39" t="e">
        <f>VLOOKUP(I168,P.Referencia!E:S,3,0)</f>
        <v>#N/A</v>
      </c>
      <c r="AA168" s="40" t="e">
        <f t="shared" si="24"/>
        <v>#N/A</v>
      </c>
      <c r="AB168" s="41" t="e">
        <f t="shared" si="25"/>
        <v>#N/A</v>
      </c>
      <c r="AC168" s="41" t="e">
        <f t="shared" si="26"/>
        <v>#N/A</v>
      </c>
    </row>
    <row r="169" spans="1:32" s="64" customFormat="1" hidden="1" x14ac:dyDescent="0.25">
      <c r="A169" s="43">
        <v>168</v>
      </c>
      <c r="B169" s="64" t="s">
        <v>378</v>
      </c>
      <c r="C169" s="131" t="str">
        <f t="shared" si="22"/>
        <v>LlaveD89367331436101991602</v>
      </c>
      <c r="D169" s="33" t="str">
        <f>VLOOKUP(E169,'NO MODIFICAR'!J:K,2,0)</f>
        <v>D893</v>
      </c>
      <c r="E169" s="4" t="s">
        <v>253</v>
      </c>
      <c r="F169" s="33" t="str">
        <f>VLOOKUP(D169,'NO MODIFICAR'!F:H,3,0)</f>
        <v>NORESTE</v>
      </c>
      <c r="G169" s="92">
        <v>67331436</v>
      </c>
      <c r="H169" s="93" t="s">
        <v>252</v>
      </c>
      <c r="I169" s="94">
        <v>10199160</v>
      </c>
      <c r="J169" s="56" t="str">
        <f>VLOOKUP(I169,'Materiales,canteras'!C:D,2,0)</f>
        <v>GRAVA TRITURADA BASALTO 40-20M</v>
      </c>
      <c r="K169" s="33">
        <f>VLOOKUP(I169,'Materiales,canteras'!C:E,3,0)</f>
        <v>1.4390000000000001</v>
      </c>
      <c r="L169" s="105">
        <v>232</v>
      </c>
      <c r="M169" s="28" t="s">
        <v>93</v>
      </c>
      <c r="N169" s="57">
        <f t="shared" ca="1" si="23"/>
        <v>46267</v>
      </c>
      <c r="O169" s="32" t="s">
        <v>201</v>
      </c>
      <c r="R169" s="64">
        <v>1.4999999999999999E-2</v>
      </c>
      <c r="S169" s="89">
        <v>270</v>
      </c>
      <c r="T169" s="66">
        <f t="shared" si="29"/>
        <v>-33.949999999999989</v>
      </c>
      <c r="U169" s="46">
        <f t="shared" si="27"/>
        <v>232</v>
      </c>
      <c r="V169" s="27">
        <v>0</v>
      </c>
      <c r="W169" s="4">
        <v>2</v>
      </c>
      <c r="X169" s="67">
        <f t="shared" si="21"/>
        <v>232</v>
      </c>
      <c r="Y169" s="32" t="e">
        <f>IF(+VLOOKUP(I169,P.Referencia!E:S,3,FALSE)&lt;=L169,"Champion","Gerente")</f>
        <v>#N/A</v>
      </c>
      <c r="Z169" s="39" t="e">
        <f>VLOOKUP(I169,P.Referencia!E:S,3,0)</f>
        <v>#N/A</v>
      </c>
      <c r="AA169" s="40" t="e">
        <f t="shared" si="24"/>
        <v>#N/A</v>
      </c>
      <c r="AB169" s="41" t="e">
        <f t="shared" si="25"/>
        <v>#N/A</v>
      </c>
      <c r="AC169" s="41" t="e">
        <f t="shared" si="26"/>
        <v>#N/A</v>
      </c>
    </row>
    <row r="170" spans="1:32" s="64" customFormat="1" hidden="1" x14ac:dyDescent="0.25">
      <c r="A170" s="43">
        <v>169</v>
      </c>
      <c r="B170" s="64" t="s">
        <v>378</v>
      </c>
      <c r="C170" s="131" t="str">
        <f t="shared" si="22"/>
        <v>LlaveD89367331436100512952</v>
      </c>
      <c r="D170" s="33" t="str">
        <f>VLOOKUP(E170,'NO MODIFICAR'!J:K,2,0)</f>
        <v>D893</v>
      </c>
      <c r="E170" s="4" t="s">
        <v>253</v>
      </c>
      <c r="F170" s="33" t="str">
        <f>VLOOKUP(D170,'NO MODIFICAR'!F:H,3,0)</f>
        <v>NORESTE</v>
      </c>
      <c r="G170" s="92">
        <v>67331436</v>
      </c>
      <c r="H170" s="93" t="s">
        <v>252</v>
      </c>
      <c r="I170" s="94">
        <v>10051295</v>
      </c>
      <c r="J170" s="56" t="str">
        <f>VLOOKUP(I170,'Materiales,canteras'!C:D,2,0)</f>
        <v>Grava Triturada Basalto 10 mm</v>
      </c>
      <c r="K170" s="33">
        <f>VLOOKUP(I170,'Materiales,canteras'!C:E,3,0)</f>
        <v>1.2529999999999999</v>
      </c>
      <c r="L170" s="105">
        <v>327</v>
      </c>
      <c r="M170" s="28" t="s">
        <v>93</v>
      </c>
      <c r="N170" s="57">
        <f t="shared" ca="1" si="23"/>
        <v>46267</v>
      </c>
      <c r="O170" s="32" t="s">
        <v>201</v>
      </c>
      <c r="R170" s="64">
        <v>1.4999999999999999E-2</v>
      </c>
      <c r="S170" s="89">
        <v>395</v>
      </c>
      <c r="T170" s="66">
        <f t="shared" si="29"/>
        <v>-62.074999999999989</v>
      </c>
      <c r="U170" s="46">
        <f t="shared" si="27"/>
        <v>327</v>
      </c>
      <c r="V170" s="27">
        <v>0</v>
      </c>
      <c r="W170" s="4">
        <v>2</v>
      </c>
      <c r="X170" s="67">
        <f t="shared" si="21"/>
        <v>327</v>
      </c>
      <c r="Y170" s="32" t="e">
        <f>IF(+VLOOKUP(I170,P.Referencia!E:S,3,FALSE)&lt;=L170,"Champion","Gerente")</f>
        <v>#N/A</v>
      </c>
      <c r="Z170" s="39" t="e">
        <f>VLOOKUP(I170,P.Referencia!E:S,3,0)</f>
        <v>#N/A</v>
      </c>
      <c r="AA170" s="40" t="e">
        <f t="shared" si="24"/>
        <v>#N/A</v>
      </c>
      <c r="AB170" s="41" t="e">
        <f t="shared" si="25"/>
        <v>#N/A</v>
      </c>
      <c r="AC170" s="41" t="e">
        <f t="shared" si="26"/>
        <v>#N/A</v>
      </c>
    </row>
    <row r="171" spans="1:32" s="64" customFormat="1" hidden="1" x14ac:dyDescent="0.25">
      <c r="A171" s="43">
        <v>170</v>
      </c>
      <c r="B171" s="64" t="s">
        <v>378</v>
      </c>
      <c r="C171" s="131" t="str">
        <f t="shared" si="22"/>
        <v>LlaveD89367331436100512932</v>
      </c>
      <c r="D171" s="33" t="str">
        <f>VLOOKUP(E171,'NO MODIFICAR'!J:K,2,0)</f>
        <v>D893</v>
      </c>
      <c r="E171" s="4" t="s">
        <v>253</v>
      </c>
      <c r="F171" s="33" t="str">
        <f>VLOOKUP(D171,'NO MODIFICAR'!F:H,3,0)</f>
        <v>NORESTE</v>
      </c>
      <c r="G171" s="92">
        <v>67331436</v>
      </c>
      <c r="H171" s="93" t="s">
        <v>252</v>
      </c>
      <c r="I171" s="94">
        <v>10051293</v>
      </c>
      <c r="J171" s="56" t="str">
        <f>VLOOKUP(I171,'Materiales,canteras'!C:D,2,0)</f>
        <v>Grava Triturada Basalto 20 mm</v>
      </c>
      <c r="K171" s="33">
        <f>VLOOKUP(I171,'Materiales,canteras'!C:E,3,0)</f>
        <v>1.403</v>
      </c>
      <c r="L171" s="105">
        <v>236</v>
      </c>
      <c r="M171" s="28" t="s">
        <v>93</v>
      </c>
      <c r="N171" s="57">
        <f t="shared" ca="1" si="23"/>
        <v>46267</v>
      </c>
      <c r="O171" s="32" t="s">
        <v>201</v>
      </c>
      <c r="R171" s="64">
        <v>1.4999999999999999E-2</v>
      </c>
      <c r="S171" s="89">
        <v>275</v>
      </c>
      <c r="T171" s="66">
        <f t="shared" si="29"/>
        <v>-34.875</v>
      </c>
      <c r="U171" s="46">
        <f t="shared" si="27"/>
        <v>236</v>
      </c>
      <c r="V171" s="27">
        <v>0</v>
      </c>
      <c r="W171" s="4">
        <v>2</v>
      </c>
      <c r="X171" s="67">
        <f t="shared" si="21"/>
        <v>236</v>
      </c>
      <c r="Y171" s="32" t="e">
        <f>IF(+VLOOKUP(I171,P.Referencia!E:S,3,FALSE)&lt;=L171,"Champion","Gerente")</f>
        <v>#N/A</v>
      </c>
      <c r="Z171" s="39" t="e">
        <f>VLOOKUP(I171,P.Referencia!E:S,3,0)</f>
        <v>#N/A</v>
      </c>
      <c r="AA171" s="40" t="e">
        <f t="shared" si="24"/>
        <v>#N/A</v>
      </c>
      <c r="AB171" s="41" t="e">
        <f t="shared" si="25"/>
        <v>#N/A</v>
      </c>
      <c r="AC171" s="41" t="e">
        <f t="shared" si="26"/>
        <v>#N/A</v>
      </c>
    </row>
    <row r="172" spans="1:32" s="64" customFormat="1" hidden="1" x14ac:dyDescent="0.25">
      <c r="A172" s="43">
        <v>171</v>
      </c>
      <c r="B172" s="64" t="s">
        <v>378</v>
      </c>
      <c r="C172" s="131" t="str">
        <f t="shared" si="22"/>
        <v>LlaveD90267163859102265372</v>
      </c>
      <c r="D172" s="33" t="str">
        <f>VLOOKUP(E172,'NO MODIFICAR'!J:K,2,0)</f>
        <v>D902</v>
      </c>
      <c r="E172" s="26" t="s">
        <v>79</v>
      </c>
      <c r="F172" s="33" t="str">
        <f>VLOOKUP(D172,'NO MODIFICAR'!F:H,3,0)</f>
        <v>SURESTE</v>
      </c>
      <c r="G172" s="92">
        <v>67163859</v>
      </c>
      <c r="H172" s="93" t="s">
        <v>254</v>
      </c>
      <c r="I172" s="94">
        <v>10226537</v>
      </c>
      <c r="J172" s="56" t="str">
        <f>VLOOKUP(I172,'Materiales,canteras'!C:D,2,0)</f>
        <v>SCREEN (DESPOLVE NOCLA)</v>
      </c>
      <c r="K172" s="33">
        <f>VLOOKUP(I172,'Materiales,canteras'!C:E,3,0)</f>
        <v>1.5329999999999999</v>
      </c>
      <c r="L172" s="105">
        <v>1</v>
      </c>
      <c r="M172" s="28" t="s">
        <v>93</v>
      </c>
      <c r="N172" s="57">
        <f t="shared" ca="1" si="23"/>
        <v>46267</v>
      </c>
      <c r="O172" s="32" t="s">
        <v>201</v>
      </c>
      <c r="P172" s="67"/>
      <c r="R172" s="64">
        <v>1.4999999999999999E-2</v>
      </c>
      <c r="S172" s="89">
        <v>30</v>
      </c>
      <c r="T172" s="66">
        <f t="shared" si="29"/>
        <v>-28.55</v>
      </c>
      <c r="U172" s="46">
        <v>0.65</v>
      </c>
      <c r="V172" s="27">
        <v>0</v>
      </c>
      <c r="W172" s="4">
        <v>2</v>
      </c>
      <c r="X172" s="67">
        <f t="shared" si="21"/>
        <v>0.65</v>
      </c>
      <c r="Y172" s="32" t="e">
        <f>IF(+VLOOKUP(I172,P.Referencia!E:S,3,FALSE)&lt;=L172,"Champion","Gerente")</f>
        <v>#N/A</v>
      </c>
      <c r="Z172" s="39" t="e">
        <f>VLOOKUP(I172,P.Referencia!E:S,3,0)</f>
        <v>#N/A</v>
      </c>
      <c r="AA172" s="40" t="e">
        <f t="shared" si="24"/>
        <v>#N/A</v>
      </c>
      <c r="AB172" s="41" t="e">
        <f t="shared" si="25"/>
        <v>#N/A</v>
      </c>
      <c r="AC172" s="41" t="e">
        <f t="shared" si="26"/>
        <v>#N/A</v>
      </c>
    </row>
    <row r="173" spans="1:32" s="64" customFormat="1" hidden="1" x14ac:dyDescent="0.25">
      <c r="A173" s="43">
        <v>172</v>
      </c>
      <c r="B173" s="64" t="s">
        <v>378</v>
      </c>
      <c r="C173" s="131" t="str">
        <f t="shared" si="22"/>
        <v>LlaveD89367237969100583631</v>
      </c>
      <c r="D173" s="33" t="str">
        <f>VLOOKUP(E173,'NO MODIFICAR'!J:K,2,0)</f>
        <v>D893</v>
      </c>
      <c r="E173" s="4" t="s">
        <v>253</v>
      </c>
      <c r="F173" s="33" t="str">
        <f>VLOOKUP(D173,'NO MODIFICAR'!F:H,3,0)</f>
        <v>NORESTE</v>
      </c>
      <c r="G173" s="92">
        <v>67237969</v>
      </c>
      <c r="H173" s="93" t="s">
        <v>255</v>
      </c>
      <c r="I173" s="94">
        <v>10058363</v>
      </c>
      <c r="J173" s="56" t="str">
        <f>VLOOKUP(I173,'Materiales,canteras'!C:D,2,0)</f>
        <v>ARENA BASALTO SÍLICE/CUARZO BL</v>
      </c>
      <c r="K173" s="33">
        <f>VLOOKUP(I173,'Materiales,canteras'!C:E,3,0)</f>
        <v>1.5109999999999999</v>
      </c>
      <c r="L173" s="105">
        <v>130</v>
      </c>
      <c r="M173" s="28" t="s">
        <v>93</v>
      </c>
      <c r="N173" s="57">
        <f t="shared" ca="1" si="23"/>
        <v>46267</v>
      </c>
      <c r="O173" s="32" t="s">
        <v>201</v>
      </c>
      <c r="S173" s="89">
        <v>150</v>
      </c>
      <c r="T173" s="66">
        <f t="shared" si="29"/>
        <v>-20</v>
      </c>
      <c r="U173" s="46">
        <f t="shared" ref="U173:U236" si="30">L173</f>
        <v>130</v>
      </c>
      <c r="V173" s="27">
        <v>59</v>
      </c>
      <c r="W173" s="4">
        <v>1</v>
      </c>
      <c r="X173" s="67">
        <f t="shared" si="21"/>
        <v>189</v>
      </c>
      <c r="Y173" s="32" t="e">
        <f>IF(+VLOOKUP(I173,P.Referencia!E:S,3,FALSE)&lt;=L173,"Champion","Gerente")</f>
        <v>#N/A</v>
      </c>
      <c r="Z173" s="39" t="e">
        <f>VLOOKUP(I173,P.Referencia!E:S,3,0)</f>
        <v>#N/A</v>
      </c>
      <c r="AA173" s="40" t="e">
        <f t="shared" si="24"/>
        <v>#N/A</v>
      </c>
      <c r="AB173" s="41" t="e">
        <f t="shared" si="25"/>
        <v>#N/A</v>
      </c>
      <c r="AC173" s="41" t="e">
        <f t="shared" si="26"/>
        <v>#N/A</v>
      </c>
    </row>
    <row r="174" spans="1:32" s="64" customFormat="1" hidden="1" x14ac:dyDescent="0.25">
      <c r="A174" s="43">
        <v>173</v>
      </c>
      <c r="B174" s="64" t="s">
        <v>378</v>
      </c>
      <c r="C174" s="131" t="str">
        <f t="shared" si="22"/>
        <v>LlaveD89367237969100512951</v>
      </c>
      <c r="D174" s="33" t="str">
        <f>VLOOKUP(E174,'NO MODIFICAR'!J:K,2,0)</f>
        <v>D893</v>
      </c>
      <c r="E174" s="4" t="s">
        <v>253</v>
      </c>
      <c r="F174" s="33" t="str">
        <f>VLOOKUP(D174,'NO MODIFICAR'!F:H,3,0)</f>
        <v>NORESTE</v>
      </c>
      <c r="G174" s="92">
        <v>67237969</v>
      </c>
      <c r="H174" s="93" t="s">
        <v>255</v>
      </c>
      <c r="I174" s="94">
        <v>10051295</v>
      </c>
      <c r="J174" s="56" t="str">
        <f>VLOOKUP(I174,'Materiales,canteras'!C:D,2,0)</f>
        <v>Grava Triturada Basalto 10 mm</v>
      </c>
      <c r="K174" s="33">
        <f>VLOOKUP(I174,'Materiales,canteras'!C:E,3,0)</f>
        <v>1.2529999999999999</v>
      </c>
      <c r="L174" s="105">
        <v>320</v>
      </c>
      <c r="M174" s="28" t="s">
        <v>93</v>
      </c>
      <c r="N174" s="57">
        <f t="shared" ca="1" si="23"/>
        <v>46267</v>
      </c>
      <c r="O174" s="32" t="s">
        <v>201</v>
      </c>
      <c r="S174" s="89">
        <v>395</v>
      </c>
      <c r="T174" s="66">
        <f t="shared" si="29"/>
        <v>-75</v>
      </c>
      <c r="U174" s="46">
        <f t="shared" si="30"/>
        <v>320</v>
      </c>
      <c r="V174" s="27">
        <v>59</v>
      </c>
      <c r="W174" s="4">
        <v>1</v>
      </c>
      <c r="X174" s="67">
        <f t="shared" si="21"/>
        <v>379</v>
      </c>
      <c r="Y174" s="32" t="e">
        <f>IF(+VLOOKUP(I174,P.Referencia!E:S,3,FALSE)&lt;=L174,"Champion","Gerente")</f>
        <v>#N/A</v>
      </c>
      <c r="Z174" s="39" t="e">
        <f>VLOOKUP(I174,P.Referencia!E:S,3,0)</f>
        <v>#N/A</v>
      </c>
      <c r="AA174" s="40" t="e">
        <f t="shared" si="24"/>
        <v>#N/A</v>
      </c>
      <c r="AB174" s="41" t="e">
        <f t="shared" si="25"/>
        <v>#N/A</v>
      </c>
      <c r="AC174" s="41" t="e">
        <f t="shared" si="26"/>
        <v>#N/A</v>
      </c>
    </row>
    <row r="175" spans="1:32" s="64" customFormat="1" hidden="1" x14ac:dyDescent="0.25">
      <c r="A175" s="43">
        <v>174</v>
      </c>
      <c r="B175" s="64" t="s">
        <v>378</v>
      </c>
      <c r="C175" s="131" t="str">
        <f t="shared" si="22"/>
        <v>LlaveD89367237969100583632</v>
      </c>
      <c r="D175" s="33" t="str">
        <f>VLOOKUP(E175,'NO MODIFICAR'!J:K,2,0)</f>
        <v>D893</v>
      </c>
      <c r="E175" s="4" t="s">
        <v>253</v>
      </c>
      <c r="F175" s="33" t="str">
        <f>VLOOKUP(D175,'NO MODIFICAR'!F:H,3,0)</f>
        <v>NORESTE</v>
      </c>
      <c r="G175" s="92">
        <v>67237969</v>
      </c>
      <c r="H175" s="93" t="s">
        <v>255</v>
      </c>
      <c r="I175" s="94">
        <v>10058363</v>
      </c>
      <c r="J175" s="56" t="str">
        <f>VLOOKUP(I175,'Materiales,canteras'!C:D,2,0)</f>
        <v>ARENA BASALTO SÍLICE/CUARZO BL</v>
      </c>
      <c r="K175" s="33">
        <f>VLOOKUP(I175,'Materiales,canteras'!C:E,3,0)</f>
        <v>1.5109999999999999</v>
      </c>
      <c r="L175" s="105">
        <v>130</v>
      </c>
      <c r="M175" s="28" t="s">
        <v>93</v>
      </c>
      <c r="N175" s="57">
        <f t="shared" ca="1" si="23"/>
        <v>46267</v>
      </c>
      <c r="O175" s="32" t="s">
        <v>201</v>
      </c>
      <c r="S175" s="89">
        <v>150</v>
      </c>
      <c r="T175" s="66">
        <f t="shared" si="29"/>
        <v>-20</v>
      </c>
      <c r="U175" s="46">
        <f t="shared" si="30"/>
        <v>130</v>
      </c>
      <c r="V175" s="27">
        <v>0</v>
      </c>
      <c r="W175" s="4">
        <v>2</v>
      </c>
      <c r="X175" s="67">
        <f t="shared" si="21"/>
        <v>130</v>
      </c>
      <c r="Y175" s="32" t="e">
        <f>IF(+VLOOKUP(I175,P.Referencia!E:S,3,FALSE)&lt;=L175,"Champion","Gerente")</f>
        <v>#N/A</v>
      </c>
      <c r="Z175" s="39" t="e">
        <f>VLOOKUP(I175,P.Referencia!E:S,3,0)</f>
        <v>#N/A</v>
      </c>
      <c r="AA175" s="40" t="e">
        <f t="shared" si="24"/>
        <v>#N/A</v>
      </c>
      <c r="AB175" s="41" t="e">
        <f t="shared" si="25"/>
        <v>#N/A</v>
      </c>
      <c r="AC175" s="41" t="e">
        <f t="shared" si="26"/>
        <v>#N/A</v>
      </c>
    </row>
    <row r="176" spans="1:32" s="64" customFormat="1" hidden="1" x14ac:dyDescent="0.25">
      <c r="A176" s="43">
        <v>175</v>
      </c>
      <c r="B176" s="64" t="s">
        <v>378</v>
      </c>
      <c r="C176" s="131" t="str">
        <f t="shared" si="22"/>
        <v>LlaveD89367237969100512952</v>
      </c>
      <c r="D176" s="33" t="str">
        <f>VLOOKUP(E176,'NO MODIFICAR'!J:K,2,0)</f>
        <v>D893</v>
      </c>
      <c r="E176" s="4" t="s">
        <v>253</v>
      </c>
      <c r="F176" s="33" t="str">
        <f>VLOOKUP(D176,'NO MODIFICAR'!F:H,3,0)</f>
        <v>NORESTE</v>
      </c>
      <c r="G176" s="92">
        <v>67237969</v>
      </c>
      <c r="H176" s="93" t="s">
        <v>255</v>
      </c>
      <c r="I176" s="94">
        <v>10051295</v>
      </c>
      <c r="J176" s="56" t="str">
        <f>VLOOKUP(I176,'Materiales,canteras'!C:D,2,0)</f>
        <v>Grava Triturada Basalto 10 mm</v>
      </c>
      <c r="K176" s="33">
        <f>VLOOKUP(I176,'Materiales,canteras'!C:E,3,0)</f>
        <v>1.2529999999999999</v>
      </c>
      <c r="L176" s="105">
        <v>320</v>
      </c>
      <c r="M176" s="28" t="s">
        <v>93</v>
      </c>
      <c r="N176" s="57">
        <f t="shared" ca="1" si="23"/>
        <v>46267</v>
      </c>
      <c r="O176" s="32" t="s">
        <v>201</v>
      </c>
      <c r="S176" s="89">
        <v>395</v>
      </c>
      <c r="T176" s="66">
        <f t="shared" si="29"/>
        <v>-75</v>
      </c>
      <c r="U176" s="46">
        <f t="shared" si="30"/>
        <v>320</v>
      </c>
      <c r="V176" s="27">
        <v>0</v>
      </c>
      <c r="W176" s="4">
        <v>2</v>
      </c>
      <c r="X176" s="67">
        <f t="shared" si="21"/>
        <v>320</v>
      </c>
      <c r="Y176" s="32" t="e">
        <f>IF(+VLOOKUP(I176,P.Referencia!E:S,3,FALSE)&lt;=L176,"Champion","Gerente")</f>
        <v>#N/A</v>
      </c>
      <c r="Z176" s="39" t="e">
        <f>VLOOKUP(I176,P.Referencia!E:S,3,0)</f>
        <v>#N/A</v>
      </c>
      <c r="AA176" s="40" t="e">
        <f t="shared" si="24"/>
        <v>#N/A</v>
      </c>
      <c r="AB176" s="41" t="e">
        <f t="shared" si="25"/>
        <v>#N/A</v>
      </c>
      <c r="AC176" s="41" t="e">
        <f t="shared" si="26"/>
        <v>#N/A</v>
      </c>
    </row>
    <row r="177" spans="1:39" s="64" customFormat="1" hidden="1" x14ac:dyDescent="0.25">
      <c r="A177" s="43">
        <v>176</v>
      </c>
      <c r="B177" s="64" t="s">
        <v>378</v>
      </c>
      <c r="C177" s="131" t="str">
        <f t="shared" si="22"/>
        <v>LlaveD86167316915100002902</v>
      </c>
      <c r="D177" s="33" t="str">
        <f>VLOOKUP(E177,'NO MODIFICAR'!J:K,2,0)</f>
        <v>D861</v>
      </c>
      <c r="E177" s="26" t="s">
        <v>44</v>
      </c>
      <c r="F177" s="33" t="str">
        <f>VLOOKUP(D177,'NO MODIFICAR'!F:H,3,0)</f>
        <v xml:space="preserve">CENTRO </v>
      </c>
      <c r="G177" s="92">
        <v>67316915</v>
      </c>
      <c r="H177" s="93" t="s">
        <v>146</v>
      </c>
      <c r="I177" s="94">
        <v>10000290</v>
      </c>
      <c r="J177" s="56" t="str">
        <f>VLOOKUP(I177,'Materiales,canteras'!C:D,2,0)</f>
        <v>Polvos Triturado Basalto 3/4"</v>
      </c>
      <c r="K177" s="33">
        <f>VLOOKUP(I177,'Materiales,canteras'!C:E,3,0)</f>
        <v>1.3720000000000001</v>
      </c>
      <c r="L177" s="105">
        <v>0.5</v>
      </c>
      <c r="M177" s="28" t="s">
        <v>93</v>
      </c>
      <c r="N177" s="57">
        <f t="shared" ca="1" si="23"/>
        <v>46267</v>
      </c>
      <c r="O177" s="32" t="s">
        <v>201</v>
      </c>
      <c r="S177" s="89">
        <v>25</v>
      </c>
      <c r="T177" s="66">
        <f t="shared" si="29"/>
        <v>-24.5</v>
      </c>
      <c r="U177" s="46">
        <f t="shared" si="30"/>
        <v>0.5</v>
      </c>
      <c r="V177" s="27">
        <v>0</v>
      </c>
      <c r="W177" s="4">
        <v>2</v>
      </c>
      <c r="X177" s="67">
        <f t="shared" si="21"/>
        <v>0.5</v>
      </c>
      <c r="Y177" s="32" t="e">
        <f>IF(+VLOOKUP(I177,P.Referencia!E:S,3,FALSE)&lt;=L177,"Champion","Gerente")</f>
        <v>#N/A</v>
      </c>
      <c r="Z177" s="39" t="e">
        <f>VLOOKUP(I177,P.Referencia!E:S,3,0)</f>
        <v>#N/A</v>
      </c>
      <c r="AA177" s="40" t="e">
        <f t="shared" si="24"/>
        <v>#N/A</v>
      </c>
      <c r="AB177" s="41" t="e">
        <f t="shared" si="25"/>
        <v>#N/A</v>
      </c>
      <c r="AC177" s="41" t="e">
        <f t="shared" si="26"/>
        <v>#N/A</v>
      </c>
    </row>
    <row r="178" spans="1:39" s="64" customFormat="1" hidden="1" x14ac:dyDescent="0.25">
      <c r="A178" s="43">
        <v>177</v>
      </c>
      <c r="B178" s="64" t="s">
        <v>378</v>
      </c>
      <c r="C178" s="131" t="str">
        <f t="shared" si="22"/>
        <v>LlaveD86167288015100002901</v>
      </c>
      <c r="D178" s="33" t="str">
        <f>VLOOKUP(E178,'NO MODIFICAR'!J:K,2,0)</f>
        <v>D861</v>
      </c>
      <c r="E178" s="26" t="s">
        <v>44</v>
      </c>
      <c r="F178" s="33" t="str">
        <f>VLOOKUP(D178,'NO MODIFICAR'!F:H,3,0)</f>
        <v xml:space="preserve">CENTRO </v>
      </c>
      <c r="G178" s="92">
        <v>67288015</v>
      </c>
      <c r="H178" s="93" t="s">
        <v>256</v>
      </c>
      <c r="I178" s="94">
        <v>10000290</v>
      </c>
      <c r="J178" s="56" t="str">
        <f>VLOOKUP(I178,'Materiales,canteras'!C:D,2,0)</f>
        <v>Polvos Triturado Basalto 3/4"</v>
      </c>
      <c r="K178" s="33">
        <f>VLOOKUP(I178,'Materiales,canteras'!C:E,3,0)</f>
        <v>1.3720000000000001</v>
      </c>
      <c r="L178" s="105">
        <v>0.5</v>
      </c>
      <c r="M178" s="28" t="s">
        <v>93</v>
      </c>
      <c r="N178" s="57">
        <f t="shared" ca="1" si="23"/>
        <v>46267</v>
      </c>
      <c r="O178" s="32" t="s">
        <v>201</v>
      </c>
      <c r="S178" s="89">
        <v>25</v>
      </c>
      <c r="T178" s="66">
        <f t="shared" si="29"/>
        <v>-24.5</v>
      </c>
      <c r="U178" s="46">
        <f t="shared" si="30"/>
        <v>0.5</v>
      </c>
      <c r="V178" s="27">
        <v>40</v>
      </c>
      <c r="W178" s="4">
        <v>1</v>
      </c>
      <c r="X178" s="67">
        <f t="shared" si="21"/>
        <v>40.5</v>
      </c>
      <c r="Y178" s="32" t="e">
        <f>IF(+VLOOKUP(I178,P.Referencia!E:S,3,FALSE)&lt;=L178,"Champion","Gerente")</f>
        <v>#N/A</v>
      </c>
      <c r="Z178" s="39" t="e">
        <f>VLOOKUP(I178,P.Referencia!E:S,3,0)</f>
        <v>#N/A</v>
      </c>
      <c r="AA178" s="40" t="e">
        <f t="shared" si="24"/>
        <v>#N/A</v>
      </c>
      <c r="AB178" s="41" t="e">
        <f t="shared" si="25"/>
        <v>#N/A</v>
      </c>
      <c r="AC178" s="41" t="e">
        <f t="shared" si="26"/>
        <v>#N/A</v>
      </c>
    </row>
    <row r="179" spans="1:39" s="64" customFormat="1" hidden="1" x14ac:dyDescent="0.25">
      <c r="A179" s="43">
        <v>178</v>
      </c>
      <c r="B179" s="64" t="s">
        <v>378</v>
      </c>
      <c r="C179" s="131" t="str">
        <f t="shared" si="22"/>
        <v>LlaveD86166942680100002902</v>
      </c>
      <c r="D179" s="33" t="str">
        <f>VLOOKUP(E179,'NO MODIFICAR'!J:K,2,0)</f>
        <v>D861</v>
      </c>
      <c r="E179" s="26" t="s">
        <v>44</v>
      </c>
      <c r="F179" s="33" t="str">
        <f>VLOOKUP(D179,'NO MODIFICAR'!F:H,3,0)</f>
        <v xml:space="preserve">CENTRO </v>
      </c>
      <c r="G179" s="92">
        <v>66942680</v>
      </c>
      <c r="H179" s="93" t="s">
        <v>257</v>
      </c>
      <c r="I179" s="94">
        <v>10000290</v>
      </c>
      <c r="J179" s="56" t="str">
        <f>VLOOKUP(I179,'Materiales,canteras'!C:D,2,0)</f>
        <v>Polvos Triturado Basalto 3/4"</v>
      </c>
      <c r="K179" s="33">
        <f>VLOOKUP(I179,'Materiales,canteras'!C:E,3,0)</f>
        <v>1.3720000000000001</v>
      </c>
      <c r="L179" s="105">
        <v>0.5</v>
      </c>
      <c r="M179" s="28" t="s">
        <v>93</v>
      </c>
      <c r="N179" s="57">
        <f t="shared" ca="1" si="23"/>
        <v>46267</v>
      </c>
      <c r="O179" s="32" t="s">
        <v>201</v>
      </c>
      <c r="S179" s="89">
        <v>25</v>
      </c>
      <c r="T179" s="66">
        <f t="shared" si="29"/>
        <v>-24.5</v>
      </c>
      <c r="U179" s="46">
        <f t="shared" si="30"/>
        <v>0.5</v>
      </c>
      <c r="V179" s="27">
        <v>0</v>
      </c>
      <c r="W179" s="4">
        <v>2</v>
      </c>
      <c r="X179" s="67">
        <f t="shared" si="21"/>
        <v>0.5</v>
      </c>
      <c r="Y179" s="32" t="e">
        <f>IF(+VLOOKUP(I179,P.Referencia!E:S,3,FALSE)&lt;=L179,"Champion","Gerente")</f>
        <v>#N/A</v>
      </c>
      <c r="Z179" s="39" t="e">
        <f>VLOOKUP(I179,P.Referencia!E:S,3,0)</f>
        <v>#N/A</v>
      </c>
      <c r="AA179" s="40" t="e">
        <f t="shared" si="24"/>
        <v>#N/A</v>
      </c>
      <c r="AB179" s="41" t="e">
        <f t="shared" si="25"/>
        <v>#N/A</v>
      </c>
      <c r="AC179" s="41" t="e">
        <f t="shared" si="26"/>
        <v>#N/A</v>
      </c>
    </row>
    <row r="180" spans="1:39" s="64" customFormat="1" hidden="1" x14ac:dyDescent="0.25">
      <c r="A180" s="43">
        <v>179</v>
      </c>
      <c r="B180" s="64" t="s">
        <v>378</v>
      </c>
      <c r="C180" s="131" t="str">
        <f t="shared" si="22"/>
        <v>LlaveD86467221674100012032</v>
      </c>
      <c r="D180" s="33" t="str">
        <f>VLOOKUP(E180,'NO MODIFICAR'!J:K,2,0)</f>
        <v>D864</v>
      </c>
      <c r="E180" s="26" t="s">
        <v>55</v>
      </c>
      <c r="F180" s="33" t="str">
        <f>VLOOKUP(D180,'NO MODIFICAR'!F:H,3,0)</f>
        <v xml:space="preserve">CENTRO </v>
      </c>
      <c r="G180" s="92">
        <v>67221674</v>
      </c>
      <c r="H180" s="93" t="s">
        <v>258</v>
      </c>
      <c r="I180" s="94">
        <v>10001203</v>
      </c>
      <c r="J180" s="56" t="str">
        <f>VLOOKUP(I180,'Materiales,canteras'!C:D,2,0)</f>
        <v>Desperdicio Triturado Caliza</v>
      </c>
      <c r="K180" s="33">
        <f>VLOOKUP(I180,'Materiales,canteras'!C:E,3,0)</f>
        <v>1.665</v>
      </c>
      <c r="L180" s="105">
        <v>20</v>
      </c>
      <c r="M180" s="28" t="s">
        <v>93</v>
      </c>
      <c r="N180" s="57">
        <f t="shared" ca="1" si="23"/>
        <v>46267</v>
      </c>
      <c r="O180" s="32" t="s">
        <v>201</v>
      </c>
      <c r="R180" s="64">
        <v>1.4999999999999999E-2</v>
      </c>
      <c r="S180" s="89">
        <v>22</v>
      </c>
      <c r="T180" s="66">
        <f t="shared" si="29"/>
        <v>-1.6700000000000017</v>
      </c>
      <c r="U180" s="46">
        <f t="shared" si="30"/>
        <v>20</v>
      </c>
      <c r="V180" s="27">
        <v>0</v>
      </c>
      <c r="W180" s="4">
        <v>2</v>
      </c>
      <c r="X180" s="67">
        <f t="shared" si="21"/>
        <v>20</v>
      </c>
      <c r="Y180" s="32" t="e">
        <f>IF(+VLOOKUP(I180,P.Referencia!E:S,3,FALSE)&lt;=L180,"Champion","Gerente")</f>
        <v>#N/A</v>
      </c>
      <c r="Z180" s="39" t="e">
        <f>VLOOKUP(I180,P.Referencia!E:S,3,0)</f>
        <v>#N/A</v>
      </c>
      <c r="AA180" s="40" t="e">
        <f t="shared" si="24"/>
        <v>#N/A</v>
      </c>
      <c r="AB180" s="41" t="e">
        <f t="shared" si="25"/>
        <v>#N/A</v>
      </c>
      <c r="AC180" s="41" t="e">
        <f t="shared" si="26"/>
        <v>#N/A</v>
      </c>
    </row>
    <row r="181" spans="1:39" s="64" customFormat="1" hidden="1" x14ac:dyDescent="0.25">
      <c r="A181" s="43">
        <v>180</v>
      </c>
      <c r="B181" s="64" t="s">
        <v>378</v>
      </c>
      <c r="C181" s="131" t="str">
        <f t="shared" si="22"/>
        <v>LlaveD8616708958110000229</v>
      </c>
      <c r="D181" s="33" t="str">
        <f>VLOOKUP(E181,'NO MODIFICAR'!J:K,2,0)</f>
        <v>D861</v>
      </c>
      <c r="E181" s="26" t="s">
        <v>44</v>
      </c>
      <c r="F181" s="33" t="str">
        <f>VLOOKUP(D181,'NO MODIFICAR'!F:H,3,0)</f>
        <v xml:space="preserve">CENTRO </v>
      </c>
      <c r="G181" s="92">
        <v>67089581</v>
      </c>
      <c r="H181" s="93" t="s">
        <v>259</v>
      </c>
      <c r="I181" s="94">
        <v>10000229</v>
      </c>
      <c r="J181" s="56" t="str">
        <f>VLOOKUP(I181,'Materiales,canteras'!C:D,2,0)</f>
        <v>Grava Triturada Basalto  10 mm</v>
      </c>
      <c r="K181" s="33">
        <f>VLOOKUP(I181,'Materiales,canteras'!C:E,3,0)</f>
        <v>1.522</v>
      </c>
      <c r="L181" s="105">
        <v>220</v>
      </c>
      <c r="M181" s="28" t="s">
        <v>93</v>
      </c>
      <c r="N181" s="57">
        <f t="shared" ca="1" si="23"/>
        <v>46267</v>
      </c>
      <c r="O181" s="32" t="s">
        <v>201</v>
      </c>
      <c r="R181" s="64">
        <v>1.4999999999999999E-2</v>
      </c>
      <c r="S181" s="89">
        <v>320</v>
      </c>
      <c r="T181" s="66">
        <f t="shared" si="29"/>
        <v>-95.199999999999989</v>
      </c>
      <c r="U181" s="46">
        <f t="shared" si="30"/>
        <v>220</v>
      </c>
      <c r="V181" s="27"/>
      <c r="W181" s="4"/>
      <c r="X181" s="67">
        <f t="shared" si="21"/>
        <v>220</v>
      </c>
      <c r="Y181" s="32" t="e">
        <f>IF(+VLOOKUP(I181,P.Referencia!E:S,3,FALSE)&lt;=L181,"Champion","Gerente")</f>
        <v>#N/A</v>
      </c>
      <c r="Z181" s="39" t="e">
        <f>VLOOKUP(I181,P.Referencia!E:S,3,0)</f>
        <v>#N/A</v>
      </c>
      <c r="AA181" s="40" t="e">
        <f t="shared" si="24"/>
        <v>#N/A</v>
      </c>
      <c r="AB181" s="41" t="e">
        <f t="shared" si="25"/>
        <v>#N/A</v>
      </c>
      <c r="AC181" s="41" t="e">
        <f t="shared" si="26"/>
        <v>#N/A</v>
      </c>
    </row>
    <row r="182" spans="1:39" s="64" customFormat="1" hidden="1" x14ac:dyDescent="0.25">
      <c r="A182" s="71">
        <v>181</v>
      </c>
      <c r="B182" s="64" t="s">
        <v>378</v>
      </c>
      <c r="C182" s="131" t="str">
        <f t="shared" si="22"/>
        <v>LlaveD81367011332100002552</v>
      </c>
      <c r="D182" s="72" t="str">
        <f>VLOOKUP(E182,'NO MODIFICAR'!J:K,2,0)</f>
        <v>D813</v>
      </c>
      <c r="E182" s="102" t="s">
        <v>6</v>
      </c>
      <c r="F182" s="72" t="str">
        <f>VLOOKUP(D182,'NO MODIFICAR'!F:H,3,0)</f>
        <v xml:space="preserve">CENTRO </v>
      </c>
      <c r="G182" s="159">
        <v>67011332</v>
      </c>
      <c r="H182" s="163" t="s">
        <v>207</v>
      </c>
      <c r="I182" s="164">
        <v>10000255</v>
      </c>
      <c r="J182" s="165" t="s">
        <v>126</v>
      </c>
      <c r="K182" s="72">
        <f>VLOOKUP(I182,'Materiales,canteras'!C:E,3,0)</f>
        <v>1.5349999999999999</v>
      </c>
      <c r="L182" s="166">
        <v>80</v>
      </c>
      <c r="M182" s="100" t="s">
        <v>93</v>
      </c>
      <c r="N182" s="73">
        <f t="shared" ca="1" si="23"/>
        <v>46267</v>
      </c>
      <c r="O182" s="71" t="s">
        <v>201</v>
      </c>
      <c r="P182" s="74"/>
      <c r="Q182" s="74"/>
      <c r="R182" s="74">
        <v>1.4999999999999999E-2</v>
      </c>
      <c r="S182" s="91">
        <v>150</v>
      </c>
      <c r="T182" s="75">
        <f t="shared" si="29"/>
        <v>-67.75</v>
      </c>
      <c r="U182" s="167">
        <f t="shared" si="30"/>
        <v>80</v>
      </c>
      <c r="V182" s="90">
        <v>0</v>
      </c>
      <c r="W182" s="91">
        <v>2</v>
      </c>
      <c r="X182" s="76">
        <f t="shared" si="21"/>
        <v>80</v>
      </c>
      <c r="Y182" s="71" t="e">
        <f>IF(+VLOOKUP(I182,P.Referencia!E:S,3,FALSE)&lt;=L182,"Champion","Gerente")</f>
        <v>#N/A</v>
      </c>
      <c r="Z182" s="77" t="e">
        <f>VLOOKUP(I182,P.Referencia!E:S,3,0)</f>
        <v>#N/A</v>
      </c>
      <c r="AA182" s="78" t="e">
        <f t="shared" si="24"/>
        <v>#N/A</v>
      </c>
      <c r="AB182" s="79" t="e">
        <f t="shared" si="25"/>
        <v>#N/A</v>
      </c>
      <c r="AC182" s="79" t="e">
        <f t="shared" si="26"/>
        <v>#N/A</v>
      </c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</row>
    <row r="183" spans="1:39" s="64" customFormat="1" hidden="1" x14ac:dyDescent="0.25">
      <c r="A183" s="71">
        <v>182</v>
      </c>
      <c r="B183" s="64" t="s">
        <v>378</v>
      </c>
      <c r="C183" s="131" t="str">
        <f t="shared" si="22"/>
        <v>LlaveD81367011332100002532</v>
      </c>
      <c r="D183" s="72" t="str">
        <f>VLOOKUP(E183,'NO MODIFICAR'!J:K,2,0)</f>
        <v>D813</v>
      </c>
      <c r="E183" s="102" t="s">
        <v>6</v>
      </c>
      <c r="F183" s="72" t="str">
        <f>VLOOKUP(D183,'NO MODIFICAR'!F:H,3,0)</f>
        <v xml:space="preserve">CENTRO </v>
      </c>
      <c r="G183" s="159">
        <v>67011332</v>
      </c>
      <c r="H183" s="163" t="s">
        <v>207</v>
      </c>
      <c r="I183" s="164">
        <v>10000253</v>
      </c>
      <c r="J183" s="165" t="s">
        <v>127</v>
      </c>
      <c r="K183" s="72">
        <f>VLOOKUP(I183,'Materiales,canteras'!C:E,3,0)</f>
        <v>1.385</v>
      </c>
      <c r="L183" s="166">
        <v>100</v>
      </c>
      <c r="M183" s="100" t="s">
        <v>93</v>
      </c>
      <c r="N183" s="73">
        <f t="shared" ca="1" si="23"/>
        <v>46267</v>
      </c>
      <c r="O183" s="71" t="s">
        <v>201</v>
      </c>
      <c r="P183" s="74"/>
      <c r="Q183" s="74"/>
      <c r="R183" s="74">
        <v>1.4999999999999999E-2</v>
      </c>
      <c r="S183" s="91">
        <v>150</v>
      </c>
      <c r="T183" s="75">
        <f t="shared" si="29"/>
        <v>-47.75</v>
      </c>
      <c r="U183" s="167">
        <f t="shared" si="30"/>
        <v>100</v>
      </c>
      <c r="V183" s="90">
        <v>0</v>
      </c>
      <c r="W183" s="91">
        <v>2</v>
      </c>
      <c r="X183" s="76">
        <f t="shared" si="21"/>
        <v>100</v>
      </c>
      <c r="Y183" s="71" t="e">
        <f>IF(+VLOOKUP(I183,P.Referencia!E:S,3,FALSE)&lt;=L183,"Champion","Gerente")</f>
        <v>#N/A</v>
      </c>
      <c r="Z183" s="77" t="e">
        <f>VLOOKUP(I183,P.Referencia!E:S,3,0)</f>
        <v>#N/A</v>
      </c>
      <c r="AA183" s="78" t="e">
        <f t="shared" si="24"/>
        <v>#N/A</v>
      </c>
      <c r="AB183" s="79" t="e">
        <f t="shared" si="25"/>
        <v>#N/A</v>
      </c>
      <c r="AC183" s="79" t="e">
        <f t="shared" si="26"/>
        <v>#N/A</v>
      </c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</row>
    <row r="184" spans="1:39" s="64" customFormat="1" hidden="1" x14ac:dyDescent="0.25">
      <c r="A184" s="43">
        <v>183</v>
      </c>
      <c r="B184" s="64" t="s">
        <v>378</v>
      </c>
      <c r="C184" s="131" t="str">
        <f t="shared" si="22"/>
        <v>LlaveD86166617693100014501</v>
      </c>
      <c r="D184" s="33" t="str">
        <f>VLOOKUP(E184,'NO MODIFICAR'!J:K,2,0)</f>
        <v>D861</v>
      </c>
      <c r="E184" s="26" t="s">
        <v>44</v>
      </c>
      <c r="F184" s="33" t="str">
        <f>VLOOKUP(D184,'NO MODIFICAR'!F:H,3,0)</f>
        <v xml:space="preserve">CENTRO </v>
      </c>
      <c r="G184" s="92">
        <v>66617693</v>
      </c>
      <c r="H184" s="93" t="s">
        <v>152</v>
      </c>
      <c r="I184" s="94">
        <v>10001450</v>
      </c>
      <c r="J184" s="56" t="str">
        <f>VLOOKUP(I184,'Materiales,canteras'!C:D,2,0)</f>
        <v>Base Hidraúlica Basalto de 1 /1/2</v>
      </c>
      <c r="K184" s="33">
        <f>VLOOKUP(I184,'Materiales,canteras'!C:E,3,0)</f>
        <v>1.7490000000000001</v>
      </c>
      <c r="L184" s="105">
        <v>200</v>
      </c>
      <c r="M184" s="28" t="s">
        <v>93</v>
      </c>
      <c r="N184" s="57">
        <f t="shared" ca="1" si="23"/>
        <v>46267</v>
      </c>
      <c r="O184" s="32" t="s">
        <v>201</v>
      </c>
      <c r="R184" s="64">
        <v>1.4999999999999999E-2</v>
      </c>
      <c r="S184" s="89">
        <v>260</v>
      </c>
      <c r="T184" s="66">
        <f t="shared" si="29"/>
        <v>-56.100000000000023</v>
      </c>
      <c r="U184" s="46">
        <f t="shared" si="30"/>
        <v>200</v>
      </c>
      <c r="V184" s="256">
        <v>80.23</v>
      </c>
      <c r="W184" s="4">
        <v>1</v>
      </c>
      <c r="X184" s="67">
        <f t="shared" si="21"/>
        <v>280.23</v>
      </c>
      <c r="Y184" s="32" t="e">
        <f>IF(+VLOOKUP(I184,P.Referencia!E:S,3,FALSE)&lt;=L184,"Champion","Gerente")</f>
        <v>#N/A</v>
      </c>
      <c r="Z184" s="39" t="e">
        <f>VLOOKUP(I184,P.Referencia!E:S,3,0)</f>
        <v>#N/A</v>
      </c>
      <c r="AA184" s="40" t="e">
        <f t="shared" si="24"/>
        <v>#N/A</v>
      </c>
      <c r="AB184" s="41" t="e">
        <f t="shared" si="25"/>
        <v>#N/A</v>
      </c>
      <c r="AC184" s="41" t="e">
        <f t="shared" si="26"/>
        <v>#N/A</v>
      </c>
    </row>
    <row r="185" spans="1:39" s="64" customFormat="1" hidden="1" x14ac:dyDescent="0.25">
      <c r="A185" s="43">
        <v>184</v>
      </c>
      <c r="B185" s="64" t="s">
        <v>378</v>
      </c>
      <c r="C185" s="131" t="str">
        <f t="shared" si="22"/>
        <v>LlaveD86467277484100002402</v>
      </c>
      <c r="D185" s="33" t="str">
        <f>VLOOKUP(E185,'NO MODIFICAR'!J:K,2,0)</f>
        <v>D864</v>
      </c>
      <c r="E185" s="26" t="s">
        <v>55</v>
      </c>
      <c r="F185" s="33" t="str">
        <f>VLOOKUP(D185,'NO MODIFICAR'!F:H,3,0)</f>
        <v xml:space="preserve">CENTRO </v>
      </c>
      <c r="G185" s="92">
        <v>67277484</v>
      </c>
      <c r="H185" s="93" t="s">
        <v>248</v>
      </c>
      <c r="I185" s="94">
        <v>10000240</v>
      </c>
      <c r="J185" s="56" t="str">
        <f>VLOOKUP(I185,'Materiales,canteras'!C:D,2,0)</f>
        <v>Grava Triturada Caliza 20 mm -</v>
      </c>
      <c r="K185" s="33">
        <f>VLOOKUP(I185,'Materiales,canteras'!C:E,3,0)</f>
        <v>1.462</v>
      </c>
      <c r="L185" s="105">
        <v>127</v>
      </c>
      <c r="M185" s="28" t="s">
        <v>93</v>
      </c>
      <c r="N185" s="57">
        <f t="shared" ca="1" si="23"/>
        <v>46267</v>
      </c>
      <c r="O185" s="32" t="s">
        <v>201</v>
      </c>
      <c r="R185" s="64">
        <v>1.4999999999999999E-2</v>
      </c>
      <c r="S185" s="89">
        <v>280</v>
      </c>
      <c r="T185" s="66">
        <f t="shared" si="29"/>
        <v>-148.80000000000001</v>
      </c>
      <c r="U185" s="46">
        <f t="shared" si="30"/>
        <v>127</v>
      </c>
      <c r="V185" s="27">
        <v>0</v>
      </c>
      <c r="W185" s="4">
        <v>2</v>
      </c>
      <c r="X185" s="67">
        <f t="shared" si="21"/>
        <v>127</v>
      </c>
      <c r="Y185" s="32" t="e">
        <f>IF(+VLOOKUP(I185,P.Referencia!E:S,3,FALSE)&lt;=L185,"Champion","Gerente")</f>
        <v>#N/A</v>
      </c>
      <c r="Z185" s="39" t="e">
        <f>VLOOKUP(I185,P.Referencia!E:S,3,0)</f>
        <v>#N/A</v>
      </c>
      <c r="AA185" s="40" t="e">
        <f t="shared" si="24"/>
        <v>#N/A</v>
      </c>
      <c r="AB185" s="41" t="e">
        <f t="shared" si="25"/>
        <v>#N/A</v>
      </c>
      <c r="AC185" s="41" t="e">
        <f t="shared" si="26"/>
        <v>#N/A</v>
      </c>
    </row>
    <row r="186" spans="1:39" s="64" customFormat="1" hidden="1" x14ac:dyDescent="0.25">
      <c r="A186" s="43">
        <v>185</v>
      </c>
      <c r="B186" s="64" t="s">
        <v>378</v>
      </c>
      <c r="C186" s="131" t="str">
        <f t="shared" si="22"/>
        <v>LlaveD86467277484100010742</v>
      </c>
      <c r="D186" s="33" t="str">
        <f>VLOOKUP(E186,'NO MODIFICAR'!J:K,2,0)</f>
        <v>D864</v>
      </c>
      <c r="E186" s="26" t="s">
        <v>55</v>
      </c>
      <c r="F186" s="33" t="str">
        <f>VLOOKUP(D186,'NO MODIFICAR'!F:H,3,0)</f>
        <v xml:space="preserve">CENTRO </v>
      </c>
      <c r="G186" s="92">
        <v>67277484</v>
      </c>
      <c r="H186" s="93" t="s">
        <v>248</v>
      </c>
      <c r="I186" s="94">
        <v>10001074</v>
      </c>
      <c r="J186" s="56" t="str">
        <f>VLOOKUP(I186,'Materiales,canteras'!C:D,2,0)</f>
        <v>Grava Triturada Caliza 40 mm -</v>
      </c>
      <c r="K186" s="33">
        <f>VLOOKUP(I186,'Materiales,canteras'!C:E,3,0)</f>
        <v>1.4</v>
      </c>
      <c r="L186" s="105">
        <v>137</v>
      </c>
      <c r="M186" s="28" t="s">
        <v>93</v>
      </c>
      <c r="N186" s="57">
        <f t="shared" ca="1" si="23"/>
        <v>46267</v>
      </c>
      <c r="O186" s="32" t="s">
        <v>201</v>
      </c>
      <c r="R186" s="64">
        <v>1.4999999999999999E-2</v>
      </c>
      <c r="S186" s="89">
        <v>220</v>
      </c>
      <c r="T186" s="66">
        <f t="shared" si="29"/>
        <v>-79.699999999999989</v>
      </c>
      <c r="U186" s="46">
        <f t="shared" si="30"/>
        <v>137</v>
      </c>
      <c r="V186" s="27">
        <v>0</v>
      </c>
      <c r="W186" s="4">
        <v>2</v>
      </c>
      <c r="X186" s="67">
        <f t="shared" si="21"/>
        <v>137</v>
      </c>
      <c r="Y186" s="32" t="e">
        <f>IF(+VLOOKUP(I186,P.Referencia!E:S,3,FALSE)&lt;=L186,"Champion","Gerente")</f>
        <v>#N/A</v>
      </c>
      <c r="Z186" s="39" t="e">
        <f>VLOOKUP(I186,P.Referencia!E:S,3,0)</f>
        <v>#N/A</v>
      </c>
      <c r="AA186" s="40" t="e">
        <f t="shared" si="24"/>
        <v>#N/A</v>
      </c>
      <c r="AB186" s="41" t="e">
        <f t="shared" si="25"/>
        <v>#N/A</v>
      </c>
      <c r="AC186" s="41" t="e">
        <f t="shared" si="26"/>
        <v>#N/A</v>
      </c>
    </row>
    <row r="187" spans="1:39" s="64" customFormat="1" hidden="1" x14ac:dyDescent="0.25">
      <c r="A187" s="43">
        <v>186</v>
      </c>
      <c r="B187" s="64" t="s">
        <v>378</v>
      </c>
      <c r="C187" s="131" t="str">
        <f t="shared" si="22"/>
        <v>LlaveD81365712419100002551</v>
      </c>
      <c r="D187" s="33" t="str">
        <f>VLOOKUP(E187,'NO MODIFICAR'!J:K,2,0)</f>
        <v>D813</v>
      </c>
      <c r="E187" s="26" t="s">
        <v>6</v>
      </c>
      <c r="F187" s="33" t="str">
        <f>VLOOKUP(D187,'NO MODIFICAR'!F:H,3,0)</f>
        <v xml:space="preserve">CENTRO </v>
      </c>
      <c r="G187" s="92">
        <v>65712419</v>
      </c>
      <c r="H187" s="93" t="s">
        <v>260</v>
      </c>
      <c r="I187" s="94">
        <v>10000255</v>
      </c>
      <c r="J187" s="56" t="str">
        <f>VLOOKUP(I187,'Materiales,canteras'!C:D,2,0)</f>
        <v>Arena Triturada Andesita Malla</v>
      </c>
      <c r="K187" s="33">
        <f>VLOOKUP(I187,'Materiales,canteras'!C:E,3,0)</f>
        <v>1.5349999999999999</v>
      </c>
      <c r="L187" s="105">
        <v>104.14</v>
      </c>
      <c r="M187" s="28" t="s">
        <v>93</v>
      </c>
      <c r="N187" s="57">
        <f t="shared" ca="1" si="23"/>
        <v>46267</v>
      </c>
      <c r="O187" s="32" t="s">
        <v>201</v>
      </c>
      <c r="R187" s="64">
        <v>0.08</v>
      </c>
      <c r="S187" s="89">
        <v>150</v>
      </c>
      <c r="T187" s="66">
        <f t="shared" si="29"/>
        <v>-33.86</v>
      </c>
      <c r="U187" s="46">
        <f t="shared" si="30"/>
        <v>104.14</v>
      </c>
      <c r="V187" s="27">
        <v>161.06</v>
      </c>
      <c r="W187" s="4">
        <v>1</v>
      </c>
      <c r="X187" s="67">
        <f t="shared" si="21"/>
        <v>265.2</v>
      </c>
      <c r="Y187" s="32" t="e">
        <f>IF(+VLOOKUP(I187,P.Referencia!E:S,3,FALSE)&lt;=L187,"Champion","Gerente")</f>
        <v>#N/A</v>
      </c>
      <c r="Z187" s="39" t="e">
        <f>VLOOKUP(I187,P.Referencia!E:S,3,0)</f>
        <v>#N/A</v>
      </c>
      <c r="AA187" s="40" t="e">
        <f t="shared" si="24"/>
        <v>#N/A</v>
      </c>
      <c r="AB187" s="41" t="e">
        <f t="shared" si="25"/>
        <v>#N/A</v>
      </c>
      <c r="AC187" s="41" t="e">
        <f t="shared" si="26"/>
        <v>#N/A</v>
      </c>
    </row>
    <row r="188" spans="1:39" s="64" customFormat="1" hidden="1" x14ac:dyDescent="0.25">
      <c r="A188" s="43">
        <v>187</v>
      </c>
      <c r="B188" s="64" t="s">
        <v>378</v>
      </c>
      <c r="C188" s="131" t="str">
        <f t="shared" si="22"/>
        <v>LlaveD81365712419100002531</v>
      </c>
      <c r="D188" s="33" t="str">
        <f>VLOOKUP(E188,'NO MODIFICAR'!J:K,2,0)</f>
        <v>D813</v>
      </c>
      <c r="E188" s="26" t="s">
        <v>6</v>
      </c>
      <c r="F188" s="33" t="str">
        <f>VLOOKUP(D188,'NO MODIFICAR'!F:H,3,0)</f>
        <v xml:space="preserve">CENTRO </v>
      </c>
      <c r="G188" s="92">
        <v>65712419</v>
      </c>
      <c r="H188" s="93" t="s">
        <v>260</v>
      </c>
      <c r="I188" s="94">
        <v>10000253</v>
      </c>
      <c r="J188" s="56" t="str">
        <f>VLOOKUP(I188,'Materiales,canteras'!C:D,2,0)</f>
        <v>Grava Triturada Andesita 20 mm</v>
      </c>
      <c r="K188" s="33">
        <f>VLOOKUP(I188,'Materiales,canteras'!C:E,3,0)</f>
        <v>1.385</v>
      </c>
      <c r="L188" s="105">
        <v>103.89999896210645</v>
      </c>
      <c r="M188" s="28" t="s">
        <v>93</v>
      </c>
      <c r="N188" s="57">
        <f t="shared" ca="1" si="23"/>
        <v>46267</v>
      </c>
      <c r="O188" s="32" t="s">
        <v>201</v>
      </c>
      <c r="R188" s="64">
        <v>0.08</v>
      </c>
      <c r="S188" s="89">
        <v>150</v>
      </c>
      <c r="T188" s="66">
        <f t="shared" si="29"/>
        <v>-34.100001037893549</v>
      </c>
      <c r="U188" s="46">
        <f t="shared" si="30"/>
        <v>103.89999896210645</v>
      </c>
      <c r="V188" s="27">
        <v>178.6</v>
      </c>
      <c r="W188" s="4">
        <v>1</v>
      </c>
      <c r="X188" s="67">
        <f t="shared" ref="X188:X251" si="31">U188+V188</f>
        <v>282.49999896210647</v>
      </c>
      <c r="Y188" s="32" t="e">
        <f>IF(+VLOOKUP(I188,P.Referencia!E:S,3,FALSE)&lt;=L188,"Champion","Gerente")</f>
        <v>#N/A</v>
      </c>
      <c r="Z188" s="39" t="e">
        <f>VLOOKUP(I188,P.Referencia!E:S,3,0)</f>
        <v>#N/A</v>
      </c>
      <c r="AA188" s="40" t="e">
        <f t="shared" si="24"/>
        <v>#N/A</v>
      </c>
      <c r="AB188" s="41" t="e">
        <f t="shared" si="25"/>
        <v>#N/A</v>
      </c>
      <c r="AC188" s="41" t="e">
        <f t="shared" si="26"/>
        <v>#N/A</v>
      </c>
    </row>
    <row r="189" spans="1:39" s="64" customFormat="1" hidden="1" x14ac:dyDescent="0.25">
      <c r="A189" s="43">
        <v>188</v>
      </c>
      <c r="B189" s="64" t="s">
        <v>378</v>
      </c>
      <c r="C189" s="131" t="str">
        <f t="shared" si="22"/>
        <v>LlaveD81365712419100023501</v>
      </c>
      <c r="D189" s="33" t="str">
        <f>VLOOKUP(E189,'NO MODIFICAR'!J:K,2,0)</f>
        <v>D813</v>
      </c>
      <c r="E189" s="26" t="s">
        <v>6</v>
      </c>
      <c r="F189" s="33" t="str">
        <f>VLOOKUP(D189,'NO MODIFICAR'!F:H,3,0)</f>
        <v xml:space="preserve">CENTRO </v>
      </c>
      <c r="G189" s="92">
        <v>65712419</v>
      </c>
      <c r="H189" s="93" t="s">
        <v>260</v>
      </c>
      <c r="I189" s="94">
        <v>10002350</v>
      </c>
      <c r="J189" s="56" t="str">
        <f>VLOOKUP(I189,'Materiales,canteras'!C:D,2,0)</f>
        <v>Grava Triturada Andesita 10mm-</v>
      </c>
      <c r="K189" s="33">
        <f>VLOOKUP(I189,'Materiales,canteras'!C:E,3,0)</f>
        <v>1.246</v>
      </c>
      <c r="L189" s="105">
        <v>120.48997886061383</v>
      </c>
      <c r="M189" s="28" t="s">
        <v>93</v>
      </c>
      <c r="N189" s="57">
        <f t="shared" ca="1" si="23"/>
        <v>46267</v>
      </c>
      <c r="O189" s="32" t="s">
        <v>201</v>
      </c>
      <c r="R189" s="64">
        <v>0.08</v>
      </c>
      <c r="S189" s="89">
        <v>150</v>
      </c>
      <c r="T189" s="66">
        <f t="shared" si="29"/>
        <v>-17.510021139386168</v>
      </c>
      <c r="U189" s="46">
        <f t="shared" si="30"/>
        <v>120.48997886061383</v>
      </c>
      <c r="V189" s="27">
        <v>198.31</v>
      </c>
      <c r="W189" s="4">
        <v>1</v>
      </c>
      <c r="X189" s="67">
        <f t="shared" si="31"/>
        <v>318.79997886061381</v>
      </c>
      <c r="Y189" s="32" t="e">
        <f>IF(+VLOOKUP(I189,P.Referencia!E:S,3,FALSE)&lt;=L189,"Champion","Gerente")</f>
        <v>#N/A</v>
      </c>
      <c r="Z189" s="39" t="e">
        <f>VLOOKUP(I189,P.Referencia!E:S,3,0)</f>
        <v>#N/A</v>
      </c>
      <c r="AA189" s="40" t="e">
        <f t="shared" si="24"/>
        <v>#N/A</v>
      </c>
      <c r="AB189" s="41" t="e">
        <f t="shared" si="25"/>
        <v>#N/A</v>
      </c>
      <c r="AC189" s="41" t="e">
        <f t="shared" si="26"/>
        <v>#N/A</v>
      </c>
    </row>
    <row r="190" spans="1:39" s="64" customFormat="1" hidden="1" x14ac:dyDescent="0.25">
      <c r="A190" s="43">
        <v>189</v>
      </c>
      <c r="B190" s="64" t="s">
        <v>378</v>
      </c>
      <c r="C190" s="131" t="str">
        <f t="shared" si="22"/>
        <v>LlaveD86465712419100002401</v>
      </c>
      <c r="D190" s="33" t="str">
        <f>VLOOKUP(E190,'NO MODIFICAR'!J:K,2,0)</f>
        <v>D864</v>
      </c>
      <c r="E190" s="26" t="s">
        <v>55</v>
      </c>
      <c r="F190" s="33" t="str">
        <f>VLOOKUP(D190,'NO MODIFICAR'!F:H,3,0)</f>
        <v xml:space="preserve">CENTRO </v>
      </c>
      <c r="G190" s="92">
        <v>65712419</v>
      </c>
      <c r="H190" s="93" t="s">
        <v>260</v>
      </c>
      <c r="I190" s="94">
        <v>10000240</v>
      </c>
      <c r="J190" s="56" t="str">
        <f>VLOOKUP(I190,'Materiales,canteras'!C:D,2,0)</f>
        <v>Grava Triturada Caliza 20 mm -</v>
      </c>
      <c r="K190" s="33">
        <f>VLOOKUP(I190,'Materiales,canteras'!C:E,3,0)</f>
        <v>1.462</v>
      </c>
      <c r="L190" s="105">
        <v>132</v>
      </c>
      <c r="M190" s="28" t="s">
        <v>93</v>
      </c>
      <c r="N190" s="57">
        <f t="shared" ca="1" si="23"/>
        <v>46267</v>
      </c>
      <c r="O190" s="32" t="s">
        <v>201</v>
      </c>
      <c r="R190" s="64">
        <v>0.08</v>
      </c>
      <c r="S190" s="89">
        <v>280</v>
      </c>
      <c r="T190" s="66">
        <f t="shared" ref="T190:T221" si="32">L190-(S190-(S190*R190))</f>
        <v>-125.60000000000002</v>
      </c>
      <c r="U190" s="46">
        <f t="shared" si="30"/>
        <v>132</v>
      </c>
      <c r="V190" s="27">
        <v>130</v>
      </c>
      <c r="W190" s="4">
        <v>1</v>
      </c>
      <c r="X190" s="67">
        <f t="shared" si="31"/>
        <v>262</v>
      </c>
      <c r="Y190" s="32" t="e">
        <f>IF(+VLOOKUP(I190,P.Referencia!E:S,3,FALSE)&lt;=L190,"Champion","Gerente")</f>
        <v>#N/A</v>
      </c>
      <c r="Z190" s="39" t="e">
        <f>VLOOKUP(I190,P.Referencia!E:S,3,0)</f>
        <v>#N/A</v>
      </c>
      <c r="AA190" s="40" t="e">
        <f t="shared" si="24"/>
        <v>#N/A</v>
      </c>
      <c r="AB190" s="41" t="e">
        <f t="shared" si="25"/>
        <v>#N/A</v>
      </c>
      <c r="AC190" s="41" t="e">
        <f t="shared" si="26"/>
        <v>#N/A</v>
      </c>
    </row>
    <row r="191" spans="1:39" s="64" customFormat="1" hidden="1" x14ac:dyDescent="0.25">
      <c r="A191" s="43">
        <v>190</v>
      </c>
      <c r="B191" s="64" t="s">
        <v>378</v>
      </c>
      <c r="C191" s="131" t="str">
        <f t="shared" si="22"/>
        <v>LlaveD86465712419100010741</v>
      </c>
      <c r="D191" s="33" t="str">
        <f>VLOOKUP(E191,'NO MODIFICAR'!J:K,2,0)</f>
        <v>D864</v>
      </c>
      <c r="E191" s="26" t="s">
        <v>55</v>
      </c>
      <c r="F191" s="33" t="str">
        <f>VLOOKUP(D191,'NO MODIFICAR'!F:H,3,0)</f>
        <v xml:space="preserve">CENTRO </v>
      </c>
      <c r="G191" s="92">
        <v>65712419</v>
      </c>
      <c r="H191" s="93" t="s">
        <v>260</v>
      </c>
      <c r="I191" s="94">
        <v>10001074</v>
      </c>
      <c r="J191" s="56" t="str">
        <f>VLOOKUP(I191,'Materiales,canteras'!C:D,2,0)</f>
        <v>Grava Triturada Caliza 40 mm -</v>
      </c>
      <c r="K191" s="33">
        <f>VLOOKUP(I191,'Materiales,canteras'!C:E,3,0)</f>
        <v>1.4</v>
      </c>
      <c r="L191" s="105">
        <v>142</v>
      </c>
      <c r="M191" s="28" t="s">
        <v>93</v>
      </c>
      <c r="N191" s="57">
        <f t="shared" ca="1" si="23"/>
        <v>46267</v>
      </c>
      <c r="O191" s="32" t="s">
        <v>201</v>
      </c>
      <c r="R191" s="64">
        <v>0.08</v>
      </c>
      <c r="S191" s="89">
        <v>220</v>
      </c>
      <c r="T191" s="66">
        <f t="shared" si="32"/>
        <v>-60.400000000000006</v>
      </c>
      <c r="U191" s="46">
        <f t="shared" si="30"/>
        <v>142</v>
      </c>
      <c r="V191" s="27">
        <v>135</v>
      </c>
      <c r="W191" s="4">
        <v>1</v>
      </c>
      <c r="X191" s="67">
        <f t="shared" si="31"/>
        <v>277</v>
      </c>
      <c r="Y191" s="32" t="e">
        <f>IF(+VLOOKUP(I191,P.Referencia!E:S,3,FALSE)&lt;=L191,"Champion","Gerente")</f>
        <v>#N/A</v>
      </c>
      <c r="Z191" s="39" t="e">
        <f>VLOOKUP(I191,P.Referencia!E:S,3,0)</f>
        <v>#N/A</v>
      </c>
      <c r="AA191" s="40" t="e">
        <f t="shared" si="24"/>
        <v>#N/A</v>
      </c>
      <c r="AB191" s="41" t="e">
        <f t="shared" si="25"/>
        <v>#N/A</v>
      </c>
      <c r="AC191" s="41" t="e">
        <f t="shared" si="26"/>
        <v>#N/A</v>
      </c>
    </row>
    <row r="192" spans="1:39" s="64" customFormat="1" hidden="1" x14ac:dyDescent="0.25">
      <c r="A192" s="43">
        <v>191</v>
      </c>
      <c r="B192" s="64" t="s">
        <v>378</v>
      </c>
      <c r="C192" s="131" t="str">
        <f t="shared" si="22"/>
        <v>LlaveD86465712419100002361</v>
      </c>
      <c r="D192" s="33" t="str">
        <f>VLOOKUP(E192,'NO MODIFICAR'!J:K,2,0)</f>
        <v>D864</v>
      </c>
      <c r="E192" s="26" t="s">
        <v>55</v>
      </c>
      <c r="F192" s="33" t="str">
        <f>VLOOKUP(D192,'NO MODIFICAR'!F:H,3,0)</f>
        <v xml:space="preserve">CENTRO </v>
      </c>
      <c r="G192" s="92">
        <v>65712419</v>
      </c>
      <c r="H192" s="93" t="s">
        <v>260</v>
      </c>
      <c r="I192" s="94">
        <v>10000236</v>
      </c>
      <c r="J192" s="56" t="str">
        <f>VLOOKUP(I192,'Materiales,canteras'!C:D,2,0)</f>
        <v>Grava Triturada Caliza 10 mm -</v>
      </c>
      <c r="K192" s="33">
        <f>VLOOKUP(I192,'Materiales,canteras'!C:E,3,0)</f>
        <v>1.41</v>
      </c>
      <c r="L192" s="105">
        <v>130</v>
      </c>
      <c r="M192" s="28" t="s">
        <v>93</v>
      </c>
      <c r="N192" s="57">
        <f t="shared" ca="1" si="23"/>
        <v>46267</v>
      </c>
      <c r="O192" s="32" t="s">
        <v>201</v>
      </c>
      <c r="R192" s="64">
        <v>0.08</v>
      </c>
      <c r="S192" s="89">
        <v>240</v>
      </c>
      <c r="T192" s="66">
        <f t="shared" si="32"/>
        <v>-90.800000000000011</v>
      </c>
      <c r="U192" s="46">
        <f t="shared" si="30"/>
        <v>130</v>
      </c>
      <c r="V192" s="27">
        <v>135</v>
      </c>
      <c r="W192" s="4">
        <v>1</v>
      </c>
      <c r="X192" s="67">
        <f t="shared" si="31"/>
        <v>265</v>
      </c>
      <c r="Y192" s="32" t="e">
        <f>IF(+VLOOKUP(I192,P.Referencia!E:S,3,FALSE)&lt;=L192,"Champion","Gerente")</f>
        <v>#N/A</v>
      </c>
      <c r="Z192" s="39" t="e">
        <f>VLOOKUP(I192,P.Referencia!E:S,3,0)</f>
        <v>#N/A</v>
      </c>
      <c r="AA192" s="40" t="e">
        <f t="shared" si="24"/>
        <v>#N/A</v>
      </c>
      <c r="AB192" s="41" t="e">
        <f t="shared" si="25"/>
        <v>#N/A</v>
      </c>
      <c r="AC192" s="41" t="e">
        <f t="shared" si="26"/>
        <v>#N/A</v>
      </c>
    </row>
    <row r="193" spans="1:29" s="64" customFormat="1" hidden="1" x14ac:dyDescent="0.25">
      <c r="A193" s="43">
        <v>192</v>
      </c>
      <c r="B193" s="64" t="s">
        <v>378</v>
      </c>
      <c r="C193" s="131" t="str">
        <f t="shared" si="22"/>
        <v>LlaveD86465712419100010731</v>
      </c>
      <c r="D193" s="33" t="str">
        <f>VLOOKUP(E193,'NO MODIFICAR'!J:K,2,0)</f>
        <v>D864</v>
      </c>
      <c r="E193" s="26" t="s">
        <v>55</v>
      </c>
      <c r="F193" s="33" t="str">
        <f>VLOOKUP(D193,'NO MODIFICAR'!F:H,3,0)</f>
        <v xml:space="preserve">CENTRO </v>
      </c>
      <c r="G193" s="92">
        <v>65712419</v>
      </c>
      <c r="H193" s="93" t="s">
        <v>260</v>
      </c>
      <c r="I193" s="94">
        <v>10001073</v>
      </c>
      <c r="J193" s="56" t="str">
        <f>VLOOKUP(I193,'Materiales,canteras'!C:D,2,0)</f>
        <v>Arena Triturada Caliza Malla 4</v>
      </c>
      <c r="K193" s="33">
        <f>VLOOKUP(I193,'Materiales,canteras'!C:E,3,0)</f>
        <v>1.56</v>
      </c>
      <c r="L193" s="105">
        <v>94</v>
      </c>
      <c r="M193" s="28" t="s">
        <v>93</v>
      </c>
      <c r="N193" s="57">
        <f t="shared" ca="1" si="23"/>
        <v>46267</v>
      </c>
      <c r="O193" s="32" t="s">
        <v>201</v>
      </c>
      <c r="R193" s="64">
        <v>0.08</v>
      </c>
      <c r="S193" s="89">
        <v>150</v>
      </c>
      <c r="T193" s="66">
        <f t="shared" si="32"/>
        <v>-44</v>
      </c>
      <c r="U193" s="46">
        <f t="shared" si="30"/>
        <v>94</v>
      </c>
      <c r="V193" s="27">
        <v>121</v>
      </c>
      <c r="W193" s="4">
        <v>1</v>
      </c>
      <c r="X193" s="67">
        <f t="shared" si="31"/>
        <v>215</v>
      </c>
      <c r="Y193" s="32" t="e">
        <f>IF(+VLOOKUP(I193,P.Referencia!E:S,3,FALSE)&lt;=L193,"Champion","Gerente")</f>
        <v>#N/A</v>
      </c>
      <c r="Z193" s="39" t="e">
        <f>VLOOKUP(I193,P.Referencia!E:S,3,0)</f>
        <v>#N/A</v>
      </c>
      <c r="AA193" s="40" t="e">
        <f t="shared" si="24"/>
        <v>#N/A</v>
      </c>
      <c r="AB193" s="41" t="e">
        <f t="shared" si="25"/>
        <v>#N/A</v>
      </c>
      <c r="AC193" s="41" t="e">
        <f t="shared" si="26"/>
        <v>#N/A</v>
      </c>
    </row>
    <row r="194" spans="1:29" s="64" customFormat="1" hidden="1" x14ac:dyDescent="0.25">
      <c r="A194" s="43">
        <v>193</v>
      </c>
      <c r="B194" s="64" t="s">
        <v>378</v>
      </c>
      <c r="C194" s="131" t="str">
        <f t="shared" ref="C194:C257" si="33">_xlfn.CONCAT($C$1,D194,G194,I194,W194)</f>
        <v>LlaveD86465712419100002691</v>
      </c>
      <c r="D194" s="33" t="str">
        <f>VLOOKUP(E194,'NO MODIFICAR'!J:K,2,0)</f>
        <v>D864</v>
      </c>
      <c r="E194" s="26" t="s">
        <v>55</v>
      </c>
      <c r="F194" s="33" t="str">
        <f>VLOOKUP(D194,'NO MODIFICAR'!F:H,3,0)</f>
        <v xml:space="preserve">CENTRO </v>
      </c>
      <c r="G194" s="92">
        <v>65712419</v>
      </c>
      <c r="H194" s="93" t="s">
        <v>260</v>
      </c>
      <c r="I194" s="94">
        <v>10000269</v>
      </c>
      <c r="J194" s="56" t="str">
        <f>VLOOKUP(I194,'Materiales,canteras'!C:D,2,0)</f>
        <v>Grava Triturada Caliza 13 mm -</v>
      </c>
      <c r="K194" s="33">
        <f>VLOOKUP(I194,'Materiales,canteras'!C:E,3,0)</f>
        <v>1.423</v>
      </c>
      <c r="L194" s="105">
        <v>142</v>
      </c>
      <c r="M194" s="28" t="s">
        <v>93</v>
      </c>
      <c r="N194" s="57">
        <f t="shared" ref="N194:N257" ca="1" si="34">TODAY()</f>
        <v>46267</v>
      </c>
      <c r="O194" s="32" t="s">
        <v>201</v>
      </c>
      <c r="R194" s="64">
        <v>0.08</v>
      </c>
      <c r="S194" s="89">
        <v>250</v>
      </c>
      <c r="T194" s="66">
        <f t="shared" si="32"/>
        <v>-88</v>
      </c>
      <c r="U194" s="46">
        <f t="shared" si="30"/>
        <v>142</v>
      </c>
      <c r="V194" s="27">
        <v>134</v>
      </c>
      <c r="W194" s="4">
        <v>1</v>
      </c>
      <c r="X194" s="67">
        <f t="shared" si="31"/>
        <v>276</v>
      </c>
      <c r="Y194" s="32" t="e">
        <f>IF(+VLOOKUP(I194,P.Referencia!E:S,3,FALSE)&lt;=L194,"Champion","Gerente")</f>
        <v>#N/A</v>
      </c>
      <c r="Z194" s="39" t="e">
        <f>VLOOKUP(I194,P.Referencia!E:S,3,0)</f>
        <v>#N/A</v>
      </c>
      <c r="AA194" s="40" t="e">
        <f t="shared" ref="AA194:AA257" si="35">(Z194-U194)/U194</f>
        <v>#N/A</v>
      </c>
      <c r="AB194" s="41" t="e">
        <f t="shared" ref="AB194:AB257" si="36">U194*AA194</f>
        <v>#N/A</v>
      </c>
      <c r="AC194" s="41" t="e">
        <f t="shared" ref="AC194:AC257" si="37">U194+AB194</f>
        <v>#N/A</v>
      </c>
    </row>
    <row r="195" spans="1:29" s="64" customFormat="1" hidden="1" x14ac:dyDescent="0.25">
      <c r="A195" s="43">
        <v>194</v>
      </c>
      <c r="B195" s="64" t="s">
        <v>379</v>
      </c>
      <c r="C195" s="131" t="str">
        <f t="shared" si="33"/>
        <v>LlaveD86167328141100003112</v>
      </c>
      <c r="D195" s="33" t="str">
        <f>VLOOKUP(E195,'NO MODIFICAR'!J:K,2,0)</f>
        <v>D861</v>
      </c>
      <c r="E195" s="26" t="s">
        <v>44</v>
      </c>
      <c r="F195" s="33" t="str">
        <f>VLOOKUP(D195,'NO MODIFICAR'!F:H,3,0)</f>
        <v xml:space="preserve">CENTRO </v>
      </c>
      <c r="G195" s="92">
        <v>67328141</v>
      </c>
      <c r="H195" s="93" t="s">
        <v>262</v>
      </c>
      <c r="I195" s="94">
        <v>10000311</v>
      </c>
      <c r="J195" s="56" t="str">
        <f>VLOOKUP(I195,'Materiales,canteras'!C:D,2,0)</f>
        <v>Arena Triturada Basalto  Malla</v>
      </c>
      <c r="K195" s="33">
        <f>VLOOKUP(I195,'Materiales,canteras'!C:E,3,0)</f>
        <v>1.651</v>
      </c>
      <c r="L195" s="105">
        <v>198</v>
      </c>
      <c r="M195" s="27" t="s">
        <v>93</v>
      </c>
      <c r="N195" s="57">
        <f t="shared" ca="1" si="34"/>
        <v>46267</v>
      </c>
      <c r="O195" s="32" t="s">
        <v>201</v>
      </c>
      <c r="R195" s="64">
        <v>1.4999999999999999E-2</v>
      </c>
      <c r="S195" s="89">
        <v>260</v>
      </c>
      <c r="T195" s="66">
        <f t="shared" si="32"/>
        <v>-58.100000000000023</v>
      </c>
      <c r="U195" s="46">
        <f t="shared" si="30"/>
        <v>198</v>
      </c>
      <c r="V195" s="27">
        <v>0</v>
      </c>
      <c r="W195" s="4">
        <v>2</v>
      </c>
      <c r="X195" s="67">
        <f t="shared" si="31"/>
        <v>198</v>
      </c>
      <c r="Y195" s="32" t="e">
        <f>IF(+VLOOKUP(I195,P.Referencia!E:S,3,FALSE)&lt;=L195,"Champion","Gerente")</f>
        <v>#N/A</v>
      </c>
      <c r="Z195" s="39" t="e">
        <f>VLOOKUP(I195,P.Referencia!E:S,3,0)</f>
        <v>#N/A</v>
      </c>
      <c r="AA195" s="40" t="e">
        <f t="shared" si="35"/>
        <v>#N/A</v>
      </c>
      <c r="AB195" s="41" t="e">
        <f t="shared" si="36"/>
        <v>#N/A</v>
      </c>
      <c r="AC195" s="41" t="e">
        <f t="shared" si="37"/>
        <v>#N/A</v>
      </c>
    </row>
    <row r="196" spans="1:29" s="64" customFormat="1" hidden="1" x14ac:dyDescent="0.25">
      <c r="A196" s="43">
        <v>195</v>
      </c>
      <c r="B196" s="64" t="s">
        <v>379</v>
      </c>
      <c r="C196" s="131" t="str">
        <f t="shared" si="33"/>
        <v>LlaveD86167328141100002292</v>
      </c>
      <c r="D196" s="33" t="str">
        <f>VLOOKUP(E196,'NO MODIFICAR'!J:K,2,0)</f>
        <v>D861</v>
      </c>
      <c r="E196" s="26" t="s">
        <v>44</v>
      </c>
      <c r="F196" s="33" t="str">
        <f>VLOOKUP(D196,'NO MODIFICAR'!F:H,3,0)</f>
        <v xml:space="preserve">CENTRO </v>
      </c>
      <c r="G196" s="92">
        <v>67328141</v>
      </c>
      <c r="H196" s="93" t="s">
        <v>262</v>
      </c>
      <c r="I196" s="94">
        <v>10000229</v>
      </c>
      <c r="J196" s="56" t="str">
        <f>VLOOKUP(I196,'Materiales,canteras'!C:D,2,0)</f>
        <v>Grava Triturada Basalto  10 mm</v>
      </c>
      <c r="K196" s="33">
        <f>VLOOKUP(I196,'Materiales,canteras'!C:E,3,0)</f>
        <v>1.522</v>
      </c>
      <c r="L196" s="105">
        <v>205</v>
      </c>
      <c r="M196" s="27" t="s">
        <v>93</v>
      </c>
      <c r="N196" s="57">
        <f t="shared" ca="1" si="34"/>
        <v>46267</v>
      </c>
      <c r="O196" s="32" t="s">
        <v>201</v>
      </c>
      <c r="R196" s="64">
        <v>1.4999999999999999E-2</v>
      </c>
      <c r="S196" s="89">
        <v>320</v>
      </c>
      <c r="T196" s="66">
        <f t="shared" si="32"/>
        <v>-110.19999999999999</v>
      </c>
      <c r="U196" s="46">
        <f t="shared" si="30"/>
        <v>205</v>
      </c>
      <c r="V196" s="27">
        <v>0</v>
      </c>
      <c r="W196" s="4">
        <v>2</v>
      </c>
      <c r="X196" s="67">
        <f t="shared" si="31"/>
        <v>205</v>
      </c>
      <c r="Y196" s="32" t="e">
        <f>IF(+VLOOKUP(I196,P.Referencia!E:S,3,FALSE)&lt;=L196,"Champion","Gerente")</f>
        <v>#N/A</v>
      </c>
      <c r="Z196" s="39" t="e">
        <f>VLOOKUP(I196,P.Referencia!E:S,3,0)</f>
        <v>#N/A</v>
      </c>
      <c r="AA196" s="40" t="e">
        <f t="shared" si="35"/>
        <v>#N/A</v>
      </c>
      <c r="AB196" s="41" t="e">
        <f t="shared" si="36"/>
        <v>#N/A</v>
      </c>
      <c r="AC196" s="41" t="e">
        <f t="shared" si="37"/>
        <v>#N/A</v>
      </c>
    </row>
    <row r="197" spans="1:29" s="64" customFormat="1" hidden="1" x14ac:dyDescent="0.25">
      <c r="A197" s="43">
        <v>196</v>
      </c>
      <c r="B197" s="64" t="s">
        <v>379</v>
      </c>
      <c r="C197" s="131" t="str">
        <f t="shared" si="33"/>
        <v>LlaveD86167328141100031532</v>
      </c>
      <c r="D197" s="33" t="str">
        <f>VLOOKUP(E197,'NO MODIFICAR'!J:K,2,0)</f>
        <v>D861</v>
      </c>
      <c r="E197" s="26" t="s">
        <v>44</v>
      </c>
      <c r="F197" s="33" t="str">
        <f>VLOOKUP(D197,'NO MODIFICAR'!F:H,3,0)</f>
        <v xml:space="preserve">CENTRO </v>
      </c>
      <c r="G197" s="92">
        <v>67328141</v>
      </c>
      <c r="H197" s="93" t="s">
        <v>262</v>
      </c>
      <c r="I197" s="94">
        <v>10003153</v>
      </c>
      <c r="J197" s="56" t="str">
        <f>VLOOKUP(I197,'Materiales,canteras'!C:D,2,0)</f>
        <v>Grava Triturada Basalto 13 mm</v>
      </c>
      <c r="K197" s="33">
        <f>VLOOKUP(I197,'Materiales,canteras'!C:E,3,0)</f>
        <v>1.546</v>
      </c>
      <c r="L197" s="105">
        <v>205</v>
      </c>
      <c r="M197" s="27" t="s">
        <v>93</v>
      </c>
      <c r="N197" s="57">
        <f t="shared" ca="1" si="34"/>
        <v>46267</v>
      </c>
      <c r="O197" s="32" t="s">
        <v>201</v>
      </c>
      <c r="R197" s="64">
        <v>1.4999999999999999E-2</v>
      </c>
      <c r="S197" s="89">
        <v>270</v>
      </c>
      <c r="T197" s="66">
        <f t="shared" si="32"/>
        <v>-60.949999999999989</v>
      </c>
      <c r="U197" s="46">
        <f t="shared" si="30"/>
        <v>205</v>
      </c>
      <c r="V197" s="27">
        <v>0</v>
      </c>
      <c r="W197" s="4">
        <v>2</v>
      </c>
      <c r="X197" s="67">
        <f t="shared" si="31"/>
        <v>205</v>
      </c>
      <c r="Y197" s="32" t="e">
        <f>IF(+VLOOKUP(I197,P.Referencia!E:S,3,FALSE)&lt;=L197,"Champion","Gerente")</f>
        <v>#N/A</v>
      </c>
      <c r="Z197" s="39" t="e">
        <f>VLOOKUP(I197,P.Referencia!E:S,3,0)</f>
        <v>#N/A</v>
      </c>
      <c r="AA197" s="40" t="e">
        <f t="shared" si="35"/>
        <v>#N/A</v>
      </c>
      <c r="AB197" s="41" t="e">
        <f t="shared" si="36"/>
        <v>#N/A</v>
      </c>
      <c r="AC197" s="41" t="e">
        <f t="shared" si="37"/>
        <v>#N/A</v>
      </c>
    </row>
    <row r="198" spans="1:29" s="64" customFormat="1" hidden="1" x14ac:dyDescent="0.25">
      <c r="A198" s="43">
        <v>197</v>
      </c>
      <c r="B198" s="64" t="s">
        <v>379</v>
      </c>
      <c r="C198" s="131" t="str">
        <f t="shared" si="33"/>
        <v>LlaveD86167328141100002312</v>
      </c>
      <c r="D198" s="33" t="str">
        <f>VLOOKUP(E198,'NO MODIFICAR'!J:K,2,0)</f>
        <v>D861</v>
      </c>
      <c r="E198" s="26" t="s">
        <v>44</v>
      </c>
      <c r="F198" s="33" t="str">
        <f>VLOOKUP(D198,'NO MODIFICAR'!F:H,3,0)</f>
        <v xml:space="preserve">CENTRO </v>
      </c>
      <c r="G198" s="92">
        <v>67328141</v>
      </c>
      <c r="H198" s="93" t="s">
        <v>262</v>
      </c>
      <c r="I198" s="94">
        <v>10000231</v>
      </c>
      <c r="J198" s="56" t="str">
        <f>VLOOKUP(I198,'Materiales,canteras'!C:D,2,0)</f>
        <v>Grava Triturada Basalto 20 mm</v>
      </c>
      <c r="K198" s="33">
        <f>VLOOKUP(I198,'Materiales,canteras'!C:E,3,0)</f>
        <v>1.5649999999999999</v>
      </c>
      <c r="L198" s="105">
        <v>198</v>
      </c>
      <c r="M198" s="27" t="s">
        <v>93</v>
      </c>
      <c r="N198" s="57">
        <f t="shared" ca="1" si="34"/>
        <v>46267</v>
      </c>
      <c r="O198" s="32" t="s">
        <v>201</v>
      </c>
      <c r="R198" s="64">
        <v>1.4999999999999999E-2</v>
      </c>
      <c r="S198" s="89">
        <v>280</v>
      </c>
      <c r="T198" s="66">
        <f t="shared" si="32"/>
        <v>-77.800000000000011</v>
      </c>
      <c r="U198" s="46">
        <f t="shared" si="30"/>
        <v>198</v>
      </c>
      <c r="V198" s="27">
        <v>0</v>
      </c>
      <c r="W198" s="4">
        <v>2</v>
      </c>
      <c r="X198" s="67">
        <f t="shared" si="31"/>
        <v>198</v>
      </c>
      <c r="Y198" s="32" t="e">
        <f>IF(+VLOOKUP(I198,P.Referencia!E:S,3,FALSE)&lt;=L198,"Champion","Gerente")</f>
        <v>#N/A</v>
      </c>
      <c r="Z198" s="39" t="e">
        <f>VLOOKUP(I198,P.Referencia!E:S,3,0)</f>
        <v>#N/A</v>
      </c>
      <c r="AA198" s="40" t="e">
        <f t="shared" si="35"/>
        <v>#N/A</v>
      </c>
      <c r="AB198" s="41" t="e">
        <f t="shared" si="36"/>
        <v>#N/A</v>
      </c>
      <c r="AC198" s="41" t="e">
        <f t="shared" si="37"/>
        <v>#N/A</v>
      </c>
    </row>
    <row r="199" spans="1:29" s="64" customFormat="1" hidden="1" x14ac:dyDescent="0.25">
      <c r="A199" s="43">
        <v>198</v>
      </c>
      <c r="B199" s="64" t="s">
        <v>379</v>
      </c>
      <c r="C199" s="131" t="str">
        <f t="shared" si="33"/>
        <v>LlaveD86167328141100014502</v>
      </c>
      <c r="D199" s="33" t="str">
        <f>VLOOKUP(E199,'NO MODIFICAR'!J:K,2,0)</f>
        <v>D861</v>
      </c>
      <c r="E199" s="26" t="s">
        <v>44</v>
      </c>
      <c r="F199" s="33" t="str">
        <f>VLOOKUP(D199,'NO MODIFICAR'!F:H,3,0)</f>
        <v xml:space="preserve">CENTRO </v>
      </c>
      <c r="G199" s="92">
        <v>67328141</v>
      </c>
      <c r="H199" s="93" t="s">
        <v>262</v>
      </c>
      <c r="I199" s="94">
        <v>10001450</v>
      </c>
      <c r="J199" s="56" t="str">
        <f>VLOOKUP(I199,'Materiales,canteras'!C:D,2,0)</f>
        <v>Base Hidraúlica Basalto de 1 /1/2</v>
      </c>
      <c r="K199" s="33">
        <f>VLOOKUP(I199,'Materiales,canteras'!C:E,3,0)</f>
        <v>1.7490000000000001</v>
      </c>
      <c r="L199" s="105">
        <v>195</v>
      </c>
      <c r="M199" s="27" t="s">
        <v>93</v>
      </c>
      <c r="N199" s="57">
        <f t="shared" ca="1" si="34"/>
        <v>46267</v>
      </c>
      <c r="O199" s="32" t="s">
        <v>201</v>
      </c>
      <c r="R199" s="64">
        <v>1.4999999999999999E-2</v>
      </c>
      <c r="S199" s="89">
        <v>260</v>
      </c>
      <c r="T199" s="66">
        <f t="shared" si="32"/>
        <v>-61.100000000000023</v>
      </c>
      <c r="U199" s="46">
        <f t="shared" si="30"/>
        <v>195</v>
      </c>
      <c r="V199" s="27">
        <v>0</v>
      </c>
      <c r="W199" s="4">
        <v>2</v>
      </c>
      <c r="X199" s="67">
        <f t="shared" si="31"/>
        <v>195</v>
      </c>
      <c r="Y199" s="32" t="e">
        <f>IF(+VLOOKUP(I199,P.Referencia!E:S,3,FALSE)&lt;=L199,"Champion","Gerente")</f>
        <v>#N/A</v>
      </c>
      <c r="Z199" s="39" t="e">
        <f>VLOOKUP(I199,P.Referencia!E:S,3,0)</f>
        <v>#N/A</v>
      </c>
      <c r="AA199" s="40" t="e">
        <f t="shared" si="35"/>
        <v>#N/A</v>
      </c>
      <c r="AB199" s="41" t="e">
        <f t="shared" si="36"/>
        <v>#N/A</v>
      </c>
      <c r="AC199" s="41" t="e">
        <f t="shared" si="37"/>
        <v>#N/A</v>
      </c>
    </row>
    <row r="200" spans="1:29" s="64" customFormat="1" hidden="1" x14ac:dyDescent="0.25">
      <c r="A200" s="43">
        <v>199</v>
      </c>
      <c r="B200" s="64" t="s">
        <v>379</v>
      </c>
      <c r="C200" s="131" t="str">
        <f t="shared" si="33"/>
        <v>LlaveD86167328141100668612</v>
      </c>
      <c r="D200" s="33" t="str">
        <f>VLOOKUP(E200,'NO MODIFICAR'!J:K,2,0)</f>
        <v>D861</v>
      </c>
      <c r="E200" s="26" t="s">
        <v>44</v>
      </c>
      <c r="F200" s="33" t="str">
        <f>VLOOKUP(D200,'NO MODIFICAR'!F:H,3,0)</f>
        <v xml:space="preserve">CENTRO </v>
      </c>
      <c r="G200" s="92">
        <v>67328141</v>
      </c>
      <c r="H200" s="93" t="s">
        <v>262</v>
      </c>
      <c r="I200" s="94">
        <v>10066861</v>
      </c>
      <c r="J200" s="56" t="str">
        <f>VLOOKUP(I200,'Materiales,canteras'!C:D,2,0)</f>
        <v>GRAVA TRITURADA BASALTO DE 40</v>
      </c>
      <c r="K200" s="33">
        <f>VLOOKUP(I200,'Materiales,canteras'!C:E,3,0)</f>
        <v>1.464</v>
      </c>
      <c r="L200" s="105">
        <v>198</v>
      </c>
      <c r="M200" s="27" t="s">
        <v>93</v>
      </c>
      <c r="N200" s="57">
        <f t="shared" ca="1" si="34"/>
        <v>46267</v>
      </c>
      <c r="O200" s="32" t="s">
        <v>201</v>
      </c>
      <c r="R200" s="64">
        <v>1.4999999999999999E-2</v>
      </c>
      <c r="S200" s="89">
        <v>200</v>
      </c>
      <c r="T200" s="66">
        <f t="shared" si="32"/>
        <v>1</v>
      </c>
      <c r="U200" s="46">
        <f t="shared" si="30"/>
        <v>198</v>
      </c>
      <c r="V200" s="27">
        <v>0</v>
      </c>
      <c r="W200" s="4">
        <v>2</v>
      </c>
      <c r="X200" s="67">
        <f t="shared" si="31"/>
        <v>198</v>
      </c>
      <c r="Y200" s="32" t="e">
        <f>IF(+VLOOKUP(I200,P.Referencia!E:S,3,FALSE)&lt;=L200,"Champion","Gerente")</f>
        <v>#N/A</v>
      </c>
      <c r="Z200" s="39" t="e">
        <f>VLOOKUP(I200,P.Referencia!E:S,3,0)</f>
        <v>#N/A</v>
      </c>
      <c r="AA200" s="40" t="e">
        <f t="shared" si="35"/>
        <v>#N/A</v>
      </c>
      <c r="AB200" s="41" t="e">
        <f t="shared" si="36"/>
        <v>#N/A</v>
      </c>
      <c r="AC200" s="41" t="e">
        <f t="shared" si="37"/>
        <v>#N/A</v>
      </c>
    </row>
    <row r="201" spans="1:29" s="64" customFormat="1" hidden="1" x14ac:dyDescent="0.25">
      <c r="A201" s="43">
        <v>200</v>
      </c>
      <c r="B201" s="64" t="s">
        <v>379</v>
      </c>
      <c r="C201" s="131" t="str">
        <f t="shared" si="33"/>
        <v>LlaveD86167328141100002332</v>
      </c>
      <c r="D201" s="33" t="str">
        <f>VLOOKUP(E201,'NO MODIFICAR'!J:K,2,0)</f>
        <v>D861</v>
      </c>
      <c r="E201" s="26" t="s">
        <v>44</v>
      </c>
      <c r="F201" s="33" t="str">
        <f>VLOOKUP(D201,'NO MODIFICAR'!F:H,3,0)</f>
        <v xml:space="preserve">CENTRO </v>
      </c>
      <c r="G201" s="92">
        <v>67328141</v>
      </c>
      <c r="H201" s="93" t="s">
        <v>262</v>
      </c>
      <c r="I201" s="94">
        <v>10000233</v>
      </c>
      <c r="J201" s="56" t="str">
        <f>VLOOKUP(I201,'Materiales,canteras'!C:D,2,0)</f>
        <v>Grava Triturada Basalto  40 mm</v>
      </c>
      <c r="K201" s="33">
        <f>VLOOKUP(I201,'Materiales,canteras'!C:E,3,0)</f>
        <v>1.456</v>
      </c>
      <c r="L201" s="105">
        <v>198</v>
      </c>
      <c r="M201" s="27" t="s">
        <v>93</v>
      </c>
      <c r="N201" s="57">
        <f t="shared" ca="1" si="34"/>
        <v>46267</v>
      </c>
      <c r="O201" s="32" t="s">
        <v>201</v>
      </c>
      <c r="R201" s="64">
        <v>1.4999999999999999E-2</v>
      </c>
      <c r="S201" s="89">
        <v>282</v>
      </c>
      <c r="T201" s="66">
        <f t="shared" si="32"/>
        <v>-79.769999999999982</v>
      </c>
      <c r="U201" s="46">
        <f t="shared" si="30"/>
        <v>198</v>
      </c>
      <c r="V201" s="27">
        <v>0</v>
      </c>
      <c r="W201" s="4">
        <v>2</v>
      </c>
      <c r="X201" s="67">
        <f t="shared" si="31"/>
        <v>198</v>
      </c>
      <c r="Y201" s="32" t="e">
        <f>IF(+VLOOKUP(I201,P.Referencia!E:S,3,FALSE)&lt;=L201,"Champion","Gerente")</f>
        <v>#N/A</v>
      </c>
      <c r="Z201" s="39" t="e">
        <f>VLOOKUP(I201,P.Referencia!E:S,3,0)</f>
        <v>#N/A</v>
      </c>
      <c r="AA201" s="40" t="e">
        <f t="shared" si="35"/>
        <v>#N/A</v>
      </c>
      <c r="AB201" s="41" t="e">
        <f t="shared" si="36"/>
        <v>#N/A</v>
      </c>
      <c r="AC201" s="41" t="e">
        <f t="shared" si="37"/>
        <v>#N/A</v>
      </c>
    </row>
    <row r="202" spans="1:29" s="64" customFormat="1" hidden="1" x14ac:dyDescent="0.25">
      <c r="A202" s="43">
        <v>201</v>
      </c>
      <c r="B202" s="64" t="s">
        <v>379</v>
      </c>
      <c r="C202" s="131" t="str">
        <f t="shared" si="33"/>
        <v>LlaveD81367277158100002532</v>
      </c>
      <c r="D202" s="33" t="str">
        <f>VLOOKUP(E202,'NO MODIFICAR'!J:K,2,0)</f>
        <v>D813</v>
      </c>
      <c r="E202" s="26" t="s">
        <v>6</v>
      </c>
      <c r="F202" s="33" t="str">
        <f>VLOOKUP(D202,'NO MODIFICAR'!F:H,3,0)</f>
        <v xml:space="preserve">CENTRO </v>
      </c>
      <c r="G202" s="92">
        <v>67277158</v>
      </c>
      <c r="H202" s="93" t="s">
        <v>263</v>
      </c>
      <c r="I202" s="94">
        <v>10000253</v>
      </c>
      <c r="J202" s="56" t="str">
        <f>VLOOKUP(I202,'Materiales,canteras'!C:D,2,0)</f>
        <v>Grava Triturada Andesita 20 mm</v>
      </c>
      <c r="K202" s="33">
        <f>VLOOKUP(I202,'Materiales,canteras'!C:E,3,0)</f>
        <v>1.385</v>
      </c>
      <c r="L202" s="105">
        <v>100</v>
      </c>
      <c r="M202" s="28" t="s">
        <v>93</v>
      </c>
      <c r="N202" s="57">
        <f t="shared" ca="1" si="34"/>
        <v>46267</v>
      </c>
      <c r="O202" s="32" t="s">
        <v>201</v>
      </c>
      <c r="R202" s="64">
        <v>1.4999999999999999E-2</v>
      </c>
      <c r="S202" s="89">
        <v>150</v>
      </c>
      <c r="T202" s="66">
        <f t="shared" si="32"/>
        <v>-47.75</v>
      </c>
      <c r="U202" s="46">
        <f t="shared" si="30"/>
        <v>100</v>
      </c>
      <c r="V202" s="27">
        <v>0</v>
      </c>
      <c r="W202" s="4">
        <v>2</v>
      </c>
      <c r="X202" s="67">
        <f t="shared" si="31"/>
        <v>100</v>
      </c>
      <c r="Y202" s="32" t="e">
        <f>IF(+VLOOKUP(I202,P.Referencia!E:S,3,FALSE)&lt;=L202,"Champion","Gerente")</f>
        <v>#N/A</v>
      </c>
      <c r="Z202" s="39" t="e">
        <f>VLOOKUP(I202,P.Referencia!E:S,3,0)</f>
        <v>#N/A</v>
      </c>
      <c r="AA202" s="40" t="e">
        <f t="shared" si="35"/>
        <v>#N/A</v>
      </c>
      <c r="AB202" s="41" t="e">
        <f t="shared" si="36"/>
        <v>#N/A</v>
      </c>
      <c r="AC202" s="41" t="e">
        <f t="shared" si="37"/>
        <v>#N/A</v>
      </c>
    </row>
    <row r="203" spans="1:29" s="64" customFormat="1" hidden="1" x14ac:dyDescent="0.25">
      <c r="A203" s="43">
        <v>202</v>
      </c>
      <c r="B203" s="64" t="s">
        <v>379</v>
      </c>
      <c r="C203" s="131" t="str">
        <f t="shared" si="33"/>
        <v>LlaveD86167288015100003112</v>
      </c>
      <c r="D203" s="33" t="str">
        <f>VLOOKUP(E203,'NO MODIFICAR'!J:K,2,0)</f>
        <v>D861</v>
      </c>
      <c r="E203" s="26" t="s">
        <v>44</v>
      </c>
      <c r="F203" s="33" t="str">
        <f>VLOOKUP(D203,'NO MODIFICAR'!F:H,3,0)</f>
        <v xml:space="preserve">CENTRO </v>
      </c>
      <c r="G203" s="92">
        <v>67288015</v>
      </c>
      <c r="H203" s="93" t="s">
        <v>256</v>
      </c>
      <c r="I203" s="94">
        <v>10000311</v>
      </c>
      <c r="J203" s="56" t="str">
        <f>VLOOKUP(I203,'Materiales,canteras'!C:D,2,0)</f>
        <v>Arena Triturada Basalto  Malla</v>
      </c>
      <c r="K203" s="33">
        <f>VLOOKUP(I203,'Materiales,canteras'!C:E,3,0)</f>
        <v>1.651</v>
      </c>
      <c r="L203" s="105">
        <v>187</v>
      </c>
      <c r="M203" s="28" t="s">
        <v>93</v>
      </c>
      <c r="N203" s="57">
        <f t="shared" ca="1" si="34"/>
        <v>46267</v>
      </c>
      <c r="O203" s="32" t="s">
        <v>201</v>
      </c>
      <c r="R203" s="64">
        <v>0</v>
      </c>
      <c r="S203" s="89">
        <v>260</v>
      </c>
      <c r="T203" s="66">
        <f t="shared" si="32"/>
        <v>-73</v>
      </c>
      <c r="U203" s="46">
        <f t="shared" si="30"/>
        <v>187</v>
      </c>
      <c r="V203" s="27">
        <v>0</v>
      </c>
      <c r="W203" s="4">
        <v>2</v>
      </c>
      <c r="X203" s="67">
        <f t="shared" si="31"/>
        <v>187</v>
      </c>
      <c r="Y203" s="32" t="e">
        <f>IF(+VLOOKUP(I203,P.Referencia!E:S,3,FALSE)&lt;=L203,"Champion","Gerente")</f>
        <v>#N/A</v>
      </c>
      <c r="Z203" s="39" t="e">
        <f>VLOOKUP(I203,P.Referencia!E:S,3,0)</f>
        <v>#N/A</v>
      </c>
      <c r="AA203" s="40" t="e">
        <f t="shared" si="35"/>
        <v>#N/A</v>
      </c>
      <c r="AB203" s="41" t="e">
        <f t="shared" si="36"/>
        <v>#N/A</v>
      </c>
      <c r="AC203" s="41" t="e">
        <f t="shared" si="37"/>
        <v>#N/A</v>
      </c>
    </row>
    <row r="204" spans="1:29" s="64" customFormat="1" hidden="1" x14ac:dyDescent="0.25">
      <c r="A204" s="43">
        <v>203</v>
      </c>
      <c r="B204" s="64" t="s">
        <v>379</v>
      </c>
      <c r="C204" s="131" t="str">
        <f t="shared" si="33"/>
        <v>LlaveD86167288015100014502</v>
      </c>
      <c r="D204" s="33" t="str">
        <f>VLOOKUP(E204,'NO MODIFICAR'!J:K,2,0)</f>
        <v>D861</v>
      </c>
      <c r="E204" s="26" t="s">
        <v>44</v>
      </c>
      <c r="F204" s="33" t="str">
        <f>VLOOKUP(D204,'NO MODIFICAR'!F:H,3,0)</f>
        <v xml:space="preserve">CENTRO </v>
      </c>
      <c r="G204" s="92">
        <v>67288015</v>
      </c>
      <c r="H204" s="93" t="s">
        <v>256</v>
      </c>
      <c r="I204" s="94">
        <v>10001450</v>
      </c>
      <c r="J204" s="56" t="str">
        <f>VLOOKUP(I204,'Materiales,canteras'!C:D,2,0)</f>
        <v>Base Hidraúlica Basalto de 1 /1/2</v>
      </c>
      <c r="K204" s="33">
        <f>VLOOKUP(I204,'Materiales,canteras'!C:E,3,0)</f>
        <v>1.7490000000000001</v>
      </c>
      <c r="L204" s="105">
        <v>187</v>
      </c>
      <c r="M204" s="28" t="s">
        <v>93</v>
      </c>
      <c r="N204" s="57">
        <f t="shared" ca="1" si="34"/>
        <v>46267</v>
      </c>
      <c r="O204" s="32" t="s">
        <v>201</v>
      </c>
      <c r="R204" s="64">
        <v>0</v>
      </c>
      <c r="S204" s="89">
        <v>260</v>
      </c>
      <c r="T204" s="66">
        <f t="shared" si="32"/>
        <v>-73</v>
      </c>
      <c r="U204" s="46">
        <f t="shared" si="30"/>
        <v>187</v>
      </c>
      <c r="V204" s="27">
        <v>0</v>
      </c>
      <c r="W204" s="4">
        <v>2</v>
      </c>
      <c r="X204" s="67">
        <f t="shared" si="31"/>
        <v>187</v>
      </c>
      <c r="Y204" s="32" t="e">
        <f>IF(+VLOOKUP(I204,P.Referencia!E:S,3,FALSE)&lt;=L204,"Champion","Gerente")</f>
        <v>#N/A</v>
      </c>
      <c r="Z204" s="39" t="e">
        <f>VLOOKUP(I204,P.Referencia!E:S,3,0)</f>
        <v>#N/A</v>
      </c>
      <c r="AA204" s="40" t="e">
        <f t="shared" si="35"/>
        <v>#N/A</v>
      </c>
      <c r="AB204" s="41" t="e">
        <f t="shared" si="36"/>
        <v>#N/A</v>
      </c>
      <c r="AC204" s="41" t="e">
        <f t="shared" si="37"/>
        <v>#N/A</v>
      </c>
    </row>
    <row r="205" spans="1:29" s="64" customFormat="1" hidden="1" x14ac:dyDescent="0.25">
      <c r="A205" s="43">
        <v>204</v>
      </c>
      <c r="B205" s="64" t="s">
        <v>379</v>
      </c>
      <c r="C205" s="131" t="str">
        <f t="shared" si="33"/>
        <v>LlaveD86467297259100012031</v>
      </c>
      <c r="D205" s="33" t="str">
        <f>VLOOKUP(E205,'NO MODIFICAR'!J:K,2,0)</f>
        <v>D864</v>
      </c>
      <c r="E205" s="26" t="s">
        <v>55</v>
      </c>
      <c r="F205" s="33" t="str">
        <f>VLOOKUP(D205,'NO MODIFICAR'!F:H,3,0)</f>
        <v xml:space="preserve">CENTRO </v>
      </c>
      <c r="G205" s="92">
        <v>67297259</v>
      </c>
      <c r="H205" s="93" t="s">
        <v>264</v>
      </c>
      <c r="I205" s="94">
        <v>10001203</v>
      </c>
      <c r="J205" s="56" t="str">
        <f>VLOOKUP(I205,'Materiales,canteras'!C:D,2,0)</f>
        <v>Desperdicio Triturado Caliza</v>
      </c>
      <c r="K205" s="56">
        <f>VLOOKUP(I205,'Materiales,canteras'!C:E,3,0)</f>
        <v>1.665</v>
      </c>
      <c r="L205" s="105">
        <v>39.06</v>
      </c>
      <c r="M205" s="28" t="s">
        <v>93</v>
      </c>
      <c r="N205" s="57">
        <f t="shared" ca="1" si="34"/>
        <v>46267</v>
      </c>
      <c r="O205" s="32" t="s">
        <v>201</v>
      </c>
      <c r="R205" s="64">
        <v>1.4999999999999999E-2</v>
      </c>
      <c r="S205" s="89">
        <v>22</v>
      </c>
      <c r="T205" s="66">
        <f t="shared" si="32"/>
        <v>17.39</v>
      </c>
      <c r="U205" s="46">
        <f t="shared" si="30"/>
        <v>39.06</v>
      </c>
      <c r="V205" s="27">
        <v>105.94</v>
      </c>
      <c r="W205" s="4">
        <v>1</v>
      </c>
      <c r="X205" s="67">
        <f t="shared" si="31"/>
        <v>145</v>
      </c>
      <c r="Y205" s="32" t="e">
        <f>IF(+VLOOKUP(I205,P.Referencia!E:S,3,FALSE)&lt;=L205,"Champion","Gerente")</f>
        <v>#N/A</v>
      </c>
      <c r="Z205" s="39" t="e">
        <f>VLOOKUP(I205,P.Referencia!E:S,3,0)</f>
        <v>#N/A</v>
      </c>
      <c r="AA205" s="40" t="e">
        <f t="shared" si="35"/>
        <v>#N/A</v>
      </c>
      <c r="AB205" s="41" t="e">
        <f t="shared" si="36"/>
        <v>#N/A</v>
      </c>
      <c r="AC205" s="41" t="e">
        <f t="shared" si="37"/>
        <v>#N/A</v>
      </c>
    </row>
    <row r="206" spans="1:29" s="64" customFormat="1" hidden="1" x14ac:dyDescent="0.25">
      <c r="A206" s="43">
        <v>205</v>
      </c>
      <c r="B206" s="64" t="s">
        <v>379</v>
      </c>
      <c r="C206" s="131" t="str">
        <f t="shared" si="33"/>
        <v>LlaveD86167082802100003112</v>
      </c>
      <c r="D206" s="33" t="str">
        <f>VLOOKUP(E206,'NO MODIFICAR'!J:K,2,0)</f>
        <v>D861</v>
      </c>
      <c r="E206" s="26" t="s">
        <v>44</v>
      </c>
      <c r="F206" s="33" t="str">
        <f>VLOOKUP(D206,'NO MODIFICAR'!F:H,3,0)</f>
        <v xml:space="preserve">CENTRO </v>
      </c>
      <c r="G206" s="92">
        <v>67082802</v>
      </c>
      <c r="H206" s="93" t="s">
        <v>265</v>
      </c>
      <c r="I206" s="94">
        <v>10000311</v>
      </c>
      <c r="J206" s="56" t="str">
        <f>VLOOKUP(I206,'Materiales,canteras'!C:D,2,0)</f>
        <v>Arena Triturada Basalto  Malla</v>
      </c>
      <c r="K206" s="56">
        <f>VLOOKUP(I206,'Materiales,canteras'!C:E,3,0)</f>
        <v>1.651</v>
      </c>
      <c r="L206" s="105">
        <v>176</v>
      </c>
      <c r="M206" s="28" t="s">
        <v>93</v>
      </c>
      <c r="N206" s="57">
        <f t="shared" ca="1" si="34"/>
        <v>46267</v>
      </c>
      <c r="O206" s="32" t="s">
        <v>201</v>
      </c>
      <c r="R206" s="64">
        <v>1.4999999999999999E-2</v>
      </c>
      <c r="S206" s="89">
        <v>260</v>
      </c>
      <c r="T206" s="66">
        <f t="shared" si="32"/>
        <v>-80.100000000000023</v>
      </c>
      <c r="U206" s="46">
        <f t="shared" si="30"/>
        <v>176</v>
      </c>
      <c r="V206" s="27">
        <v>0</v>
      </c>
      <c r="W206" s="4">
        <v>2</v>
      </c>
      <c r="X206" s="67">
        <f t="shared" si="31"/>
        <v>176</v>
      </c>
      <c r="Y206" s="32" t="e">
        <f>IF(+VLOOKUP(I206,P.Referencia!E:S,3,FALSE)&lt;=L206,"Champion","Gerente")</f>
        <v>#N/A</v>
      </c>
      <c r="Z206" s="39" t="e">
        <f>VLOOKUP(I206,P.Referencia!E:S,3,0)</f>
        <v>#N/A</v>
      </c>
      <c r="AA206" s="40" t="e">
        <f t="shared" si="35"/>
        <v>#N/A</v>
      </c>
      <c r="AB206" s="41" t="e">
        <f t="shared" si="36"/>
        <v>#N/A</v>
      </c>
      <c r="AC206" s="41" t="e">
        <f t="shared" si="37"/>
        <v>#N/A</v>
      </c>
    </row>
    <row r="207" spans="1:29" s="64" customFormat="1" hidden="1" x14ac:dyDescent="0.25">
      <c r="A207" s="43">
        <v>206</v>
      </c>
      <c r="B207" s="64" t="s">
        <v>379</v>
      </c>
      <c r="C207" s="131" t="str">
        <f t="shared" si="33"/>
        <v>LlaveD86167082802100002292</v>
      </c>
      <c r="D207" s="33" t="str">
        <f>VLOOKUP(E207,'NO MODIFICAR'!J:K,2,0)</f>
        <v>D861</v>
      </c>
      <c r="E207" s="26" t="s">
        <v>44</v>
      </c>
      <c r="F207" s="33" t="str">
        <f>VLOOKUP(D207,'NO MODIFICAR'!F:H,3,0)</f>
        <v xml:space="preserve">CENTRO </v>
      </c>
      <c r="G207" s="92">
        <v>67082802</v>
      </c>
      <c r="H207" s="93" t="s">
        <v>265</v>
      </c>
      <c r="I207" s="94">
        <v>10000229</v>
      </c>
      <c r="J207" s="56" t="str">
        <f>VLOOKUP(I207,'Materiales,canteras'!C:D,2,0)</f>
        <v>Grava Triturada Basalto  10 mm</v>
      </c>
      <c r="K207" s="33">
        <f>VLOOKUP(I207,'Materiales,canteras'!C:E,3,0)</f>
        <v>1.522</v>
      </c>
      <c r="L207" s="105">
        <v>217.8</v>
      </c>
      <c r="M207" s="28" t="s">
        <v>93</v>
      </c>
      <c r="N207" s="57">
        <f t="shared" ca="1" si="34"/>
        <v>46267</v>
      </c>
      <c r="O207" s="32" t="s">
        <v>201</v>
      </c>
      <c r="R207" s="64">
        <v>1.4999999999999999E-2</v>
      </c>
      <c r="S207" s="89">
        <v>320</v>
      </c>
      <c r="T207" s="66">
        <f t="shared" si="32"/>
        <v>-97.399999999999977</v>
      </c>
      <c r="U207" s="46">
        <f t="shared" si="30"/>
        <v>217.8</v>
      </c>
      <c r="V207" s="27">
        <v>0</v>
      </c>
      <c r="W207" s="4">
        <v>2</v>
      </c>
      <c r="X207" s="67">
        <f t="shared" si="31"/>
        <v>217.8</v>
      </c>
      <c r="Y207" s="32" t="e">
        <f>IF(+VLOOKUP(I207,P.Referencia!E:S,3,FALSE)&lt;=L207,"Champion","Gerente")</f>
        <v>#N/A</v>
      </c>
      <c r="Z207" s="39" t="e">
        <f>VLOOKUP(I207,P.Referencia!E:S,3,0)</f>
        <v>#N/A</v>
      </c>
      <c r="AA207" s="40" t="e">
        <f t="shared" si="35"/>
        <v>#N/A</v>
      </c>
      <c r="AB207" s="41" t="e">
        <f t="shared" si="36"/>
        <v>#N/A</v>
      </c>
      <c r="AC207" s="41" t="e">
        <f t="shared" si="37"/>
        <v>#N/A</v>
      </c>
    </row>
    <row r="208" spans="1:29" s="64" customFormat="1" hidden="1" x14ac:dyDescent="0.25">
      <c r="A208" s="43">
        <v>207</v>
      </c>
      <c r="B208" s="64" t="s">
        <v>379</v>
      </c>
      <c r="C208" s="131" t="str">
        <f t="shared" si="33"/>
        <v>LlaveD86167082802100002312</v>
      </c>
      <c r="D208" s="33" t="str">
        <f>VLOOKUP(E208,'NO MODIFICAR'!J:K,2,0)</f>
        <v>D861</v>
      </c>
      <c r="E208" s="26" t="s">
        <v>44</v>
      </c>
      <c r="F208" s="33" t="str">
        <f>VLOOKUP(D208,'NO MODIFICAR'!F:H,3,0)</f>
        <v xml:space="preserve">CENTRO </v>
      </c>
      <c r="G208" s="92">
        <v>67082802</v>
      </c>
      <c r="H208" s="93" t="s">
        <v>265</v>
      </c>
      <c r="I208" s="94">
        <v>10000231</v>
      </c>
      <c r="J208" s="56" t="str">
        <f>VLOOKUP(I208,'Materiales,canteras'!C:D,2,0)</f>
        <v>Grava Triturada Basalto 20 mm</v>
      </c>
      <c r="K208" s="33">
        <f>VLOOKUP(I208,'Materiales,canteras'!C:E,3,0)</f>
        <v>1.5649999999999999</v>
      </c>
      <c r="L208" s="105">
        <v>209</v>
      </c>
      <c r="M208" s="28" t="s">
        <v>93</v>
      </c>
      <c r="N208" s="57">
        <f t="shared" ca="1" si="34"/>
        <v>46267</v>
      </c>
      <c r="O208" s="32" t="s">
        <v>201</v>
      </c>
      <c r="R208" s="64">
        <v>1.4999999999999999E-2</v>
      </c>
      <c r="S208" s="89">
        <v>280</v>
      </c>
      <c r="T208" s="66">
        <f t="shared" si="32"/>
        <v>-66.800000000000011</v>
      </c>
      <c r="U208" s="46">
        <f t="shared" si="30"/>
        <v>209</v>
      </c>
      <c r="V208" s="27">
        <v>0</v>
      </c>
      <c r="W208" s="4">
        <v>2</v>
      </c>
      <c r="X208" s="67">
        <f t="shared" si="31"/>
        <v>209</v>
      </c>
      <c r="Y208" s="32" t="e">
        <f>IF(+VLOOKUP(I208,P.Referencia!E:S,3,FALSE)&lt;=L208,"Champion","Gerente")</f>
        <v>#N/A</v>
      </c>
      <c r="Z208" s="39" t="e">
        <f>VLOOKUP(I208,P.Referencia!E:S,3,0)</f>
        <v>#N/A</v>
      </c>
      <c r="AA208" s="40" t="e">
        <f t="shared" si="35"/>
        <v>#N/A</v>
      </c>
      <c r="AB208" s="41" t="e">
        <f t="shared" si="36"/>
        <v>#N/A</v>
      </c>
      <c r="AC208" s="41" t="e">
        <f t="shared" si="37"/>
        <v>#N/A</v>
      </c>
    </row>
    <row r="209" spans="1:29" s="64" customFormat="1" hidden="1" x14ac:dyDescent="0.25">
      <c r="A209" s="43">
        <v>208</v>
      </c>
      <c r="B209" s="64" t="s">
        <v>379</v>
      </c>
      <c r="C209" s="131" t="str">
        <f t="shared" si="33"/>
        <v>LlaveD86167082802100002332</v>
      </c>
      <c r="D209" s="33" t="str">
        <f>VLOOKUP(E209,'NO MODIFICAR'!J:K,2,0)</f>
        <v>D861</v>
      </c>
      <c r="E209" s="26" t="s">
        <v>44</v>
      </c>
      <c r="F209" s="33" t="str">
        <f>VLOOKUP(D209,'NO MODIFICAR'!F:H,3,0)</f>
        <v xml:space="preserve">CENTRO </v>
      </c>
      <c r="G209" s="92">
        <v>67082802</v>
      </c>
      <c r="H209" s="93" t="s">
        <v>265</v>
      </c>
      <c r="I209" s="94">
        <v>10000233</v>
      </c>
      <c r="J209" s="56" t="str">
        <f>VLOOKUP(I209,'Materiales,canteras'!C:D,2,0)</f>
        <v>Grava Triturada Basalto  40 mm</v>
      </c>
      <c r="K209" s="33">
        <f>VLOOKUP(I209,'Materiales,canteras'!C:E,3,0)</f>
        <v>1.456</v>
      </c>
      <c r="L209" s="105">
        <v>209</v>
      </c>
      <c r="M209" s="28" t="s">
        <v>93</v>
      </c>
      <c r="N209" s="57">
        <f t="shared" ca="1" si="34"/>
        <v>46267</v>
      </c>
      <c r="O209" s="32" t="s">
        <v>201</v>
      </c>
      <c r="R209" s="64">
        <v>1.4999999999999999E-2</v>
      </c>
      <c r="S209" s="89">
        <v>282</v>
      </c>
      <c r="T209" s="66">
        <f t="shared" si="32"/>
        <v>-68.769999999999982</v>
      </c>
      <c r="U209" s="46">
        <f t="shared" si="30"/>
        <v>209</v>
      </c>
      <c r="V209" s="27">
        <v>0</v>
      </c>
      <c r="W209" s="4">
        <v>2</v>
      </c>
      <c r="X209" s="67">
        <f t="shared" si="31"/>
        <v>209</v>
      </c>
      <c r="Y209" s="32" t="e">
        <f>IF(+VLOOKUP(I209,P.Referencia!E:S,3,FALSE)&lt;=L209,"Champion","Gerente")</f>
        <v>#N/A</v>
      </c>
      <c r="Z209" s="39" t="e">
        <f>VLOOKUP(I209,P.Referencia!E:S,3,0)</f>
        <v>#N/A</v>
      </c>
      <c r="AA209" s="40" t="e">
        <f t="shared" si="35"/>
        <v>#N/A</v>
      </c>
      <c r="AB209" s="41" t="e">
        <f t="shared" si="36"/>
        <v>#N/A</v>
      </c>
      <c r="AC209" s="41" t="e">
        <f t="shared" si="37"/>
        <v>#N/A</v>
      </c>
    </row>
    <row r="210" spans="1:29" s="64" customFormat="1" hidden="1" x14ac:dyDescent="0.25">
      <c r="A210" s="43">
        <v>209</v>
      </c>
      <c r="B210" s="64" t="s">
        <v>379</v>
      </c>
      <c r="C210" s="131" t="str">
        <f t="shared" si="33"/>
        <v>LlaveD86465016451100002402</v>
      </c>
      <c r="D210" s="33" t="str">
        <f>VLOOKUP(E210,'NO MODIFICAR'!J:K,2,0)</f>
        <v>D864</v>
      </c>
      <c r="E210" s="26" t="s">
        <v>55</v>
      </c>
      <c r="F210" s="33" t="str">
        <f>VLOOKUP(D210,'NO MODIFICAR'!F:H,3,0)</f>
        <v xml:space="preserve">CENTRO </v>
      </c>
      <c r="G210" s="92">
        <v>65016451</v>
      </c>
      <c r="H210" s="93" t="s">
        <v>266</v>
      </c>
      <c r="I210" s="94">
        <v>10000240</v>
      </c>
      <c r="J210" s="56" t="str">
        <f>VLOOKUP(I210,'Materiales,canteras'!C:D,2,0)</f>
        <v>Grava Triturada Caliza 20 mm -</v>
      </c>
      <c r="K210" s="33">
        <f>VLOOKUP(I210,'Materiales,canteras'!C:E,3,0)</f>
        <v>1.462</v>
      </c>
      <c r="L210" s="105">
        <v>127</v>
      </c>
      <c r="M210" s="28" t="s">
        <v>93</v>
      </c>
      <c r="N210" s="57">
        <f t="shared" ca="1" si="34"/>
        <v>46267</v>
      </c>
      <c r="O210" s="32" t="s">
        <v>201</v>
      </c>
      <c r="R210" s="64">
        <v>1.4999999999999999E-2</v>
      </c>
      <c r="S210" s="89">
        <v>280</v>
      </c>
      <c r="T210" s="66">
        <f t="shared" si="32"/>
        <v>-148.80000000000001</v>
      </c>
      <c r="U210" s="46">
        <f t="shared" si="30"/>
        <v>127</v>
      </c>
      <c r="V210" s="27">
        <v>0</v>
      </c>
      <c r="W210" s="4">
        <v>2</v>
      </c>
      <c r="X210" s="67">
        <f t="shared" si="31"/>
        <v>127</v>
      </c>
      <c r="Y210" s="32" t="e">
        <f>IF(+VLOOKUP(I210,P.Referencia!E:S,3,FALSE)&lt;=L210,"Champion","Gerente")</f>
        <v>#N/A</v>
      </c>
      <c r="Z210" s="39" t="e">
        <f>VLOOKUP(I210,P.Referencia!E:S,3,0)</f>
        <v>#N/A</v>
      </c>
      <c r="AA210" s="40" t="e">
        <f t="shared" si="35"/>
        <v>#N/A</v>
      </c>
      <c r="AB210" s="41" t="e">
        <f t="shared" si="36"/>
        <v>#N/A</v>
      </c>
      <c r="AC210" s="41" t="e">
        <f t="shared" si="37"/>
        <v>#N/A</v>
      </c>
    </row>
    <row r="211" spans="1:29" s="64" customFormat="1" hidden="1" x14ac:dyDescent="0.25">
      <c r="A211" s="43">
        <v>210</v>
      </c>
      <c r="B211" s="64" t="s">
        <v>379</v>
      </c>
      <c r="C211" s="131" t="str">
        <f t="shared" si="33"/>
        <v>LlaveD86465016451100002692</v>
      </c>
      <c r="D211" s="33" t="str">
        <f>VLOOKUP(E211,'NO MODIFICAR'!J:K,2,0)</f>
        <v>D864</v>
      </c>
      <c r="E211" s="26" t="s">
        <v>55</v>
      </c>
      <c r="F211" s="33" t="str">
        <f>VLOOKUP(D211,'NO MODIFICAR'!F:H,3,0)</f>
        <v xml:space="preserve">CENTRO </v>
      </c>
      <c r="G211" s="92">
        <v>65016451</v>
      </c>
      <c r="H211" s="93" t="s">
        <v>266</v>
      </c>
      <c r="I211" s="94">
        <v>10000269</v>
      </c>
      <c r="J211" s="56" t="str">
        <f>VLOOKUP(I211,'Materiales,canteras'!C:D,2,0)</f>
        <v>Grava Triturada Caliza 13 mm -</v>
      </c>
      <c r="K211" s="33">
        <f>VLOOKUP(I211,'Materiales,canteras'!C:E,3,0)</f>
        <v>1.423</v>
      </c>
      <c r="L211" s="105">
        <v>137</v>
      </c>
      <c r="M211" s="28" t="s">
        <v>93</v>
      </c>
      <c r="N211" s="57">
        <f t="shared" ca="1" si="34"/>
        <v>46267</v>
      </c>
      <c r="O211" s="32" t="s">
        <v>201</v>
      </c>
      <c r="R211" s="64">
        <v>1.4999999999999999E-2</v>
      </c>
      <c r="S211" s="89">
        <v>250</v>
      </c>
      <c r="T211" s="66">
        <f t="shared" si="32"/>
        <v>-109.25</v>
      </c>
      <c r="U211" s="46">
        <f t="shared" si="30"/>
        <v>137</v>
      </c>
      <c r="V211" s="27">
        <v>0</v>
      </c>
      <c r="W211" s="4">
        <v>2</v>
      </c>
      <c r="X211" s="67">
        <f t="shared" si="31"/>
        <v>137</v>
      </c>
      <c r="Y211" s="32" t="e">
        <f>IF(+VLOOKUP(I211,P.Referencia!E:S,3,FALSE)&lt;=L211,"Champion","Gerente")</f>
        <v>#N/A</v>
      </c>
      <c r="Z211" s="39" t="e">
        <f>VLOOKUP(I211,P.Referencia!E:S,3,0)</f>
        <v>#N/A</v>
      </c>
      <c r="AA211" s="40" t="e">
        <f t="shared" si="35"/>
        <v>#N/A</v>
      </c>
      <c r="AB211" s="41" t="e">
        <f t="shared" si="36"/>
        <v>#N/A</v>
      </c>
      <c r="AC211" s="41" t="e">
        <f t="shared" si="37"/>
        <v>#N/A</v>
      </c>
    </row>
    <row r="212" spans="1:29" s="64" customFormat="1" hidden="1" x14ac:dyDescent="0.25">
      <c r="A212" s="43">
        <v>211</v>
      </c>
      <c r="B212" s="64" t="s">
        <v>379</v>
      </c>
      <c r="C212" s="131" t="str">
        <f t="shared" si="33"/>
        <v>LlaveDU0767317246100001031</v>
      </c>
      <c r="D212" s="33" t="str">
        <f>VLOOKUP(E212,'NO MODIFICAR'!J:K,2,0)</f>
        <v>DU07</v>
      </c>
      <c r="E212" s="26" t="s">
        <v>87</v>
      </c>
      <c r="F212" s="33" t="str">
        <f>VLOOKUP(D212,'NO MODIFICAR'!F:H,3,0)</f>
        <v>SURESTE</v>
      </c>
      <c r="G212" s="92">
        <v>67317246</v>
      </c>
      <c r="H212" s="93" t="s">
        <v>268</v>
      </c>
      <c r="I212" s="94">
        <v>10000103</v>
      </c>
      <c r="J212" s="56" t="str">
        <f>VLOOKUP(I212,'Materiales,canteras'!C:D,2,0)</f>
        <v>Base H Triturada Caliza 1 1/2" a Finos</v>
      </c>
      <c r="K212" s="33">
        <f>VLOOKUP(I212,'Materiales,canteras'!C:E,3,0)</f>
        <v>1.462</v>
      </c>
      <c r="L212" s="105">
        <v>136.79890560875512</v>
      </c>
      <c r="M212" s="28" t="s">
        <v>93</v>
      </c>
      <c r="N212" s="57">
        <f t="shared" ca="1" si="34"/>
        <v>46267</v>
      </c>
      <c r="O212" s="32" t="s">
        <v>201</v>
      </c>
      <c r="S212" s="89">
        <v>150</v>
      </c>
      <c r="T212" s="66">
        <f t="shared" si="32"/>
        <v>-13.201094391244879</v>
      </c>
      <c r="U212" s="46">
        <f t="shared" si="30"/>
        <v>136.79890560875512</v>
      </c>
      <c r="V212" s="27">
        <v>54.719562243502054</v>
      </c>
      <c r="W212" s="4">
        <v>1</v>
      </c>
      <c r="X212" s="67">
        <f t="shared" si="31"/>
        <v>191.51846785225717</v>
      </c>
      <c r="Y212" s="32" t="e">
        <f>IF(+VLOOKUP(I212,P.Referencia!E:S,3,FALSE)&lt;=L212,"Champion","Gerente")</f>
        <v>#N/A</v>
      </c>
      <c r="Z212" s="39" t="e">
        <f>VLOOKUP(I212,P.Referencia!E:S,3,0)</f>
        <v>#N/A</v>
      </c>
      <c r="AA212" s="40" t="e">
        <f t="shared" si="35"/>
        <v>#N/A</v>
      </c>
      <c r="AB212" s="41" t="e">
        <f t="shared" si="36"/>
        <v>#N/A</v>
      </c>
      <c r="AC212" s="41" t="e">
        <f t="shared" si="37"/>
        <v>#N/A</v>
      </c>
    </row>
    <row r="213" spans="1:29" s="64" customFormat="1" hidden="1" x14ac:dyDescent="0.25">
      <c r="A213" s="43">
        <v>212</v>
      </c>
      <c r="B213" s="64" t="s">
        <v>379</v>
      </c>
      <c r="C213" s="131" t="str">
        <f t="shared" si="33"/>
        <v>LlaveDU0767317246102641031</v>
      </c>
      <c r="D213" s="33" t="str">
        <f>VLOOKUP(E213,'NO MODIFICAR'!J:K,2,0)</f>
        <v>DU07</v>
      </c>
      <c r="E213" s="26" t="s">
        <v>87</v>
      </c>
      <c r="F213" s="33" t="str">
        <f>VLOOKUP(D213,'NO MODIFICAR'!F:H,3,0)</f>
        <v>SURESTE</v>
      </c>
      <c r="G213" s="92">
        <v>67317246</v>
      </c>
      <c r="H213" s="93" t="s">
        <v>268</v>
      </c>
      <c r="I213" s="94">
        <v>10264103</v>
      </c>
      <c r="J213" s="56" t="str">
        <f>VLOOKUP(I213,'Materiales,canteras'!C:D,2,0)</f>
        <v>MOV BASE H TRITURADA CALIZA 1 1/2</v>
      </c>
      <c r="K213" s="33">
        <f>VLOOKUP(I213,'Materiales,canteras'!C:E,3,0)</f>
        <v>1.462</v>
      </c>
      <c r="L213" s="105">
        <v>136.79890560875512</v>
      </c>
      <c r="M213" s="28" t="s">
        <v>93</v>
      </c>
      <c r="N213" s="57">
        <f t="shared" ca="1" si="34"/>
        <v>46267</v>
      </c>
      <c r="O213" s="32" t="s">
        <v>201</v>
      </c>
      <c r="S213" s="89">
        <v>390</v>
      </c>
      <c r="T213" s="66">
        <f t="shared" si="32"/>
        <v>-253.20109439124488</v>
      </c>
      <c r="U213" s="46">
        <f t="shared" si="30"/>
        <v>136.79890560875512</v>
      </c>
      <c r="V213" s="27">
        <v>54.719562243502054</v>
      </c>
      <c r="W213" s="4">
        <v>1</v>
      </c>
      <c r="X213" s="67">
        <f t="shared" si="31"/>
        <v>191.51846785225717</v>
      </c>
      <c r="Y213" s="32" t="e">
        <f>IF(+VLOOKUP(I213,P.Referencia!E:S,3,FALSE)&lt;=L213,"Champion","Gerente")</f>
        <v>#N/A</v>
      </c>
      <c r="Z213" s="39" t="e">
        <f>VLOOKUP(I213,P.Referencia!E:S,3,0)</f>
        <v>#N/A</v>
      </c>
      <c r="AA213" s="40" t="e">
        <f t="shared" si="35"/>
        <v>#N/A</v>
      </c>
      <c r="AB213" s="41" t="e">
        <f t="shared" si="36"/>
        <v>#N/A</v>
      </c>
      <c r="AC213" s="41" t="e">
        <f t="shared" si="37"/>
        <v>#N/A</v>
      </c>
    </row>
    <row r="214" spans="1:29" s="117" customFormat="1" hidden="1" x14ac:dyDescent="0.25">
      <c r="A214" s="106">
        <v>213</v>
      </c>
      <c r="B214" s="64" t="s">
        <v>379</v>
      </c>
      <c r="C214" s="131" t="str">
        <f t="shared" si="33"/>
        <v>LlaveD86167333458100003111</v>
      </c>
      <c r="D214" s="107" t="str">
        <f>VLOOKUP(E214,'NO MODIFICAR'!J:K,2,0)</f>
        <v>D861</v>
      </c>
      <c r="E214" s="108" t="s">
        <v>44</v>
      </c>
      <c r="F214" s="107" t="str">
        <f>VLOOKUP(D214,'NO MODIFICAR'!F:H,3,0)</f>
        <v xml:space="preserve">CENTRO </v>
      </c>
      <c r="G214" s="109">
        <v>67333458</v>
      </c>
      <c r="H214" s="110" t="s">
        <v>269</v>
      </c>
      <c r="I214" s="111">
        <v>10000311</v>
      </c>
      <c r="J214" s="112" t="str">
        <f>VLOOKUP(I214,'Materiales,canteras'!C:D,2,0)</f>
        <v>Arena Triturada Basalto  Malla</v>
      </c>
      <c r="K214" s="107">
        <f>VLOOKUP(I214,'Materiales,canteras'!C:E,3,0)</f>
        <v>1.651</v>
      </c>
      <c r="L214" s="113">
        <v>187</v>
      </c>
      <c r="M214" s="114" t="s">
        <v>93</v>
      </c>
      <c r="N214" s="115">
        <f t="shared" ca="1" si="34"/>
        <v>46267</v>
      </c>
      <c r="O214" s="116" t="s">
        <v>201</v>
      </c>
      <c r="S214" s="118">
        <v>260</v>
      </c>
      <c r="T214" s="119">
        <f t="shared" si="32"/>
        <v>-73</v>
      </c>
      <c r="U214" s="120">
        <f t="shared" si="30"/>
        <v>187</v>
      </c>
      <c r="V214" s="121">
        <v>60</v>
      </c>
      <c r="W214" s="117">
        <v>1</v>
      </c>
      <c r="X214" s="122">
        <f t="shared" si="31"/>
        <v>247</v>
      </c>
      <c r="Y214" s="116" t="e">
        <f>IF(+VLOOKUP(I214,P.Referencia!E:S,3,FALSE)&lt;=L214,"Champion","Gerente")</f>
        <v>#N/A</v>
      </c>
      <c r="Z214" s="123" t="e">
        <f>VLOOKUP(I214,P.Referencia!E:S,3,0)</f>
        <v>#N/A</v>
      </c>
      <c r="AA214" s="124" t="e">
        <f t="shared" si="35"/>
        <v>#N/A</v>
      </c>
      <c r="AB214" s="125" t="e">
        <f t="shared" si="36"/>
        <v>#N/A</v>
      </c>
      <c r="AC214" s="125" t="e">
        <f t="shared" si="37"/>
        <v>#N/A</v>
      </c>
    </row>
    <row r="215" spans="1:29" s="117" customFormat="1" hidden="1" x14ac:dyDescent="0.25">
      <c r="A215" s="106">
        <v>214</v>
      </c>
      <c r="B215" s="117" t="s">
        <v>379</v>
      </c>
      <c r="C215" s="131" t="str">
        <f t="shared" si="33"/>
        <v>LlaveD86167333458100002291</v>
      </c>
      <c r="D215" s="107" t="str">
        <f>VLOOKUP(E215,'NO MODIFICAR'!J:K,2,0)</f>
        <v>D861</v>
      </c>
      <c r="E215" s="108" t="s">
        <v>44</v>
      </c>
      <c r="F215" s="107" t="str">
        <f>VLOOKUP(D215,'NO MODIFICAR'!F:H,3,0)</f>
        <v xml:space="preserve">CENTRO </v>
      </c>
      <c r="G215" s="109">
        <v>67333458</v>
      </c>
      <c r="H215" s="110" t="s">
        <v>269</v>
      </c>
      <c r="I215" s="111">
        <v>10000229</v>
      </c>
      <c r="J215" s="112" t="str">
        <f>VLOOKUP(I215,'Materiales,canteras'!C:D,2,0)</f>
        <v>Grava Triturada Basalto  10 mm</v>
      </c>
      <c r="K215" s="107">
        <f>VLOOKUP(I215,'Materiales,canteras'!C:E,3,0)</f>
        <v>1.522</v>
      </c>
      <c r="L215" s="113">
        <v>187</v>
      </c>
      <c r="M215" s="114" t="s">
        <v>93</v>
      </c>
      <c r="N215" s="115">
        <f t="shared" ca="1" si="34"/>
        <v>46267</v>
      </c>
      <c r="O215" s="116" t="s">
        <v>201</v>
      </c>
      <c r="S215" s="118">
        <v>320</v>
      </c>
      <c r="T215" s="119">
        <f t="shared" si="32"/>
        <v>-133</v>
      </c>
      <c r="U215" s="120">
        <f t="shared" si="30"/>
        <v>187</v>
      </c>
      <c r="V215" s="121">
        <v>60</v>
      </c>
      <c r="W215" s="117">
        <v>1</v>
      </c>
      <c r="X215" s="122">
        <f t="shared" si="31"/>
        <v>247</v>
      </c>
      <c r="Y215" s="116" t="e">
        <f>IF(+VLOOKUP(I215,P.Referencia!E:S,3,FALSE)&lt;=L215,"Champion","Gerente")</f>
        <v>#N/A</v>
      </c>
      <c r="Z215" s="123" t="e">
        <f>VLOOKUP(I215,P.Referencia!E:S,3,0)</f>
        <v>#N/A</v>
      </c>
      <c r="AA215" s="124" t="e">
        <f t="shared" si="35"/>
        <v>#N/A</v>
      </c>
      <c r="AB215" s="125" t="e">
        <f t="shared" si="36"/>
        <v>#N/A</v>
      </c>
      <c r="AC215" s="125" t="e">
        <f t="shared" si="37"/>
        <v>#N/A</v>
      </c>
    </row>
    <row r="216" spans="1:29" s="117" customFormat="1" hidden="1" x14ac:dyDescent="0.25">
      <c r="A216" s="106">
        <v>215</v>
      </c>
      <c r="B216" s="117" t="s">
        <v>379</v>
      </c>
      <c r="C216" s="131" t="str">
        <f t="shared" si="33"/>
        <v>LlaveD86167333458100031531</v>
      </c>
      <c r="D216" s="107" t="str">
        <f>VLOOKUP(E216,'NO MODIFICAR'!J:K,2,0)</f>
        <v>D861</v>
      </c>
      <c r="E216" s="108" t="s">
        <v>44</v>
      </c>
      <c r="F216" s="107" t="str">
        <f>VLOOKUP(D216,'NO MODIFICAR'!F:H,3,0)</f>
        <v xml:space="preserve">CENTRO </v>
      </c>
      <c r="G216" s="109">
        <v>67333458</v>
      </c>
      <c r="H216" s="110" t="s">
        <v>269</v>
      </c>
      <c r="I216" s="111">
        <v>10003153</v>
      </c>
      <c r="J216" s="112" t="str">
        <f>VLOOKUP(I216,'Materiales,canteras'!C:D,2,0)</f>
        <v>Grava Triturada Basalto 13 mm</v>
      </c>
      <c r="K216" s="107">
        <f>VLOOKUP(I216,'Materiales,canteras'!C:E,3,0)</f>
        <v>1.546</v>
      </c>
      <c r="L216" s="113">
        <v>187</v>
      </c>
      <c r="M216" s="114" t="s">
        <v>93</v>
      </c>
      <c r="N216" s="115">
        <f t="shared" ca="1" si="34"/>
        <v>46267</v>
      </c>
      <c r="O216" s="116" t="s">
        <v>201</v>
      </c>
      <c r="S216" s="118">
        <v>270</v>
      </c>
      <c r="T216" s="119">
        <f t="shared" si="32"/>
        <v>-83</v>
      </c>
      <c r="U216" s="120">
        <f t="shared" si="30"/>
        <v>187</v>
      </c>
      <c r="V216" s="121">
        <v>60</v>
      </c>
      <c r="W216" s="117">
        <v>1</v>
      </c>
      <c r="X216" s="122">
        <f t="shared" si="31"/>
        <v>247</v>
      </c>
      <c r="Y216" s="116" t="e">
        <f>IF(+VLOOKUP(I216,P.Referencia!E:S,3,FALSE)&lt;=L216,"Champion","Gerente")</f>
        <v>#N/A</v>
      </c>
      <c r="Z216" s="123" t="e">
        <f>VLOOKUP(I216,P.Referencia!E:S,3,0)</f>
        <v>#N/A</v>
      </c>
      <c r="AA216" s="124" t="e">
        <f t="shared" si="35"/>
        <v>#N/A</v>
      </c>
      <c r="AB216" s="125" t="e">
        <f t="shared" si="36"/>
        <v>#N/A</v>
      </c>
      <c r="AC216" s="125" t="e">
        <f t="shared" si="37"/>
        <v>#N/A</v>
      </c>
    </row>
    <row r="217" spans="1:29" s="117" customFormat="1" hidden="1" x14ac:dyDescent="0.25">
      <c r="A217" s="106">
        <v>216</v>
      </c>
      <c r="B217" s="117" t="s">
        <v>379</v>
      </c>
      <c r="C217" s="131" t="str">
        <f t="shared" si="33"/>
        <v>LlaveD86167333458100002311</v>
      </c>
      <c r="D217" s="107" t="str">
        <f>VLOOKUP(E217,'NO MODIFICAR'!J:K,2,0)</f>
        <v>D861</v>
      </c>
      <c r="E217" s="108" t="s">
        <v>44</v>
      </c>
      <c r="F217" s="107" t="str">
        <f>VLOOKUP(D217,'NO MODIFICAR'!F:H,3,0)</f>
        <v xml:space="preserve">CENTRO </v>
      </c>
      <c r="G217" s="109">
        <v>67333458</v>
      </c>
      <c r="H217" s="110" t="s">
        <v>269</v>
      </c>
      <c r="I217" s="111">
        <v>10000231</v>
      </c>
      <c r="J217" s="112" t="str">
        <f>VLOOKUP(I217,'Materiales,canteras'!C:D,2,0)</f>
        <v>Grava Triturada Basalto 20 mm</v>
      </c>
      <c r="K217" s="107">
        <f>VLOOKUP(I217,'Materiales,canteras'!C:E,3,0)</f>
        <v>1.5649999999999999</v>
      </c>
      <c r="L217" s="113">
        <v>187</v>
      </c>
      <c r="M217" s="114" t="s">
        <v>93</v>
      </c>
      <c r="N217" s="115">
        <f t="shared" ca="1" si="34"/>
        <v>46267</v>
      </c>
      <c r="O217" s="116" t="s">
        <v>201</v>
      </c>
      <c r="S217" s="118">
        <v>280</v>
      </c>
      <c r="T217" s="119">
        <f t="shared" si="32"/>
        <v>-93</v>
      </c>
      <c r="U217" s="120">
        <f t="shared" si="30"/>
        <v>187</v>
      </c>
      <c r="V217" s="121">
        <v>60</v>
      </c>
      <c r="W217" s="117">
        <v>1</v>
      </c>
      <c r="X217" s="122">
        <f t="shared" si="31"/>
        <v>247</v>
      </c>
      <c r="Y217" s="116" t="e">
        <f>IF(+VLOOKUP(I217,P.Referencia!E:S,3,FALSE)&lt;=L217,"Champion","Gerente")</f>
        <v>#N/A</v>
      </c>
      <c r="Z217" s="123" t="e">
        <f>VLOOKUP(I217,P.Referencia!E:S,3,0)</f>
        <v>#N/A</v>
      </c>
      <c r="AA217" s="124" t="e">
        <f t="shared" si="35"/>
        <v>#N/A</v>
      </c>
      <c r="AB217" s="125" t="e">
        <f t="shared" si="36"/>
        <v>#N/A</v>
      </c>
      <c r="AC217" s="125" t="e">
        <f t="shared" si="37"/>
        <v>#N/A</v>
      </c>
    </row>
    <row r="218" spans="1:29" s="117" customFormat="1" hidden="1" x14ac:dyDescent="0.25">
      <c r="A218" s="106">
        <v>217</v>
      </c>
      <c r="B218" s="117" t="s">
        <v>379</v>
      </c>
      <c r="C218" s="131" t="str">
        <f t="shared" si="33"/>
        <v>LlaveD86167333458100014501</v>
      </c>
      <c r="D218" s="107" t="str">
        <f>VLOOKUP(E218,'NO MODIFICAR'!J:K,2,0)</f>
        <v>D861</v>
      </c>
      <c r="E218" s="108" t="s">
        <v>44</v>
      </c>
      <c r="F218" s="107" t="str">
        <f>VLOOKUP(D218,'NO MODIFICAR'!F:H,3,0)</f>
        <v xml:space="preserve">CENTRO </v>
      </c>
      <c r="G218" s="109">
        <v>67333458</v>
      </c>
      <c r="H218" s="110" t="s">
        <v>269</v>
      </c>
      <c r="I218" s="111">
        <v>10001450</v>
      </c>
      <c r="J218" s="112" t="str">
        <f>VLOOKUP(I218,'Materiales,canteras'!C:D,2,0)</f>
        <v>Base Hidraúlica Basalto de 1 /1/2</v>
      </c>
      <c r="K218" s="107">
        <f>VLOOKUP(I218,'Materiales,canteras'!C:E,3,0)</f>
        <v>1.7490000000000001</v>
      </c>
      <c r="L218" s="113">
        <v>187</v>
      </c>
      <c r="M218" s="114" t="s">
        <v>93</v>
      </c>
      <c r="N218" s="115">
        <f t="shared" ca="1" si="34"/>
        <v>46267</v>
      </c>
      <c r="O218" s="116" t="s">
        <v>201</v>
      </c>
      <c r="S218" s="118">
        <v>260</v>
      </c>
      <c r="T218" s="119">
        <f t="shared" si="32"/>
        <v>-73</v>
      </c>
      <c r="U218" s="120">
        <f t="shared" si="30"/>
        <v>187</v>
      </c>
      <c r="V218" s="121">
        <v>60</v>
      </c>
      <c r="W218" s="117">
        <v>1</v>
      </c>
      <c r="X218" s="122">
        <f t="shared" si="31"/>
        <v>247</v>
      </c>
      <c r="Y218" s="116" t="e">
        <f>IF(+VLOOKUP(I218,P.Referencia!E:S,3,FALSE)&lt;=L218,"Champion","Gerente")</f>
        <v>#N/A</v>
      </c>
      <c r="Z218" s="123" t="e">
        <f>VLOOKUP(I218,P.Referencia!E:S,3,0)</f>
        <v>#N/A</v>
      </c>
      <c r="AA218" s="124" t="e">
        <f t="shared" si="35"/>
        <v>#N/A</v>
      </c>
      <c r="AB218" s="125" t="e">
        <f t="shared" si="36"/>
        <v>#N/A</v>
      </c>
      <c r="AC218" s="125" t="e">
        <f t="shared" si="37"/>
        <v>#N/A</v>
      </c>
    </row>
    <row r="219" spans="1:29" s="117" customFormat="1" hidden="1" x14ac:dyDescent="0.25">
      <c r="A219" s="106">
        <v>218</v>
      </c>
      <c r="B219" s="117" t="s">
        <v>379</v>
      </c>
      <c r="C219" s="131" t="str">
        <f t="shared" si="33"/>
        <v>LlaveD86167333458100024971</v>
      </c>
      <c r="D219" s="107" t="str">
        <f>VLOOKUP(E219,'NO MODIFICAR'!J:K,2,0)</f>
        <v>D861</v>
      </c>
      <c r="E219" s="108" t="s">
        <v>44</v>
      </c>
      <c r="F219" s="107" t="str">
        <f>VLOOKUP(D219,'NO MODIFICAR'!F:H,3,0)</f>
        <v xml:space="preserve">CENTRO </v>
      </c>
      <c r="G219" s="109">
        <v>67333458</v>
      </c>
      <c r="H219" s="110" t="s">
        <v>269</v>
      </c>
      <c r="I219" s="111">
        <v>10002497</v>
      </c>
      <c r="J219" s="112" t="str">
        <f>VLOOKUP(I219,'Materiales,canteras'!C:D,2,0)</f>
        <v>Grava Triturada Basalto 20 mm - 3/4"-Puq</v>
      </c>
      <c r="K219" s="107">
        <f>VLOOKUP(I219,'Materiales,canteras'!C:E,3,0)</f>
        <v>1.5669999999999999</v>
      </c>
      <c r="L219" s="113">
        <v>244.21</v>
      </c>
      <c r="M219" s="114" t="s">
        <v>93</v>
      </c>
      <c r="N219" s="115">
        <f t="shared" ca="1" si="34"/>
        <v>46267</v>
      </c>
      <c r="O219" s="116" t="s">
        <v>201</v>
      </c>
      <c r="S219" s="118">
        <v>280</v>
      </c>
      <c r="T219" s="119">
        <f t="shared" si="32"/>
        <v>-35.789999999999992</v>
      </c>
      <c r="U219" s="120">
        <f t="shared" si="30"/>
        <v>244.21</v>
      </c>
      <c r="V219" s="121">
        <v>60</v>
      </c>
      <c r="W219" s="117">
        <v>1</v>
      </c>
      <c r="X219" s="122">
        <f t="shared" si="31"/>
        <v>304.21000000000004</v>
      </c>
      <c r="Y219" s="116" t="e">
        <f>IF(+VLOOKUP(I219,P.Referencia!E:S,3,FALSE)&lt;=L219,"Champion","Gerente")</f>
        <v>#N/A</v>
      </c>
      <c r="Z219" s="123" t="e">
        <f>VLOOKUP(I219,P.Referencia!E:S,3,0)</f>
        <v>#N/A</v>
      </c>
      <c r="AA219" s="124" t="e">
        <f t="shared" si="35"/>
        <v>#N/A</v>
      </c>
      <c r="AB219" s="125" t="e">
        <f t="shared" si="36"/>
        <v>#N/A</v>
      </c>
      <c r="AC219" s="125" t="e">
        <f t="shared" si="37"/>
        <v>#N/A</v>
      </c>
    </row>
    <row r="220" spans="1:29" s="64" customFormat="1" hidden="1" x14ac:dyDescent="0.25">
      <c r="A220" s="43">
        <v>219</v>
      </c>
      <c r="B220" s="64" t="s">
        <v>379</v>
      </c>
      <c r="C220" s="131" t="str">
        <f t="shared" si="33"/>
        <v>LlaveDU0767324380100001031</v>
      </c>
      <c r="D220" s="33" t="str">
        <f>VLOOKUP(E220,'NO MODIFICAR'!J:K,2,0)</f>
        <v>DU07</v>
      </c>
      <c r="E220" s="26" t="s">
        <v>87</v>
      </c>
      <c r="F220" s="33" t="str">
        <f>VLOOKUP(D220,'NO MODIFICAR'!F:H,3,0)</f>
        <v>SURESTE</v>
      </c>
      <c r="G220" s="92">
        <v>67324380</v>
      </c>
      <c r="H220" s="93" t="s">
        <v>270</v>
      </c>
      <c r="I220" s="94">
        <v>10000103</v>
      </c>
      <c r="J220" s="56" t="str">
        <f>VLOOKUP(I220,'Materiales,canteras'!C:D,2,0)</f>
        <v>Base H Triturada Caliza 1 1/2" a Finos</v>
      </c>
      <c r="K220" s="33">
        <f>VLOOKUP(I220,'Materiales,canteras'!C:E,3,0)</f>
        <v>1.462</v>
      </c>
      <c r="L220" s="105">
        <v>150.47879616963064</v>
      </c>
      <c r="M220" s="28" t="s">
        <v>93</v>
      </c>
      <c r="N220" s="57">
        <f t="shared" ca="1" si="34"/>
        <v>46267</v>
      </c>
      <c r="O220" s="32" t="s">
        <v>201</v>
      </c>
      <c r="S220" s="89">
        <v>150</v>
      </c>
      <c r="T220" s="66">
        <f t="shared" si="32"/>
        <v>0.47879616963064109</v>
      </c>
      <c r="U220" s="46">
        <f t="shared" si="30"/>
        <v>150.47879616963064</v>
      </c>
      <c r="V220" s="27">
        <v>82.079343365253081</v>
      </c>
      <c r="W220" s="4">
        <v>1</v>
      </c>
      <c r="X220" s="67">
        <f t="shared" si="31"/>
        <v>232.55813953488371</v>
      </c>
      <c r="Y220" s="32" t="e">
        <f>IF(+VLOOKUP(I220,P.Referencia!E:S,3,FALSE)&lt;=L220,"Champion","Gerente")</f>
        <v>#N/A</v>
      </c>
      <c r="Z220" s="39" t="e">
        <f>VLOOKUP(I220,P.Referencia!E:S,3,0)</f>
        <v>#N/A</v>
      </c>
      <c r="AA220" s="40" t="e">
        <f t="shared" si="35"/>
        <v>#N/A</v>
      </c>
      <c r="AB220" s="41" t="e">
        <f t="shared" si="36"/>
        <v>#N/A</v>
      </c>
      <c r="AC220" s="41" t="e">
        <f t="shared" si="37"/>
        <v>#N/A</v>
      </c>
    </row>
    <row r="221" spans="1:29" s="64" customFormat="1" hidden="1" x14ac:dyDescent="0.25">
      <c r="A221" s="43">
        <v>220</v>
      </c>
      <c r="B221" s="64" t="s">
        <v>379</v>
      </c>
      <c r="C221" s="131" t="str">
        <f t="shared" si="33"/>
        <v>LlaveDU0767324380102641031</v>
      </c>
      <c r="D221" s="33" t="str">
        <f>VLOOKUP(E221,'NO MODIFICAR'!J:K,2,0)</f>
        <v>DU07</v>
      </c>
      <c r="E221" s="26" t="s">
        <v>87</v>
      </c>
      <c r="F221" s="33" t="str">
        <f>VLOOKUP(D221,'NO MODIFICAR'!F:H,3,0)</f>
        <v>SURESTE</v>
      </c>
      <c r="G221" s="92">
        <v>67324380</v>
      </c>
      <c r="H221" s="93" t="s">
        <v>270</v>
      </c>
      <c r="I221" s="94">
        <v>10264103</v>
      </c>
      <c r="J221" s="56" t="str">
        <f>VLOOKUP(I221,'Materiales,canteras'!C:D,2,0)</f>
        <v>MOV BASE H TRITURADA CALIZA 1 1/2</v>
      </c>
      <c r="K221" s="33">
        <f>VLOOKUP(I221,'Materiales,canteras'!C:E,3,0)</f>
        <v>1.462</v>
      </c>
      <c r="L221" s="105">
        <v>150.47879616963064</v>
      </c>
      <c r="M221" s="28" t="s">
        <v>93</v>
      </c>
      <c r="N221" s="57">
        <f t="shared" ca="1" si="34"/>
        <v>46267</v>
      </c>
      <c r="O221" s="32" t="s">
        <v>201</v>
      </c>
      <c r="S221" s="89">
        <v>390</v>
      </c>
      <c r="T221" s="66">
        <f t="shared" si="32"/>
        <v>-239.52120383036936</v>
      </c>
      <c r="U221" s="46">
        <f t="shared" si="30"/>
        <v>150.47879616963064</v>
      </c>
      <c r="V221" s="27">
        <v>82.079343365253081</v>
      </c>
      <c r="W221" s="4">
        <v>1</v>
      </c>
      <c r="X221" s="67">
        <f t="shared" si="31"/>
        <v>232.55813953488371</v>
      </c>
      <c r="Y221" s="32" t="e">
        <f>IF(+VLOOKUP(I221,P.Referencia!E:S,3,FALSE)&lt;=L221,"Champion","Gerente")</f>
        <v>#N/A</v>
      </c>
      <c r="Z221" s="39" t="e">
        <f>VLOOKUP(I221,P.Referencia!E:S,3,0)</f>
        <v>#N/A</v>
      </c>
      <c r="AA221" s="40" t="e">
        <f t="shared" si="35"/>
        <v>#N/A</v>
      </c>
      <c r="AB221" s="41" t="e">
        <f t="shared" si="36"/>
        <v>#N/A</v>
      </c>
      <c r="AC221" s="41" t="e">
        <f t="shared" si="37"/>
        <v>#N/A</v>
      </c>
    </row>
    <row r="222" spans="1:29" s="64" customFormat="1" hidden="1" x14ac:dyDescent="0.25">
      <c r="A222" s="43">
        <v>221</v>
      </c>
      <c r="B222" s="64" t="s">
        <v>379</v>
      </c>
      <c r="C222" s="131" t="str">
        <f t="shared" si="33"/>
        <v>LlaveDU0767324380100001011</v>
      </c>
      <c r="D222" s="33" t="str">
        <f>VLOOKUP(E222,'NO MODIFICAR'!J:K,2,0)</f>
        <v>DU07</v>
      </c>
      <c r="E222" s="26" t="s">
        <v>87</v>
      </c>
      <c r="F222" s="33" t="str">
        <f>VLOOKUP(D222,'NO MODIFICAR'!F:H,3,0)</f>
        <v>SURESTE</v>
      </c>
      <c r="G222" s="92">
        <v>67324380</v>
      </c>
      <c r="H222" s="93" t="s">
        <v>270</v>
      </c>
      <c r="I222" s="94">
        <v>10000101</v>
      </c>
      <c r="J222" s="56" t="str">
        <f>VLOOKUP(I222,'Materiales,canteras'!C:D,2,0)</f>
        <v>Arena Triturada Caliza Malla 4</v>
      </c>
      <c r="K222" s="33">
        <f>VLOOKUP(I222,'Materiales,canteras'!C:E,3,0)</f>
        <v>1.417</v>
      </c>
      <c r="L222" s="105">
        <v>345.80098800282286</v>
      </c>
      <c r="M222" s="28" t="s">
        <v>93</v>
      </c>
      <c r="N222" s="57">
        <f t="shared" ca="1" si="34"/>
        <v>46267</v>
      </c>
      <c r="O222" s="32" t="s">
        <v>201</v>
      </c>
      <c r="S222" s="89">
        <v>400</v>
      </c>
      <c r="T222" s="66">
        <f t="shared" ref="T222:T253" si="38">L222-(S222-(S222*R222))</f>
        <v>-54.199011997177138</v>
      </c>
      <c r="U222" s="46">
        <f t="shared" si="30"/>
        <v>345.80098800282286</v>
      </c>
      <c r="V222" s="27">
        <v>84.685956245589267</v>
      </c>
      <c r="W222" s="4">
        <v>1</v>
      </c>
      <c r="X222" s="67">
        <f t="shared" si="31"/>
        <v>430.4869442484121</v>
      </c>
      <c r="Y222" s="32" t="e">
        <f>IF(+VLOOKUP(I222,P.Referencia!E:S,3,FALSE)&lt;=L222,"Champion","Gerente")</f>
        <v>#N/A</v>
      </c>
      <c r="Z222" s="39" t="e">
        <f>VLOOKUP(I222,P.Referencia!E:S,3,0)</f>
        <v>#N/A</v>
      </c>
      <c r="AA222" s="40" t="e">
        <f t="shared" si="35"/>
        <v>#N/A</v>
      </c>
      <c r="AB222" s="41" t="e">
        <f t="shared" si="36"/>
        <v>#N/A</v>
      </c>
      <c r="AC222" s="41" t="e">
        <f t="shared" si="37"/>
        <v>#N/A</v>
      </c>
    </row>
    <row r="223" spans="1:29" s="64" customFormat="1" hidden="1" x14ac:dyDescent="0.25">
      <c r="A223" s="43">
        <v>222</v>
      </c>
      <c r="B223" s="64" t="s">
        <v>379</v>
      </c>
      <c r="C223" s="131" t="str">
        <f t="shared" si="33"/>
        <v>LlaveDU0767324380102640381</v>
      </c>
      <c r="D223" s="33" t="str">
        <f>VLOOKUP(E223,'NO MODIFICAR'!J:K,2,0)</f>
        <v>DU07</v>
      </c>
      <c r="E223" s="26" t="s">
        <v>87</v>
      </c>
      <c r="F223" s="33" t="str">
        <f>VLOOKUP(D223,'NO MODIFICAR'!F:H,3,0)</f>
        <v>SURESTE</v>
      </c>
      <c r="G223" s="92">
        <v>67324380</v>
      </c>
      <c r="H223" s="93" t="s">
        <v>270</v>
      </c>
      <c r="I223" s="94">
        <v>10264038</v>
      </c>
      <c r="J223" s="56" t="str">
        <f>VLOOKUP(I223,'Materiales,canteras'!C:D,2,0)</f>
        <v>MOV ARENA TRITURADA CALIZA MALLA 4</v>
      </c>
      <c r="K223" s="33">
        <f>VLOOKUP(I223,'Materiales,canteras'!C:E,3,0)</f>
        <v>1.417</v>
      </c>
      <c r="L223" s="105">
        <v>345.80098800282286</v>
      </c>
      <c r="M223" s="28" t="s">
        <v>93</v>
      </c>
      <c r="N223" s="57">
        <f t="shared" ca="1" si="34"/>
        <v>46267</v>
      </c>
      <c r="O223" s="32" t="s">
        <v>201</v>
      </c>
      <c r="S223" s="89">
        <v>400</v>
      </c>
      <c r="T223" s="66">
        <f t="shared" si="38"/>
        <v>-54.199011997177138</v>
      </c>
      <c r="U223" s="46">
        <f t="shared" si="30"/>
        <v>345.80098800282286</v>
      </c>
      <c r="V223" s="27">
        <v>84.685956245589267</v>
      </c>
      <c r="W223" s="4">
        <v>1</v>
      </c>
      <c r="X223" s="67">
        <f t="shared" si="31"/>
        <v>430.4869442484121</v>
      </c>
      <c r="Y223" s="32" t="e">
        <f>IF(+VLOOKUP(I223,P.Referencia!E:S,3,FALSE)&lt;=L223,"Champion","Gerente")</f>
        <v>#N/A</v>
      </c>
      <c r="Z223" s="39" t="e">
        <f>VLOOKUP(I223,P.Referencia!E:S,3,0)</f>
        <v>#N/A</v>
      </c>
      <c r="AA223" s="40" t="e">
        <f t="shared" si="35"/>
        <v>#N/A</v>
      </c>
      <c r="AB223" s="41" t="e">
        <f t="shared" si="36"/>
        <v>#N/A</v>
      </c>
      <c r="AC223" s="41" t="e">
        <f t="shared" si="37"/>
        <v>#N/A</v>
      </c>
    </row>
    <row r="224" spans="1:29" s="64" customFormat="1" hidden="1" x14ac:dyDescent="0.25">
      <c r="A224" s="43">
        <v>223</v>
      </c>
      <c r="B224" s="64" t="s">
        <v>379</v>
      </c>
      <c r="C224" s="131" t="str">
        <f t="shared" si="33"/>
        <v>LlaveDU0767317246100001101</v>
      </c>
      <c r="D224" s="33" t="str">
        <f>VLOOKUP(E224,'NO MODIFICAR'!J:K,2,0)</f>
        <v>DU07</v>
      </c>
      <c r="E224" s="26" t="s">
        <v>87</v>
      </c>
      <c r="F224" s="33" t="str">
        <f>VLOOKUP(D224,'NO MODIFICAR'!F:H,3,0)</f>
        <v>SURESTE</v>
      </c>
      <c r="G224" s="92">
        <v>67317246</v>
      </c>
      <c r="H224" s="93" t="s">
        <v>268</v>
      </c>
      <c r="I224" s="94">
        <v>10000110</v>
      </c>
      <c r="J224" s="56" t="str">
        <f>VLOOKUP(I224,'Materiales,canteras'!C:D,2,0)</f>
        <v>GRAVA TRITURADA CALIZA 20 MM “3/4"–INTEG</v>
      </c>
      <c r="K224" s="33">
        <f>VLOOKUP(I224,'Materiales,canteras'!C:E,3,0)</f>
        <v>1.2010000000000001</v>
      </c>
      <c r="L224" s="105">
        <v>291.42381348875938</v>
      </c>
      <c r="M224" s="28" t="s">
        <v>93</v>
      </c>
      <c r="N224" s="57">
        <f t="shared" ca="1" si="34"/>
        <v>46267</v>
      </c>
      <c r="O224" s="32" t="s">
        <v>201</v>
      </c>
      <c r="S224" s="89">
        <v>390</v>
      </c>
      <c r="T224" s="66">
        <f t="shared" si="38"/>
        <v>-98.576186511240621</v>
      </c>
      <c r="U224" s="46">
        <f t="shared" si="30"/>
        <v>291.42381348875938</v>
      </c>
      <c r="V224" s="27">
        <v>66.611157368859281</v>
      </c>
      <c r="W224" s="4">
        <v>1</v>
      </c>
      <c r="X224" s="67">
        <f t="shared" si="31"/>
        <v>358.03497085761865</v>
      </c>
      <c r="Y224" s="32" t="e">
        <f>IF(+VLOOKUP(I224,P.Referencia!E:S,3,FALSE)&lt;=L224,"Champion","Gerente")</f>
        <v>#N/A</v>
      </c>
      <c r="Z224" s="39" t="e">
        <f>VLOOKUP(I224,P.Referencia!E:S,3,0)</f>
        <v>#N/A</v>
      </c>
      <c r="AA224" s="40" t="e">
        <f t="shared" si="35"/>
        <v>#N/A</v>
      </c>
      <c r="AB224" s="41" t="e">
        <f t="shared" si="36"/>
        <v>#N/A</v>
      </c>
      <c r="AC224" s="41" t="e">
        <f t="shared" si="37"/>
        <v>#N/A</v>
      </c>
    </row>
    <row r="225" spans="1:29" s="64" customFormat="1" hidden="1" x14ac:dyDescent="0.25">
      <c r="A225" s="43">
        <v>224</v>
      </c>
      <c r="B225" s="64" t="s">
        <v>379</v>
      </c>
      <c r="C225" s="131" t="str">
        <f t="shared" si="33"/>
        <v>LlaveD86467335949101727852</v>
      </c>
      <c r="D225" s="33" t="str">
        <f>VLOOKUP(E225,'NO MODIFICAR'!J:K,2,0)</f>
        <v>D864</v>
      </c>
      <c r="E225" s="26" t="s">
        <v>55</v>
      </c>
      <c r="F225" s="33" t="str">
        <f>VLOOKUP(D225,'NO MODIFICAR'!F:H,3,0)</f>
        <v xml:space="preserve">CENTRO </v>
      </c>
      <c r="G225" s="92">
        <v>67335949</v>
      </c>
      <c r="H225" s="93" t="s">
        <v>271</v>
      </c>
      <c r="I225" s="94">
        <v>10172785</v>
      </c>
      <c r="J225" s="56" t="str">
        <f>VLOOKUP(I225,'Materiales,canteras'!C:D,2,0)</f>
        <v>BASE HIDRÁULICA 60%FINOS-40%GR</v>
      </c>
      <c r="K225" s="33">
        <f>VLOOKUP(I225,'Materiales,canteras'!C:E,3,0)</f>
        <v>1.5840000000000001</v>
      </c>
      <c r="L225" s="105">
        <v>78</v>
      </c>
      <c r="M225" s="28" t="s">
        <v>93</v>
      </c>
      <c r="N225" s="57">
        <f t="shared" ca="1" si="34"/>
        <v>46267</v>
      </c>
      <c r="O225" s="32" t="s">
        <v>201</v>
      </c>
      <c r="R225" s="64">
        <v>1.4999999999999999E-2</v>
      </c>
      <c r="S225" s="89">
        <v>105</v>
      </c>
      <c r="T225" s="66">
        <f t="shared" si="38"/>
        <v>-25.424999999999997</v>
      </c>
      <c r="U225" s="46">
        <f t="shared" si="30"/>
        <v>78</v>
      </c>
      <c r="V225" s="27">
        <v>0</v>
      </c>
      <c r="W225" s="4">
        <v>2</v>
      </c>
      <c r="X225" s="67">
        <f t="shared" si="31"/>
        <v>78</v>
      </c>
      <c r="Y225" s="32" t="e">
        <f>IF(+VLOOKUP(I225,P.Referencia!E:S,3,FALSE)&lt;=L225,"Champion","Gerente")</f>
        <v>#N/A</v>
      </c>
      <c r="Z225" s="39" t="e">
        <f>VLOOKUP(I225,P.Referencia!E:S,3,0)</f>
        <v>#N/A</v>
      </c>
      <c r="AA225" s="40" t="e">
        <f t="shared" si="35"/>
        <v>#N/A</v>
      </c>
      <c r="AB225" s="41" t="e">
        <f t="shared" si="36"/>
        <v>#N/A</v>
      </c>
      <c r="AC225" s="41" t="e">
        <f t="shared" si="37"/>
        <v>#N/A</v>
      </c>
    </row>
    <row r="226" spans="1:29" s="64" customFormat="1" hidden="1" x14ac:dyDescent="0.25">
      <c r="A226" s="43">
        <v>225</v>
      </c>
      <c r="B226" s="64" t="s">
        <v>379</v>
      </c>
      <c r="C226" s="131" t="str">
        <f t="shared" si="33"/>
        <v>LlaveD86467335949101737842</v>
      </c>
      <c r="D226" s="33" t="str">
        <f>VLOOKUP(E226,'NO MODIFICAR'!J:K,2,0)</f>
        <v>D864</v>
      </c>
      <c r="E226" s="26" t="s">
        <v>55</v>
      </c>
      <c r="F226" s="33" t="str">
        <f>VLOOKUP(D226,'NO MODIFICAR'!F:H,3,0)</f>
        <v xml:space="preserve">CENTRO </v>
      </c>
      <c r="G226" s="92">
        <v>67335949</v>
      </c>
      <c r="H226" s="93" t="s">
        <v>271</v>
      </c>
      <c r="I226" s="94">
        <v>10173784</v>
      </c>
      <c r="J226" s="56" t="str">
        <f>VLOOKUP(I226,'Materiales,canteras'!C:D,2,0)</f>
        <v>BASE HIDRÁULICA 80%FINOS-20%GR</v>
      </c>
      <c r="K226" s="33">
        <f>VLOOKUP(I226,'Materiales,canteras'!C:E,3,0)</f>
        <v>1.6240000000000001</v>
      </c>
      <c r="L226" s="105">
        <v>50</v>
      </c>
      <c r="M226" s="28" t="s">
        <v>93</v>
      </c>
      <c r="N226" s="57">
        <f t="shared" ca="1" si="34"/>
        <v>46267</v>
      </c>
      <c r="O226" s="32" t="s">
        <v>201</v>
      </c>
      <c r="R226" s="64">
        <v>1.4999999999999999E-2</v>
      </c>
      <c r="S226" s="89">
        <v>65</v>
      </c>
      <c r="T226" s="66">
        <f t="shared" si="38"/>
        <v>-14.025000000000006</v>
      </c>
      <c r="U226" s="46">
        <f t="shared" si="30"/>
        <v>50</v>
      </c>
      <c r="V226" s="27">
        <v>0</v>
      </c>
      <c r="W226" s="4">
        <v>2</v>
      </c>
      <c r="X226" s="67">
        <f t="shared" si="31"/>
        <v>50</v>
      </c>
      <c r="Y226" s="32" t="e">
        <f>IF(+VLOOKUP(I226,P.Referencia!E:S,3,FALSE)&lt;=L226,"Champion","Gerente")</f>
        <v>#N/A</v>
      </c>
      <c r="Z226" s="39" t="e">
        <f>VLOOKUP(I226,P.Referencia!E:S,3,0)</f>
        <v>#N/A</v>
      </c>
      <c r="AA226" s="40" t="e">
        <f t="shared" si="35"/>
        <v>#N/A</v>
      </c>
      <c r="AB226" s="41" t="e">
        <f t="shared" si="36"/>
        <v>#N/A</v>
      </c>
      <c r="AC226" s="41" t="e">
        <f t="shared" si="37"/>
        <v>#N/A</v>
      </c>
    </row>
    <row r="227" spans="1:29" s="64" customFormat="1" hidden="1" x14ac:dyDescent="0.25">
      <c r="A227" s="43">
        <v>226</v>
      </c>
      <c r="B227" s="64" t="s">
        <v>379</v>
      </c>
      <c r="C227" s="131" t="str">
        <f t="shared" si="33"/>
        <v>LlaveD86167285951100003111</v>
      </c>
      <c r="D227" s="33" t="str">
        <f>VLOOKUP(E227,'NO MODIFICAR'!J:K,2,0)</f>
        <v>D861</v>
      </c>
      <c r="E227" s="26" t="s">
        <v>44</v>
      </c>
      <c r="F227" s="126" t="str">
        <f>VLOOKUP(D227,'NO MODIFICAR'!F:H,3,0)</f>
        <v xml:space="preserve">CENTRO </v>
      </c>
      <c r="G227" s="26" t="s">
        <v>272</v>
      </c>
      <c r="H227" s="93" t="s">
        <v>273</v>
      </c>
      <c r="I227" s="94">
        <v>10000311</v>
      </c>
      <c r="J227" s="56" t="str">
        <f>VLOOKUP(I227,'Materiales,canteras'!C:D,2,0)</f>
        <v>Arena Triturada Basalto  Malla</v>
      </c>
      <c r="K227" s="33">
        <f>VLOOKUP(I227,'Materiales,canteras'!C:E,3,0)</f>
        <v>1.651</v>
      </c>
      <c r="L227" s="105">
        <v>176</v>
      </c>
      <c r="M227" s="28" t="s">
        <v>93</v>
      </c>
      <c r="N227" s="57">
        <f t="shared" ca="1" si="34"/>
        <v>46267</v>
      </c>
      <c r="O227" s="32" t="s">
        <v>201</v>
      </c>
      <c r="S227" s="89">
        <v>260</v>
      </c>
      <c r="T227" s="66">
        <f t="shared" si="38"/>
        <v>-84</v>
      </c>
      <c r="U227" s="46">
        <f t="shared" si="30"/>
        <v>176</v>
      </c>
      <c r="V227" s="27">
        <v>92.5</v>
      </c>
      <c r="W227" s="4">
        <v>1</v>
      </c>
      <c r="X227" s="67">
        <f t="shared" si="31"/>
        <v>268.5</v>
      </c>
      <c r="Y227" s="32" t="e">
        <f>IF(+VLOOKUP(I227,P.Referencia!E:S,3,FALSE)&lt;=L227,"Champion","Gerente")</f>
        <v>#N/A</v>
      </c>
      <c r="Z227" s="39" t="e">
        <f>VLOOKUP(I227,P.Referencia!E:S,3,0)</f>
        <v>#N/A</v>
      </c>
      <c r="AA227" s="40" t="e">
        <f t="shared" si="35"/>
        <v>#N/A</v>
      </c>
      <c r="AB227" s="41" t="e">
        <f t="shared" si="36"/>
        <v>#N/A</v>
      </c>
      <c r="AC227" s="41" t="e">
        <f t="shared" si="37"/>
        <v>#N/A</v>
      </c>
    </row>
    <row r="228" spans="1:29" s="64" customFormat="1" hidden="1" x14ac:dyDescent="0.25">
      <c r="A228" s="43">
        <v>227</v>
      </c>
      <c r="B228" s="64" t="s">
        <v>379</v>
      </c>
      <c r="C228" s="131" t="str">
        <f t="shared" si="33"/>
        <v>LlaveD86167285951100002291</v>
      </c>
      <c r="D228" s="33" t="str">
        <f>VLOOKUP(E228,'NO MODIFICAR'!J:K,2,0)</f>
        <v>D861</v>
      </c>
      <c r="E228" s="26" t="s">
        <v>44</v>
      </c>
      <c r="F228" s="126" t="str">
        <f>VLOOKUP(D228,'NO MODIFICAR'!F:H,3,0)</f>
        <v xml:space="preserve">CENTRO </v>
      </c>
      <c r="G228" s="26" t="s">
        <v>272</v>
      </c>
      <c r="H228" s="93" t="s">
        <v>273</v>
      </c>
      <c r="I228" s="94">
        <v>10000229</v>
      </c>
      <c r="J228" s="56" t="str">
        <f>VLOOKUP(I228,'Materiales,canteras'!C:D,2,0)</f>
        <v>Grava Triturada Basalto  10 mm</v>
      </c>
      <c r="K228" s="33">
        <f>VLOOKUP(I228,'Materiales,canteras'!C:E,3,0)</f>
        <v>1.522</v>
      </c>
      <c r="L228" s="105">
        <v>217.8</v>
      </c>
      <c r="M228" s="28" t="s">
        <v>93</v>
      </c>
      <c r="N228" s="57">
        <f t="shared" ca="1" si="34"/>
        <v>46267</v>
      </c>
      <c r="O228" s="32" t="s">
        <v>201</v>
      </c>
      <c r="S228" s="89">
        <v>320</v>
      </c>
      <c r="T228" s="66">
        <f t="shared" si="38"/>
        <v>-102.19999999999999</v>
      </c>
      <c r="U228" s="46">
        <f t="shared" si="30"/>
        <v>217.8</v>
      </c>
      <c r="V228" s="27">
        <v>92.5</v>
      </c>
      <c r="W228" s="4">
        <v>1</v>
      </c>
      <c r="X228" s="67">
        <f t="shared" si="31"/>
        <v>310.3</v>
      </c>
      <c r="Y228" s="32" t="e">
        <f>IF(+VLOOKUP(I228,P.Referencia!E:S,3,FALSE)&lt;=L228,"Champion","Gerente")</f>
        <v>#N/A</v>
      </c>
      <c r="Z228" s="39" t="e">
        <f>VLOOKUP(I228,P.Referencia!E:S,3,0)</f>
        <v>#N/A</v>
      </c>
      <c r="AA228" s="40" t="e">
        <f t="shared" si="35"/>
        <v>#N/A</v>
      </c>
      <c r="AB228" s="41" t="e">
        <f t="shared" si="36"/>
        <v>#N/A</v>
      </c>
      <c r="AC228" s="41" t="e">
        <f t="shared" si="37"/>
        <v>#N/A</v>
      </c>
    </row>
    <row r="229" spans="1:29" s="64" customFormat="1" hidden="1" x14ac:dyDescent="0.25">
      <c r="A229" s="43">
        <v>228</v>
      </c>
      <c r="B229" s="64" t="s">
        <v>379</v>
      </c>
      <c r="C229" s="131" t="str">
        <f t="shared" si="33"/>
        <v>LlaveD86167285951100002311</v>
      </c>
      <c r="D229" s="33" t="str">
        <f>VLOOKUP(E229,'NO MODIFICAR'!J:K,2,0)</f>
        <v>D861</v>
      </c>
      <c r="E229" s="26" t="s">
        <v>44</v>
      </c>
      <c r="F229" s="126" t="str">
        <f>VLOOKUP(D229,'NO MODIFICAR'!F:H,3,0)</f>
        <v xml:space="preserve">CENTRO </v>
      </c>
      <c r="G229" s="26" t="s">
        <v>272</v>
      </c>
      <c r="H229" s="93" t="s">
        <v>273</v>
      </c>
      <c r="I229" s="94">
        <v>10000231</v>
      </c>
      <c r="J229" s="56" t="str">
        <f>VLOOKUP(I229,'Materiales,canteras'!C:D,2,0)</f>
        <v>Grava Triturada Basalto 20 mm</v>
      </c>
      <c r="K229" s="33">
        <f>VLOOKUP(I229,'Materiales,canteras'!C:E,3,0)</f>
        <v>1.5649999999999999</v>
      </c>
      <c r="L229" s="105">
        <v>209</v>
      </c>
      <c r="M229" s="28" t="s">
        <v>93</v>
      </c>
      <c r="N229" s="57">
        <f t="shared" ca="1" si="34"/>
        <v>46267</v>
      </c>
      <c r="O229" s="32" t="s">
        <v>201</v>
      </c>
      <c r="S229" s="89">
        <v>280</v>
      </c>
      <c r="T229" s="66">
        <f t="shared" si="38"/>
        <v>-71</v>
      </c>
      <c r="U229" s="46">
        <f t="shared" si="30"/>
        <v>209</v>
      </c>
      <c r="V229" s="27">
        <v>92.5</v>
      </c>
      <c r="W229" s="4">
        <v>1</v>
      </c>
      <c r="X229" s="67">
        <f t="shared" si="31"/>
        <v>301.5</v>
      </c>
      <c r="Y229" s="32" t="e">
        <f>IF(+VLOOKUP(I229,P.Referencia!E:S,3,FALSE)&lt;=L229,"Champion","Gerente")</f>
        <v>#N/A</v>
      </c>
      <c r="Z229" s="39" t="e">
        <f>VLOOKUP(I229,P.Referencia!E:S,3,0)</f>
        <v>#N/A</v>
      </c>
      <c r="AA229" s="40" t="e">
        <f t="shared" si="35"/>
        <v>#N/A</v>
      </c>
      <c r="AB229" s="41" t="e">
        <f t="shared" si="36"/>
        <v>#N/A</v>
      </c>
      <c r="AC229" s="41" t="e">
        <f t="shared" si="37"/>
        <v>#N/A</v>
      </c>
    </row>
    <row r="230" spans="1:29" s="64" customFormat="1" hidden="1" x14ac:dyDescent="0.25">
      <c r="A230" s="43">
        <v>229</v>
      </c>
      <c r="B230" s="64" t="s">
        <v>379</v>
      </c>
      <c r="C230" s="131" t="str">
        <f t="shared" si="33"/>
        <v>LlaveD86167285951100002331</v>
      </c>
      <c r="D230" s="33" t="str">
        <f>VLOOKUP(E230,'NO MODIFICAR'!J:K,2,0)</f>
        <v>D861</v>
      </c>
      <c r="E230" s="26" t="s">
        <v>44</v>
      </c>
      <c r="F230" s="126" t="str">
        <f>VLOOKUP(D230,'NO MODIFICAR'!F:H,3,0)</f>
        <v xml:space="preserve">CENTRO </v>
      </c>
      <c r="G230" s="26" t="s">
        <v>272</v>
      </c>
      <c r="H230" s="93" t="s">
        <v>273</v>
      </c>
      <c r="I230" s="94">
        <v>10000233</v>
      </c>
      <c r="J230" s="56" t="str">
        <f>VLOOKUP(I230,'Materiales,canteras'!C:D,2,0)</f>
        <v>Grava Triturada Basalto  40 mm</v>
      </c>
      <c r="K230" s="33">
        <f>VLOOKUP(I230,'Materiales,canteras'!C:E,3,0)</f>
        <v>1.456</v>
      </c>
      <c r="L230" s="105">
        <v>209</v>
      </c>
      <c r="M230" s="28" t="s">
        <v>93</v>
      </c>
      <c r="N230" s="57">
        <f t="shared" ca="1" si="34"/>
        <v>46267</v>
      </c>
      <c r="O230" s="32" t="s">
        <v>201</v>
      </c>
      <c r="S230" s="89">
        <v>282</v>
      </c>
      <c r="T230" s="66">
        <f t="shared" si="38"/>
        <v>-73</v>
      </c>
      <c r="U230" s="46">
        <f t="shared" si="30"/>
        <v>209</v>
      </c>
      <c r="V230" s="27">
        <v>92.5</v>
      </c>
      <c r="W230" s="4">
        <v>1</v>
      </c>
      <c r="X230" s="67">
        <f t="shared" si="31"/>
        <v>301.5</v>
      </c>
      <c r="Y230" s="32" t="e">
        <f>IF(+VLOOKUP(I230,P.Referencia!E:S,3,FALSE)&lt;=L230,"Champion","Gerente")</f>
        <v>#N/A</v>
      </c>
      <c r="Z230" s="39" t="e">
        <f>VLOOKUP(I230,P.Referencia!E:S,3,0)</f>
        <v>#N/A</v>
      </c>
      <c r="AA230" s="40" t="e">
        <f t="shared" si="35"/>
        <v>#N/A</v>
      </c>
      <c r="AB230" s="41" t="e">
        <f t="shared" si="36"/>
        <v>#N/A</v>
      </c>
      <c r="AC230" s="41" t="e">
        <f t="shared" si="37"/>
        <v>#N/A</v>
      </c>
    </row>
    <row r="231" spans="1:29" s="64" customFormat="1" hidden="1" x14ac:dyDescent="0.25">
      <c r="A231" s="43">
        <v>230</v>
      </c>
      <c r="B231" s="64" t="s">
        <v>379</v>
      </c>
      <c r="C231" s="131" t="str">
        <f t="shared" si="33"/>
        <v>LlaveD8646732883510001073</v>
      </c>
      <c r="D231" s="33" t="str">
        <f>VLOOKUP(E231,'NO MODIFICAR'!J:K,2,0)</f>
        <v>D864</v>
      </c>
      <c r="E231" s="26" t="s">
        <v>55</v>
      </c>
      <c r="F231" s="126" t="str">
        <f>VLOOKUP(D231,'NO MODIFICAR'!F:H,3,0)</f>
        <v xml:space="preserve">CENTRO </v>
      </c>
      <c r="G231" s="26">
        <v>67328835</v>
      </c>
      <c r="H231" s="93" t="s">
        <v>274</v>
      </c>
      <c r="I231" s="94">
        <v>10001073</v>
      </c>
      <c r="J231" s="56" t="str">
        <f>VLOOKUP(I231,'Materiales,canteras'!C:D,2,0)</f>
        <v>Arena Triturada Caliza Malla 4</v>
      </c>
      <c r="K231" s="33">
        <f>VLOOKUP(I231,'Materiales,canteras'!C:E,3,0)</f>
        <v>1.56</v>
      </c>
      <c r="L231" s="105">
        <v>110.1</v>
      </c>
      <c r="M231" s="28" t="s">
        <v>93</v>
      </c>
      <c r="N231" s="57">
        <f t="shared" ca="1" si="34"/>
        <v>46267</v>
      </c>
      <c r="O231" s="32" t="s">
        <v>201</v>
      </c>
      <c r="S231" s="89">
        <v>150</v>
      </c>
      <c r="T231" s="66">
        <f t="shared" si="38"/>
        <v>-39.900000000000006</v>
      </c>
      <c r="U231" s="46">
        <f t="shared" si="30"/>
        <v>110.1</v>
      </c>
      <c r="V231" s="27"/>
      <c r="W231" s="4"/>
      <c r="X231" s="67">
        <f t="shared" si="31"/>
        <v>110.1</v>
      </c>
      <c r="Y231" s="32" t="e">
        <f>IF(+VLOOKUP(I231,P.Referencia!E:S,3,FALSE)&lt;=L231,"Champion","Gerente")</f>
        <v>#N/A</v>
      </c>
      <c r="Z231" s="39" t="e">
        <f>VLOOKUP(I231,P.Referencia!E:S,3,0)</f>
        <v>#N/A</v>
      </c>
      <c r="AA231" s="40" t="e">
        <f t="shared" si="35"/>
        <v>#N/A</v>
      </c>
      <c r="AB231" s="41" t="e">
        <f t="shared" si="36"/>
        <v>#N/A</v>
      </c>
      <c r="AC231" s="41" t="e">
        <f t="shared" si="37"/>
        <v>#N/A</v>
      </c>
    </row>
    <row r="232" spans="1:29" s="64" customFormat="1" hidden="1" x14ac:dyDescent="0.25">
      <c r="A232" s="43">
        <v>231</v>
      </c>
      <c r="B232" s="64" t="s">
        <v>379</v>
      </c>
      <c r="C232" s="131" t="str">
        <f t="shared" si="33"/>
        <v>LlaveD8646732883510000240</v>
      </c>
      <c r="D232" s="33" t="str">
        <f>VLOOKUP(E232,'NO MODIFICAR'!J:K,2,0)</f>
        <v>D864</v>
      </c>
      <c r="E232" s="26" t="s">
        <v>55</v>
      </c>
      <c r="F232" s="126" t="str">
        <f>VLOOKUP(D232,'NO MODIFICAR'!F:H,3,0)</f>
        <v xml:space="preserve">CENTRO </v>
      </c>
      <c r="G232" s="26">
        <v>67328835</v>
      </c>
      <c r="H232" s="93" t="s">
        <v>274</v>
      </c>
      <c r="I232" s="94">
        <v>10000240</v>
      </c>
      <c r="J232" s="56" t="str">
        <f>VLOOKUP(I232,'Materiales,canteras'!C:D,2,0)</f>
        <v>Grava Triturada Caliza 20 mm -</v>
      </c>
      <c r="K232" s="33">
        <f>VLOOKUP(I232,'Materiales,canteras'!C:E,3,0)</f>
        <v>1.462</v>
      </c>
      <c r="L232" s="105">
        <v>135</v>
      </c>
      <c r="M232" s="28" t="s">
        <v>93</v>
      </c>
      <c r="N232" s="57">
        <f t="shared" ca="1" si="34"/>
        <v>46267</v>
      </c>
      <c r="O232" s="32" t="s">
        <v>201</v>
      </c>
      <c r="S232" s="89">
        <v>280</v>
      </c>
      <c r="T232" s="66">
        <f t="shared" si="38"/>
        <v>-145</v>
      </c>
      <c r="U232" s="46">
        <f t="shared" si="30"/>
        <v>135</v>
      </c>
      <c r="V232" s="27"/>
      <c r="W232" s="4"/>
      <c r="X232" s="67">
        <f t="shared" si="31"/>
        <v>135</v>
      </c>
      <c r="Y232" s="32" t="e">
        <f>IF(+VLOOKUP(I232,P.Referencia!E:S,3,FALSE)&lt;=L232,"Champion","Gerente")</f>
        <v>#N/A</v>
      </c>
      <c r="Z232" s="39" t="e">
        <f>VLOOKUP(I232,P.Referencia!E:S,3,0)</f>
        <v>#N/A</v>
      </c>
      <c r="AA232" s="40" t="e">
        <f t="shared" si="35"/>
        <v>#N/A</v>
      </c>
      <c r="AB232" s="41" t="e">
        <f t="shared" si="36"/>
        <v>#N/A</v>
      </c>
      <c r="AC232" s="41" t="e">
        <f t="shared" si="37"/>
        <v>#N/A</v>
      </c>
    </row>
    <row r="233" spans="1:29" s="64" customFormat="1" hidden="1" x14ac:dyDescent="0.25">
      <c r="A233" s="43">
        <v>232</v>
      </c>
      <c r="B233" s="64" t="s">
        <v>379</v>
      </c>
      <c r="C233" s="131" t="str">
        <f t="shared" si="33"/>
        <v>LlaveD8646732883510000269</v>
      </c>
      <c r="D233" s="33" t="str">
        <f>VLOOKUP(E233,'NO MODIFICAR'!J:K,2,0)</f>
        <v>D864</v>
      </c>
      <c r="E233" s="26" t="s">
        <v>55</v>
      </c>
      <c r="F233" s="126" t="str">
        <f>VLOOKUP(D233,'NO MODIFICAR'!F:H,3,0)</f>
        <v xml:space="preserve">CENTRO </v>
      </c>
      <c r="G233" s="26">
        <v>67328835</v>
      </c>
      <c r="H233" s="93" t="s">
        <v>274</v>
      </c>
      <c r="I233" s="94">
        <v>10000269</v>
      </c>
      <c r="J233" s="56" t="str">
        <f>VLOOKUP(I233,'Materiales,canteras'!C:D,2,0)</f>
        <v>Grava Triturada Caliza 13 mm -</v>
      </c>
      <c r="K233" s="33">
        <f>VLOOKUP(I233,'Materiales,canteras'!C:E,3,0)</f>
        <v>1.423</v>
      </c>
      <c r="L233" s="105">
        <v>147.66</v>
      </c>
      <c r="M233" s="28" t="s">
        <v>93</v>
      </c>
      <c r="N233" s="57">
        <f t="shared" ca="1" si="34"/>
        <v>46267</v>
      </c>
      <c r="O233" s="32" t="s">
        <v>201</v>
      </c>
      <c r="S233" s="89">
        <v>250</v>
      </c>
      <c r="T233" s="66">
        <f t="shared" si="38"/>
        <v>-102.34</v>
      </c>
      <c r="U233" s="46">
        <f t="shared" si="30"/>
        <v>147.66</v>
      </c>
      <c r="V233" s="27"/>
      <c r="W233" s="4"/>
      <c r="X233" s="67">
        <f t="shared" si="31"/>
        <v>147.66</v>
      </c>
      <c r="Y233" s="32" t="e">
        <f>IF(+VLOOKUP(I233,P.Referencia!E:S,3,FALSE)&lt;=L233,"Champion","Gerente")</f>
        <v>#N/A</v>
      </c>
      <c r="Z233" s="39" t="e">
        <f>VLOOKUP(I233,P.Referencia!E:S,3,0)</f>
        <v>#N/A</v>
      </c>
      <c r="AA233" s="40" t="e">
        <f t="shared" si="35"/>
        <v>#N/A</v>
      </c>
      <c r="AB233" s="41" t="e">
        <f t="shared" si="36"/>
        <v>#N/A</v>
      </c>
      <c r="AC233" s="41" t="e">
        <f t="shared" si="37"/>
        <v>#N/A</v>
      </c>
    </row>
    <row r="234" spans="1:29" s="64" customFormat="1" hidden="1" x14ac:dyDescent="0.25">
      <c r="A234" s="43">
        <v>233</v>
      </c>
      <c r="B234" s="64" t="s">
        <v>379</v>
      </c>
      <c r="C234" s="131" t="str">
        <f t="shared" si="33"/>
        <v>LlaveD8646733361210001073</v>
      </c>
      <c r="D234" s="33" t="str">
        <f>VLOOKUP(E234,'NO MODIFICAR'!J:K,2,0)</f>
        <v>D864</v>
      </c>
      <c r="E234" s="26" t="s">
        <v>55</v>
      </c>
      <c r="F234" s="126" t="str">
        <f>VLOOKUP(D234,'NO MODIFICAR'!F:H,3,0)</f>
        <v xml:space="preserve">CENTRO </v>
      </c>
      <c r="G234" s="26">
        <v>67333612</v>
      </c>
      <c r="H234" s="93" t="s">
        <v>275</v>
      </c>
      <c r="I234" s="94">
        <v>10001073</v>
      </c>
      <c r="J234" s="56" t="str">
        <f>VLOOKUP(I234,'Materiales,canteras'!C:D,2,0)</f>
        <v>Arena Triturada Caliza Malla 4</v>
      </c>
      <c r="K234" s="33">
        <f>VLOOKUP(I234,'Materiales,canteras'!C:E,3,0)</f>
        <v>1.56</v>
      </c>
      <c r="L234" s="105">
        <v>90.72</v>
      </c>
      <c r="M234" s="28" t="s">
        <v>93</v>
      </c>
      <c r="N234" s="57">
        <f t="shared" ca="1" si="34"/>
        <v>46267</v>
      </c>
      <c r="O234" s="32" t="s">
        <v>201</v>
      </c>
      <c r="R234" s="64">
        <v>1.4999999999999999E-2</v>
      </c>
      <c r="S234" s="89">
        <v>150</v>
      </c>
      <c r="T234" s="66">
        <f t="shared" si="38"/>
        <v>-57.03</v>
      </c>
      <c r="U234" s="46">
        <f t="shared" si="30"/>
        <v>90.72</v>
      </c>
      <c r="V234" s="27"/>
      <c r="W234" s="4"/>
      <c r="X234" s="67">
        <f t="shared" si="31"/>
        <v>90.72</v>
      </c>
      <c r="Y234" s="32" t="e">
        <f>IF(+VLOOKUP(I234,P.Referencia!E:S,3,FALSE)&lt;=L234,"Champion","Gerente")</f>
        <v>#N/A</v>
      </c>
      <c r="Z234" s="39" t="e">
        <f>VLOOKUP(I234,P.Referencia!E:S,3,0)</f>
        <v>#N/A</v>
      </c>
      <c r="AA234" s="40" t="e">
        <f t="shared" si="35"/>
        <v>#N/A</v>
      </c>
      <c r="AB234" s="41" t="e">
        <f t="shared" si="36"/>
        <v>#N/A</v>
      </c>
      <c r="AC234" s="41" t="e">
        <f t="shared" si="37"/>
        <v>#N/A</v>
      </c>
    </row>
    <row r="235" spans="1:29" s="64" customFormat="1" hidden="1" x14ac:dyDescent="0.25">
      <c r="A235" s="43">
        <v>234</v>
      </c>
      <c r="B235" s="64" t="s">
        <v>379</v>
      </c>
      <c r="C235" s="131" t="str">
        <f t="shared" si="33"/>
        <v>LlaveD8646733361210000240</v>
      </c>
      <c r="D235" s="33" t="str">
        <f>VLOOKUP(E235,'NO MODIFICAR'!J:K,2,0)</f>
        <v>D864</v>
      </c>
      <c r="E235" s="26" t="s">
        <v>55</v>
      </c>
      <c r="F235" s="126" t="str">
        <f>VLOOKUP(D235,'NO MODIFICAR'!F:H,3,0)</f>
        <v xml:space="preserve">CENTRO </v>
      </c>
      <c r="G235" s="26">
        <v>67333612</v>
      </c>
      <c r="H235" s="93" t="s">
        <v>275</v>
      </c>
      <c r="I235" s="94">
        <v>10000240</v>
      </c>
      <c r="J235" s="56" t="str">
        <f>VLOOKUP(I235,'Materiales,canteras'!C:D,2,0)</f>
        <v>Grava Triturada Caliza 20 mm -</v>
      </c>
      <c r="K235" s="33">
        <f>VLOOKUP(I235,'Materiales,canteras'!C:E,3,0)</f>
        <v>1.462</v>
      </c>
      <c r="L235" s="105">
        <v>131.54</v>
      </c>
      <c r="M235" s="28" t="s">
        <v>93</v>
      </c>
      <c r="N235" s="57">
        <f t="shared" ca="1" si="34"/>
        <v>46267</v>
      </c>
      <c r="O235" s="32" t="s">
        <v>201</v>
      </c>
      <c r="R235" s="64">
        <v>1.4999999999999999E-2</v>
      </c>
      <c r="S235" s="89">
        <v>280</v>
      </c>
      <c r="T235" s="66">
        <f t="shared" si="38"/>
        <v>-144.26000000000002</v>
      </c>
      <c r="U235" s="46">
        <f t="shared" si="30"/>
        <v>131.54</v>
      </c>
      <c r="V235" s="27"/>
      <c r="W235" s="4"/>
      <c r="X235" s="67">
        <f t="shared" si="31"/>
        <v>131.54</v>
      </c>
      <c r="Y235" s="32" t="e">
        <f>IF(+VLOOKUP(I235,P.Referencia!E:S,3,FALSE)&lt;=L235,"Champion","Gerente")</f>
        <v>#N/A</v>
      </c>
      <c r="Z235" s="39" t="e">
        <f>VLOOKUP(I235,P.Referencia!E:S,3,0)</f>
        <v>#N/A</v>
      </c>
      <c r="AA235" s="40" t="e">
        <f t="shared" si="35"/>
        <v>#N/A</v>
      </c>
      <c r="AB235" s="41" t="e">
        <f t="shared" si="36"/>
        <v>#N/A</v>
      </c>
      <c r="AC235" s="41" t="e">
        <f t="shared" si="37"/>
        <v>#N/A</v>
      </c>
    </row>
    <row r="236" spans="1:29" s="64" customFormat="1" hidden="1" x14ac:dyDescent="0.25">
      <c r="A236" s="43">
        <v>235</v>
      </c>
      <c r="B236" s="64" t="s">
        <v>379</v>
      </c>
      <c r="C236" s="131" t="str">
        <f t="shared" si="33"/>
        <v>LlaveD8646733361210000236</v>
      </c>
      <c r="D236" s="33" t="str">
        <f>VLOOKUP(E236,'NO MODIFICAR'!J:K,2,0)</f>
        <v>D864</v>
      </c>
      <c r="E236" s="26" t="s">
        <v>55</v>
      </c>
      <c r="F236" s="126" t="str">
        <f>VLOOKUP(D236,'NO MODIFICAR'!F:H,3,0)</f>
        <v xml:space="preserve">CENTRO </v>
      </c>
      <c r="G236" s="26">
        <v>67333612</v>
      </c>
      <c r="H236" s="93" t="s">
        <v>275</v>
      </c>
      <c r="I236" s="94">
        <v>10000236</v>
      </c>
      <c r="J236" s="56" t="str">
        <f>VLOOKUP(I236,'Materiales,canteras'!C:D,2,0)</f>
        <v>Grava Triturada Caliza 10 mm -</v>
      </c>
      <c r="K236" s="33">
        <f>VLOOKUP(I236,'Materiales,canteras'!C:E,3,0)</f>
        <v>1.41</v>
      </c>
      <c r="L236" s="105">
        <v>137</v>
      </c>
      <c r="M236" s="28" t="s">
        <v>93</v>
      </c>
      <c r="N236" s="57">
        <f t="shared" ca="1" si="34"/>
        <v>46267</v>
      </c>
      <c r="O236" s="32" t="s">
        <v>201</v>
      </c>
      <c r="R236" s="64">
        <v>1.4999999999999999E-2</v>
      </c>
      <c r="S236" s="89">
        <v>240</v>
      </c>
      <c r="T236" s="66">
        <f t="shared" si="38"/>
        <v>-99.4</v>
      </c>
      <c r="U236" s="46">
        <f t="shared" si="30"/>
        <v>137</v>
      </c>
      <c r="V236" s="27"/>
      <c r="W236" s="4"/>
      <c r="X236" s="67">
        <f t="shared" si="31"/>
        <v>137</v>
      </c>
      <c r="Y236" s="32" t="e">
        <f>IF(+VLOOKUP(I236,P.Referencia!E:S,3,FALSE)&lt;=L236,"Champion","Gerente")</f>
        <v>#N/A</v>
      </c>
      <c r="Z236" s="39" t="e">
        <f>VLOOKUP(I236,P.Referencia!E:S,3,0)</f>
        <v>#N/A</v>
      </c>
      <c r="AA236" s="40" t="e">
        <f t="shared" si="35"/>
        <v>#N/A</v>
      </c>
      <c r="AB236" s="41" t="e">
        <f t="shared" si="36"/>
        <v>#N/A</v>
      </c>
      <c r="AC236" s="41" t="e">
        <f t="shared" si="37"/>
        <v>#N/A</v>
      </c>
    </row>
    <row r="237" spans="1:29" s="64" customFormat="1" hidden="1" x14ac:dyDescent="0.25">
      <c r="A237" s="43">
        <v>236</v>
      </c>
      <c r="B237" s="64" t="s">
        <v>379</v>
      </c>
      <c r="C237" s="131" t="str">
        <f t="shared" si="33"/>
        <v>LlaveD8646732566310001073</v>
      </c>
      <c r="D237" s="33" t="str">
        <f>VLOOKUP(E237,'NO MODIFICAR'!J:K,2,0)</f>
        <v>D864</v>
      </c>
      <c r="E237" s="26" t="s">
        <v>55</v>
      </c>
      <c r="F237" s="126" t="str">
        <f>VLOOKUP(D237,'NO MODIFICAR'!F:H,3,0)</f>
        <v xml:space="preserve">CENTRO </v>
      </c>
      <c r="G237" s="26">
        <v>67325663</v>
      </c>
      <c r="H237" s="93" t="s">
        <v>276</v>
      </c>
      <c r="I237" s="94">
        <v>10001073</v>
      </c>
      <c r="J237" s="56" t="str">
        <f>VLOOKUP(I237,'Materiales,canteras'!C:D,2,0)</f>
        <v>Arena Triturada Caliza Malla 4</v>
      </c>
      <c r="K237" s="33">
        <f>VLOOKUP(I237,'Materiales,canteras'!C:E,3,0)</f>
        <v>1.56</v>
      </c>
      <c r="L237" s="105">
        <v>90.72</v>
      </c>
      <c r="M237" s="28" t="s">
        <v>93</v>
      </c>
      <c r="N237" s="57">
        <f t="shared" ca="1" si="34"/>
        <v>46267</v>
      </c>
      <c r="O237" s="32" t="s">
        <v>201</v>
      </c>
      <c r="R237" s="64">
        <v>1.4999999999999999E-2</v>
      </c>
      <c r="S237" s="89">
        <v>150</v>
      </c>
      <c r="T237" s="66">
        <f t="shared" si="38"/>
        <v>-57.03</v>
      </c>
      <c r="U237" s="46">
        <f t="shared" ref="U237:U300" si="39">L237</f>
        <v>90.72</v>
      </c>
      <c r="V237" s="27"/>
      <c r="W237" s="4"/>
      <c r="X237" s="67">
        <f t="shared" si="31"/>
        <v>90.72</v>
      </c>
      <c r="Y237" s="32" t="e">
        <f>IF(+VLOOKUP(I237,P.Referencia!E:S,3,FALSE)&lt;=L237,"Champion","Gerente")</f>
        <v>#N/A</v>
      </c>
      <c r="Z237" s="39" t="e">
        <f>VLOOKUP(I237,P.Referencia!E:S,3,0)</f>
        <v>#N/A</v>
      </c>
      <c r="AA237" s="40" t="e">
        <f t="shared" si="35"/>
        <v>#N/A</v>
      </c>
      <c r="AB237" s="41" t="e">
        <f t="shared" si="36"/>
        <v>#N/A</v>
      </c>
      <c r="AC237" s="41" t="e">
        <f t="shared" si="37"/>
        <v>#N/A</v>
      </c>
    </row>
    <row r="238" spans="1:29" s="64" customFormat="1" hidden="1" x14ac:dyDescent="0.25">
      <c r="A238" s="43">
        <v>237</v>
      </c>
      <c r="B238" s="64" t="s">
        <v>379</v>
      </c>
      <c r="C238" s="131" t="str">
        <f t="shared" si="33"/>
        <v>LlaveD8646732566310000240</v>
      </c>
      <c r="D238" s="33" t="str">
        <f>VLOOKUP(E238,'NO MODIFICAR'!J:K,2,0)</f>
        <v>D864</v>
      </c>
      <c r="E238" s="26" t="s">
        <v>55</v>
      </c>
      <c r="F238" s="126" t="str">
        <f>VLOOKUP(D238,'NO MODIFICAR'!F:H,3,0)</f>
        <v xml:space="preserve">CENTRO </v>
      </c>
      <c r="G238" s="26">
        <v>67325663</v>
      </c>
      <c r="H238" s="93" t="s">
        <v>276</v>
      </c>
      <c r="I238" s="94">
        <v>10000240</v>
      </c>
      <c r="J238" s="56" t="str">
        <f>VLOOKUP(I238,'Materiales,canteras'!C:D,2,0)</f>
        <v>Grava Triturada Caliza 20 mm -</v>
      </c>
      <c r="K238" s="33">
        <f>VLOOKUP(I238,'Materiales,canteras'!C:E,3,0)</f>
        <v>1.462</v>
      </c>
      <c r="L238" s="105">
        <v>131.54</v>
      </c>
      <c r="M238" s="28" t="s">
        <v>93</v>
      </c>
      <c r="N238" s="57">
        <f t="shared" ca="1" si="34"/>
        <v>46267</v>
      </c>
      <c r="O238" s="32" t="s">
        <v>201</v>
      </c>
      <c r="R238" s="64">
        <v>1.4999999999999999E-2</v>
      </c>
      <c r="S238" s="89">
        <v>280</v>
      </c>
      <c r="T238" s="66">
        <f t="shared" si="38"/>
        <v>-144.26000000000002</v>
      </c>
      <c r="U238" s="46">
        <f t="shared" si="39"/>
        <v>131.54</v>
      </c>
      <c r="V238" s="27"/>
      <c r="W238" s="4"/>
      <c r="X238" s="67">
        <f t="shared" si="31"/>
        <v>131.54</v>
      </c>
      <c r="Y238" s="32" t="e">
        <f>IF(+VLOOKUP(I238,P.Referencia!E:S,3,FALSE)&lt;=L238,"Champion","Gerente")</f>
        <v>#N/A</v>
      </c>
      <c r="Z238" s="39" t="e">
        <f>VLOOKUP(I238,P.Referencia!E:S,3,0)</f>
        <v>#N/A</v>
      </c>
      <c r="AA238" s="40" t="e">
        <f t="shared" si="35"/>
        <v>#N/A</v>
      </c>
      <c r="AB238" s="41" t="e">
        <f t="shared" si="36"/>
        <v>#N/A</v>
      </c>
      <c r="AC238" s="41" t="e">
        <f t="shared" si="37"/>
        <v>#N/A</v>
      </c>
    </row>
    <row r="239" spans="1:29" s="64" customFormat="1" hidden="1" x14ac:dyDescent="0.25">
      <c r="A239" s="43">
        <v>238</v>
      </c>
      <c r="B239" s="64" t="s">
        <v>379</v>
      </c>
      <c r="C239" s="131" t="str">
        <f t="shared" si="33"/>
        <v>LlaveD8646732566310000236</v>
      </c>
      <c r="D239" s="33" t="str">
        <f>VLOOKUP(E239,'NO MODIFICAR'!J:K,2,0)</f>
        <v>D864</v>
      </c>
      <c r="E239" s="26" t="s">
        <v>55</v>
      </c>
      <c r="F239" s="126" t="str">
        <f>VLOOKUP(D239,'NO MODIFICAR'!F:H,3,0)</f>
        <v xml:space="preserve">CENTRO </v>
      </c>
      <c r="G239" s="26">
        <v>67325663</v>
      </c>
      <c r="H239" s="93" t="s">
        <v>276</v>
      </c>
      <c r="I239" s="94">
        <v>10000236</v>
      </c>
      <c r="J239" s="56" t="str">
        <f>VLOOKUP(I239,'Materiales,canteras'!C:D,2,0)</f>
        <v>Grava Triturada Caliza 10 mm -</v>
      </c>
      <c r="K239" s="33">
        <f>VLOOKUP(I239,'Materiales,canteras'!C:E,3,0)</f>
        <v>1.41</v>
      </c>
      <c r="L239" s="105">
        <v>137</v>
      </c>
      <c r="M239" s="28" t="s">
        <v>93</v>
      </c>
      <c r="N239" s="57">
        <f t="shared" ca="1" si="34"/>
        <v>46267</v>
      </c>
      <c r="O239" s="32" t="s">
        <v>201</v>
      </c>
      <c r="R239" s="64">
        <v>1.4999999999999999E-2</v>
      </c>
      <c r="S239" s="89">
        <v>240</v>
      </c>
      <c r="T239" s="66">
        <f t="shared" si="38"/>
        <v>-99.4</v>
      </c>
      <c r="U239" s="46">
        <f t="shared" si="39"/>
        <v>137</v>
      </c>
      <c r="V239" s="27"/>
      <c r="W239" s="4"/>
      <c r="X239" s="67">
        <f t="shared" si="31"/>
        <v>137</v>
      </c>
      <c r="Y239" s="32" t="e">
        <f>IF(+VLOOKUP(I239,P.Referencia!E:S,3,FALSE)&lt;=L239,"Champion","Gerente")</f>
        <v>#N/A</v>
      </c>
      <c r="Z239" s="39" t="e">
        <f>VLOOKUP(I239,P.Referencia!E:S,3,0)</f>
        <v>#N/A</v>
      </c>
      <c r="AA239" s="40" t="e">
        <f t="shared" si="35"/>
        <v>#N/A</v>
      </c>
      <c r="AB239" s="41" t="e">
        <f t="shared" si="36"/>
        <v>#N/A</v>
      </c>
      <c r="AC239" s="41" t="e">
        <f t="shared" si="37"/>
        <v>#N/A</v>
      </c>
    </row>
    <row r="240" spans="1:29" s="64" customFormat="1" hidden="1" x14ac:dyDescent="0.25">
      <c r="A240" s="43">
        <v>239</v>
      </c>
      <c r="B240" s="64" t="s">
        <v>379</v>
      </c>
      <c r="C240" s="131" t="str">
        <f t="shared" si="33"/>
        <v>LlaveD86167337080100003112</v>
      </c>
      <c r="D240" s="33" t="str">
        <f>VLOOKUP(E240,'NO MODIFICAR'!J:K,2,0)</f>
        <v>D861</v>
      </c>
      <c r="E240" s="26" t="s">
        <v>44</v>
      </c>
      <c r="F240" s="126" t="str">
        <f>VLOOKUP(D240,'NO MODIFICAR'!F:H,3,0)</f>
        <v xml:space="preserve">CENTRO </v>
      </c>
      <c r="G240" s="26">
        <v>67337080</v>
      </c>
      <c r="H240" s="93" t="s">
        <v>277</v>
      </c>
      <c r="I240" s="94">
        <v>10000311</v>
      </c>
      <c r="J240" s="56" t="str">
        <f>VLOOKUP(I240,'Materiales,canteras'!C:D,2,0)</f>
        <v>Arena Triturada Basalto  Malla</v>
      </c>
      <c r="K240" s="33">
        <f>VLOOKUP(I240,'Materiales,canteras'!C:E,3,0)</f>
        <v>1.651</v>
      </c>
      <c r="L240" s="105">
        <v>180</v>
      </c>
      <c r="M240" s="28" t="s">
        <v>93</v>
      </c>
      <c r="N240" s="57">
        <f t="shared" ca="1" si="34"/>
        <v>46267</v>
      </c>
      <c r="O240" s="32" t="s">
        <v>201</v>
      </c>
      <c r="R240" s="64">
        <v>1.4999999999999999E-2</v>
      </c>
      <c r="S240" s="89">
        <v>260</v>
      </c>
      <c r="T240" s="66">
        <f t="shared" si="38"/>
        <v>-76.100000000000023</v>
      </c>
      <c r="U240" s="46">
        <f t="shared" si="39"/>
        <v>180</v>
      </c>
      <c r="V240" s="27">
        <v>0</v>
      </c>
      <c r="W240" s="4">
        <v>2</v>
      </c>
      <c r="X240" s="67">
        <f t="shared" si="31"/>
        <v>180</v>
      </c>
      <c r="Y240" s="32" t="e">
        <f>IF(+VLOOKUP(I240,P.Referencia!E:S,3,FALSE)&lt;=L240,"Champion","Gerente")</f>
        <v>#N/A</v>
      </c>
      <c r="Z240" s="39" t="e">
        <f>VLOOKUP(I240,P.Referencia!E:S,3,0)</f>
        <v>#N/A</v>
      </c>
      <c r="AA240" s="40" t="e">
        <f t="shared" si="35"/>
        <v>#N/A</v>
      </c>
      <c r="AB240" s="41" t="e">
        <f t="shared" si="36"/>
        <v>#N/A</v>
      </c>
      <c r="AC240" s="41" t="e">
        <f t="shared" si="37"/>
        <v>#N/A</v>
      </c>
    </row>
    <row r="241" spans="1:30" s="64" customFormat="1" hidden="1" x14ac:dyDescent="0.25">
      <c r="A241" s="43">
        <v>240</v>
      </c>
      <c r="B241" s="64" t="s">
        <v>379</v>
      </c>
      <c r="C241" s="131" t="str">
        <f t="shared" si="33"/>
        <v>LlaveD86167337080100031532</v>
      </c>
      <c r="D241" s="33" t="str">
        <f>VLOOKUP(E241,'NO MODIFICAR'!J:K,2,0)</f>
        <v>D861</v>
      </c>
      <c r="E241" s="26" t="s">
        <v>44</v>
      </c>
      <c r="F241" s="126" t="str">
        <f>VLOOKUP(D241,'NO MODIFICAR'!F:H,3,0)</f>
        <v xml:space="preserve">CENTRO </v>
      </c>
      <c r="G241" s="26">
        <v>67337080</v>
      </c>
      <c r="H241" s="93" t="s">
        <v>277</v>
      </c>
      <c r="I241" s="94">
        <v>10003153</v>
      </c>
      <c r="J241" s="56" t="str">
        <f>VLOOKUP(I241,'Materiales,canteras'!C:D,2,0)</f>
        <v>Grava Triturada Basalto 13 mm</v>
      </c>
      <c r="K241" s="33">
        <f>VLOOKUP(I241,'Materiales,canteras'!C:E,3,0)</f>
        <v>1.546</v>
      </c>
      <c r="L241" s="105">
        <v>190</v>
      </c>
      <c r="M241" s="28" t="s">
        <v>93</v>
      </c>
      <c r="N241" s="57">
        <f t="shared" ca="1" si="34"/>
        <v>46267</v>
      </c>
      <c r="O241" s="32" t="s">
        <v>201</v>
      </c>
      <c r="R241" s="64">
        <v>1.4999999999999999E-2</v>
      </c>
      <c r="S241" s="89">
        <v>270</v>
      </c>
      <c r="T241" s="66">
        <f t="shared" si="38"/>
        <v>-75.949999999999989</v>
      </c>
      <c r="U241" s="46">
        <f t="shared" si="39"/>
        <v>190</v>
      </c>
      <c r="V241" s="27">
        <v>0</v>
      </c>
      <c r="W241" s="4">
        <v>2</v>
      </c>
      <c r="X241" s="67">
        <f t="shared" si="31"/>
        <v>190</v>
      </c>
      <c r="Y241" s="32" t="e">
        <f>IF(+VLOOKUP(I241,P.Referencia!E:S,3,FALSE)&lt;=L241,"Champion","Gerente")</f>
        <v>#N/A</v>
      </c>
      <c r="Z241" s="39" t="e">
        <f>VLOOKUP(I241,P.Referencia!E:S,3,0)</f>
        <v>#N/A</v>
      </c>
      <c r="AA241" s="40" t="e">
        <f t="shared" si="35"/>
        <v>#N/A</v>
      </c>
      <c r="AB241" s="41" t="e">
        <f t="shared" si="36"/>
        <v>#N/A</v>
      </c>
      <c r="AC241" s="41" t="e">
        <f t="shared" si="37"/>
        <v>#N/A</v>
      </c>
    </row>
    <row r="242" spans="1:30" s="64" customFormat="1" hidden="1" x14ac:dyDescent="0.25">
      <c r="A242" s="43">
        <v>241</v>
      </c>
      <c r="B242" s="64" t="s">
        <v>379</v>
      </c>
      <c r="C242" s="131" t="str">
        <f t="shared" si="33"/>
        <v>LlaveD86167337080100002312</v>
      </c>
      <c r="D242" s="33" t="str">
        <f>VLOOKUP(E242,'NO MODIFICAR'!J:K,2,0)</f>
        <v>D861</v>
      </c>
      <c r="E242" s="26" t="s">
        <v>44</v>
      </c>
      <c r="F242" s="126" t="str">
        <f>VLOOKUP(D242,'NO MODIFICAR'!F:H,3,0)</f>
        <v xml:space="preserve">CENTRO </v>
      </c>
      <c r="G242" s="26">
        <v>67337080</v>
      </c>
      <c r="H242" s="93" t="s">
        <v>277</v>
      </c>
      <c r="I242" s="94">
        <v>10000231</v>
      </c>
      <c r="J242" s="56" t="str">
        <f>VLOOKUP(I242,'Materiales,canteras'!C:D,2,0)</f>
        <v>Grava Triturada Basalto 20 mm</v>
      </c>
      <c r="K242" s="33">
        <f>VLOOKUP(I242,'Materiales,canteras'!C:E,3,0)</f>
        <v>1.5649999999999999</v>
      </c>
      <c r="L242" s="105">
        <v>190</v>
      </c>
      <c r="M242" s="28" t="s">
        <v>93</v>
      </c>
      <c r="N242" s="57">
        <f t="shared" ca="1" si="34"/>
        <v>46267</v>
      </c>
      <c r="O242" s="32" t="s">
        <v>201</v>
      </c>
      <c r="R242" s="64">
        <v>1.4999999999999999E-2</v>
      </c>
      <c r="S242" s="89">
        <v>280</v>
      </c>
      <c r="T242" s="66">
        <f t="shared" si="38"/>
        <v>-85.800000000000011</v>
      </c>
      <c r="U242" s="46">
        <f t="shared" si="39"/>
        <v>190</v>
      </c>
      <c r="V242" s="27">
        <v>0</v>
      </c>
      <c r="W242" s="4">
        <v>2</v>
      </c>
      <c r="X242" s="67">
        <f t="shared" si="31"/>
        <v>190</v>
      </c>
      <c r="Y242" s="32" t="e">
        <f>IF(+VLOOKUP(I242,P.Referencia!E:S,3,FALSE)&lt;=L242,"Champion","Gerente")</f>
        <v>#N/A</v>
      </c>
      <c r="Z242" s="39" t="e">
        <f>VLOOKUP(I242,P.Referencia!E:S,3,0)</f>
        <v>#N/A</v>
      </c>
      <c r="AA242" s="40" t="e">
        <f t="shared" si="35"/>
        <v>#N/A</v>
      </c>
      <c r="AB242" s="41" t="e">
        <f t="shared" si="36"/>
        <v>#N/A</v>
      </c>
      <c r="AC242" s="41" t="e">
        <f t="shared" si="37"/>
        <v>#N/A</v>
      </c>
    </row>
    <row r="243" spans="1:30" s="64" customFormat="1" hidden="1" x14ac:dyDescent="0.25">
      <c r="A243" s="43">
        <v>242</v>
      </c>
      <c r="B243" s="64" t="s">
        <v>375</v>
      </c>
      <c r="C243" s="131" t="str">
        <f t="shared" si="33"/>
        <v>LlaveD81366970213100002552</v>
      </c>
      <c r="D243" s="33" t="str">
        <f>VLOOKUP(E243,'NO MODIFICAR'!J:K,2,0)</f>
        <v>D813</v>
      </c>
      <c r="E243" s="26" t="s">
        <v>6</v>
      </c>
      <c r="F243" s="126" t="str">
        <f>VLOOKUP(D243,'NO MODIFICAR'!F:H,3,0)</f>
        <v xml:space="preserve">CENTRO </v>
      </c>
      <c r="G243" s="26">
        <v>66970213</v>
      </c>
      <c r="H243" s="93" t="s">
        <v>278</v>
      </c>
      <c r="I243" s="94">
        <v>10000255</v>
      </c>
      <c r="J243" s="56" t="str">
        <f>VLOOKUP(I243,'Materiales,canteras'!C:D,2,0)</f>
        <v>Arena Triturada Andesita Malla</v>
      </c>
      <c r="K243" s="33">
        <f>VLOOKUP(I243,'Materiales,canteras'!C:E,3,0)</f>
        <v>1.5349999999999999</v>
      </c>
      <c r="L243" s="105">
        <v>90</v>
      </c>
      <c r="M243" s="28" t="s">
        <v>93</v>
      </c>
      <c r="N243" s="57">
        <f t="shared" ca="1" si="34"/>
        <v>46267</v>
      </c>
      <c r="O243" s="32" t="s">
        <v>201</v>
      </c>
      <c r="R243" s="64">
        <v>1.4999999999999999E-2</v>
      </c>
      <c r="S243" s="89">
        <v>150</v>
      </c>
      <c r="T243" s="66">
        <f t="shared" si="38"/>
        <v>-57.75</v>
      </c>
      <c r="U243" s="46">
        <f t="shared" si="39"/>
        <v>90</v>
      </c>
      <c r="V243" s="27">
        <v>0</v>
      </c>
      <c r="W243" s="4">
        <v>2</v>
      </c>
      <c r="X243" s="67">
        <f t="shared" si="31"/>
        <v>90</v>
      </c>
      <c r="Y243" s="32" t="e">
        <f>IF(+VLOOKUP(I243,P.Referencia!E:S,3,FALSE)&lt;=L243,"Champion","Gerente")</f>
        <v>#N/A</v>
      </c>
      <c r="Z243" s="39" t="e">
        <f>VLOOKUP(I243,P.Referencia!E:S,3,0)</f>
        <v>#N/A</v>
      </c>
      <c r="AA243" s="40" t="e">
        <f t="shared" si="35"/>
        <v>#N/A</v>
      </c>
      <c r="AB243" s="41" t="e">
        <f t="shared" si="36"/>
        <v>#N/A</v>
      </c>
      <c r="AC243" s="41" t="e">
        <f t="shared" si="37"/>
        <v>#N/A</v>
      </c>
    </row>
    <row r="244" spans="1:30" s="64" customFormat="1" hidden="1" x14ac:dyDescent="0.25">
      <c r="A244" s="43">
        <v>243</v>
      </c>
      <c r="B244" s="64" t="s">
        <v>375</v>
      </c>
      <c r="C244" s="131" t="str">
        <f t="shared" si="33"/>
        <v>LlaveD81366970213100002532</v>
      </c>
      <c r="D244" s="33" t="str">
        <f>VLOOKUP(E244,'NO MODIFICAR'!J:K,2,0)</f>
        <v>D813</v>
      </c>
      <c r="E244" s="26" t="s">
        <v>6</v>
      </c>
      <c r="F244" s="126" t="str">
        <f>VLOOKUP(D244,'NO MODIFICAR'!F:H,3,0)</f>
        <v xml:space="preserve">CENTRO </v>
      </c>
      <c r="G244" s="26">
        <v>66970213</v>
      </c>
      <c r="H244" s="93" t="s">
        <v>278</v>
      </c>
      <c r="I244" s="94">
        <v>10000253</v>
      </c>
      <c r="J244" s="56" t="str">
        <f>VLOOKUP(I244,'Materiales,canteras'!C:D,2,0)</f>
        <v>Grava Triturada Andesita 20 mm</v>
      </c>
      <c r="K244" s="33">
        <f>VLOOKUP(I244,'Materiales,canteras'!C:E,3,0)</f>
        <v>1.385</v>
      </c>
      <c r="L244" s="105">
        <v>104</v>
      </c>
      <c r="M244" s="28" t="s">
        <v>93</v>
      </c>
      <c r="N244" s="57">
        <f t="shared" ca="1" si="34"/>
        <v>46267</v>
      </c>
      <c r="O244" s="32" t="s">
        <v>201</v>
      </c>
      <c r="R244" s="64">
        <v>1.4999999999999999E-2</v>
      </c>
      <c r="S244" s="89">
        <v>150</v>
      </c>
      <c r="T244" s="66">
        <f t="shared" si="38"/>
        <v>-43.75</v>
      </c>
      <c r="U244" s="46">
        <f t="shared" si="39"/>
        <v>104</v>
      </c>
      <c r="V244" s="27">
        <v>0</v>
      </c>
      <c r="W244" s="4">
        <v>2</v>
      </c>
      <c r="X244" s="67">
        <f t="shared" si="31"/>
        <v>104</v>
      </c>
      <c r="Y244" s="32" t="e">
        <f>IF(+VLOOKUP(I244,P.Referencia!E:S,3,FALSE)&lt;=L244,"Champion","Gerente")</f>
        <v>#N/A</v>
      </c>
      <c r="Z244" s="39" t="e">
        <f>VLOOKUP(I244,P.Referencia!E:S,3,0)</f>
        <v>#N/A</v>
      </c>
      <c r="AA244" s="40" t="e">
        <f t="shared" si="35"/>
        <v>#N/A</v>
      </c>
      <c r="AB244" s="41" t="e">
        <f t="shared" si="36"/>
        <v>#N/A</v>
      </c>
      <c r="AC244" s="41" t="e">
        <f t="shared" si="37"/>
        <v>#N/A</v>
      </c>
    </row>
    <row r="245" spans="1:30" s="64" customFormat="1" hidden="1" x14ac:dyDescent="0.25">
      <c r="A245" s="43">
        <v>244</v>
      </c>
      <c r="B245" s="64" t="s">
        <v>379</v>
      </c>
      <c r="C245" s="131" t="str">
        <f t="shared" si="33"/>
        <v>LlaveD81367277158100002532</v>
      </c>
      <c r="D245" s="33" t="str">
        <f>VLOOKUP(E245,'NO MODIFICAR'!J:K,2,0)</f>
        <v>D813</v>
      </c>
      <c r="E245" s="26" t="s">
        <v>6</v>
      </c>
      <c r="F245" s="126" t="str">
        <f>VLOOKUP(D245,'NO MODIFICAR'!F:H,3,0)</f>
        <v xml:space="preserve">CENTRO </v>
      </c>
      <c r="G245" s="26" t="s">
        <v>279</v>
      </c>
      <c r="H245" s="93" t="s">
        <v>263</v>
      </c>
      <c r="I245" s="94">
        <v>10000253</v>
      </c>
      <c r="J245" s="56" t="str">
        <f>VLOOKUP(I245,'Materiales,canteras'!C:D,2,0)</f>
        <v>Grava Triturada Andesita 20 mm</v>
      </c>
      <c r="K245" s="33">
        <f>VLOOKUP(I245,'Materiales,canteras'!C:E,3,0)</f>
        <v>1.385</v>
      </c>
      <c r="L245" s="105">
        <v>100</v>
      </c>
      <c r="M245" s="28" t="s">
        <v>93</v>
      </c>
      <c r="N245" s="57">
        <f t="shared" ca="1" si="34"/>
        <v>46267</v>
      </c>
      <c r="O245" s="32" t="s">
        <v>201</v>
      </c>
      <c r="R245" s="64">
        <v>1.4999999999999999E-2</v>
      </c>
      <c r="S245" s="89">
        <v>150</v>
      </c>
      <c r="T245" s="66">
        <f t="shared" si="38"/>
        <v>-47.75</v>
      </c>
      <c r="U245" s="46">
        <f t="shared" si="39"/>
        <v>100</v>
      </c>
      <c r="V245" s="27">
        <v>0</v>
      </c>
      <c r="W245" s="4">
        <v>2</v>
      </c>
      <c r="X245" s="67">
        <f t="shared" si="31"/>
        <v>100</v>
      </c>
      <c r="Y245" s="32" t="e">
        <f>IF(+VLOOKUP(I245,P.Referencia!E:S,3,FALSE)&lt;=L245,"Champion","Gerente")</f>
        <v>#N/A</v>
      </c>
      <c r="Z245" s="39" t="e">
        <f>VLOOKUP(I245,P.Referencia!E:S,3,0)</f>
        <v>#N/A</v>
      </c>
      <c r="AA245" s="40" t="e">
        <f t="shared" si="35"/>
        <v>#N/A</v>
      </c>
      <c r="AB245" s="41" t="e">
        <f t="shared" si="36"/>
        <v>#N/A</v>
      </c>
      <c r="AC245" s="41" t="e">
        <f t="shared" si="37"/>
        <v>#N/A</v>
      </c>
    </row>
    <row r="246" spans="1:30" s="64" customFormat="1" hidden="1" x14ac:dyDescent="0.25">
      <c r="A246" s="43">
        <v>245</v>
      </c>
      <c r="B246" s="64" t="s">
        <v>379</v>
      </c>
      <c r="C246" s="131" t="str">
        <f t="shared" si="33"/>
        <v>LlaveDU07EQ86100001011</v>
      </c>
      <c r="D246" s="33" t="str">
        <f>VLOOKUP(E246,'NO MODIFICAR'!J:K,2,0)</f>
        <v>DU07</v>
      </c>
      <c r="E246" s="26" t="s">
        <v>87</v>
      </c>
      <c r="F246" s="33" t="str">
        <f>VLOOKUP(D246,'NO MODIFICAR'!F:H,3,0)</f>
        <v>SURESTE</v>
      </c>
      <c r="G246" s="92" t="s">
        <v>280</v>
      </c>
      <c r="H246" s="93" t="s">
        <v>281</v>
      </c>
      <c r="I246" s="94">
        <v>10000101</v>
      </c>
      <c r="J246" s="56" t="str">
        <f>VLOOKUP(I246,'Materiales,canteras'!C:D,2,0)</f>
        <v>Arena Triturada Caliza Malla 4</v>
      </c>
      <c r="K246" s="33">
        <f>VLOOKUP(I246,'Materiales,canteras'!C:E,3,0)</f>
        <v>1.417</v>
      </c>
      <c r="L246" s="105">
        <v>310.51517290049401</v>
      </c>
      <c r="M246" s="28" t="s">
        <v>93</v>
      </c>
      <c r="N246" s="57">
        <f t="shared" ca="1" si="34"/>
        <v>46267</v>
      </c>
      <c r="O246" s="32" t="s">
        <v>201</v>
      </c>
      <c r="S246" s="89"/>
      <c r="T246" s="66">
        <f t="shared" si="38"/>
        <v>310.51517290049401</v>
      </c>
      <c r="U246" s="46">
        <f t="shared" si="39"/>
        <v>310.51517290049401</v>
      </c>
      <c r="V246" s="82">
        <v>111.15031757233592</v>
      </c>
      <c r="W246" s="4">
        <v>1</v>
      </c>
      <c r="X246" s="67">
        <f t="shared" si="31"/>
        <v>421.6654904728299</v>
      </c>
      <c r="Y246" s="32" t="e">
        <f>IF(+VLOOKUP(I246,P.Referencia!E:S,3,FALSE)&lt;=L246,"Champion","Gerente")</f>
        <v>#N/A</v>
      </c>
      <c r="Z246" s="39" t="e">
        <f>VLOOKUP(I246,P.Referencia!E:S,3,0)</f>
        <v>#N/A</v>
      </c>
      <c r="AA246" s="40" t="e">
        <f t="shared" si="35"/>
        <v>#N/A</v>
      </c>
      <c r="AB246" s="41" t="e">
        <f t="shared" si="36"/>
        <v>#N/A</v>
      </c>
      <c r="AC246" s="41" t="e">
        <f t="shared" si="37"/>
        <v>#N/A</v>
      </c>
    </row>
    <row r="247" spans="1:30" s="64" customFormat="1" hidden="1" x14ac:dyDescent="0.25">
      <c r="A247" s="43">
        <v>246</v>
      </c>
      <c r="B247" s="64" t="s">
        <v>379</v>
      </c>
      <c r="C247" s="131" t="str">
        <f t="shared" si="33"/>
        <v>LlaveDU07EQ86102640381</v>
      </c>
      <c r="D247" s="33" t="str">
        <f>VLOOKUP(E247,'NO MODIFICAR'!J:K,2,0)</f>
        <v>DU07</v>
      </c>
      <c r="E247" s="26" t="s">
        <v>87</v>
      </c>
      <c r="F247" s="33" t="str">
        <f>VLOOKUP(D247,'NO MODIFICAR'!F:H,3,0)</f>
        <v>SURESTE</v>
      </c>
      <c r="G247" s="92" t="s">
        <v>280</v>
      </c>
      <c r="H247" s="93" t="s">
        <v>281</v>
      </c>
      <c r="I247" s="94">
        <v>10264038</v>
      </c>
      <c r="J247" s="56" t="str">
        <f>VLOOKUP(I247,'Materiales,canteras'!C:D,2,0)</f>
        <v>MOV ARENA TRITURADA CALIZA MALLA 4</v>
      </c>
      <c r="K247" s="33">
        <f>VLOOKUP(I247,'Materiales,canteras'!C:E,3,0)</f>
        <v>1.417</v>
      </c>
      <c r="L247" s="105">
        <v>310.51517290049401</v>
      </c>
      <c r="M247" s="28" t="s">
        <v>93</v>
      </c>
      <c r="N247" s="57">
        <f t="shared" ca="1" si="34"/>
        <v>46267</v>
      </c>
      <c r="O247" s="32" t="s">
        <v>201</v>
      </c>
      <c r="S247" s="89"/>
      <c r="T247" s="66">
        <f t="shared" si="38"/>
        <v>310.51517290049401</v>
      </c>
      <c r="U247" s="46">
        <f t="shared" si="39"/>
        <v>310.51517290049401</v>
      </c>
      <c r="V247" s="82">
        <v>111.15031757233592</v>
      </c>
      <c r="W247" s="4">
        <v>1</v>
      </c>
      <c r="X247" s="67">
        <f t="shared" si="31"/>
        <v>421.6654904728299</v>
      </c>
      <c r="Y247" s="32" t="e">
        <f>IF(+VLOOKUP(I247,P.Referencia!E:S,3,FALSE)&lt;=L247,"Champion","Gerente")</f>
        <v>#N/A</v>
      </c>
      <c r="Z247" s="39" t="e">
        <f>VLOOKUP(I247,P.Referencia!E:S,3,0)</f>
        <v>#N/A</v>
      </c>
      <c r="AA247" s="40" t="e">
        <f t="shared" si="35"/>
        <v>#N/A</v>
      </c>
      <c r="AB247" s="41" t="e">
        <f t="shared" si="36"/>
        <v>#N/A</v>
      </c>
      <c r="AC247" s="41" t="e">
        <f t="shared" si="37"/>
        <v>#N/A</v>
      </c>
    </row>
    <row r="248" spans="1:30" s="64" customFormat="1" hidden="1" x14ac:dyDescent="0.25">
      <c r="A248" s="43">
        <v>247</v>
      </c>
      <c r="B248" s="64" t="s">
        <v>379</v>
      </c>
      <c r="C248" s="131" t="str">
        <f t="shared" si="33"/>
        <v>LlaveDU07EQ86100001031</v>
      </c>
      <c r="D248" s="33" t="str">
        <f>VLOOKUP(E248,'NO MODIFICAR'!J:K,2,0)</f>
        <v>DU07</v>
      </c>
      <c r="E248" s="26" t="s">
        <v>87</v>
      </c>
      <c r="F248" s="33" t="str">
        <f>VLOOKUP(D248,'NO MODIFICAR'!F:H,3,0)</f>
        <v>SURESTE</v>
      </c>
      <c r="G248" s="92" t="s">
        <v>280</v>
      </c>
      <c r="H248" s="93" t="s">
        <v>281</v>
      </c>
      <c r="I248" s="94">
        <v>10000103</v>
      </c>
      <c r="J248" s="56" t="str">
        <f>VLOOKUP(I248,'Materiales,canteras'!C:D,2,0)</f>
        <v>Base H Triturada Caliza 1 1/2" a Finos</v>
      </c>
      <c r="K248" s="33">
        <f>VLOOKUP(I248,'Materiales,canteras'!C:E,3,0)</f>
        <v>1.462</v>
      </c>
      <c r="L248" s="105">
        <v>106.01915184678523</v>
      </c>
      <c r="M248" s="28" t="s">
        <v>93</v>
      </c>
      <c r="N248" s="57">
        <f t="shared" ca="1" si="34"/>
        <v>46267</v>
      </c>
      <c r="O248" s="32" t="s">
        <v>201</v>
      </c>
      <c r="S248" s="89"/>
      <c r="T248" s="66">
        <f t="shared" si="38"/>
        <v>106.01915184678523</v>
      </c>
      <c r="U248" s="46">
        <f t="shared" si="39"/>
        <v>106.01915184678523</v>
      </c>
      <c r="V248" s="82">
        <v>107.72913816689467</v>
      </c>
      <c r="W248" s="4">
        <v>1</v>
      </c>
      <c r="X248" s="67">
        <f t="shared" si="31"/>
        <v>213.74829001367991</v>
      </c>
      <c r="Y248" s="32" t="e">
        <f>IF(+VLOOKUP(I248,P.Referencia!E:S,3,FALSE)&lt;=L248,"Champion","Gerente")</f>
        <v>#N/A</v>
      </c>
      <c r="Z248" s="39" t="e">
        <f>VLOOKUP(I248,P.Referencia!E:S,3,0)</f>
        <v>#N/A</v>
      </c>
      <c r="AA248" s="40" t="e">
        <f t="shared" si="35"/>
        <v>#N/A</v>
      </c>
      <c r="AB248" s="41" t="e">
        <f t="shared" si="36"/>
        <v>#N/A</v>
      </c>
      <c r="AC248" s="41" t="e">
        <f t="shared" si="37"/>
        <v>#N/A</v>
      </c>
    </row>
    <row r="249" spans="1:30" s="64" customFormat="1" hidden="1" x14ac:dyDescent="0.25">
      <c r="A249" s="43">
        <v>248</v>
      </c>
      <c r="B249" s="64" t="s">
        <v>379</v>
      </c>
      <c r="C249" s="131" t="str">
        <f t="shared" si="33"/>
        <v>LlaveDU07EQ86102641031</v>
      </c>
      <c r="D249" s="33" t="str">
        <f>VLOOKUP(E249,'NO MODIFICAR'!J:K,2,0)</f>
        <v>DU07</v>
      </c>
      <c r="E249" s="26" t="s">
        <v>87</v>
      </c>
      <c r="F249" s="33" t="str">
        <f>VLOOKUP(D249,'NO MODIFICAR'!F:H,3,0)</f>
        <v>SURESTE</v>
      </c>
      <c r="G249" s="92" t="s">
        <v>280</v>
      </c>
      <c r="H249" s="93" t="s">
        <v>281</v>
      </c>
      <c r="I249" s="94">
        <v>10264103</v>
      </c>
      <c r="J249" s="56" t="str">
        <f>VLOOKUP(I249,'Materiales,canteras'!C:D,2,0)</f>
        <v>MOV BASE H TRITURADA CALIZA 1 1/2</v>
      </c>
      <c r="K249" s="33">
        <f>VLOOKUP(I249,'Materiales,canteras'!C:E,3,0)</f>
        <v>1.462</v>
      </c>
      <c r="L249" s="105">
        <v>106.01915184678523</v>
      </c>
      <c r="M249" s="28" t="s">
        <v>93</v>
      </c>
      <c r="N249" s="57">
        <f t="shared" ca="1" si="34"/>
        <v>46267</v>
      </c>
      <c r="O249" s="32" t="s">
        <v>201</v>
      </c>
      <c r="S249" s="89"/>
      <c r="T249" s="66">
        <f t="shared" si="38"/>
        <v>106.01915184678523</v>
      </c>
      <c r="U249" s="46">
        <f t="shared" si="39"/>
        <v>106.01915184678523</v>
      </c>
      <c r="V249" s="82">
        <v>107.72913816689467</v>
      </c>
      <c r="W249" s="4">
        <v>1</v>
      </c>
      <c r="X249" s="67">
        <f t="shared" si="31"/>
        <v>213.74829001367991</v>
      </c>
      <c r="Y249" s="32" t="e">
        <f>IF(+VLOOKUP(I249,P.Referencia!E:S,3,FALSE)&lt;=L249,"Champion","Gerente")</f>
        <v>#N/A</v>
      </c>
      <c r="Z249" s="39" t="e">
        <f>VLOOKUP(I249,P.Referencia!E:S,3,0)</f>
        <v>#N/A</v>
      </c>
      <c r="AA249" s="40" t="e">
        <f t="shared" si="35"/>
        <v>#N/A</v>
      </c>
      <c r="AB249" s="41" t="e">
        <f t="shared" si="36"/>
        <v>#N/A</v>
      </c>
      <c r="AC249" s="41" t="e">
        <f t="shared" si="37"/>
        <v>#N/A</v>
      </c>
    </row>
    <row r="250" spans="1:30" s="64" customFormat="1" hidden="1" x14ac:dyDescent="0.25">
      <c r="A250" s="71">
        <v>249</v>
      </c>
      <c r="B250" s="64" t="s">
        <v>379</v>
      </c>
      <c r="C250" s="131" t="str">
        <f t="shared" si="33"/>
        <v>LlaveD81367132343100002552</v>
      </c>
      <c r="D250" s="72" t="str">
        <f>VLOOKUP(E250,'NO MODIFICAR'!J:K,2,0)</f>
        <v>D813</v>
      </c>
      <c r="E250" s="102" t="s">
        <v>6</v>
      </c>
      <c r="F250" s="72" t="str">
        <f>VLOOKUP(D250,'NO MODIFICAR'!F:H,3,0)</f>
        <v xml:space="preserve">CENTRO </v>
      </c>
      <c r="G250" s="159">
        <v>67132343</v>
      </c>
      <c r="H250" s="163" t="s">
        <v>282</v>
      </c>
      <c r="I250" s="164">
        <v>10000255</v>
      </c>
      <c r="J250" s="165" t="str">
        <f>VLOOKUP(I250,'Materiales,canteras'!C:D,2,0)</f>
        <v>Arena Triturada Andesita Malla</v>
      </c>
      <c r="K250" s="72">
        <f>VLOOKUP(I250,'Materiales,canteras'!C:E,3,0)</f>
        <v>1.5349999999999999</v>
      </c>
      <c r="L250" s="166">
        <v>85.05</v>
      </c>
      <c r="M250" s="100" t="s">
        <v>93</v>
      </c>
      <c r="N250" s="73">
        <f t="shared" ca="1" si="34"/>
        <v>46267</v>
      </c>
      <c r="O250" s="71" t="s">
        <v>201</v>
      </c>
      <c r="P250" s="74"/>
      <c r="Q250" s="74"/>
      <c r="R250" s="74">
        <v>1.4999999999999999E-2</v>
      </c>
      <c r="S250" s="91">
        <v>150</v>
      </c>
      <c r="T250" s="75">
        <f t="shared" si="38"/>
        <v>-62.7</v>
      </c>
      <c r="U250" s="167">
        <f t="shared" si="39"/>
        <v>85.05</v>
      </c>
      <c r="V250" s="168">
        <v>0</v>
      </c>
      <c r="W250" s="91">
        <v>2</v>
      </c>
      <c r="X250" s="76">
        <f t="shared" si="31"/>
        <v>85.05</v>
      </c>
      <c r="Y250" s="71" t="e">
        <f>IF(+VLOOKUP(I250,P.Referencia!E:S,3,FALSE)&lt;=L250,"Champion","Gerente")</f>
        <v>#N/A</v>
      </c>
      <c r="Z250" s="77" t="e">
        <f>VLOOKUP(I250,P.Referencia!E:S,3,0)</f>
        <v>#N/A</v>
      </c>
      <c r="AA250" s="78" t="e">
        <f t="shared" si="35"/>
        <v>#N/A</v>
      </c>
      <c r="AB250" s="79" t="e">
        <f t="shared" si="36"/>
        <v>#N/A</v>
      </c>
      <c r="AC250" s="79" t="e">
        <f t="shared" si="37"/>
        <v>#N/A</v>
      </c>
      <c r="AD250" s="74"/>
    </row>
    <row r="251" spans="1:30" s="64" customFormat="1" hidden="1" x14ac:dyDescent="0.25">
      <c r="A251" s="71">
        <v>250</v>
      </c>
      <c r="B251" s="64" t="s">
        <v>379</v>
      </c>
      <c r="C251" s="131" t="str">
        <f t="shared" si="33"/>
        <v>LlaveD81367132343100002532</v>
      </c>
      <c r="D251" s="72" t="str">
        <f>VLOOKUP(E251,'NO MODIFICAR'!J:K,2,0)</f>
        <v>D813</v>
      </c>
      <c r="E251" s="102" t="s">
        <v>6</v>
      </c>
      <c r="F251" s="72" t="str">
        <f>VLOOKUP(D251,'NO MODIFICAR'!F:H,3,0)</f>
        <v xml:space="preserve">CENTRO </v>
      </c>
      <c r="G251" s="159">
        <v>67132343</v>
      </c>
      <c r="H251" s="163" t="s">
        <v>282</v>
      </c>
      <c r="I251" s="164">
        <v>10000253</v>
      </c>
      <c r="J251" s="165" t="str">
        <f>VLOOKUP(I251,'Materiales,canteras'!C:D,2,0)</f>
        <v>Grava Triturada Andesita 20 mm</v>
      </c>
      <c r="K251" s="72">
        <f>VLOOKUP(I251,'Materiales,canteras'!C:E,3,0)</f>
        <v>1.385</v>
      </c>
      <c r="L251" s="166">
        <v>96.39</v>
      </c>
      <c r="M251" s="100" t="s">
        <v>93</v>
      </c>
      <c r="N251" s="73">
        <f t="shared" ca="1" si="34"/>
        <v>46267</v>
      </c>
      <c r="O251" s="71" t="s">
        <v>201</v>
      </c>
      <c r="P251" s="74"/>
      <c r="Q251" s="74"/>
      <c r="R251" s="74">
        <v>1.4999999999999999E-2</v>
      </c>
      <c r="S251" s="91">
        <v>150</v>
      </c>
      <c r="T251" s="75">
        <f t="shared" si="38"/>
        <v>-51.36</v>
      </c>
      <c r="U251" s="167">
        <f t="shared" si="39"/>
        <v>96.39</v>
      </c>
      <c r="V251" s="168">
        <v>0</v>
      </c>
      <c r="W251" s="91">
        <v>2</v>
      </c>
      <c r="X251" s="76">
        <f t="shared" si="31"/>
        <v>96.39</v>
      </c>
      <c r="Y251" s="71" t="e">
        <f>IF(+VLOOKUP(I251,P.Referencia!E:S,3,FALSE)&lt;=L251,"Champion","Gerente")</f>
        <v>#N/A</v>
      </c>
      <c r="Z251" s="77" t="e">
        <f>VLOOKUP(I251,P.Referencia!E:S,3,0)</f>
        <v>#N/A</v>
      </c>
      <c r="AA251" s="78" t="e">
        <f t="shared" si="35"/>
        <v>#N/A</v>
      </c>
      <c r="AB251" s="79" t="e">
        <f t="shared" si="36"/>
        <v>#N/A</v>
      </c>
      <c r="AC251" s="79" t="e">
        <f t="shared" si="37"/>
        <v>#N/A</v>
      </c>
      <c r="AD251" s="74"/>
    </row>
    <row r="252" spans="1:30" s="64" customFormat="1" hidden="1" x14ac:dyDescent="0.25">
      <c r="A252" s="43">
        <v>251</v>
      </c>
      <c r="B252" s="64" t="s">
        <v>375</v>
      </c>
      <c r="C252" s="131" t="str">
        <f t="shared" si="33"/>
        <v>LlaveD86165404104100002292</v>
      </c>
      <c r="D252" s="33" t="str">
        <f>VLOOKUP(E252,'NO MODIFICAR'!J:K,2,0)</f>
        <v>D861</v>
      </c>
      <c r="E252" s="26" t="s">
        <v>44</v>
      </c>
      <c r="F252" s="33" t="str">
        <f>VLOOKUP(D252,'NO MODIFICAR'!F:H,3,0)</f>
        <v xml:space="preserve">CENTRO </v>
      </c>
      <c r="G252" s="92">
        <v>65404104</v>
      </c>
      <c r="H252" s="93" t="s">
        <v>283</v>
      </c>
      <c r="I252" s="94">
        <v>10000229</v>
      </c>
      <c r="J252" s="56" t="str">
        <f>VLOOKUP(I252,'Materiales,canteras'!C:D,2,0)</f>
        <v>Grava Triturada Basalto  10 mm</v>
      </c>
      <c r="K252" s="33">
        <f>VLOOKUP(I252,'Materiales,canteras'!C:E,3,0)</f>
        <v>1.522</v>
      </c>
      <c r="L252" s="105">
        <v>215</v>
      </c>
      <c r="M252" s="28" t="s">
        <v>93</v>
      </c>
      <c r="N252" s="57">
        <f t="shared" ca="1" si="34"/>
        <v>46267</v>
      </c>
      <c r="O252" s="32" t="s">
        <v>201</v>
      </c>
      <c r="R252" s="64">
        <v>1.4999999999999999E-2</v>
      </c>
      <c r="S252" s="89">
        <v>320</v>
      </c>
      <c r="T252" s="66">
        <f t="shared" si="38"/>
        <v>-100.19999999999999</v>
      </c>
      <c r="U252" s="46">
        <f t="shared" si="39"/>
        <v>215</v>
      </c>
      <c r="V252" s="27">
        <v>0</v>
      </c>
      <c r="W252" s="4">
        <v>2</v>
      </c>
      <c r="X252" s="67">
        <f t="shared" ref="X252:X315" si="40">U252+V252</f>
        <v>215</v>
      </c>
      <c r="Y252" s="32" t="e">
        <f>IF(+VLOOKUP(I252,P.Referencia!E:S,3,FALSE)&lt;=L252,"Champion","Gerente")</f>
        <v>#N/A</v>
      </c>
      <c r="Z252" s="39" t="e">
        <f>VLOOKUP(I252,P.Referencia!E:S,3,0)</f>
        <v>#N/A</v>
      </c>
      <c r="AA252" s="40" t="e">
        <f t="shared" si="35"/>
        <v>#N/A</v>
      </c>
      <c r="AB252" s="41" t="e">
        <f t="shared" si="36"/>
        <v>#N/A</v>
      </c>
      <c r="AC252" s="41" t="e">
        <f t="shared" si="37"/>
        <v>#N/A</v>
      </c>
    </row>
    <row r="253" spans="1:30" s="64" customFormat="1" hidden="1" x14ac:dyDescent="0.25">
      <c r="A253" s="43">
        <v>252</v>
      </c>
      <c r="B253" s="64" t="s">
        <v>375</v>
      </c>
      <c r="C253" s="131" t="str">
        <f t="shared" si="33"/>
        <v>LlaveD86166558699100002292</v>
      </c>
      <c r="D253" s="33" t="str">
        <f>VLOOKUP(E253,'NO MODIFICAR'!J:K,2,0)</f>
        <v>D861</v>
      </c>
      <c r="E253" s="26" t="s">
        <v>44</v>
      </c>
      <c r="F253" s="33" t="str">
        <f>VLOOKUP(D253,'NO MODIFICAR'!F:H,3,0)</f>
        <v xml:space="preserve">CENTRO </v>
      </c>
      <c r="G253" s="92">
        <v>66558699</v>
      </c>
      <c r="H253" s="93" t="s">
        <v>284</v>
      </c>
      <c r="I253" s="94">
        <v>10000229</v>
      </c>
      <c r="J253" s="56" t="str">
        <f>VLOOKUP(I253,'Materiales,canteras'!C:D,2,0)</f>
        <v>Grava Triturada Basalto  10 mm</v>
      </c>
      <c r="K253" s="33">
        <f>VLOOKUP(I253,'Materiales,canteras'!C:E,3,0)</f>
        <v>1.522</v>
      </c>
      <c r="L253" s="105">
        <v>215</v>
      </c>
      <c r="M253" s="28" t="s">
        <v>93</v>
      </c>
      <c r="N253" s="57">
        <f t="shared" ca="1" si="34"/>
        <v>46267</v>
      </c>
      <c r="O253" s="32" t="s">
        <v>201</v>
      </c>
      <c r="R253" s="64">
        <v>1.4999999999999999E-2</v>
      </c>
      <c r="S253" s="89">
        <v>320</v>
      </c>
      <c r="T253" s="66">
        <f t="shared" si="38"/>
        <v>-100.19999999999999</v>
      </c>
      <c r="U253" s="46">
        <f t="shared" si="39"/>
        <v>215</v>
      </c>
      <c r="V253" s="27">
        <v>0</v>
      </c>
      <c r="W253" s="4">
        <v>2</v>
      </c>
      <c r="X253" s="67">
        <f t="shared" si="40"/>
        <v>215</v>
      </c>
      <c r="Y253" s="32" t="e">
        <f>IF(+VLOOKUP(I253,P.Referencia!E:S,3,FALSE)&lt;=L253,"Champion","Gerente")</f>
        <v>#N/A</v>
      </c>
      <c r="Z253" s="39" t="e">
        <f>VLOOKUP(I253,P.Referencia!E:S,3,0)</f>
        <v>#N/A</v>
      </c>
      <c r="AA253" s="40" t="e">
        <f t="shared" si="35"/>
        <v>#N/A</v>
      </c>
      <c r="AB253" s="41" t="e">
        <f t="shared" si="36"/>
        <v>#N/A</v>
      </c>
      <c r="AC253" s="41" t="e">
        <f t="shared" si="37"/>
        <v>#N/A</v>
      </c>
    </row>
    <row r="254" spans="1:30" s="64" customFormat="1" hidden="1" x14ac:dyDescent="0.25">
      <c r="A254" s="43">
        <v>253</v>
      </c>
      <c r="B254" s="64" t="s">
        <v>375</v>
      </c>
      <c r="C254" s="131" t="str">
        <f t="shared" si="33"/>
        <v>LlaveD86166781275100003111</v>
      </c>
      <c r="D254" s="33" t="str">
        <f>VLOOKUP(E254,'NO MODIFICAR'!J:K,2,0)</f>
        <v>D861</v>
      </c>
      <c r="E254" s="26" t="s">
        <v>44</v>
      </c>
      <c r="F254" s="33" t="str">
        <f>VLOOKUP(D254,'NO MODIFICAR'!F:H,3,0)</f>
        <v xml:space="preserve">CENTRO </v>
      </c>
      <c r="G254" s="92">
        <v>66781275</v>
      </c>
      <c r="H254" s="93" t="s">
        <v>285</v>
      </c>
      <c r="I254" s="94">
        <v>10000311</v>
      </c>
      <c r="J254" s="56" t="str">
        <f>VLOOKUP(I254,'Materiales,canteras'!C:D,2,0)</f>
        <v>Arena Triturada Basalto  Malla</v>
      </c>
      <c r="K254" s="33">
        <f>VLOOKUP(I254,'Materiales,canteras'!C:E,3,0)</f>
        <v>1.651</v>
      </c>
      <c r="L254" s="105">
        <v>170.87</v>
      </c>
      <c r="M254" s="28" t="s">
        <v>93</v>
      </c>
      <c r="N254" s="57">
        <f t="shared" ca="1" si="34"/>
        <v>46267</v>
      </c>
      <c r="O254" s="32" t="s">
        <v>201</v>
      </c>
      <c r="Q254" s="64">
        <v>13</v>
      </c>
      <c r="R254" s="64">
        <v>4.9400000000000004</v>
      </c>
      <c r="S254" s="89">
        <v>260</v>
      </c>
      <c r="T254" s="66">
        <f>L254-((S254-Q254)-(R254))</f>
        <v>-71.19</v>
      </c>
      <c r="U254" s="46">
        <f t="shared" si="39"/>
        <v>170.87</v>
      </c>
      <c r="V254" s="27">
        <v>62.79</v>
      </c>
      <c r="W254" s="4">
        <v>1</v>
      </c>
      <c r="X254" s="67">
        <f t="shared" si="40"/>
        <v>233.66</v>
      </c>
      <c r="Y254" s="32" t="e">
        <f>IF(+VLOOKUP(I254,P.Referencia!E:S,3,FALSE)&lt;=L254,"Champion","Gerente")</f>
        <v>#N/A</v>
      </c>
      <c r="Z254" s="39" t="e">
        <f>VLOOKUP(I254,P.Referencia!E:S,3,0)</f>
        <v>#N/A</v>
      </c>
      <c r="AA254" s="40" t="e">
        <f t="shared" si="35"/>
        <v>#N/A</v>
      </c>
      <c r="AB254" s="41" t="e">
        <f t="shared" si="36"/>
        <v>#N/A</v>
      </c>
      <c r="AC254" s="41" t="e">
        <f t="shared" si="37"/>
        <v>#N/A</v>
      </c>
    </row>
    <row r="255" spans="1:30" s="64" customFormat="1" hidden="1" x14ac:dyDescent="0.25">
      <c r="A255" s="43">
        <v>254</v>
      </c>
      <c r="B255" s="64" t="s">
        <v>375</v>
      </c>
      <c r="C255" s="131" t="str">
        <f t="shared" si="33"/>
        <v>LlaveD81366279408100002551</v>
      </c>
      <c r="D255" s="33" t="str">
        <f>VLOOKUP(E255,'NO MODIFICAR'!J:K,2,0)</f>
        <v>D813</v>
      </c>
      <c r="E255" s="26" t="s">
        <v>6</v>
      </c>
      <c r="F255" s="33" t="str">
        <f>VLOOKUP(D255,'NO MODIFICAR'!F:H,3,0)</f>
        <v xml:space="preserve">CENTRO </v>
      </c>
      <c r="G255" s="92">
        <v>66279408</v>
      </c>
      <c r="H255" s="93" t="s">
        <v>286</v>
      </c>
      <c r="I255" s="94">
        <v>10000255</v>
      </c>
      <c r="J255" s="56" t="str">
        <f>VLOOKUP(I255,'Materiales,canteras'!C:D,2,0)</f>
        <v>Arena Triturada Andesita Malla</v>
      </c>
      <c r="K255" s="33">
        <f>VLOOKUP(I255,'Materiales,canteras'!C:E,3,0)</f>
        <v>1.5349999999999999</v>
      </c>
      <c r="L255" s="105">
        <v>104.15</v>
      </c>
      <c r="M255" s="28" t="s">
        <v>93</v>
      </c>
      <c r="N255" s="57">
        <f t="shared" ca="1" si="34"/>
        <v>46267</v>
      </c>
      <c r="O255" s="32" t="s">
        <v>201</v>
      </c>
      <c r="R255" s="64">
        <v>0.05</v>
      </c>
      <c r="S255" s="89">
        <v>150</v>
      </c>
      <c r="T255" s="66">
        <f t="shared" ref="T255:T286" si="41">L255-(S255-(S255*R255))</f>
        <v>-38.349999999999994</v>
      </c>
      <c r="U255" s="46">
        <f t="shared" si="39"/>
        <v>104.15</v>
      </c>
      <c r="V255" s="27">
        <v>194.75</v>
      </c>
      <c r="W255" s="4">
        <v>1</v>
      </c>
      <c r="X255" s="67">
        <f t="shared" si="40"/>
        <v>298.89999999999998</v>
      </c>
      <c r="Y255" s="32" t="e">
        <f>IF(+VLOOKUP(I255,P.Referencia!E:S,3,FALSE)&lt;=L255,"Champion","Gerente")</f>
        <v>#N/A</v>
      </c>
      <c r="Z255" s="39" t="e">
        <f>VLOOKUP(I255,P.Referencia!E:S,3,0)</f>
        <v>#N/A</v>
      </c>
      <c r="AA255" s="40" t="e">
        <f t="shared" si="35"/>
        <v>#N/A</v>
      </c>
      <c r="AB255" s="41" t="e">
        <f t="shared" si="36"/>
        <v>#N/A</v>
      </c>
      <c r="AC255" s="41" t="e">
        <f t="shared" si="37"/>
        <v>#N/A</v>
      </c>
    </row>
    <row r="256" spans="1:30" s="64" customFormat="1" hidden="1" x14ac:dyDescent="0.25">
      <c r="A256" s="43">
        <v>255</v>
      </c>
      <c r="B256" s="64" t="s">
        <v>375</v>
      </c>
      <c r="C256" s="131" t="str">
        <f t="shared" si="33"/>
        <v>LlaveD81366279408100002531</v>
      </c>
      <c r="D256" s="33" t="str">
        <f>VLOOKUP(E256,'NO MODIFICAR'!J:K,2,0)</f>
        <v>D813</v>
      </c>
      <c r="E256" s="26" t="s">
        <v>6</v>
      </c>
      <c r="F256" s="33" t="str">
        <f>VLOOKUP(D256,'NO MODIFICAR'!F:H,3,0)</f>
        <v xml:space="preserve">CENTRO </v>
      </c>
      <c r="G256" s="92">
        <v>66279408</v>
      </c>
      <c r="H256" s="93" t="s">
        <v>286</v>
      </c>
      <c r="I256" s="94">
        <v>10000253</v>
      </c>
      <c r="J256" s="56" t="str">
        <f>VLOOKUP(I256,'Materiales,canteras'!C:D,2,0)</f>
        <v>Grava Triturada Andesita 20 mm</v>
      </c>
      <c r="K256" s="33">
        <f>VLOOKUP(I256,'Materiales,canteras'!C:E,3,0)</f>
        <v>1.385</v>
      </c>
      <c r="L256" s="105">
        <v>125.39</v>
      </c>
      <c r="M256" s="28" t="s">
        <v>93</v>
      </c>
      <c r="N256" s="57">
        <f t="shared" ca="1" si="34"/>
        <v>46267</v>
      </c>
      <c r="O256" s="32" t="s">
        <v>201</v>
      </c>
      <c r="R256" s="64">
        <f>5/100</f>
        <v>0.05</v>
      </c>
      <c r="S256" s="89">
        <v>150</v>
      </c>
      <c r="T256" s="66">
        <f t="shared" si="41"/>
        <v>-17.11</v>
      </c>
      <c r="U256" s="46">
        <f t="shared" si="39"/>
        <v>125.39</v>
      </c>
      <c r="V256" s="27">
        <v>196.87</v>
      </c>
      <c r="W256" s="4">
        <v>1</v>
      </c>
      <c r="X256" s="67">
        <f t="shared" si="40"/>
        <v>322.26</v>
      </c>
      <c r="Y256" s="32" t="e">
        <f>IF(+VLOOKUP(I256,P.Referencia!E:S,3,FALSE)&lt;=L256,"Champion","Gerente")</f>
        <v>#N/A</v>
      </c>
      <c r="Z256" s="39" t="e">
        <f>VLOOKUP(I256,P.Referencia!E:S,3,0)</f>
        <v>#N/A</v>
      </c>
      <c r="AA256" s="40" t="e">
        <f t="shared" si="35"/>
        <v>#N/A</v>
      </c>
      <c r="AB256" s="41" t="e">
        <f t="shared" si="36"/>
        <v>#N/A</v>
      </c>
      <c r="AC256" s="41" t="e">
        <f t="shared" si="37"/>
        <v>#N/A</v>
      </c>
    </row>
    <row r="257" spans="1:32" s="64" customFormat="1" hidden="1" x14ac:dyDescent="0.25">
      <c r="A257" s="43">
        <v>256</v>
      </c>
      <c r="B257" s="64" t="s">
        <v>375</v>
      </c>
      <c r="C257" s="131" t="str">
        <f t="shared" si="33"/>
        <v>LlaveD81667338552100002622</v>
      </c>
      <c r="D257" s="33" t="s">
        <v>14</v>
      </c>
      <c r="E257" s="26" t="s">
        <v>288</v>
      </c>
      <c r="F257" s="33" t="str">
        <f>VLOOKUP(D257,'NO MODIFICAR'!F:H,3,0)</f>
        <v>NORESTE</v>
      </c>
      <c r="G257" s="92">
        <v>67338552</v>
      </c>
      <c r="H257" s="93" t="s">
        <v>287</v>
      </c>
      <c r="I257" s="94">
        <v>10000262</v>
      </c>
      <c r="J257" s="56" t="str">
        <f>VLOOKUP(I257,'Materiales,canteras'!C:D,2,0)</f>
        <v>Base H Triturada Caliza 1 1/2"</v>
      </c>
      <c r="K257" s="33">
        <f>VLOOKUP(I257,'Materiales,canteras'!C:E,3,0)</f>
        <v>1.821</v>
      </c>
      <c r="L257" s="105">
        <v>280</v>
      </c>
      <c r="M257" s="28" t="s">
        <v>93</v>
      </c>
      <c r="N257" s="57">
        <f t="shared" ca="1" si="34"/>
        <v>46267</v>
      </c>
      <c r="O257" s="32" t="s">
        <v>201</v>
      </c>
      <c r="R257" s="64">
        <v>1.4999999999999999E-2</v>
      </c>
      <c r="S257" s="89">
        <v>310</v>
      </c>
      <c r="T257" s="66">
        <f t="shared" si="41"/>
        <v>-25.350000000000023</v>
      </c>
      <c r="U257" s="46">
        <f t="shared" si="39"/>
        <v>280</v>
      </c>
      <c r="V257" s="27">
        <v>0</v>
      </c>
      <c r="W257" s="4">
        <v>2</v>
      </c>
      <c r="X257" s="67">
        <f t="shared" si="40"/>
        <v>280</v>
      </c>
      <c r="Y257" s="32" t="e">
        <f>IF(+VLOOKUP(I257,P.Referencia!E:S,3,FALSE)&lt;=L257,"Champion","Gerente")</f>
        <v>#N/A</v>
      </c>
      <c r="Z257" s="39" t="e">
        <f>VLOOKUP(I257,P.Referencia!E:S,3,0)</f>
        <v>#N/A</v>
      </c>
      <c r="AA257" s="40" t="e">
        <f t="shared" si="35"/>
        <v>#N/A</v>
      </c>
      <c r="AB257" s="41" t="e">
        <f t="shared" si="36"/>
        <v>#N/A</v>
      </c>
      <c r="AC257" s="41" t="e">
        <f t="shared" si="37"/>
        <v>#N/A</v>
      </c>
    </row>
    <row r="258" spans="1:32" s="64" customFormat="1" hidden="1" x14ac:dyDescent="0.25">
      <c r="A258" s="43">
        <v>257</v>
      </c>
      <c r="B258" s="64" t="s">
        <v>375</v>
      </c>
      <c r="C258" s="131" t="str">
        <f t="shared" ref="C258:C321" si="42">_xlfn.CONCAT($C$1,D258,G258,I258,W258)</f>
        <v>LlaveD81667338552100364882</v>
      </c>
      <c r="D258" s="33" t="s">
        <v>14</v>
      </c>
      <c r="E258" s="26" t="s">
        <v>288</v>
      </c>
      <c r="F258" s="33" t="str">
        <f>VLOOKUP(D258,'NO MODIFICAR'!F:H,3,0)</f>
        <v>NORESTE</v>
      </c>
      <c r="G258" s="92">
        <v>67338552</v>
      </c>
      <c r="H258" s="93" t="s">
        <v>287</v>
      </c>
      <c r="I258" s="94">
        <v>10036488</v>
      </c>
      <c r="J258" s="56" t="str">
        <f>VLOOKUP(I258,'Materiales,canteras'!C:D,2,0)</f>
        <v>Base H Trit Caliza 3/4" a Fino</v>
      </c>
      <c r="K258" s="33">
        <f>VLOOKUP(I258,'Materiales,canteras'!C:E,3,0)</f>
        <v>1.78</v>
      </c>
      <c r="L258" s="105">
        <v>280</v>
      </c>
      <c r="M258" s="28" t="s">
        <v>93</v>
      </c>
      <c r="N258" s="57">
        <f t="shared" ref="N258:N321" ca="1" si="43">TODAY()</f>
        <v>46267</v>
      </c>
      <c r="O258" s="32" t="s">
        <v>201</v>
      </c>
      <c r="R258" s="64">
        <v>1.4999999999999999E-2</v>
      </c>
      <c r="S258" s="89">
        <v>310</v>
      </c>
      <c r="T258" s="66">
        <f t="shared" si="41"/>
        <v>-25.350000000000023</v>
      </c>
      <c r="U258" s="46">
        <f t="shared" si="39"/>
        <v>280</v>
      </c>
      <c r="V258" s="27">
        <v>0</v>
      </c>
      <c r="W258" s="4">
        <v>2</v>
      </c>
      <c r="X258" s="67">
        <f t="shared" si="40"/>
        <v>280</v>
      </c>
      <c r="Y258" s="32" t="e">
        <f>IF(+VLOOKUP(I258,P.Referencia!E:S,3,FALSE)&lt;=L258,"Champion","Gerente")</f>
        <v>#N/A</v>
      </c>
      <c r="Z258" s="39" t="e">
        <f>VLOOKUP(I258,P.Referencia!E:S,3,0)</f>
        <v>#N/A</v>
      </c>
      <c r="AA258" s="40" t="e">
        <f t="shared" ref="AA258:AA321" si="44">(Z258-U258)/U258</f>
        <v>#N/A</v>
      </c>
      <c r="AB258" s="41" t="e">
        <f t="shared" ref="AB258:AB321" si="45">U258*AA258</f>
        <v>#N/A</v>
      </c>
      <c r="AC258" s="41" t="e">
        <f t="shared" ref="AC258:AC321" si="46">U258+AB258</f>
        <v>#N/A</v>
      </c>
    </row>
    <row r="259" spans="1:32" s="64" customFormat="1" hidden="1" x14ac:dyDescent="0.25">
      <c r="A259" s="43">
        <v>258</v>
      </c>
      <c r="B259" s="64" t="s">
        <v>375</v>
      </c>
      <c r="C259" s="131" t="str">
        <f t="shared" si="42"/>
        <v>LlaveD86466230098100002401</v>
      </c>
      <c r="D259" s="33" t="str">
        <f>VLOOKUP(E259,'NO MODIFICAR'!J:K,2,0)</f>
        <v>D864</v>
      </c>
      <c r="E259" s="26" t="s">
        <v>55</v>
      </c>
      <c r="F259" s="33" t="str">
        <f>VLOOKUP(D259,'NO MODIFICAR'!F:H,3,0)</f>
        <v xml:space="preserve">CENTRO </v>
      </c>
      <c r="G259" s="92">
        <v>66230098</v>
      </c>
      <c r="H259" s="93" t="s">
        <v>289</v>
      </c>
      <c r="I259" s="94">
        <v>10000240</v>
      </c>
      <c r="J259" s="56" t="str">
        <f>VLOOKUP(I259,'Materiales,canteras'!C:D,2,0)</f>
        <v>Grava Triturada Caliza 20 mm -</v>
      </c>
      <c r="K259" s="33">
        <f>VLOOKUP(I259,'Materiales,canteras'!C:E,3,0)</f>
        <v>1.462</v>
      </c>
      <c r="L259" s="105">
        <v>127</v>
      </c>
      <c r="M259" s="28" t="s">
        <v>93</v>
      </c>
      <c r="N259" s="57">
        <f t="shared" ca="1" si="43"/>
        <v>46267</v>
      </c>
      <c r="O259" s="32" t="s">
        <v>201</v>
      </c>
      <c r="R259" s="64">
        <f>5/100</f>
        <v>0.05</v>
      </c>
      <c r="S259" s="89">
        <v>280</v>
      </c>
      <c r="T259" s="66">
        <f t="shared" si="41"/>
        <v>-139</v>
      </c>
      <c r="U259" s="46">
        <f t="shared" si="39"/>
        <v>127</v>
      </c>
      <c r="V259" s="27">
        <v>195.73187414500686</v>
      </c>
      <c r="W259" s="4">
        <v>1</v>
      </c>
      <c r="X259" s="67">
        <f t="shared" si="40"/>
        <v>322.73187414500683</v>
      </c>
      <c r="Y259" s="32" t="e">
        <f>IF(+VLOOKUP(I259,P.Referencia!E:S,3,FALSE)&lt;=L259,"Champion","Gerente")</f>
        <v>#N/A</v>
      </c>
      <c r="Z259" s="39" t="e">
        <f>VLOOKUP(I259,P.Referencia!E:S,3,0)</f>
        <v>#N/A</v>
      </c>
      <c r="AA259" s="40" t="e">
        <f t="shared" si="44"/>
        <v>#N/A</v>
      </c>
      <c r="AB259" s="41" t="e">
        <f t="shared" si="45"/>
        <v>#N/A</v>
      </c>
      <c r="AC259" s="41" t="e">
        <f t="shared" si="46"/>
        <v>#N/A</v>
      </c>
    </row>
    <row r="260" spans="1:32" s="64" customFormat="1" hidden="1" x14ac:dyDescent="0.25">
      <c r="A260" s="43">
        <v>259</v>
      </c>
      <c r="B260" s="64" t="s">
        <v>375</v>
      </c>
      <c r="C260" s="131" t="str">
        <f t="shared" si="42"/>
        <v>LlaveD86466230098100010741</v>
      </c>
      <c r="D260" s="33" t="str">
        <f>VLOOKUP(E260,'NO MODIFICAR'!J:K,2,0)</f>
        <v>D864</v>
      </c>
      <c r="E260" s="26" t="s">
        <v>55</v>
      </c>
      <c r="F260" s="33" t="str">
        <f>VLOOKUP(D260,'NO MODIFICAR'!F:H,3,0)</f>
        <v xml:space="preserve">CENTRO </v>
      </c>
      <c r="G260" s="92">
        <v>66230098</v>
      </c>
      <c r="H260" s="93" t="s">
        <v>289</v>
      </c>
      <c r="I260" s="94">
        <v>10001074</v>
      </c>
      <c r="J260" s="56" t="str">
        <f>VLOOKUP(I260,'Materiales,canteras'!C:D,2,0)</f>
        <v>Grava Triturada Caliza 40 mm -</v>
      </c>
      <c r="K260" s="33">
        <f>VLOOKUP(I260,'Materiales,canteras'!C:E,3,0)</f>
        <v>1.4</v>
      </c>
      <c r="L260" s="105">
        <v>137</v>
      </c>
      <c r="M260" s="28" t="s">
        <v>93</v>
      </c>
      <c r="N260" s="57">
        <f t="shared" ca="1" si="43"/>
        <v>46267</v>
      </c>
      <c r="O260" s="32" t="s">
        <v>201</v>
      </c>
      <c r="R260" s="64">
        <f>5/100</f>
        <v>0.05</v>
      </c>
      <c r="S260" s="89">
        <v>220</v>
      </c>
      <c r="T260" s="66">
        <f t="shared" si="41"/>
        <v>-72</v>
      </c>
      <c r="U260" s="46">
        <f t="shared" si="39"/>
        <v>137</v>
      </c>
      <c r="V260" s="27">
        <v>204.40000000000003</v>
      </c>
      <c r="W260" s="4">
        <v>1</v>
      </c>
      <c r="X260" s="67">
        <f t="shared" si="40"/>
        <v>341.40000000000003</v>
      </c>
      <c r="Y260" s="32" t="e">
        <f>IF(+VLOOKUP(I260,P.Referencia!E:S,3,FALSE)&lt;=L260,"Champion","Gerente")</f>
        <v>#N/A</v>
      </c>
      <c r="Z260" s="39" t="e">
        <f>VLOOKUP(I260,P.Referencia!E:S,3,0)</f>
        <v>#N/A</v>
      </c>
      <c r="AA260" s="40" t="e">
        <f t="shared" si="44"/>
        <v>#N/A</v>
      </c>
      <c r="AB260" s="41" t="e">
        <f t="shared" si="45"/>
        <v>#N/A</v>
      </c>
      <c r="AC260" s="41" t="e">
        <f t="shared" si="46"/>
        <v>#N/A</v>
      </c>
    </row>
    <row r="261" spans="1:32" s="64" customFormat="1" hidden="1" x14ac:dyDescent="0.25">
      <c r="A261" s="43">
        <v>260</v>
      </c>
      <c r="B261" s="64" t="s">
        <v>375</v>
      </c>
      <c r="C261" s="131" t="str">
        <f t="shared" si="42"/>
        <v>LlaveD86466230098100002361</v>
      </c>
      <c r="D261" s="33" t="str">
        <f>VLOOKUP(E261,'NO MODIFICAR'!J:K,2,0)</f>
        <v>D864</v>
      </c>
      <c r="E261" s="26" t="s">
        <v>55</v>
      </c>
      <c r="F261" s="33" t="str">
        <f>VLOOKUP(D261,'NO MODIFICAR'!F:H,3,0)</f>
        <v xml:space="preserve">CENTRO </v>
      </c>
      <c r="G261" s="92">
        <v>66230098</v>
      </c>
      <c r="H261" s="93" t="s">
        <v>289</v>
      </c>
      <c r="I261" s="94">
        <v>10000236</v>
      </c>
      <c r="J261" s="56" t="str">
        <f>VLOOKUP(I261,'Materiales,canteras'!C:D,2,0)</f>
        <v>Grava Triturada Caliza 10 mm -</v>
      </c>
      <c r="K261" s="33">
        <f>VLOOKUP(I261,'Materiales,canteras'!C:E,3,0)</f>
        <v>1.41</v>
      </c>
      <c r="L261" s="105">
        <v>120</v>
      </c>
      <c r="M261" s="28" t="s">
        <v>93</v>
      </c>
      <c r="N261" s="57">
        <f t="shared" ca="1" si="43"/>
        <v>46267</v>
      </c>
      <c r="O261" s="32" t="s">
        <v>201</v>
      </c>
      <c r="R261" s="64">
        <f>5/100</f>
        <v>0.05</v>
      </c>
      <c r="S261" s="89">
        <v>240</v>
      </c>
      <c r="T261" s="66">
        <f t="shared" si="41"/>
        <v>-108</v>
      </c>
      <c r="U261" s="46">
        <f t="shared" si="39"/>
        <v>120</v>
      </c>
      <c r="V261" s="27">
        <v>202.95035460992912</v>
      </c>
      <c r="W261" s="4">
        <v>1</v>
      </c>
      <c r="X261" s="67">
        <f t="shared" si="40"/>
        <v>322.95035460992915</v>
      </c>
      <c r="Y261" s="32" t="e">
        <f>IF(+VLOOKUP(I261,P.Referencia!E:S,3,FALSE)&lt;=L261,"Champion","Gerente")</f>
        <v>#N/A</v>
      </c>
      <c r="Z261" s="39" t="e">
        <f>VLOOKUP(I261,P.Referencia!E:S,3,0)</f>
        <v>#N/A</v>
      </c>
      <c r="AA261" s="40" t="e">
        <f t="shared" si="44"/>
        <v>#N/A</v>
      </c>
      <c r="AB261" s="41" t="e">
        <f t="shared" si="45"/>
        <v>#N/A</v>
      </c>
      <c r="AC261" s="41" t="e">
        <f t="shared" si="46"/>
        <v>#N/A</v>
      </c>
    </row>
    <row r="262" spans="1:32" s="64" customFormat="1" hidden="1" x14ac:dyDescent="0.25">
      <c r="A262" s="43">
        <v>261</v>
      </c>
      <c r="B262" s="64" t="s">
        <v>375</v>
      </c>
      <c r="C262" s="131" t="str">
        <f t="shared" si="42"/>
        <v>LlaveD86466230098100010731</v>
      </c>
      <c r="D262" s="33" t="str">
        <f>VLOOKUP(E262,'NO MODIFICAR'!J:K,2,0)</f>
        <v>D864</v>
      </c>
      <c r="E262" s="26" t="s">
        <v>55</v>
      </c>
      <c r="F262" s="33" t="str">
        <f>VLOOKUP(D262,'NO MODIFICAR'!F:H,3,0)</f>
        <v xml:space="preserve">CENTRO </v>
      </c>
      <c r="G262" s="92">
        <v>66230098</v>
      </c>
      <c r="H262" s="93" t="s">
        <v>289</v>
      </c>
      <c r="I262" s="94">
        <v>10001073</v>
      </c>
      <c r="J262" s="56" t="str">
        <f>VLOOKUP(I262,'Materiales,canteras'!C:D,2,0)</f>
        <v>Arena Triturada Caliza Malla 4</v>
      </c>
      <c r="K262" s="33">
        <f>VLOOKUP(I262,'Materiales,canteras'!C:E,3,0)</f>
        <v>1.56</v>
      </c>
      <c r="L262" s="105">
        <v>89</v>
      </c>
      <c r="M262" s="28" t="s">
        <v>93</v>
      </c>
      <c r="N262" s="57">
        <f t="shared" ca="1" si="43"/>
        <v>46267</v>
      </c>
      <c r="O262" s="32" t="s">
        <v>201</v>
      </c>
      <c r="R262" s="64">
        <f>5/100</f>
        <v>0.05</v>
      </c>
      <c r="S262" s="89">
        <v>150</v>
      </c>
      <c r="T262" s="66">
        <f t="shared" si="41"/>
        <v>-53.5</v>
      </c>
      <c r="U262" s="46">
        <f t="shared" si="39"/>
        <v>89</v>
      </c>
      <c r="V262" s="27">
        <v>183.43589743589746</v>
      </c>
      <c r="W262" s="4">
        <v>1</v>
      </c>
      <c r="X262" s="67">
        <f t="shared" si="40"/>
        <v>272.43589743589746</v>
      </c>
      <c r="Y262" s="32" t="e">
        <f>IF(+VLOOKUP(I262,P.Referencia!E:S,3,FALSE)&lt;=L262,"Champion","Gerente")</f>
        <v>#N/A</v>
      </c>
      <c r="Z262" s="39" t="e">
        <f>VLOOKUP(I262,P.Referencia!E:S,3,0)</f>
        <v>#N/A</v>
      </c>
      <c r="AA262" s="40" t="e">
        <f t="shared" si="44"/>
        <v>#N/A</v>
      </c>
      <c r="AB262" s="41" t="e">
        <f t="shared" si="45"/>
        <v>#N/A</v>
      </c>
      <c r="AC262" s="41" t="e">
        <f t="shared" si="46"/>
        <v>#N/A</v>
      </c>
    </row>
    <row r="263" spans="1:32" s="64" customFormat="1" hidden="1" x14ac:dyDescent="0.25">
      <c r="A263" s="43">
        <v>262</v>
      </c>
      <c r="B263" s="64" t="s">
        <v>375</v>
      </c>
      <c r="C263" s="131" t="str">
        <f t="shared" si="42"/>
        <v>LlaveD86466230098100002691</v>
      </c>
      <c r="D263" s="33" t="str">
        <f>VLOOKUP(E263,'NO MODIFICAR'!J:K,2,0)</f>
        <v>D864</v>
      </c>
      <c r="E263" s="26" t="s">
        <v>55</v>
      </c>
      <c r="F263" s="33" t="str">
        <f>VLOOKUP(D263,'NO MODIFICAR'!F:H,3,0)</f>
        <v xml:space="preserve">CENTRO </v>
      </c>
      <c r="G263" s="92">
        <v>66230098</v>
      </c>
      <c r="H263" s="93" t="s">
        <v>289</v>
      </c>
      <c r="I263" s="94">
        <v>10000269</v>
      </c>
      <c r="J263" s="56" t="str">
        <f>VLOOKUP(I263,'Materiales,canteras'!C:D,2,0)</f>
        <v>Grava Triturada Caliza 13 mm -</v>
      </c>
      <c r="K263" s="33">
        <f>VLOOKUP(I263,'Materiales,canteras'!C:E,3,0)</f>
        <v>1.423</v>
      </c>
      <c r="L263" s="105">
        <v>145</v>
      </c>
      <c r="M263" s="28" t="s">
        <v>93</v>
      </c>
      <c r="N263" s="57">
        <f t="shared" ca="1" si="43"/>
        <v>46267</v>
      </c>
      <c r="O263" s="32" t="s">
        <v>201</v>
      </c>
      <c r="R263" s="64">
        <f>5/100</f>
        <v>0.05</v>
      </c>
      <c r="S263" s="89">
        <v>250</v>
      </c>
      <c r="T263" s="66">
        <f t="shared" si="41"/>
        <v>-92.5</v>
      </c>
      <c r="U263" s="46">
        <f t="shared" si="39"/>
        <v>145</v>
      </c>
      <c r="V263" s="27">
        <v>201.09627547434997</v>
      </c>
      <c r="W263" s="4">
        <v>1</v>
      </c>
      <c r="X263" s="67">
        <f t="shared" si="40"/>
        <v>346.09627547434997</v>
      </c>
      <c r="Y263" s="32" t="e">
        <f>IF(+VLOOKUP(I263,P.Referencia!E:S,3,FALSE)&lt;=L263,"Champion","Gerente")</f>
        <v>#N/A</v>
      </c>
      <c r="Z263" s="39" t="e">
        <f>VLOOKUP(I263,P.Referencia!E:S,3,0)</f>
        <v>#N/A</v>
      </c>
      <c r="AA263" s="40" t="e">
        <f t="shared" si="44"/>
        <v>#N/A</v>
      </c>
      <c r="AB263" s="41" t="e">
        <f t="shared" si="45"/>
        <v>#N/A</v>
      </c>
      <c r="AC263" s="41" t="e">
        <f t="shared" si="46"/>
        <v>#N/A</v>
      </c>
    </row>
    <row r="264" spans="1:32" s="64" customFormat="1" hidden="1" x14ac:dyDescent="0.25">
      <c r="A264" s="43">
        <v>263</v>
      </c>
      <c r="B264" s="64" t="s">
        <v>375</v>
      </c>
      <c r="C264" s="131" t="str">
        <f t="shared" si="42"/>
        <v>LlaveD86467224043100002401</v>
      </c>
      <c r="D264" s="33" t="str">
        <f>VLOOKUP(E264,'NO MODIFICAR'!J:K,2,0)</f>
        <v>D864</v>
      </c>
      <c r="E264" s="26" t="s">
        <v>55</v>
      </c>
      <c r="F264" s="33" t="str">
        <f>VLOOKUP(D264,'NO MODIFICAR'!F:H,3,0)</f>
        <v xml:space="preserve">CENTRO </v>
      </c>
      <c r="G264" s="92">
        <v>67224043</v>
      </c>
      <c r="H264" s="93" t="s">
        <v>290</v>
      </c>
      <c r="I264" s="94">
        <v>10000240</v>
      </c>
      <c r="J264" s="56" t="str">
        <f>VLOOKUP(I264,'Materiales,canteras'!C:D,2,0)</f>
        <v>Grava Triturada Caliza 20 mm -</v>
      </c>
      <c r="K264" s="33">
        <f>VLOOKUP(I264,'Materiales,canteras'!C:E,3,0)</f>
        <v>1.462</v>
      </c>
      <c r="L264" s="105">
        <v>127</v>
      </c>
      <c r="M264" s="28" t="s">
        <v>93</v>
      </c>
      <c r="N264" s="57">
        <f t="shared" ca="1" si="43"/>
        <v>46267</v>
      </c>
      <c r="O264" s="32" t="s">
        <v>201</v>
      </c>
      <c r="S264" s="89">
        <v>280</v>
      </c>
      <c r="T264" s="66">
        <f t="shared" si="41"/>
        <v>-153</v>
      </c>
      <c r="U264" s="46">
        <f t="shared" si="39"/>
        <v>127</v>
      </c>
      <c r="V264" s="27">
        <v>195.73187414500686</v>
      </c>
      <c r="W264" s="4">
        <v>1</v>
      </c>
      <c r="X264" s="67">
        <f t="shared" si="40"/>
        <v>322.73187414500683</v>
      </c>
      <c r="Y264" s="32" t="e">
        <f>IF(+VLOOKUP(I264,P.Referencia!E:S,3,FALSE)&lt;=L264,"Champion","Gerente")</f>
        <v>#N/A</v>
      </c>
      <c r="Z264" s="39" t="e">
        <f>VLOOKUP(I264,P.Referencia!E:S,3,0)</f>
        <v>#N/A</v>
      </c>
      <c r="AA264" s="40" t="e">
        <f t="shared" si="44"/>
        <v>#N/A</v>
      </c>
      <c r="AB264" s="41" t="e">
        <f t="shared" si="45"/>
        <v>#N/A</v>
      </c>
      <c r="AC264" s="41" t="e">
        <f t="shared" si="46"/>
        <v>#N/A</v>
      </c>
    </row>
    <row r="265" spans="1:32" s="64" customFormat="1" hidden="1" x14ac:dyDescent="0.25">
      <c r="A265" s="43">
        <v>264</v>
      </c>
      <c r="B265" s="64" t="s">
        <v>375</v>
      </c>
      <c r="C265" s="131" t="str">
        <f t="shared" si="42"/>
        <v>LlaveD86467224043100010741</v>
      </c>
      <c r="D265" s="33" t="str">
        <f>VLOOKUP(E265,'NO MODIFICAR'!J:K,2,0)</f>
        <v>D864</v>
      </c>
      <c r="E265" s="26" t="s">
        <v>55</v>
      </c>
      <c r="F265" s="33" t="str">
        <f>VLOOKUP(D265,'NO MODIFICAR'!F:H,3,0)</f>
        <v xml:space="preserve">CENTRO </v>
      </c>
      <c r="G265" s="92">
        <v>67224043</v>
      </c>
      <c r="H265" s="93" t="s">
        <v>290</v>
      </c>
      <c r="I265" s="94">
        <v>10001074</v>
      </c>
      <c r="J265" s="56" t="str">
        <f>VLOOKUP(I265,'Materiales,canteras'!C:D,2,0)</f>
        <v>Grava Triturada Caliza 40 mm -</v>
      </c>
      <c r="K265" s="33">
        <f>VLOOKUP(I265,'Materiales,canteras'!C:E,3,0)</f>
        <v>1.4</v>
      </c>
      <c r="L265" s="105">
        <v>137</v>
      </c>
      <c r="M265" s="28" t="s">
        <v>93</v>
      </c>
      <c r="N265" s="57">
        <f t="shared" ca="1" si="43"/>
        <v>46267</v>
      </c>
      <c r="O265" s="32" t="s">
        <v>201</v>
      </c>
      <c r="S265" s="89">
        <v>220</v>
      </c>
      <c r="T265" s="66">
        <f t="shared" si="41"/>
        <v>-83</v>
      </c>
      <c r="U265" s="46">
        <f t="shared" si="39"/>
        <v>137</v>
      </c>
      <c r="V265" s="27">
        <v>204.40000000000003</v>
      </c>
      <c r="W265" s="4">
        <v>1</v>
      </c>
      <c r="X265" s="67">
        <f t="shared" si="40"/>
        <v>341.40000000000003</v>
      </c>
      <c r="Y265" s="32" t="e">
        <f>IF(+VLOOKUP(I265,P.Referencia!E:S,3,FALSE)&lt;=L265,"Champion","Gerente")</f>
        <v>#N/A</v>
      </c>
      <c r="Z265" s="39" t="e">
        <f>VLOOKUP(I265,P.Referencia!E:S,3,0)</f>
        <v>#N/A</v>
      </c>
      <c r="AA265" s="40" t="e">
        <f t="shared" si="44"/>
        <v>#N/A</v>
      </c>
      <c r="AB265" s="41" t="e">
        <f t="shared" si="45"/>
        <v>#N/A</v>
      </c>
      <c r="AC265" s="41" t="e">
        <f t="shared" si="46"/>
        <v>#N/A</v>
      </c>
    </row>
    <row r="266" spans="1:32" s="64" customFormat="1" hidden="1" x14ac:dyDescent="0.25">
      <c r="A266" s="43">
        <v>265</v>
      </c>
      <c r="B266" s="64" t="s">
        <v>375</v>
      </c>
      <c r="C266" s="131" t="str">
        <f t="shared" si="42"/>
        <v>LlaveD86467224043100002361</v>
      </c>
      <c r="D266" s="33" t="str">
        <f>VLOOKUP(E266,'NO MODIFICAR'!J:K,2,0)</f>
        <v>D864</v>
      </c>
      <c r="E266" s="26" t="s">
        <v>55</v>
      </c>
      <c r="F266" s="33" t="str">
        <f>VLOOKUP(D266,'NO MODIFICAR'!F:H,3,0)</f>
        <v xml:space="preserve">CENTRO </v>
      </c>
      <c r="G266" s="92">
        <v>67224043</v>
      </c>
      <c r="H266" s="93" t="s">
        <v>290</v>
      </c>
      <c r="I266" s="94">
        <v>10000236</v>
      </c>
      <c r="J266" s="56" t="str">
        <f>VLOOKUP(I266,'Materiales,canteras'!C:D,2,0)</f>
        <v>Grava Triturada Caliza 10 mm -</v>
      </c>
      <c r="K266" s="33">
        <f>VLOOKUP(I266,'Materiales,canteras'!C:E,3,0)</f>
        <v>1.41</v>
      </c>
      <c r="L266" s="105">
        <v>120</v>
      </c>
      <c r="M266" s="28" t="s">
        <v>93</v>
      </c>
      <c r="N266" s="57">
        <f t="shared" ca="1" si="43"/>
        <v>46267</v>
      </c>
      <c r="O266" s="32" t="s">
        <v>201</v>
      </c>
      <c r="S266" s="89">
        <v>240</v>
      </c>
      <c r="T266" s="66">
        <f t="shared" si="41"/>
        <v>-120</v>
      </c>
      <c r="U266" s="46">
        <f t="shared" si="39"/>
        <v>120</v>
      </c>
      <c r="V266" s="27">
        <v>202.95035460992912</v>
      </c>
      <c r="W266" s="4">
        <v>1</v>
      </c>
      <c r="X266" s="67">
        <f t="shared" si="40"/>
        <v>322.95035460992915</v>
      </c>
      <c r="Y266" s="32" t="e">
        <f>IF(+VLOOKUP(I266,P.Referencia!E:S,3,FALSE)&lt;=L266,"Champion","Gerente")</f>
        <v>#N/A</v>
      </c>
      <c r="Z266" s="39" t="e">
        <f>VLOOKUP(I266,P.Referencia!E:S,3,0)</f>
        <v>#N/A</v>
      </c>
      <c r="AA266" s="40" t="e">
        <f t="shared" si="44"/>
        <v>#N/A</v>
      </c>
      <c r="AB266" s="41" t="e">
        <f t="shared" si="45"/>
        <v>#N/A</v>
      </c>
      <c r="AC266" s="41" t="e">
        <f t="shared" si="46"/>
        <v>#N/A</v>
      </c>
    </row>
    <row r="267" spans="1:32" s="64" customFormat="1" hidden="1" x14ac:dyDescent="0.25">
      <c r="A267" s="43">
        <v>266</v>
      </c>
      <c r="B267" s="64" t="s">
        <v>375</v>
      </c>
      <c r="C267" s="131" t="str">
        <f t="shared" si="42"/>
        <v>LlaveD86467224043100010731</v>
      </c>
      <c r="D267" s="33" t="str">
        <f>VLOOKUP(E267,'NO MODIFICAR'!J:K,2,0)</f>
        <v>D864</v>
      </c>
      <c r="E267" s="26" t="s">
        <v>55</v>
      </c>
      <c r="F267" s="33" t="str">
        <f>VLOOKUP(D267,'NO MODIFICAR'!F:H,3,0)</f>
        <v xml:space="preserve">CENTRO </v>
      </c>
      <c r="G267" s="92">
        <v>67224043</v>
      </c>
      <c r="H267" s="93" t="s">
        <v>290</v>
      </c>
      <c r="I267" s="94">
        <v>10001073</v>
      </c>
      <c r="J267" s="56" t="str">
        <f>VLOOKUP(I267,'Materiales,canteras'!C:D,2,0)</f>
        <v>Arena Triturada Caliza Malla 4</v>
      </c>
      <c r="K267" s="33">
        <f>VLOOKUP(I267,'Materiales,canteras'!C:E,3,0)</f>
        <v>1.56</v>
      </c>
      <c r="L267" s="105">
        <v>89</v>
      </c>
      <c r="M267" s="28" t="s">
        <v>93</v>
      </c>
      <c r="N267" s="57">
        <f t="shared" ca="1" si="43"/>
        <v>46267</v>
      </c>
      <c r="O267" s="32" t="s">
        <v>201</v>
      </c>
      <c r="S267" s="89">
        <v>150</v>
      </c>
      <c r="T267" s="66">
        <f t="shared" si="41"/>
        <v>-61</v>
      </c>
      <c r="U267" s="46">
        <f t="shared" si="39"/>
        <v>89</v>
      </c>
      <c r="V267" s="27">
        <v>183.43589743589746</v>
      </c>
      <c r="W267" s="4">
        <v>1</v>
      </c>
      <c r="X267" s="67">
        <f t="shared" si="40"/>
        <v>272.43589743589746</v>
      </c>
      <c r="Y267" s="32" t="e">
        <f>IF(+VLOOKUP(I267,P.Referencia!E:S,3,FALSE)&lt;=L267,"Champion","Gerente")</f>
        <v>#N/A</v>
      </c>
      <c r="Z267" s="39" t="e">
        <f>VLOOKUP(I267,P.Referencia!E:S,3,0)</f>
        <v>#N/A</v>
      </c>
      <c r="AA267" s="40" t="e">
        <f t="shared" si="44"/>
        <v>#N/A</v>
      </c>
      <c r="AB267" s="41" t="e">
        <f t="shared" si="45"/>
        <v>#N/A</v>
      </c>
      <c r="AC267" s="41" t="e">
        <f t="shared" si="46"/>
        <v>#N/A</v>
      </c>
    </row>
    <row r="268" spans="1:32" s="64" customFormat="1" hidden="1" x14ac:dyDescent="0.25">
      <c r="A268" s="43">
        <v>267</v>
      </c>
      <c r="B268" s="64" t="s">
        <v>375</v>
      </c>
      <c r="C268" s="131" t="str">
        <f t="shared" si="42"/>
        <v>LlaveD86467224043100002691</v>
      </c>
      <c r="D268" s="33" t="str">
        <f>VLOOKUP(E268,'NO MODIFICAR'!J:K,2,0)</f>
        <v>D864</v>
      </c>
      <c r="E268" s="26" t="s">
        <v>55</v>
      </c>
      <c r="F268" s="33" t="str">
        <f>VLOOKUP(D268,'NO MODIFICAR'!F:H,3,0)</f>
        <v xml:space="preserve">CENTRO </v>
      </c>
      <c r="G268" s="92">
        <v>67224043</v>
      </c>
      <c r="H268" s="93" t="s">
        <v>290</v>
      </c>
      <c r="I268" s="94">
        <v>10000269</v>
      </c>
      <c r="J268" s="56" t="str">
        <f>VLOOKUP(I268,'Materiales,canteras'!C:D,2,0)</f>
        <v>Grava Triturada Caliza 13 mm -</v>
      </c>
      <c r="K268" s="33">
        <f>VLOOKUP(I268,'Materiales,canteras'!C:E,3,0)</f>
        <v>1.423</v>
      </c>
      <c r="L268" s="105">
        <v>145</v>
      </c>
      <c r="M268" s="28" t="s">
        <v>93</v>
      </c>
      <c r="N268" s="57">
        <f t="shared" ca="1" si="43"/>
        <v>46267</v>
      </c>
      <c r="O268" s="32" t="s">
        <v>201</v>
      </c>
      <c r="S268" s="89">
        <v>250</v>
      </c>
      <c r="T268" s="66">
        <f t="shared" si="41"/>
        <v>-105</v>
      </c>
      <c r="U268" s="46">
        <f t="shared" si="39"/>
        <v>145</v>
      </c>
      <c r="V268" s="27">
        <v>201.09627547434997</v>
      </c>
      <c r="W268" s="4">
        <v>1</v>
      </c>
      <c r="X268" s="67">
        <f t="shared" si="40"/>
        <v>346.09627547434997</v>
      </c>
      <c r="Y268" s="32" t="e">
        <f>IF(+VLOOKUP(I268,P.Referencia!E:S,3,FALSE)&lt;=L268,"Champion","Gerente")</f>
        <v>#N/A</v>
      </c>
      <c r="Z268" s="39" t="e">
        <f>VLOOKUP(I268,P.Referencia!E:S,3,0)</f>
        <v>#N/A</v>
      </c>
      <c r="AA268" s="40" t="e">
        <f t="shared" si="44"/>
        <v>#N/A</v>
      </c>
      <c r="AB268" s="41" t="e">
        <f t="shared" si="45"/>
        <v>#N/A</v>
      </c>
      <c r="AC268" s="41" t="e">
        <f t="shared" si="46"/>
        <v>#N/A</v>
      </c>
    </row>
    <row r="269" spans="1:32" s="64" customFormat="1" hidden="1" x14ac:dyDescent="0.25">
      <c r="A269" s="71">
        <v>268</v>
      </c>
      <c r="B269" s="64" t="s">
        <v>375</v>
      </c>
      <c r="C269" s="131" t="str">
        <f t="shared" si="42"/>
        <v>LlaveD81666858665100001242</v>
      </c>
      <c r="D269" s="72" t="s">
        <v>14</v>
      </c>
      <c r="E269" s="102" t="s">
        <v>288</v>
      </c>
      <c r="F269" s="72" t="str">
        <f>VLOOKUP(D269,'NO MODIFICAR'!F:H,3,0)</f>
        <v>NORESTE</v>
      </c>
      <c r="G269" s="159">
        <v>66858665</v>
      </c>
      <c r="H269" s="163" t="s">
        <v>291</v>
      </c>
      <c r="I269" s="164">
        <v>10000124</v>
      </c>
      <c r="J269" s="165" t="str">
        <f>VLOOKUP(I269,'Materiales,canteras'!C:D,2,0)</f>
        <v>Arena Triturada Caliza Malla 4</v>
      </c>
      <c r="K269" s="72">
        <f>VLOOKUP(I269,'Materiales,canteras'!C:E,3,0)</f>
        <v>1.7390000000000001</v>
      </c>
      <c r="L269" s="166">
        <v>250</v>
      </c>
      <c r="M269" s="100" t="s">
        <v>93</v>
      </c>
      <c r="N269" s="73">
        <f t="shared" ca="1" si="43"/>
        <v>46267</v>
      </c>
      <c r="O269" s="71" t="s">
        <v>201</v>
      </c>
      <c r="P269" s="74"/>
      <c r="Q269" s="74"/>
      <c r="R269" s="74"/>
      <c r="S269" s="91">
        <v>430</v>
      </c>
      <c r="T269" s="75">
        <f t="shared" si="41"/>
        <v>-180</v>
      </c>
      <c r="U269" s="167">
        <f t="shared" si="39"/>
        <v>250</v>
      </c>
      <c r="V269" s="90">
        <v>0</v>
      </c>
      <c r="W269" s="91">
        <v>2</v>
      </c>
      <c r="X269" s="76">
        <f t="shared" si="40"/>
        <v>250</v>
      </c>
      <c r="Y269" s="71" t="e">
        <f>IF(+VLOOKUP(I269,P.Referencia!E:S,3,FALSE)&lt;=L269,"Champion","Gerente")</f>
        <v>#N/A</v>
      </c>
      <c r="Z269" s="77" t="e">
        <f>VLOOKUP(I269,P.Referencia!E:S,3,0)</f>
        <v>#N/A</v>
      </c>
      <c r="AA269" s="78" t="e">
        <f t="shared" si="44"/>
        <v>#N/A</v>
      </c>
      <c r="AB269" s="79" t="e">
        <f t="shared" si="45"/>
        <v>#N/A</v>
      </c>
      <c r="AC269" s="79" t="e">
        <f t="shared" si="46"/>
        <v>#N/A</v>
      </c>
      <c r="AD269" s="74"/>
      <c r="AE269" s="74"/>
      <c r="AF269" s="74"/>
    </row>
    <row r="270" spans="1:32" s="64" customFormat="1" hidden="1" x14ac:dyDescent="0.25">
      <c r="A270" s="71">
        <v>269</v>
      </c>
      <c r="B270" s="64" t="s">
        <v>375</v>
      </c>
      <c r="C270" s="131" t="str">
        <f t="shared" si="42"/>
        <v>LlaveD81666858665100011702</v>
      </c>
      <c r="D270" s="72" t="s">
        <v>14</v>
      </c>
      <c r="E270" s="102" t="s">
        <v>288</v>
      </c>
      <c r="F270" s="72" t="str">
        <f>VLOOKUP(D270,'NO MODIFICAR'!F:H,3,0)</f>
        <v>NORESTE</v>
      </c>
      <c r="G270" s="159">
        <v>66858665</v>
      </c>
      <c r="H270" s="163" t="s">
        <v>291</v>
      </c>
      <c r="I270" s="164">
        <v>10001170</v>
      </c>
      <c r="J270" s="165" t="str">
        <f>VLOOKUP(I270,'Materiales,canteras'!C:D,2,0)</f>
        <v>Arena Triturada Caliza Block</v>
      </c>
      <c r="K270" s="72">
        <f>VLOOKUP(I270,'Materiales,canteras'!C:E,3,0)</f>
        <v>1.7709999999999999</v>
      </c>
      <c r="L270" s="166">
        <v>250</v>
      </c>
      <c r="M270" s="100" t="s">
        <v>93</v>
      </c>
      <c r="N270" s="73">
        <f t="shared" ca="1" si="43"/>
        <v>46267</v>
      </c>
      <c r="O270" s="71" t="s">
        <v>201</v>
      </c>
      <c r="P270" s="74"/>
      <c r="Q270" s="74"/>
      <c r="R270" s="74">
        <f>13/100</f>
        <v>0.13</v>
      </c>
      <c r="S270" s="91">
        <v>315</v>
      </c>
      <c r="T270" s="75">
        <f t="shared" si="41"/>
        <v>-24.050000000000011</v>
      </c>
      <c r="U270" s="167">
        <f t="shared" si="39"/>
        <v>250</v>
      </c>
      <c r="V270" s="90">
        <v>0</v>
      </c>
      <c r="W270" s="91">
        <v>2</v>
      </c>
      <c r="X270" s="76">
        <f t="shared" si="40"/>
        <v>250</v>
      </c>
      <c r="Y270" s="71" t="e">
        <f>IF(+VLOOKUP(I270,P.Referencia!E:S,3,FALSE)&lt;=L270,"Champion","Gerente")</f>
        <v>#N/A</v>
      </c>
      <c r="Z270" s="77" t="e">
        <f>VLOOKUP(I270,P.Referencia!E:S,3,0)</f>
        <v>#N/A</v>
      </c>
      <c r="AA270" s="78" t="e">
        <f t="shared" si="44"/>
        <v>#N/A</v>
      </c>
      <c r="AB270" s="79" t="e">
        <f t="shared" si="45"/>
        <v>#N/A</v>
      </c>
      <c r="AC270" s="79" t="e">
        <f t="shared" si="46"/>
        <v>#N/A</v>
      </c>
      <c r="AD270" s="74"/>
      <c r="AE270" s="74"/>
      <c r="AF270" s="74"/>
    </row>
    <row r="271" spans="1:32" s="64" customFormat="1" hidden="1" x14ac:dyDescent="0.25">
      <c r="A271" s="43">
        <v>270</v>
      </c>
      <c r="B271" s="64" t="s">
        <v>375</v>
      </c>
      <c r="C271" s="131" t="str">
        <f t="shared" si="42"/>
        <v>LlaveD86165612044100024991</v>
      </c>
      <c r="D271" s="33" t="str">
        <f>VLOOKUP(E271,'NO MODIFICAR'!J:K,2,0)</f>
        <v>D861</v>
      </c>
      <c r="E271" s="26" t="s">
        <v>44</v>
      </c>
      <c r="F271" s="33" t="str">
        <f>VLOOKUP(D271,'NO MODIFICAR'!F:H,3,0)</f>
        <v xml:space="preserve">CENTRO </v>
      </c>
      <c r="G271" s="92">
        <v>65612044</v>
      </c>
      <c r="H271" s="93" t="s">
        <v>166</v>
      </c>
      <c r="I271" s="94">
        <v>10002499</v>
      </c>
      <c r="J271" s="56" t="str">
        <f>VLOOKUP(I271,'Materiales,canteras'!C:D,2,0)</f>
        <v>Arena Triturada Basalto Malla 4  -Mezcla</v>
      </c>
      <c r="K271" s="33">
        <f>VLOOKUP(I271,'Materiales,canteras'!C:E,3,0)</f>
        <v>1.6659999999999999</v>
      </c>
      <c r="L271" s="105">
        <v>167.78</v>
      </c>
      <c r="M271" s="28" t="s">
        <v>93</v>
      </c>
      <c r="N271" s="57">
        <f t="shared" ca="1" si="43"/>
        <v>46267</v>
      </c>
      <c r="O271" s="32" t="s">
        <v>201</v>
      </c>
      <c r="R271" s="64">
        <f>12/100</f>
        <v>0.12</v>
      </c>
      <c r="S271" s="89">
        <v>180</v>
      </c>
      <c r="T271" s="66">
        <f t="shared" si="41"/>
        <v>9.3799999999999955</v>
      </c>
      <c r="U271" s="46">
        <f t="shared" si="39"/>
        <v>167.78</v>
      </c>
      <c r="V271" s="27">
        <v>52</v>
      </c>
      <c r="W271" s="4">
        <v>1</v>
      </c>
      <c r="X271" s="67">
        <f t="shared" si="40"/>
        <v>219.78</v>
      </c>
      <c r="Y271" s="32" t="e">
        <f>IF(+VLOOKUP(I271,P.Referencia!E:S,3,FALSE)&lt;=L271,"Champion","Gerente")</f>
        <v>#N/A</v>
      </c>
      <c r="Z271" s="39" t="e">
        <f>VLOOKUP(I271,P.Referencia!E:S,3,0)</f>
        <v>#N/A</v>
      </c>
      <c r="AA271" s="40" t="e">
        <f t="shared" si="44"/>
        <v>#N/A</v>
      </c>
      <c r="AB271" s="41" t="e">
        <f t="shared" si="45"/>
        <v>#N/A</v>
      </c>
      <c r="AC271" s="41" t="e">
        <f t="shared" si="46"/>
        <v>#N/A</v>
      </c>
    </row>
    <row r="272" spans="1:32" s="64" customFormat="1" hidden="1" x14ac:dyDescent="0.25">
      <c r="A272" s="43">
        <v>271</v>
      </c>
      <c r="B272" s="64" t="s">
        <v>375</v>
      </c>
      <c r="C272" s="131" t="str">
        <f t="shared" si="42"/>
        <v>LlaveD86166494472100002291</v>
      </c>
      <c r="D272" s="33" t="str">
        <f>VLOOKUP(E272,'NO MODIFICAR'!J:K,2,0)</f>
        <v>D861</v>
      </c>
      <c r="E272" s="26" t="s">
        <v>44</v>
      </c>
      <c r="F272" s="33" t="str">
        <f>VLOOKUP(D272,'NO MODIFICAR'!F:H,3,0)</f>
        <v xml:space="preserve">CENTRO </v>
      </c>
      <c r="G272" s="92">
        <v>66494472</v>
      </c>
      <c r="H272" s="93" t="s">
        <v>293</v>
      </c>
      <c r="I272" s="94">
        <v>10000229</v>
      </c>
      <c r="J272" s="56" t="str">
        <f>VLOOKUP(I272,'Materiales,canteras'!C:D,2,0)</f>
        <v>Grava Triturada Basalto  10 mm</v>
      </c>
      <c r="K272" s="33">
        <f>VLOOKUP(I272,'Materiales,canteras'!C:E,3,0)</f>
        <v>1.522</v>
      </c>
      <c r="L272" s="105">
        <v>190.48</v>
      </c>
      <c r="M272" s="28" t="s">
        <v>93</v>
      </c>
      <c r="N272" s="57">
        <f t="shared" ca="1" si="43"/>
        <v>46267</v>
      </c>
      <c r="O272" s="32" t="s">
        <v>201</v>
      </c>
      <c r="R272" s="64">
        <f>5/100</f>
        <v>0.05</v>
      </c>
      <c r="S272" s="89">
        <v>320</v>
      </c>
      <c r="T272" s="66">
        <f t="shared" si="41"/>
        <v>-113.52000000000001</v>
      </c>
      <c r="U272" s="46">
        <f t="shared" si="39"/>
        <v>190.48</v>
      </c>
      <c r="V272" s="27">
        <v>54.02</v>
      </c>
      <c r="W272" s="4">
        <v>1</v>
      </c>
      <c r="X272" s="67">
        <f t="shared" si="40"/>
        <v>244.5</v>
      </c>
      <c r="Y272" s="32" t="e">
        <f>IF(+VLOOKUP(I272,P.Referencia!E:S,3,FALSE)&lt;=L272,"Champion","Gerente")</f>
        <v>#N/A</v>
      </c>
      <c r="Z272" s="39" t="e">
        <f>VLOOKUP(I272,P.Referencia!E:S,3,0)</f>
        <v>#N/A</v>
      </c>
      <c r="AA272" s="40" t="e">
        <f t="shared" si="44"/>
        <v>#N/A</v>
      </c>
      <c r="AB272" s="41" t="e">
        <f t="shared" si="45"/>
        <v>#N/A</v>
      </c>
      <c r="AC272" s="41" t="e">
        <f t="shared" si="46"/>
        <v>#N/A</v>
      </c>
    </row>
    <row r="273" spans="1:30" s="64" customFormat="1" hidden="1" x14ac:dyDescent="0.25">
      <c r="A273" s="43">
        <v>272</v>
      </c>
      <c r="B273" s="64" t="s">
        <v>375</v>
      </c>
      <c r="C273" s="131" t="str">
        <f t="shared" si="42"/>
        <v>LlaveD86166494472100002311</v>
      </c>
      <c r="D273" s="33" t="str">
        <f>VLOOKUP(E273,'NO MODIFICAR'!J:K,2,0)</f>
        <v>D861</v>
      </c>
      <c r="E273" s="26" t="s">
        <v>44</v>
      </c>
      <c r="F273" s="33" t="str">
        <f>VLOOKUP(D273,'NO MODIFICAR'!F:H,3,0)</f>
        <v xml:space="preserve">CENTRO </v>
      </c>
      <c r="G273" s="92">
        <v>66494472</v>
      </c>
      <c r="H273" s="93" t="s">
        <v>293</v>
      </c>
      <c r="I273" s="94">
        <v>10000231</v>
      </c>
      <c r="J273" s="56" t="str">
        <f>VLOOKUP(I273,'Materiales,canteras'!C:D,2,0)</f>
        <v>Grava Triturada Basalto 20 mm</v>
      </c>
      <c r="K273" s="33">
        <f>VLOOKUP(I273,'Materiales,canteras'!C:E,3,0)</f>
        <v>1.5649999999999999</v>
      </c>
      <c r="L273" s="105">
        <v>184.26</v>
      </c>
      <c r="M273" s="28" t="s">
        <v>93</v>
      </c>
      <c r="N273" s="57">
        <f t="shared" ca="1" si="43"/>
        <v>46267</v>
      </c>
      <c r="O273" s="32" t="s">
        <v>201</v>
      </c>
      <c r="R273" s="64">
        <f>5/100</f>
        <v>0.05</v>
      </c>
      <c r="S273" s="89">
        <v>280</v>
      </c>
      <c r="T273" s="66">
        <f t="shared" si="41"/>
        <v>-81.740000000000009</v>
      </c>
      <c r="U273" s="46">
        <f t="shared" si="39"/>
        <v>184.26</v>
      </c>
      <c r="V273" s="27">
        <v>50.5</v>
      </c>
      <c r="W273" s="4">
        <v>1</v>
      </c>
      <c r="X273" s="67">
        <f t="shared" si="40"/>
        <v>234.76</v>
      </c>
      <c r="Y273" s="32" t="e">
        <f>IF(+VLOOKUP(I273,P.Referencia!E:S,3,FALSE)&lt;=L273,"Champion","Gerente")</f>
        <v>#N/A</v>
      </c>
      <c r="Z273" s="39" t="e">
        <f>VLOOKUP(I273,P.Referencia!E:S,3,0)</f>
        <v>#N/A</v>
      </c>
      <c r="AA273" s="40" t="e">
        <f t="shared" si="44"/>
        <v>#N/A</v>
      </c>
      <c r="AB273" s="41" t="e">
        <f t="shared" si="45"/>
        <v>#N/A</v>
      </c>
      <c r="AC273" s="41" t="e">
        <f t="shared" si="46"/>
        <v>#N/A</v>
      </c>
    </row>
    <row r="274" spans="1:30" s="64" customFormat="1" hidden="1" x14ac:dyDescent="0.25">
      <c r="A274" s="43">
        <v>273</v>
      </c>
      <c r="B274" s="64" t="s">
        <v>375</v>
      </c>
      <c r="C274" s="131" t="str">
        <f t="shared" si="42"/>
        <v>LlaveD86166494472100003111</v>
      </c>
      <c r="D274" s="33" t="str">
        <f>VLOOKUP(E274,'NO MODIFICAR'!J:K,2,0)</f>
        <v>D861</v>
      </c>
      <c r="E274" s="26" t="s">
        <v>44</v>
      </c>
      <c r="F274" s="33" t="str">
        <f>VLOOKUP(D274,'NO MODIFICAR'!F:H,3,0)</f>
        <v xml:space="preserve">CENTRO </v>
      </c>
      <c r="G274" s="92">
        <v>66494472</v>
      </c>
      <c r="H274" s="93" t="s">
        <v>293</v>
      </c>
      <c r="I274" s="94">
        <v>10000311</v>
      </c>
      <c r="J274" s="56" t="str">
        <f>VLOOKUP(I274,'Materiales,canteras'!C:D,2,0)</f>
        <v>Arena Triturada Basalto  Malla</v>
      </c>
      <c r="K274" s="33">
        <f>VLOOKUP(I274,'Materiales,canteras'!C:E,3,0)</f>
        <v>1.651</v>
      </c>
      <c r="L274" s="105">
        <v>161.77000000000001</v>
      </c>
      <c r="M274" s="28" t="s">
        <v>93</v>
      </c>
      <c r="N274" s="57">
        <f t="shared" ca="1" si="43"/>
        <v>46267</v>
      </c>
      <c r="O274" s="32" t="s">
        <v>201</v>
      </c>
      <c r="R274" s="64">
        <f>5/100</f>
        <v>0.05</v>
      </c>
      <c r="S274" s="89">
        <v>260</v>
      </c>
      <c r="T274" s="66">
        <f t="shared" si="41"/>
        <v>-85.22999999999999</v>
      </c>
      <c r="U274" s="46">
        <f t="shared" si="39"/>
        <v>161.77000000000001</v>
      </c>
      <c r="V274" s="27">
        <v>54</v>
      </c>
      <c r="W274" s="4">
        <v>1</v>
      </c>
      <c r="X274" s="67">
        <f t="shared" si="40"/>
        <v>215.77</v>
      </c>
      <c r="Y274" s="32" t="e">
        <f>IF(+VLOOKUP(I274,P.Referencia!E:S,3,FALSE)&lt;=L274,"Champion","Gerente")</f>
        <v>#N/A</v>
      </c>
      <c r="Z274" s="39" t="e">
        <f>VLOOKUP(I274,P.Referencia!E:S,3,0)</f>
        <v>#N/A</v>
      </c>
      <c r="AA274" s="40" t="e">
        <f t="shared" si="44"/>
        <v>#N/A</v>
      </c>
      <c r="AB274" s="41" t="e">
        <f t="shared" si="45"/>
        <v>#N/A</v>
      </c>
      <c r="AC274" s="41" t="e">
        <f t="shared" si="46"/>
        <v>#N/A</v>
      </c>
    </row>
    <row r="275" spans="1:30" s="64" customFormat="1" hidden="1" x14ac:dyDescent="0.25">
      <c r="A275" s="43">
        <v>274</v>
      </c>
      <c r="B275" s="64" t="s">
        <v>375</v>
      </c>
      <c r="C275" s="131" t="str">
        <f t="shared" si="42"/>
        <v>LlaveD86166462485100002291</v>
      </c>
      <c r="D275" s="33" t="str">
        <f>VLOOKUP(E275,'NO MODIFICAR'!J:K,2,0)</f>
        <v>D861</v>
      </c>
      <c r="E275" s="26" t="s">
        <v>44</v>
      </c>
      <c r="F275" s="33" t="str">
        <f>VLOOKUP(D275,'NO MODIFICAR'!F:H,3,0)</f>
        <v xml:space="preserve">CENTRO </v>
      </c>
      <c r="G275" s="92">
        <v>66462485</v>
      </c>
      <c r="H275" s="93" t="s">
        <v>294</v>
      </c>
      <c r="I275" s="94">
        <v>10000229</v>
      </c>
      <c r="J275" s="56" t="str">
        <f>VLOOKUP(I275,'Materiales,canteras'!C:D,2,0)</f>
        <v>Grava Triturada Basalto  10 mm</v>
      </c>
      <c r="K275" s="33">
        <f>VLOOKUP(I275,'Materiales,canteras'!C:E,3,0)</f>
        <v>1.522</v>
      </c>
      <c r="L275" s="105">
        <v>190.08</v>
      </c>
      <c r="M275" s="28" t="s">
        <v>93</v>
      </c>
      <c r="N275" s="57">
        <f t="shared" ca="1" si="43"/>
        <v>46267</v>
      </c>
      <c r="O275" s="32" t="s">
        <v>201</v>
      </c>
      <c r="R275" s="64">
        <f>5/100</f>
        <v>0.05</v>
      </c>
      <c r="S275" s="89">
        <v>320</v>
      </c>
      <c r="T275" s="66">
        <f t="shared" si="41"/>
        <v>-113.91999999999999</v>
      </c>
      <c r="U275" s="46">
        <f t="shared" si="39"/>
        <v>190.08</v>
      </c>
      <c r="V275" s="27">
        <v>140.41999999999999</v>
      </c>
      <c r="W275" s="4">
        <v>1</v>
      </c>
      <c r="X275" s="67">
        <f t="shared" si="40"/>
        <v>330.5</v>
      </c>
      <c r="Y275" s="32" t="e">
        <f>IF(+VLOOKUP(I275,P.Referencia!E:S,3,FALSE)&lt;=L275,"Champion","Gerente")</f>
        <v>#N/A</v>
      </c>
      <c r="Z275" s="39" t="e">
        <f>VLOOKUP(I275,P.Referencia!E:S,3,0)</f>
        <v>#N/A</v>
      </c>
      <c r="AA275" s="40" t="e">
        <f t="shared" si="44"/>
        <v>#N/A</v>
      </c>
      <c r="AB275" s="41" t="e">
        <f t="shared" si="45"/>
        <v>#N/A</v>
      </c>
      <c r="AC275" s="41" t="e">
        <f t="shared" si="46"/>
        <v>#N/A</v>
      </c>
    </row>
    <row r="276" spans="1:30" s="64" customFormat="1" hidden="1" x14ac:dyDescent="0.25">
      <c r="A276" s="43">
        <v>275</v>
      </c>
      <c r="B276" s="64" t="s">
        <v>375</v>
      </c>
      <c r="C276" s="131" t="str">
        <f t="shared" si="42"/>
        <v>LlaveD86166462485100003111</v>
      </c>
      <c r="D276" s="33" t="str">
        <f>VLOOKUP(E276,'NO MODIFICAR'!J:K,2,0)</f>
        <v>D861</v>
      </c>
      <c r="E276" s="26" t="s">
        <v>44</v>
      </c>
      <c r="F276" s="33" t="str">
        <f>VLOOKUP(D276,'NO MODIFICAR'!F:H,3,0)</f>
        <v xml:space="preserve">CENTRO </v>
      </c>
      <c r="G276" s="92">
        <v>66462485</v>
      </c>
      <c r="H276" s="93" t="s">
        <v>294</v>
      </c>
      <c r="I276" s="94">
        <v>10000311</v>
      </c>
      <c r="J276" s="56" t="str">
        <f>VLOOKUP(I276,'Materiales,canteras'!C:D,2,0)</f>
        <v>Arena Triturada Basalto  Malla</v>
      </c>
      <c r="K276" s="33">
        <f>VLOOKUP(I276,'Materiales,canteras'!C:E,3,0)</f>
        <v>1.651</v>
      </c>
      <c r="L276" s="105">
        <v>165.26</v>
      </c>
      <c r="M276" s="28" t="s">
        <v>93</v>
      </c>
      <c r="N276" s="57">
        <f t="shared" ca="1" si="43"/>
        <v>46267</v>
      </c>
      <c r="O276" s="32" t="s">
        <v>201</v>
      </c>
      <c r="R276" s="64">
        <f>5/100</f>
        <v>0.05</v>
      </c>
      <c r="S276" s="89">
        <v>260</v>
      </c>
      <c r="T276" s="66">
        <f t="shared" si="41"/>
        <v>-81.740000000000009</v>
      </c>
      <c r="U276" s="46">
        <f t="shared" si="39"/>
        <v>165.26</v>
      </c>
      <c r="V276" s="27">
        <v>136.51</v>
      </c>
      <c r="W276" s="4">
        <v>1</v>
      </c>
      <c r="X276" s="67">
        <f t="shared" si="40"/>
        <v>301.77</v>
      </c>
      <c r="Y276" s="32" t="e">
        <f>IF(+VLOOKUP(I276,P.Referencia!E:S,3,FALSE)&lt;=L276,"Champion","Gerente")</f>
        <v>#N/A</v>
      </c>
      <c r="Z276" s="39" t="e">
        <f>VLOOKUP(I276,P.Referencia!E:S,3,0)</f>
        <v>#N/A</v>
      </c>
      <c r="AA276" s="40" t="e">
        <f t="shared" si="44"/>
        <v>#N/A</v>
      </c>
      <c r="AB276" s="41" t="e">
        <f t="shared" si="45"/>
        <v>#N/A</v>
      </c>
      <c r="AC276" s="41" t="e">
        <f t="shared" si="46"/>
        <v>#N/A</v>
      </c>
    </row>
    <row r="277" spans="1:30" s="64" customFormat="1" hidden="1" x14ac:dyDescent="0.25">
      <c r="A277" s="43">
        <v>276</v>
      </c>
      <c r="B277" s="64" t="s">
        <v>375</v>
      </c>
      <c r="C277" s="131" t="str">
        <f t="shared" si="42"/>
        <v>LlaveD86166617693100014501</v>
      </c>
      <c r="D277" s="33" t="str">
        <f>VLOOKUP(E277,'NO MODIFICAR'!J:K,2,0)</f>
        <v>D861</v>
      </c>
      <c r="E277" s="26" t="s">
        <v>44</v>
      </c>
      <c r="F277" s="33" t="str">
        <f>VLOOKUP(D277,'NO MODIFICAR'!F:H,3,0)</f>
        <v xml:space="preserve">CENTRO </v>
      </c>
      <c r="G277" s="92">
        <v>66617693</v>
      </c>
      <c r="H277" s="93" t="s">
        <v>152</v>
      </c>
      <c r="I277" s="94">
        <v>10001450</v>
      </c>
      <c r="J277" s="56" t="str">
        <f>VLOOKUP(I277,'Materiales,canteras'!C:D,2,0)</f>
        <v>Base Hidraúlica Basalto de 1 /1/2</v>
      </c>
      <c r="K277" s="33">
        <f>VLOOKUP(I277,'Materiales,canteras'!C:E,3,0)</f>
        <v>1.7490000000000001</v>
      </c>
      <c r="L277" s="105">
        <v>197.05</v>
      </c>
      <c r="M277" s="28" t="s">
        <v>93</v>
      </c>
      <c r="N277" s="57">
        <f t="shared" ca="1" si="43"/>
        <v>46267</v>
      </c>
      <c r="O277" s="32" t="s">
        <v>201</v>
      </c>
      <c r="R277" s="64">
        <f>1.5/100</f>
        <v>1.4999999999999999E-2</v>
      </c>
      <c r="S277" s="89">
        <v>260</v>
      </c>
      <c r="T277" s="66">
        <f t="shared" si="41"/>
        <v>-59.050000000000011</v>
      </c>
      <c r="U277" s="46">
        <f t="shared" si="39"/>
        <v>197.05</v>
      </c>
      <c r="V277" s="27">
        <v>83.18</v>
      </c>
      <c r="W277" s="4">
        <v>1</v>
      </c>
      <c r="X277" s="67">
        <f t="shared" si="40"/>
        <v>280.23</v>
      </c>
      <c r="Y277" s="32" t="e">
        <f>IF(+VLOOKUP(I277,P.Referencia!E:S,3,FALSE)&lt;=L277,"Champion","Gerente")</f>
        <v>#N/A</v>
      </c>
      <c r="Z277" s="39" t="e">
        <f>VLOOKUP(I277,P.Referencia!E:S,3,0)</f>
        <v>#N/A</v>
      </c>
      <c r="AA277" s="40" t="e">
        <f t="shared" si="44"/>
        <v>#N/A</v>
      </c>
      <c r="AB277" s="41" t="e">
        <f t="shared" si="45"/>
        <v>#N/A</v>
      </c>
      <c r="AC277" s="41" t="e">
        <f t="shared" si="46"/>
        <v>#N/A</v>
      </c>
    </row>
    <row r="278" spans="1:30" s="64" customFormat="1" hidden="1" x14ac:dyDescent="0.25">
      <c r="A278" s="43">
        <v>277</v>
      </c>
      <c r="B278" s="64" t="s">
        <v>375</v>
      </c>
      <c r="C278" s="131" t="str">
        <f t="shared" si="42"/>
        <v>LlaveD86166639835100002291</v>
      </c>
      <c r="D278" s="33" t="str">
        <f>VLOOKUP(E278,'NO MODIFICAR'!J:K,2,0)</f>
        <v>D861</v>
      </c>
      <c r="E278" s="26" t="s">
        <v>44</v>
      </c>
      <c r="F278" s="33" t="str">
        <f>VLOOKUP(D278,'NO MODIFICAR'!F:H,3,0)</f>
        <v xml:space="preserve">CENTRO </v>
      </c>
      <c r="G278" s="92">
        <v>66639835</v>
      </c>
      <c r="H278" s="93" t="s">
        <v>295</v>
      </c>
      <c r="I278" s="94">
        <v>10000229</v>
      </c>
      <c r="J278" s="56" t="str">
        <f>VLOOKUP(I278,'Materiales,canteras'!C:D,2,0)</f>
        <v>Grava Triturada Basalto  10 mm</v>
      </c>
      <c r="K278" s="33">
        <f>VLOOKUP(I278,'Materiales,canteras'!C:E,3,0)</f>
        <v>1.522</v>
      </c>
      <c r="L278" s="105">
        <v>198.46</v>
      </c>
      <c r="M278" s="28" t="s">
        <v>93</v>
      </c>
      <c r="N278" s="57">
        <f t="shared" ca="1" si="43"/>
        <v>46267</v>
      </c>
      <c r="O278" s="32" t="s">
        <v>201</v>
      </c>
      <c r="S278" s="89">
        <v>320</v>
      </c>
      <c r="T278" s="66">
        <f t="shared" si="41"/>
        <v>-121.53999999999999</v>
      </c>
      <c r="U278" s="46">
        <f t="shared" si="39"/>
        <v>198.46</v>
      </c>
      <c r="V278" s="27">
        <v>66.739999999999995</v>
      </c>
      <c r="W278" s="4">
        <v>1</v>
      </c>
      <c r="X278" s="67">
        <f t="shared" si="40"/>
        <v>265.2</v>
      </c>
      <c r="Y278" s="32" t="e">
        <f>IF(+VLOOKUP(I278,P.Referencia!E:S,3,FALSE)&lt;=L278,"Champion","Gerente")</f>
        <v>#N/A</v>
      </c>
      <c r="Z278" s="39" t="e">
        <f>VLOOKUP(I278,P.Referencia!E:S,3,0)</f>
        <v>#N/A</v>
      </c>
      <c r="AA278" s="40" t="e">
        <f t="shared" si="44"/>
        <v>#N/A</v>
      </c>
      <c r="AB278" s="41" t="e">
        <f t="shared" si="45"/>
        <v>#N/A</v>
      </c>
      <c r="AC278" s="41" t="e">
        <f t="shared" si="46"/>
        <v>#N/A</v>
      </c>
    </row>
    <row r="279" spans="1:30" s="64" customFormat="1" hidden="1" x14ac:dyDescent="0.25">
      <c r="A279" s="43">
        <v>278</v>
      </c>
      <c r="B279" s="64" t="s">
        <v>375</v>
      </c>
      <c r="C279" s="131" t="str">
        <f t="shared" si="42"/>
        <v>LlaveD86167097841100002311</v>
      </c>
      <c r="D279" s="33" t="str">
        <f>VLOOKUP(E279,'NO MODIFICAR'!J:K,2,0)</f>
        <v>D861</v>
      </c>
      <c r="E279" s="26" t="s">
        <v>44</v>
      </c>
      <c r="F279" s="33" t="str">
        <f>VLOOKUP(D279,'NO MODIFICAR'!F:H,3,0)</f>
        <v xml:space="preserve">CENTRO </v>
      </c>
      <c r="G279" s="92">
        <v>67097841</v>
      </c>
      <c r="H279" s="93" t="s">
        <v>296</v>
      </c>
      <c r="I279" s="94">
        <v>10000231</v>
      </c>
      <c r="J279" s="56" t="str">
        <f>VLOOKUP(I279,'Materiales,canteras'!C:D,2,0)</f>
        <v>Grava Triturada Basalto 20 mm</v>
      </c>
      <c r="K279" s="33">
        <f>VLOOKUP(I279,'Materiales,canteras'!C:E,3,0)</f>
        <v>1.5649999999999999</v>
      </c>
      <c r="L279" s="105">
        <v>195.59</v>
      </c>
      <c r="M279" s="28" t="s">
        <v>93</v>
      </c>
      <c r="N279" s="57">
        <f t="shared" ca="1" si="43"/>
        <v>46267</v>
      </c>
      <c r="O279" s="32" t="s">
        <v>201</v>
      </c>
      <c r="S279" s="89">
        <v>280</v>
      </c>
      <c r="T279" s="66">
        <f t="shared" si="41"/>
        <v>-84.41</v>
      </c>
      <c r="U279" s="46">
        <f t="shared" si="39"/>
        <v>195.59</v>
      </c>
      <c r="V279" s="27">
        <v>80.34</v>
      </c>
      <c r="W279" s="4">
        <v>1</v>
      </c>
      <c r="X279" s="67">
        <f t="shared" si="40"/>
        <v>275.93</v>
      </c>
      <c r="Y279" s="32" t="e">
        <f>IF(+VLOOKUP(I279,P.Referencia!E:S,3,FALSE)&lt;=L279,"Champion","Gerente")</f>
        <v>#N/A</v>
      </c>
      <c r="Z279" s="39" t="e">
        <f>VLOOKUP(I279,P.Referencia!E:S,3,0)</f>
        <v>#N/A</v>
      </c>
      <c r="AA279" s="40" t="e">
        <f t="shared" si="44"/>
        <v>#N/A</v>
      </c>
      <c r="AB279" s="41" t="e">
        <f t="shared" si="45"/>
        <v>#N/A</v>
      </c>
      <c r="AC279" s="41" t="e">
        <f t="shared" si="46"/>
        <v>#N/A</v>
      </c>
    </row>
    <row r="280" spans="1:30" s="64" customFormat="1" hidden="1" x14ac:dyDescent="0.25">
      <c r="A280" s="43">
        <v>279</v>
      </c>
      <c r="B280" s="64" t="s">
        <v>375</v>
      </c>
      <c r="C280" s="131" t="str">
        <f t="shared" si="42"/>
        <v>LlaveD86167097841100002331</v>
      </c>
      <c r="D280" s="33" t="str">
        <f>VLOOKUP(E280,'NO MODIFICAR'!J:K,2,0)</f>
        <v>D861</v>
      </c>
      <c r="E280" s="26" t="s">
        <v>44</v>
      </c>
      <c r="F280" s="33" t="str">
        <f>VLOOKUP(D280,'NO MODIFICAR'!F:H,3,0)</f>
        <v xml:space="preserve">CENTRO </v>
      </c>
      <c r="G280" s="92">
        <v>67097841</v>
      </c>
      <c r="H280" s="93" t="s">
        <v>296</v>
      </c>
      <c r="I280" s="94">
        <v>10000233</v>
      </c>
      <c r="J280" s="56" t="str">
        <f>VLOOKUP(I280,'Materiales,canteras'!C:D,2,0)</f>
        <v>Grava Triturada Basalto  40 mm</v>
      </c>
      <c r="K280" s="33">
        <f>VLOOKUP(I280,'Materiales,canteras'!C:E,3,0)</f>
        <v>1.456</v>
      </c>
      <c r="L280" s="105">
        <v>195.59</v>
      </c>
      <c r="M280" s="28" t="s">
        <v>93</v>
      </c>
      <c r="N280" s="57">
        <f t="shared" ca="1" si="43"/>
        <v>46267</v>
      </c>
      <c r="O280" s="32" t="s">
        <v>201</v>
      </c>
      <c r="S280" s="89">
        <v>282</v>
      </c>
      <c r="T280" s="66">
        <f t="shared" si="41"/>
        <v>-86.41</v>
      </c>
      <c r="U280" s="46">
        <f t="shared" si="39"/>
        <v>195.59</v>
      </c>
      <c r="V280" s="27">
        <v>80.34</v>
      </c>
      <c r="W280" s="4">
        <v>1</v>
      </c>
      <c r="X280" s="67">
        <f t="shared" si="40"/>
        <v>275.93</v>
      </c>
      <c r="Y280" s="32" t="e">
        <f>IF(+VLOOKUP(I280,P.Referencia!E:S,3,FALSE)&lt;=L280,"Champion","Gerente")</f>
        <v>#N/A</v>
      </c>
      <c r="Z280" s="39" t="e">
        <f>VLOOKUP(I280,P.Referencia!E:S,3,0)</f>
        <v>#N/A</v>
      </c>
      <c r="AA280" s="40" t="e">
        <f t="shared" si="44"/>
        <v>#N/A</v>
      </c>
      <c r="AB280" s="41" t="e">
        <f t="shared" si="45"/>
        <v>#N/A</v>
      </c>
      <c r="AC280" s="41" t="e">
        <f t="shared" si="46"/>
        <v>#N/A</v>
      </c>
    </row>
    <row r="281" spans="1:30" s="64" customFormat="1" hidden="1" x14ac:dyDescent="0.25">
      <c r="A281" s="43">
        <v>280</v>
      </c>
      <c r="B281" s="64" t="s">
        <v>375</v>
      </c>
      <c r="C281" s="131" t="str">
        <f t="shared" si="42"/>
        <v>LlaveD86167288015100002901</v>
      </c>
      <c r="D281" s="33" t="str">
        <f>VLOOKUP(E281,'NO MODIFICAR'!J:K,2,0)</f>
        <v>D861</v>
      </c>
      <c r="E281" s="26" t="s">
        <v>44</v>
      </c>
      <c r="F281" s="33" t="str">
        <f>VLOOKUP(D281,'NO MODIFICAR'!F:H,3,0)</f>
        <v xml:space="preserve">CENTRO </v>
      </c>
      <c r="G281" s="92">
        <v>67288015</v>
      </c>
      <c r="H281" s="93" t="s">
        <v>297</v>
      </c>
      <c r="I281" s="94">
        <v>10000290</v>
      </c>
      <c r="J281" s="56" t="str">
        <f>VLOOKUP(I281,'Materiales,canteras'!C:D,2,0)</f>
        <v>Polvos Triturado Basalto 3/4"</v>
      </c>
      <c r="K281" s="33">
        <f>VLOOKUP(I281,'Materiales,canteras'!C:E,3,0)</f>
        <v>1.3720000000000001</v>
      </c>
      <c r="L281" s="105">
        <v>0.5</v>
      </c>
      <c r="M281" s="28" t="s">
        <v>93</v>
      </c>
      <c r="N281" s="57">
        <f t="shared" ca="1" si="43"/>
        <v>46267</v>
      </c>
      <c r="O281" s="32" t="s">
        <v>201</v>
      </c>
      <c r="S281" s="89">
        <v>25</v>
      </c>
      <c r="T281" s="66">
        <f t="shared" si="41"/>
        <v>-24.5</v>
      </c>
      <c r="U281" s="46">
        <f t="shared" si="39"/>
        <v>0.5</v>
      </c>
      <c r="V281" s="27">
        <v>42</v>
      </c>
      <c r="W281" s="4">
        <v>1</v>
      </c>
      <c r="X281" s="67">
        <f t="shared" si="40"/>
        <v>42.5</v>
      </c>
      <c r="Y281" s="32" t="e">
        <f>IF(+VLOOKUP(I281,P.Referencia!E:S,3,FALSE)&lt;=L281,"Champion","Gerente")</f>
        <v>#N/A</v>
      </c>
      <c r="Z281" s="39" t="e">
        <f>VLOOKUP(I281,P.Referencia!E:S,3,0)</f>
        <v>#N/A</v>
      </c>
      <c r="AA281" s="40" t="e">
        <f t="shared" si="44"/>
        <v>#N/A</v>
      </c>
      <c r="AB281" s="41" t="e">
        <f t="shared" si="45"/>
        <v>#N/A</v>
      </c>
      <c r="AC281" s="41" t="e">
        <f t="shared" si="46"/>
        <v>#N/A</v>
      </c>
    </row>
    <row r="282" spans="1:30" s="64" customFormat="1" hidden="1" x14ac:dyDescent="0.25">
      <c r="A282" s="43">
        <v>281</v>
      </c>
      <c r="B282" s="64" t="s">
        <v>375</v>
      </c>
      <c r="C282" s="131" t="str">
        <f t="shared" si="42"/>
        <v>LlaveD86465712419100002401</v>
      </c>
      <c r="D282" s="33" t="str">
        <f>VLOOKUP(E282,'NO MODIFICAR'!J:K,2,0)</f>
        <v>D864</v>
      </c>
      <c r="E282" s="26" t="s">
        <v>55</v>
      </c>
      <c r="F282" s="33" t="str">
        <f>VLOOKUP(D282,'NO MODIFICAR'!F:H,3,0)</f>
        <v xml:space="preserve">CENTRO </v>
      </c>
      <c r="G282" s="92">
        <v>65712419</v>
      </c>
      <c r="H282" s="93" t="s">
        <v>298</v>
      </c>
      <c r="I282" s="94">
        <v>10000240</v>
      </c>
      <c r="J282" s="56" t="str">
        <f>VLOOKUP(I282,'Materiales,canteras'!C:D,2,0)</f>
        <v>Grava Triturada Caliza 20 mm -</v>
      </c>
      <c r="K282" s="33">
        <f>VLOOKUP(I282,'Materiales,canteras'!C:E,3,0)</f>
        <v>1.462</v>
      </c>
      <c r="L282" s="105">
        <v>127</v>
      </c>
      <c r="M282" s="28" t="s">
        <v>93</v>
      </c>
      <c r="N282" s="57">
        <f t="shared" ca="1" si="43"/>
        <v>46267</v>
      </c>
      <c r="O282" s="32" t="s">
        <v>201</v>
      </c>
      <c r="R282" s="64">
        <f>8/100</f>
        <v>0.08</v>
      </c>
      <c r="S282" s="89">
        <v>280</v>
      </c>
      <c r="T282" s="66">
        <f t="shared" si="41"/>
        <v>-130.60000000000002</v>
      </c>
      <c r="U282" s="46">
        <f t="shared" si="39"/>
        <v>127</v>
      </c>
      <c r="V282" s="27">
        <v>129</v>
      </c>
      <c r="W282" s="4">
        <v>1</v>
      </c>
      <c r="X282" s="67">
        <f t="shared" si="40"/>
        <v>256</v>
      </c>
      <c r="Y282" s="32" t="e">
        <f>IF(+VLOOKUP(I282,P.Referencia!E:S,3,FALSE)&lt;=L282,"Champion","Gerente")</f>
        <v>#N/A</v>
      </c>
      <c r="Z282" s="39" t="e">
        <f>VLOOKUP(I282,P.Referencia!E:S,3,0)</f>
        <v>#N/A</v>
      </c>
      <c r="AA282" s="40" t="e">
        <f t="shared" si="44"/>
        <v>#N/A</v>
      </c>
      <c r="AB282" s="41" t="e">
        <f t="shared" si="45"/>
        <v>#N/A</v>
      </c>
      <c r="AC282" s="41" t="e">
        <f t="shared" si="46"/>
        <v>#N/A</v>
      </c>
    </row>
    <row r="283" spans="1:30" s="64" customFormat="1" hidden="1" x14ac:dyDescent="0.25">
      <c r="A283" s="43">
        <v>282</v>
      </c>
      <c r="B283" s="64" t="s">
        <v>375</v>
      </c>
      <c r="C283" s="131" t="str">
        <f t="shared" si="42"/>
        <v>LlaveD86465712419100010741</v>
      </c>
      <c r="D283" s="33" t="str">
        <f>VLOOKUP(E283,'NO MODIFICAR'!J:K,2,0)</f>
        <v>D864</v>
      </c>
      <c r="E283" s="26" t="s">
        <v>55</v>
      </c>
      <c r="F283" s="33" t="str">
        <f>VLOOKUP(D283,'NO MODIFICAR'!F:H,3,0)</f>
        <v xml:space="preserve">CENTRO </v>
      </c>
      <c r="G283" s="92">
        <v>65712419</v>
      </c>
      <c r="H283" s="93" t="s">
        <v>298</v>
      </c>
      <c r="I283" s="94">
        <v>10001074</v>
      </c>
      <c r="J283" s="56" t="str">
        <f>VLOOKUP(I283,'Materiales,canteras'!C:D,2,0)</f>
        <v>Grava Triturada Caliza 40 mm -</v>
      </c>
      <c r="K283" s="33">
        <f>VLOOKUP(I283,'Materiales,canteras'!C:E,3,0)</f>
        <v>1.4</v>
      </c>
      <c r="L283" s="105">
        <v>137</v>
      </c>
      <c r="M283" s="28" t="s">
        <v>93</v>
      </c>
      <c r="N283" s="57">
        <f t="shared" ca="1" si="43"/>
        <v>46267</v>
      </c>
      <c r="O283" s="32" t="s">
        <v>201</v>
      </c>
      <c r="R283" s="64">
        <f>8/100</f>
        <v>0.08</v>
      </c>
      <c r="S283" s="89">
        <v>220</v>
      </c>
      <c r="T283" s="66">
        <f t="shared" si="41"/>
        <v>-65.400000000000006</v>
      </c>
      <c r="U283" s="46">
        <f t="shared" si="39"/>
        <v>137</v>
      </c>
      <c r="V283" s="27">
        <v>135</v>
      </c>
      <c r="W283" s="4">
        <v>1</v>
      </c>
      <c r="X283" s="67">
        <f t="shared" si="40"/>
        <v>272</v>
      </c>
      <c r="Y283" s="32" t="e">
        <f>IF(+VLOOKUP(I283,P.Referencia!E:S,3,FALSE)&lt;=L283,"Champion","Gerente")</f>
        <v>#N/A</v>
      </c>
      <c r="Z283" s="39" t="e">
        <f>VLOOKUP(I283,P.Referencia!E:S,3,0)</f>
        <v>#N/A</v>
      </c>
      <c r="AA283" s="40" t="e">
        <f t="shared" si="44"/>
        <v>#N/A</v>
      </c>
      <c r="AB283" s="41" t="e">
        <f t="shared" si="45"/>
        <v>#N/A</v>
      </c>
      <c r="AC283" s="41" t="e">
        <f t="shared" si="46"/>
        <v>#N/A</v>
      </c>
    </row>
    <row r="284" spans="1:30" s="64" customFormat="1" hidden="1" x14ac:dyDescent="0.25">
      <c r="A284" s="43">
        <v>283</v>
      </c>
      <c r="B284" s="64" t="s">
        <v>375</v>
      </c>
      <c r="C284" s="131" t="str">
        <f t="shared" si="42"/>
        <v>LlaveD86465712419100002361</v>
      </c>
      <c r="D284" s="33" t="str">
        <f>VLOOKUP(E284,'NO MODIFICAR'!J:K,2,0)</f>
        <v>D864</v>
      </c>
      <c r="E284" s="26" t="s">
        <v>55</v>
      </c>
      <c r="F284" s="33" t="str">
        <f>VLOOKUP(D284,'NO MODIFICAR'!F:H,3,0)</f>
        <v xml:space="preserve">CENTRO </v>
      </c>
      <c r="G284" s="92">
        <v>65712419</v>
      </c>
      <c r="H284" s="93" t="s">
        <v>298</v>
      </c>
      <c r="I284" s="94">
        <v>10000236</v>
      </c>
      <c r="J284" s="56" t="str">
        <f>VLOOKUP(I284,'Materiales,canteras'!C:D,2,0)</f>
        <v>Grava Triturada Caliza 10 mm -</v>
      </c>
      <c r="K284" s="33">
        <f>VLOOKUP(I284,'Materiales,canteras'!C:E,3,0)</f>
        <v>1.41</v>
      </c>
      <c r="L284" s="105">
        <v>120</v>
      </c>
      <c r="M284" s="28" t="s">
        <v>93</v>
      </c>
      <c r="N284" s="57">
        <f t="shared" ca="1" si="43"/>
        <v>46267</v>
      </c>
      <c r="O284" s="32" t="s">
        <v>201</v>
      </c>
      <c r="R284" s="64">
        <f>8/100</f>
        <v>0.08</v>
      </c>
      <c r="S284" s="89">
        <v>240</v>
      </c>
      <c r="T284" s="66">
        <f t="shared" si="41"/>
        <v>-100.80000000000001</v>
      </c>
      <c r="U284" s="46">
        <f t="shared" si="39"/>
        <v>120</v>
      </c>
      <c r="V284" s="27">
        <v>134.5</v>
      </c>
      <c r="W284" s="4">
        <v>1</v>
      </c>
      <c r="X284" s="67">
        <f t="shared" si="40"/>
        <v>254.5</v>
      </c>
      <c r="Y284" s="32" t="e">
        <f>IF(+VLOOKUP(I284,P.Referencia!E:S,3,FALSE)&lt;=L284,"Champion","Gerente")</f>
        <v>#N/A</v>
      </c>
      <c r="Z284" s="39" t="e">
        <f>VLOOKUP(I284,P.Referencia!E:S,3,0)</f>
        <v>#N/A</v>
      </c>
      <c r="AA284" s="40" t="e">
        <f t="shared" si="44"/>
        <v>#N/A</v>
      </c>
      <c r="AB284" s="41" t="e">
        <f t="shared" si="45"/>
        <v>#N/A</v>
      </c>
      <c r="AC284" s="41" t="e">
        <f t="shared" si="46"/>
        <v>#N/A</v>
      </c>
    </row>
    <row r="285" spans="1:30" s="64" customFormat="1" hidden="1" x14ac:dyDescent="0.25">
      <c r="A285" s="43">
        <v>284</v>
      </c>
      <c r="B285" s="64" t="s">
        <v>375</v>
      </c>
      <c r="C285" s="131" t="str">
        <f t="shared" si="42"/>
        <v>LlaveD86465712419100010731</v>
      </c>
      <c r="D285" s="33" t="str">
        <f>VLOOKUP(E285,'NO MODIFICAR'!J:K,2,0)</f>
        <v>D864</v>
      </c>
      <c r="E285" s="26" t="s">
        <v>55</v>
      </c>
      <c r="F285" s="33" t="str">
        <f>VLOOKUP(D285,'NO MODIFICAR'!F:H,3,0)</f>
        <v xml:space="preserve">CENTRO </v>
      </c>
      <c r="G285" s="92">
        <v>65712419</v>
      </c>
      <c r="H285" s="93" t="s">
        <v>298</v>
      </c>
      <c r="I285" s="94">
        <v>10001073</v>
      </c>
      <c r="J285" s="56" t="str">
        <f>VLOOKUP(I285,'Materiales,canteras'!C:D,2,0)</f>
        <v>Arena Triturada Caliza Malla 4</v>
      </c>
      <c r="K285" s="33">
        <f>VLOOKUP(I285,'Materiales,canteras'!C:E,3,0)</f>
        <v>1.56</v>
      </c>
      <c r="L285" s="105">
        <v>87.5</v>
      </c>
      <c r="M285" s="28" t="s">
        <v>93</v>
      </c>
      <c r="N285" s="57">
        <f t="shared" ca="1" si="43"/>
        <v>46267</v>
      </c>
      <c r="O285" s="32" t="s">
        <v>201</v>
      </c>
      <c r="R285" s="64">
        <f>8/100</f>
        <v>0.08</v>
      </c>
      <c r="S285" s="89">
        <v>150</v>
      </c>
      <c r="T285" s="66">
        <f t="shared" si="41"/>
        <v>-50.5</v>
      </c>
      <c r="U285" s="46">
        <f t="shared" si="39"/>
        <v>87.5</v>
      </c>
      <c r="V285" s="27">
        <v>121</v>
      </c>
      <c r="W285" s="4">
        <v>1</v>
      </c>
      <c r="X285" s="67">
        <f t="shared" si="40"/>
        <v>208.5</v>
      </c>
      <c r="Y285" s="32" t="e">
        <f>IF(+VLOOKUP(I285,P.Referencia!E:S,3,FALSE)&lt;=L285,"Champion","Gerente")</f>
        <v>#N/A</v>
      </c>
      <c r="Z285" s="39" t="e">
        <f>VLOOKUP(I285,P.Referencia!E:S,3,0)</f>
        <v>#N/A</v>
      </c>
      <c r="AA285" s="40" t="e">
        <f t="shared" si="44"/>
        <v>#N/A</v>
      </c>
      <c r="AB285" s="41" t="e">
        <f t="shared" si="45"/>
        <v>#N/A</v>
      </c>
      <c r="AC285" s="41" t="e">
        <f t="shared" si="46"/>
        <v>#N/A</v>
      </c>
    </row>
    <row r="286" spans="1:30" s="64" customFormat="1" hidden="1" x14ac:dyDescent="0.25">
      <c r="A286" s="43">
        <v>285</v>
      </c>
      <c r="B286" s="64" t="s">
        <v>375</v>
      </c>
      <c r="C286" s="131" t="str">
        <f t="shared" si="42"/>
        <v>LlaveD86465712419100002691</v>
      </c>
      <c r="D286" s="33" t="str">
        <f>VLOOKUP(E286,'NO MODIFICAR'!J:K,2,0)</f>
        <v>D864</v>
      </c>
      <c r="E286" s="26" t="s">
        <v>55</v>
      </c>
      <c r="F286" s="33" t="str">
        <f>VLOOKUP(D286,'NO MODIFICAR'!F:H,3,0)</f>
        <v xml:space="preserve">CENTRO </v>
      </c>
      <c r="G286" s="92">
        <v>65712419</v>
      </c>
      <c r="H286" s="93" t="s">
        <v>298</v>
      </c>
      <c r="I286" s="94">
        <v>10000269</v>
      </c>
      <c r="J286" s="56" t="str">
        <f>VLOOKUP(I286,'Materiales,canteras'!C:D,2,0)</f>
        <v>Grava Triturada Caliza 13 mm -</v>
      </c>
      <c r="K286" s="33">
        <f>VLOOKUP(I286,'Materiales,canteras'!C:E,3,0)</f>
        <v>1.423</v>
      </c>
      <c r="L286" s="105">
        <v>137</v>
      </c>
      <c r="M286" s="28" t="s">
        <v>93</v>
      </c>
      <c r="N286" s="57">
        <f t="shared" ca="1" si="43"/>
        <v>46267</v>
      </c>
      <c r="O286" s="32" t="s">
        <v>201</v>
      </c>
      <c r="R286" s="64">
        <f>8/100</f>
        <v>0.08</v>
      </c>
      <c r="S286" s="89">
        <v>250</v>
      </c>
      <c r="T286" s="66">
        <f t="shared" si="41"/>
        <v>-93</v>
      </c>
      <c r="U286" s="46">
        <f t="shared" si="39"/>
        <v>137</v>
      </c>
      <c r="V286" s="27">
        <v>134</v>
      </c>
      <c r="W286" s="4">
        <v>1</v>
      </c>
      <c r="X286" s="67">
        <f t="shared" si="40"/>
        <v>271</v>
      </c>
      <c r="Y286" s="32" t="e">
        <f>IF(+VLOOKUP(I286,P.Referencia!E:S,3,FALSE)&lt;=L286,"Champion","Gerente")</f>
        <v>#N/A</v>
      </c>
      <c r="Z286" s="39" t="e">
        <f>VLOOKUP(I286,P.Referencia!E:S,3,0)</f>
        <v>#N/A</v>
      </c>
      <c r="AA286" s="40" t="e">
        <f t="shared" si="44"/>
        <v>#N/A</v>
      </c>
      <c r="AB286" s="41" t="e">
        <f t="shared" si="45"/>
        <v>#N/A</v>
      </c>
      <c r="AC286" s="41" t="e">
        <f t="shared" si="46"/>
        <v>#N/A</v>
      </c>
    </row>
    <row r="287" spans="1:30" s="64" customFormat="1" hidden="1" x14ac:dyDescent="0.25">
      <c r="A287" s="43">
        <v>286</v>
      </c>
      <c r="B287" s="64" t="s">
        <v>375</v>
      </c>
      <c r="C287" s="131" t="str">
        <f t="shared" si="42"/>
        <v>LlaveD86467330388100002401</v>
      </c>
      <c r="D287" s="33" t="str">
        <f>VLOOKUP(E287,'NO MODIFICAR'!J:K,2,0)</f>
        <v>D864</v>
      </c>
      <c r="E287" s="26" t="s">
        <v>55</v>
      </c>
      <c r="F287" s="33" t="str">
        <f>VLOOKUP(D287,'NO MODIFICAR'!F:H,3,0)</f>
        <v xml:space="preserve">CENTRO </v>
      </c>
      <c r="G287" s="92">
        <v>67330388</v>
      </c>
      <c r="H287" s="93" t="s">
        <v>299</v>
      </c>
      <c r="I287" s="94">
        <v>10000240</v>
      </c>
      <c r="J287" s="56" t="str">
        <f>VLOOKUP(I287,'Materiales,canteras'!C:D,2,0)</f>
        <v>Grava Triturada Caliza 20 mm -</v>
      </c>
      <c r="K287" s="33">
        <f>VLOOKUP(I287,'Materiales,canteras'!C:E,3,0)</f>
        <v>1.462</v>
      </c>
      <c r="L287" s="105">
        <v>127</v>
      </c>
      <c r="M287" s="28" t="s">
        <v>93</v>
      </c>
      <c r="N287" s="57">
        <f t="shared" ca="1" si="43"/>
        <v>46267</v>
      </c>
      <c r="O287" s="32" t="s">
        <v>201</v>
      </c>
      <c r="S287" s="89"/>
      <c r="T287" s="66">
        <f t="shared" ref="T287:T318" si="47">L287-(S287-(S287*R287))</f>
        <v>127</v>
      </c>
      <c r="U287" s="46">
        <f t="shared" si="39"/>
        <v>127</v>
      </c>
      <c r="V287" s="27">
        <v>129</v>
      </c>
      <c r="W287" s="4">
        <v>1</v>
      </c>
      <c r="X287" s="67">
        <f t="shared" si="40"/>
        <v>256</v>
      </c>
      <c r="Y287" s="32" t="e">
        <f>IF(+VLOOKUP(I287,P.Referencia!E:S,3,FALSE)&lt;=L287,"Champion","Gerente")</f>
        <v>#N/A</v>
      </c>
      <c r="Z287" s="39" t="e">
        <f>VLOOKUP(I287,P.Referencia!E:S,3,0)</f>
        <v>#N/A</v>
      </c>
      <c r="AA287" s="40" t="e">
        <f t="shared" si="44"/>
        <v>#N/A</v>
      </c>
      <c r="AB287" s="41" t="e">
        <f t="shared" si="45"/>
        <v>#N/A</v>
      </c>
      <c r="AC287" s="41" t="e">
        <f t="shared" si="46"/>
        <v>#N/A</v>
      </c>
      <c r="AD287" s="64" t="s">
        <v>300</v>
      </c>
    </row>
    <row r="288" spans="1:30" s="64" customFormat="1" hidden="1" x14ac:dyDescent="0.25">
      <c r="A288" s="43">
        <v>287</v>
      </c>
      <c r="B288" s="64" t="s">
        <v>375</v>
      </c>
      <c r="C288" s="131" t="str">
        <f t="shared" si="42"/>
        <v>LlaveD86467330388100010741</v>
      </c>
      <c r="D288" s="33" t="str">
        <f>VLOOKUP(E288,'NO MODIFICAR'!J:K,2,0)</f>
        <v>D864</v>
      </c>
      <c r="E288" s="26" t="s">
        <v>55</v>
      </c>
      <c r="F288" s="33" t="str">
        <f>VLOOKUP(D288,'NO MODIFICAR'!F:H,3,0)</f>
        <v xml:space="preserve">CENTRO </v>
      </c>
      <c r="G288" s="92">
        <v>67330388</v>
      </c>
      <c r="H288" s="93" t="s">
        <v>299</v>
      </c>
      <c r="I288" s="94">
        <v>10001074</v>
      </c>
      <c r="J288" s="56" t="str">
        <f>VLOOKUP(I288,'Materiales,canteras'!C:D,2,0)</f>
        <v>Grava Triturada Caliza 40 mm -</v>
      </c>
      <c r="K288" s="33">
        <f>VLOOKUP(I288,'Materiales,canteras'!C:E,3,0)</f>
        <v>1.4</v>
      </c>
      <c r="L288" s="105">
        <v>137</v>
      </c>
      <c r="M288" s="28" t="s">
        <v>93</v>
      </c>
      <c r="N288" s="57">
        <f t="shared" ca="1" si="43"/>
        <v>46267</v>
      </c>
      <c r="O288" s="32" t="s">
        <v>201</v>
      </c>
      <c r="S288" s="89"/>
      <c r="T288" s="66">
        <f t="shared" si="47"/>
        <v>137</v>
      </c>
      <c r="U288" s="46">
        <f t="shared" si="39"/>
        <v>137</v>
      </c>
      <c r="V288" s="27">
        <v>135</v>
      </c>
      <c r="W288" s="4">
        <v>1</v>
      </c>
      <c r="X288" s="67">
        <f t="shared" si="40"/>
        <v>272</v>
      </c>
      <c r="Y288" s="32" t="e">
        <f>IF(+VLOOKUP(I288,P.Referencia!E:S,3,FALSE)&lt;=L288,"Champion","Gerente")</f>
        <v>#N/A</v>
      </c>
      <c r="Z288" s="39" t="e">
        <f>VLOOKUP(I288,P.Referencia!E:S,3,0)</f>
        <v>#N/A</v>
      </c>
      <c r="AA288" s="40" t="e">
        <f t="shared" si="44"/>
        <v>#N/A</v>
      </c>
      <c r="AB288" s="41" t="e">
        <f t="shared" si="45"/>
        <v>#N/A</v>
      </c>
      <c r="AC288" s="41" t="e">
        <f t="shared" si="46"/>
        <v>#N/A</v>
      </c>
      <c r="AD288" s="64" t="s">
        <v>300</v>
      </c>
    </row>
    <row r="289" spans="1:30" s="64" customFormat="1" hidden="1" x14ac:dyDescent="0.25">
      <c r="A289" s="43">
        <v>288</v>
      </c>
      <c r="B289" s="64" t="s">
        <v>375</v>
      </c>
      <c r="C289" s="131" t="str">
        <f t="shared" si="42"/>
        <v>LlaveD86467330388100002361</v>
      </c>
      <c r="D289" s="33" t="str">
        <f>VLOOKUP(E289,'NO MODIFICAR'!J:K,2,0)</f>
        <v>D864</v>
      </c>
      <c r="E289" s="26" t="s">
        <v>55</v>
      </c>
      <c r="F289" s="33" t="str">
        <f>VLOOKUP(D289,'NO MODIFICAR'!F:H,3,0)</f>
        <v xml:space="preserve">CENTRO </v>
      </c>
      <c r="G289" s="92">
        <v>67330388</v>
      </c>
      <c r="H289" s="93" t="s">
        <v>299</v>
      </c>
      <c r="I289" s="94">
        <v>10000236</v>
      </c>
      <c r="J289" s="56" t="str">
        <f>VLOOKUP(I289,'Materiales,canteras'!C:D,2,0)</f>
        <v>Grava Triturada Caliza 10 mm -</v>
      </c>
      <c r="K289" s="33">
        <f>VLOOKUP(I289,'Materiales,canteras'!C:E,3,0)</f>
        <v>1.41</v>
      </c>
      <c r="L289" s="105">
        <v>120</v>
      </c>
      <c r="M289" s="28" t="s">
        <v>93</v>
      </c>
      <c r="N289" s="57">
        <f t="shared" ca="1" si="43"/>
        <v>46267</v>
      </c>
      <c r="O289" s="32" t="s">
        <v>201</v>
      </c>
      <c r="S289" s="89"/>
      <c r="T289" s="66">
        <f t="shared" si="47"/>
        <v>120</v>
      </c>
      <c r="U289" s="46">
        <f t="shared" si="39"/>
        <v>120</v>
      </c>
      <c r="V289" s="27">
        <v>134.5</v>
      </c>
      <c r="W289" s="4">
        <v>1</v>
      </c>
      <c r="X289" s="67">
        <f t="shared" si="40"/>
        <v>254.5</v>
      </c>
      <c r="Y289" s="32" t="e">
        <f>IF(+VLOOKUP(I289,P.Referencia!E:S,3,FALSE)&lt;=L289,"Champion","Gerente")</f>
        <v>#N/A</v>
      </c>
      <c r="Z289" s="39" t="e">
        <f>VLOOKUP(I289,P.Referencia!E:S,3,0)</f>
        <v>#N/A</v>
      </c>
      <c r="AA289" s="40" t="e">
        <f t="shared" si="44"/>
        <v>#N/A</v>
      </c>
      <c r="AB289" s="41" t="e">
        <f t="shared" si="45"/>
        <v>#N/A</v>
      </c>
      <c r="AC289" s="41" t="e">
        <f t="shared" si="46"/>
        <v>#N/A</v>
      </c>
      <c r="AD289" s="64" t="s">
        <v>300</v>
      </c>
    </row>
    <row r="290" spans="1:30" s="64" customFormat="1" hidden="1" x14ac:dyDescent="0.25">
      <c r="A290" s="43">
        <v>289</v>
      </c>
      <c r="B290" s="64" t="s">
        <v>375</v>
      </c>
      <c r="C290" s="131" t="str">
        <f t="shared" si="42"/>
        <v>LlaveD86467330388100010731</v>
      </c>
      <c r="D290" s="33" t="str">
        <f>VLOOKUP(E290,'NO MODIFICAR'!J:K,2,0)</f>
        <v>D864</v>
      </c>
      <c r="E290" s="26" t="s">
        <v>55</v>
      </c>
      <c r="F290" s="33" t="str">
        <f>VLOOKUP(D290,'NO MODIFICAR'!F:H,3,0)</f>
        <v xml:space="preserve">CENTRO </v>
      </c>
      <c r="G290" s="92">
        <v>67330388</v>
      </c>
      <c r="H290" s="93" t="s">
        <v>299</v>
      </c>
      <c r="I290" s="94">
        <v>10001073</v>
      </c>
      <c r="J290" s="56" t="str">
        <f>VLOOKUP(I290,'Materiales,canteras'!C:D,2,0)</f>
        <v>Arena Triturada Caliza Malla 4</v>
      </c>
      <c r="K290" s="33">
        <f>VLOOKUP(I290,'Materiales,canteras'!C:E,3,0)</f>
        <v>1.56</v>
      </c>
      <c r="L290" s="105">
        <v>87.5</v>
      </c>
      <c r="M290" s="28" t="s">
        <v>93</v>
      </c>
      <c r="N290" s="57">
        <f t="shared" ca="1" si="43"/>
        <v>46267</v>
      </c>
      <c r="O290" s="32" t="s">
        <v>201</v>
      </c>
      <c r="S290" s="89"/>
      <c r="T290" s="66">
        <f t="shared" si="47"/>
        <v>87.5</v>
      </c>
      <c r="U290" s="46">
        <f t="shared" si="39"/>
        <v>87.5</v>
      </c>
      <c r="V290" s="27">
        <v>121</v>
      </c>
      <c r="W290" s="4">
        <v>1</v>
      </c>
      <c r="X290" s="67">
        <f t="shared" si="40"/>
        <v>208.5</v>
      </c>
      <c r="Y290" s="32" t="e">
        <f>IF(+VLOOKUP(I290,P.Referencia!E:S,3,FALSE)&lt;=L290,"Champion","Gerente")</f>
        <v>#N/A</v>
      </c>
      <c r="Z290" s="39" t="e">
        <f>VLOOKUP(I290,P.Referencia!E:S,3,0)</f>
        <v>#N/A</v>
      </c>
      <c r="AA290" s="40" t="e">
        <f t="shared" si="44"/>
        <v>#N/A</v>
      </c>
      <c r="AB290" s="41" t="e">
        <f t="shared" si="45"/>
        <v>#N/A</v>
      </c>
      <c r="AC290" s="41" t="e">
        <f t="shared" si="46"/>
        <v>#N/A</v>
      </c>
      <c r="AD290" s="64" t="s">
        <v>300</v>
      </c>
    </row>
    <row r="291" spans="1:30" s="64" customFormat="1" hidden="1" x14ac:dyDescent="0.25">
      <c r="A291" s="43">
        <v>290</v>
      </c>
      <c r="B291" s="64" t="s">
        <v>375</v>
      </c>
      <c r="C291" s="131" t="str">
        <f t="shared" si="42"/>
        <v>LlaveD86467330388100002691</v>
      </c>
      <c r="D291" s="33" t="str">
        <f>VLOOKUP(E291,'NO MODIFICAR'!J:K,2,0)</f>
        <v>D864</v>
      </c>
      <c r="E291" s="26" t="s">
        <v>55</v>
      </c>
      <c r="F291" s="33" t="str">
        <f>VLOOKUP(D291,'NO MODIFICAR'!F:H,3,0)</f>
        <v xml:space="preserve">CENTRO </v>
      </c>
      <c r="G291" s="92">
        <v>67330388</v>
      </c>
      <c r="H291" s="93" t="s">
        <v>299</v>
      </c>
      <c r="I291" s="94">
        <v>10000269</v>
      </c>
      <c r="J291" s="56" t="str">
        <f>VLOOKUP(I291,'Materiales,canteras'!C:D,2,0)</f>
        <v>Grava Triturada Caliza 13 mm -</v>
      </c>
      <c r="K291" s="33">
        <f>VLOOKUP(I291,'Materiales,canteras'!C:E,3,0)</f>
        <v>1.423</v>
      </c>
      <c r="L291" s="105">
        <v>137</v>
      </c>
      <c r="M291" s="28" t="s">
        <v>93</v>
      </c>
      <c r="N291" s="57">
        <f t="shared" ca="1" si="43"/>
        <v>46267</v>
      </c>
      <c r="O291" s="32" t="s">
        <v>201</v>
      </c>
      <c r="S291" s="89"/>
      <c r="T291" s="66">
        <f t="shared" si="47"/>
        <v>137</v>
      </c>
      <c r="U291" s="46">
        <f t="shared" si="39"/>
        <v>137</v>
      </c>
      <c r="V291" s="27">
        <v>134</v>
      </c>
      <c r="W291" s="4">
        <v>1</v>
      </c>
      <c r="X291" s="67">
        <f t="shared" si="40"/>
        <v>271</v>
      </c>
      <c r="Y291" s="32" t="e">
        <f>IF(+VLOOKUP(I291,P.Referencia!E:S,3,FALSE)&lt;=L291,"Champion","Gerente")</f>
        <v>#N/A</v>
      </c>
      <c r="Z291" s="39" t="e">
        <f>VLOOKUP(I291,P.Referencia!E:S,3,0)</f>
        <v>#N/A</v>
      </c>
      <c r="AA291" s="40" t="e">
        <f t="shared" si="44"/>
        <v>#N/A</v>
      </c>
      <c r="AB291" s="41" t="e">
        <f t="shared" si="45"/>
        <v>#N/A</v>
      </c>
      <c r="AC291" s="41" t="e">
        <f t="shared" si="46"/>
        <v>#N/A</v>
      </c>
      <c r="AD291" s="64" t="s">
        <v>300</v>
      </c>
    </row>
    <row r="292" spans="1:30" hidden="1" x14ac:dyDescent="0.25">
      <c r="A292" s="43">
        <v>291</v>
      </c>
      <c r="B292" s="64" t="s">
        <v>375</v>
      </c>
      <c r="C292" s="131" t="str">
        <f t="shared" si="42"/>
        <v>LlaveD86167247932100668612</v>
      </c>
      <c r="D292" s="33" t="str">
        <f>VLOOKUP(E292,'NO MODIFICAR'!J:K,2,0)</f>
        <v>D861</v>
      </c>
      <c r="E292" s="26" t="s">
        <v>44</v>
      </c>
      <c r="F292" s="33" t="str">
        <f>VLOOKUP(D292,'NO MODIFICAR'!F:H,3,0)</f>
        <v xml:space="preserve">CENTRO </v>
      </c>
      <c r="G292" s="92" t="s">
        <v>301</v>
      </c>
      <c r="H292" s="93" t="s">
        <v>302</v>
      </c>
      <c r="I292" s="94">
        <v>10066861</v>
      </c>
      <c r="J292" s="56" t="str">
        <f>VLOOKUP(I292,'Materiales,canteras'!C:D,2,0)</f>
        <v>GRAVA TRITURADA BASALTO DE 40</v>
      </c>
      <c r="K292" s="33">
        <f>VLOOKUP(I292,'Materiales,canteras'!C:E,3,0)</f>
        <v>1.464</v>
      </c>
      <c r="L292" s="105">
        <v>200</v>
      </c>
      <c r="M292" s="28" t="s">
        <v>93</v>
      </c>
      <c r="N292" s="57">
        <f t="shared" ca="1" si="43"/>
        <v>46267</v>
      </c>
      <c r="O292" s="32" t="s">
        <v>201</v>
      </c>
      <c r="R292">
        <f>1.5/100</f>
        <v>1.4999999999999999E-2</v>
      </c>
      <c r="S292" s="4">
        <v>200</v>
      </c>
      <c r="T292" s="66">
        <f t="shared" si="47"/>
        <v>3</v>
      </c>
      <c r="U292" s="46">
        <f t="shared" si="39"/>
        <v>200</v>
      </c>
      <c r="V292" s="27">
        <v>0</v>
      </c>
      <c r="W292" s="4">
        <v>2</v>
      </c>
      <c r="X292" s="67">
        <f t="shared" si="40"/>
        <v>200</v>
      </c>
      <c r="Y292" s="32" t="e">
        <f>IF(+VLOOKUP(I292,P.Referencia!E:S,3,FALSE)&lt;=L292,"Champion","Gerente")</f>
        <v>#N/A</v>
      </c>
      <c r="Z292" s="39" t="e">
        <f>VLOOKUP(I292,P.Referencia!E:S,3,0)</f>
        <v>#N/A</v>
      </c>
      <c r="AA292" s="40" t="e">
        <f t="shared" si="44"/>
        <v>#N/A</v>
      </c>
      <c r="AB292" s="41" t="e">
        <f t="shared" si="45"/>
        <v>#N/A</v>
      </c>
      <c r="AC292" s="41" t="e">
        <f t="shared" si="46"/>
        <v>#N/A</v>
      </c>
    </row>
    <row r="293" spans="1:30" hidden="1" x14ac:dyDescent="0.25">
      <c r="A293" s="43">
        <v>292</v>
      </c>
      <c r="B293" s="64" t="s">
        <v>375</v>
      </c>
      <c r="C293" s="131" t="str">
        <f t="shared" si="42"/>
        <v>LlaveD86465087219100002362</v>
      </c>
      <c r="D293" s="33" t="str">
        <f>VLOOKUP(E293,'NO MODIFICAR'!J:K,2,0)</f>
        <v>D864</v>
      </c>
      <c r="E293" s="26" t="s">
        <v>55</v>
      </c>
      <c r="F293" s="33" t="str">
        <f>VLOOKUP(D293,'NO MODIFICAR'!F:H,3,0)</f>
        <v xml:space="preserve">CENTRO </v>
      </c>
      <c r="G293" s="92">
        <v>65087219</v>
      </c>
      <c r="H293" s="93" t="s">
        <v>239</v>
      </c>
      <c r="I293" s="94">
        <v>10000236</v>
      </c>
      <c r="J293" s="56" t="str">
        <f>VLOOKUP(I293,'Materiales,canteras'!C:D,2,0)</f>
        <v>Grava Triturada Caliza 10 mm -</v>
      </c>
      <c r="K293" s="33">
        <f>VLOOKUP(I293,'Materiales,canteras'!C:E,3,0)</f>
        <v>1.41</v>
      </c>
      <c r="L293" s="105">
        <v>140</v>
      </c>
      <c r="M293" s="28" t="s">
        <v>93</v>
      </c>
      <c r="N293" s="57">
        <f t="shared" ca="1" si="43"/>
        <v>46267</v>
      </c>
      <c r="O293" s="32" t="s">
        <v>201</v>
      </c>
      <c r="R293">
        <v>0</v>
      </c>
      <c r="S293" s="4">
        <v>240</v>
      </c>
      <c r="T293" s="66">
        <f t="shared" si="47"/>
        <v>-100</v>
      </c>
      <c r="U293" s="46">
        <f t="shared" si="39"/>
        <v>140</v>
      </c>
      <c r="V293" s="27">
        <v>0</v>
      </c>
      <c r="W293" s="4">
        <v>2</v>
      </c>
      <c r="X293" s="67">
        <f t="shared" si="40"/>
        <v>140</v>
      </c>
      <c r="Y293" s="32" t="e">
        <f>IF(+VLOOKUP(I293,P.Referencia!E:S,3,FALSE)&lt;=L293,"Champion","Gerente")</f>
        <v>#N/A</v>
      </c>
      <c r="Z293" s="39" t="e">
        <f>VLOOKUP(I293,P.Referencia!E:S,3,0)</f>
        <v>#N/A</v>
      </c>
      <c r="AA293" s="40" t="e">
        <f t="shared" si="44"/>
        <v>#N/A</v>
      </c>
      <c r="AB293" s="41" t="e">
        <f t="shared" si="45"/>
        <v>#N/A</v>
      </c>
      <c r="AC293" s="41" t="e">
        <f t="shared" si="46"/>
        <v>#N/A</v>
      </c>
    </row>
    <row r="294" spans="1:30" hidden="1" x14ac:dyDescent="0.25">
      <c r="A294" s="43">
        <v>293</v>
      </c>
      <c r="B294" s="64" t="s">
        <v>375</v>
      </c>
      <c r="C294" s="131" t="str">
        <f t="shared" si="42"/>
        <v>LlaveD86166936788100003112</v>
      </c>
      <c r="D294" s="33" t="str">
        <f>VLOOKUP(E294,'NO MODIFICAR'!J:K,2,0)</f>
        <v>D861</v>
      </c>
      <c r="E294" s="26" t="s">
        <v>44</v>
      </c>
      <c r="F294" s="33" t="str">
        <f>VLOOKUP(D294,'NO MODIFICAR'!F:H,3,0)</f>
        <v xml:space="preserve">CENTRO </v>
      </c>
      <c r="G294" s="127">
        <v>66936788</v>
      </c>
      <c r="H294" s="128" t="s">
        <v>303</v>
      </c>
      <c r="I294" s="129">
        <v>10000311</v>
      </c>
      <c r="J294" s="130" t="str">
        <f>VLOOKUP(I294,'Materiales,canteras'!C:D,2,0)</f>
        <v>Arena Triturada Basalto  Malla</v>
      </c>
      <c r="K294" s="33">
        <f>VLOOKUP(I294,'Materiales,canteras'!C:E,3,0)</f>
        <v>1.651</v>
      </c>
      <c r="L294" s="105">
        <v>175</v>
      </c>
      <c r="M294" s="28" t="s">
        <v>93</v>
      </c>
      <c r="N294" s="57">
        <f t="shared" ca="1" si="43"/>
        <v>46267</v>
      </c>
      <c r="O294" s="32" t="s">
        <v>201</v>
      </c>
      <c r="S294" s="4">
        <v>260</v>
      </c>
      <c r="T294" s="66">
        <f t="shared" si="47"/>
        <v>-85</v>
      </c>
      <c r="U294" s="46">
        <f t="shared" si="39"/>
        <v>175</v>
      </c>
      <c r="V294" s="27">
        <v>0</v>
      </c>
      <c r="W294" s="4">
        <v>2</v>
      </c>
      <c r="X294" s="67">
        <f t="shared" si="40"/>
        <v>175</v>
      </c>
      <c r="Y294" s="32" t="e">
        <f>IF(+VLOOKUP(I294,P.Referencia!E:S,3,FALSE)&lt;=L294,"Champion","Gerente")</f>
        <v>#N/A</v>
      </c>
      <c r="Z294" s="39" t="e">
        <f>VLOOKUP(I294,P.Referencia!E:S,3,0)</f>
        <v>#N/A</v>
      </c>
      <c r="AA294" s="40" t="e">
        <f t="shared" si="44"/>
        <v>#N/A</v>
      </c>
      <c r="AB294" s="41" t="e">
        <f t="shared" si="45"/>
        <v>#N/A</v>
      </c>
      <c r="AC294" s="41" t="e">
        <f t="shared" si="46"/>
        <v>#N/A</v>
      </c>
    </row>
    <row r="295" spans="1:30" hidden="1" x14ac:dyDescent="0.25">
      <c r="A295" s="43">
        <v>294</v>
      </c>
      <c r="B295" s="64" t="s">
        <v>375</v>
      </c>
      <c r="C295" s="131" t="str">
        <f t="shared" si="42"/>
        <v>LlaveD86166936788100002292</v>
      </c>
      <c r="D295" s="33" t="str">
        <f>VLOOKUP(E295,'NO MODIFICAR'!J:K,2,0)</f>
        <v>D861</v>
      </c>
      <c r="E295" s="26" t="s">
        <v>44</v>
      </c>
      <c r="F295" s="33" t="str">
        <f>VLOOKUP(D295,'NO MODIFICAR'!F:H,3,0)</f>
        <v xml:space="preserve">CENTRO </v>
      </c>
      <c r="G295" s="127">
        <v>66936788</v>
      </c>
      <c r="H295" s="128" t="s">
        <v>303</v>
      </c>
      <c r="I295" s="129">
        <v>10000229</v>
      </c>
      <c r="J295" s="130" t="str">
        <f>VLOOKUP(I295,'Materiales,canteras'!C:D,2,0)</f>
        <v>Grava Triturada Basalto  10 mm</v>
      </c>
      <c r="K295" s="33">
        <f>VLOOKUP(I295,'Materiales,canteras'!C:E,3,0)</f>
        <v>1.522</v>
      </c>
      <c r="L295" s="105">
        <v>213</v>
      </c>
      <c r="M295" s="28" t="s">
        <v>93</v>
      </c>
      <c r="N295" s="57">
        <f t="shared" ca="1" si="43"/>
        <v>46267</v>
      </c>
      <c r="O295" s="32" t="s">
        <v>201</v>
      </c>
      <c r="S295" s="4">
        <v>320</v>
      </c>
      <c r="T295" s="66">
        <f t="shared" si="47"/>
        <v>-107</v>
      </c>
      <c r="U295" s="46">
        <f t="shared" si="39"/>
        <v>213</v>
      </c>
      <c r="V295" s="27">
        <v>0</v>
      </c>
      <c r="W295" s="4">
        <v>2</v>
      </c>
      <c r="X295" s="67">
        <f t="shared" si="40"/>
        <v>213</v>
      </c>
      <c r="Y295" s="32" t="e">
        <f>IF(+VLOOKUP(I295,P.Referencia!E:S,3,FALSE)&lt;=L295,"Champion","Gerente")</f>
        <v>#N/A</v>
      </c>
      <c r="Z295" s="39" t="e">
        <f>VLOOKUP(I295,P.Referencia!E:S,3,0)</f>
        <v>#N/A</v>
      </c>
      <c r="AA295" s="40" t="e">
        <f t="shared" si="44"/>
        <v>#N/A</v>
      </c>
      <c r="AB295" s="41" t="e">
        <f t="shared" si="45"/>
        <v>#N/A</v>
      </c>
      <c r="AC295" s="41" t="e">
        <f t="shared" si="46"/>
        <v>#N/A</v>
      </c>
    </row>
    <row r="296" spans="1:30" hidden="1" x14ac:dyDescent="0.25">
      <c r="A296" s="43">
        <v>295</v>
      </c>
      <c r="B296" s="64" t="s">
        <v>375</v>
      </c>
      <c r="C296" s="131" t="str">
        <f t="shared" si="42"/>
        <v>LlaveD86166936788100002312</v>
      </c>
      <c r="D296" s="33" t="str">
        <f>VLOOKUP(E296,'NO MODIFICAR'!J:K,2,0)</f>
        <v>D861</v>
      </c>
      <c r="E296" s="26" t="s">
        <v>44</v>
      </c>
      <c r="F296" s="33" t="str">
        <f>VLOOKUP(D296,'NO MODIFICAR'!F:H,3,0)</f>
        <v xml:space="preserve">CENTRO </v>
      </c>
      <c r="G296" s="127">
        <v>66936788</v>
      </c>
      <c r="H296" s="128" t="s">
        <v>303</v>
      </c>
      <c r="I296" s="129">
        <v>10000231</v>
      </c>
      <c r="J296" s="130" t="str">
        <f>VLOOKUP(I296,'Materiales,canteras'!C:D,2,0)</f>
        <v>Grava Triturada Basalto 20 mm</v>
      </c>
      <c r="K296" s="33">
        <f>VLOOKUP(I296,'Materiales,canteras'!C:E,3,0)</f>
        <v>1.5649999999999999</v>
      </c>
      <c r="L296" s="105">
        <v>208</v>
      </c>
      <c r="M296" s="28" t="s">
        <v>93</v>
      </c>
      <c r="N296" s="57">
        <f t="shared" ca="1" si="43"/>
        <v>46267</v>
      </c>
      <c r="O296" s="32" t="s">
        <v>201</v>
      </c>
      <c r="S296" s="4">
        <v>280</v>
      </c>
      <c r="T296" s="66">
        <f t="shared" si="47"/>
        <v>-72</v>
      </c>
      <c r="U296" s="46">
        <f t="shared" si="39"/>
        <v>208</v>
      </c>
      <c r="V296" s="27">
        <v>0</v>
      </c>
      <c r="W296" s="4">
        <v>2</v>
      </c>
      <c r="X296" s="67">
        <f t="shared" si="40"/>
        <v>208</v>
      </c>
      <c r="Y296" s="32" t="e">
        <f>IF(+VLOOKUP(I296,P.Referencia!E:S,3,FALSE)&lt;=L296,"Champion","Gerente")</f>
        <v>#N/A</v>
      </c>
      <c r="Z296" s="39" t="e">
        <f>VLOOKUP(I296,P.Referencia!E:S,3,0)</f>
        <v>#N/A</v>
      </c>
      <c r="AA296" s="40" t="e">
        <f t="shared" si="44"/>
        <v>#N/A</v>
      </c>
      <c r="AB296" s="41" t="e">
        <f t="shared" si="45"/>
        <v>#N/A</v>
      </c>
      <c r="AC296" s="41" t="e">
        <f t="shared" si="46"/>
        <v>#N/A</v>
      </c>
    </row>
    <row r="297" spans="1:30" hidden="1" x14ac:dyDescent="0.25">
      <c r="A297" s="43">
        <v>296</v>
      </c>
      <c r="B297" s="64" t="s">
        <v>375</v>
      </c>
      <c r="C297" s="131" t="str">
        <f t="shared" si="42"/>
        <v>LlaveD86166936788100002332</v>
      </c>
      <c r="D297" s="33" t="str">
        <f>VLOOKUP(E297,'NO MODIFICAR'!J:K,2,0)</f>
        <v>D861</v>
      </c>
      <c r="E297" s="26" t="s">
        <v>44</v>
      </c>
      <c r="F297" s="33" t="str">
        <f>VLOOKUP(D297,'NO MODIFICAR'!F:H,3,0)</f>
        <v xml:space="preserve">CENTRO </v>
      </c>
      <c r="G297" s="127">
        <v>66936788</v>
      </c>
      <c r="H297" s="128" t="s">
        <v>303</v>
      </c>
      <c r="I297" s="129">
        <v>10000233</v>
      </c>
      <c r="J297" s="130" t="str">
        <f>VLOOKUP(I297,'Materiales,canteras'!C:D,2,0)</f>
        <v>Grava Triturada Basalto  40 mm</v>
      </c>
      <c r="K297" s="33">
        <f>VLOOKUP(I297,'Materiales,canteras'!C:E,3,0)</f>
        <v>1.456</v>
      </c>
      <c r="L297" s="105">
        <v>208</v>
      </c>
      <c r="M297" s="28" t="s">
        <v>93</v>
      </c>
      <c r="N297" s="57">
        <f t="shared" ca="1" si="43"/>
        <v>46267</v>
      </c>
      <c r="O297" s="32" t="s">
        <v>201</v>
      </c>
      <c r="S297" s="4">
        <v>282</v>
      </c>
      <c r="T297" s="66">
        <f t="shared" si="47"/>
        <v>-74</v>
      </c>
      <c r="U297" s="46">
        <f t="shared" si="39"/>
        <v>208</v>
      </c>
      <c r="V297" s="27">
        <v>0</v>
      </c>
      <c r="W297" s="4">
        <v>2</v>
      </c>
      <c r="X297" s="67">
        <f t="shared" si="40"/>
        <v>208</v>
      </c>
      <c r="Y297" s="32" t="e">
        <f>IF(+VLOOKUP(I297,P.Referencia!E:S,3,FALSE)&lt;=L297,"Champion","Gerente")</f>
        <v>#N/A</v>
      </c>
      <c r="Z297" s="39" t="e">
        <f>VLOOKUP(I297,P.Referencia!E:S,3,0)</f>
        <v>#N/A</v>
      </c>
      <c r="AA297" s="40" t="e">
        <f t="shared" si="44"/>
        <v>#N/A</v>
      </c>
      <c r="AB297" s="41" t="e">
        <f t="shared" si="45"/>
        <v>#N/A</v>
      </c>
      <c r="AC297" s="41" t="e">
        <f t="shared" si="46"/>
        <v>#N/A</v>
      </c>
    </row>
    <row r="298" spans="1:30" hidden="1" x14ac:dyDescent="0.25">
      <c r="A298" s="43">
        <v>297</v>
      </c>
      <c r="B298" s="64" t="s">
        <v>375</v>
      </c>
      <c r="C298" s="131" t="str">
        <f t="shared" si="42"/>
        <v>LlaveD86166913897100003112</v>
      </c>
      <c r="D298" s="33" t="str">
        <f>VLOOKUP(E298,'NO MODIFICAR'!J:K,2,0)</f>
        <v>D861</v>
      </c>
      <c r="E298" s="26" t="s">
        <v>44</v>
      </c>
      <c r="F298" s="33" t="str">
        <f>VLOOKUP(D298,'NO MODIFICAR'!F:H,3,0)</f>
        <v xml:space="preserve">CENTRO </v>
      </c>
      <c r="G298" s="127">
        <v>66913897</v>
      </c>
      <c r="H298" s="128" t="s">
        <v>304</v>
      </c>
      <c r="I298" s="129">
        <v>10000311</v>
      </c>
      <c r="J298" s="130" t="str">
        <f>VLOOKUP(I298,'Materiales,canteras'!C:D,2,0)</f>
        <v>Arena Triturada Basalto  Malla</v>
      </c>
      <c r="K298" s="33">
        <f>VLOOKUP(I298,'Materiales,canteras'!C:E,3,0)</f>
        <v>1.651</v>
      </c>
      <c r="L298" s="105">
        <v>175</v>
      </c>
      <c r="M298" s="28" t="s">
        <v>93</v>
      </c>
      <c r="N298" s="57">
        <f t="shared" ca="1" si="43"/>
        <v>46267</v>
      </c>
      <c r="O298" s="32" t="s">
        <v>201</v>
      </c>
      <c r="S298" s="4">
        <v>260</v>
      </c>
      <c r="T298" s="66">
        <f t="shared" si="47"/>
        <v>-85</v>
      </c>
      <c r="U298" s="46">
        <f t="shared" si="39"/>
        <v>175</v>
      </c>
      <c r="V298" s="27">
        <v>0</v>
      </c>
      <c r="W298" s="4">
        <v>2</v>
      </c>
      <c r="X298" s="67">
        <f t="shared" si="40"/>
        <v>175</v>
      </c>
      <c r="Y298" s="32" t="e">
        <f>IF(+VLOOKUP(I298,P.Referencia!E:S,3,FALSE)&lt;=L298,"Champion","Gerente")</f>
        <v>#N/A</v>
      </c>
      <c r="Z298" s="39" t="e">
        <f>VLOOKUP(I298,P.Referencia!E:S,3,0)</f>
        <v>#N/A</v>
      </c>
      <c r="AA298" s="40" t="e">
        <f t="shared" si="44"/>
        <v>#N/A</v>
      </c>
      <c r="AB298" s="41" t="e">
        <f t="shared" si="45"/>
        <v>#N/A</v>
      </c>
      <c r="AC298" s="41" t="e">
        <f t="shared" si="46"/>
        <v>#N/A</v>
      </c>
    </row>
    <row r="299" spans="1:30" hidden="1" x14ac:dyDescent="0.25">
      <c r="A299" s="43">
        <v>298</v>
      </c>
      <c r="B299" s="64" t="s">
        <v>375</v>
      </c>
      <c r="C299" s="131" t="str">
        <f t="shared" si="42"/>
        <v>LlaveD86166913897100002292</v>
      </c>
      <c r="D299" s="33" t="str">
        <f>VLOOKUP(E299,'NO MODIFICAR'!J:K,2,0)</f>
        <v>D861</v>
      </c>
      <c r="E299" s="26" t="s">
        <v>44</v>
      </c>
      <c r="F299" s="33" t="str">
        <f>VLOOKUP(D299,'NO MODIFICAR'!F:H,3,0)</f>
        <v xml:space="preserve">CENTRO </v>
      </c>
      <c r="G299" s="127">
        <v>66913897</v>
      </c>
      <c r="H299" s="128" t="s">
        <v>304</v>
      </c>
      <c r="I299" s="129">
        <v>10000229</v>
      </c>
      <c r="J299" s="130" t="str">
        <f>VLOOKUP(I299,'Materiales,canteras'!C:D,2,0)</f>
        <v>Grava Triturada Basalto  10 mm</v>
      </c>
      <c r="K299" s="33">
        <f>VLOOKUP(I299,'Materiales,canteras'!C:E,3,0)</f>
        <v>1.522</v>
      </c>
      <c r="L299" s="105">
        <v>213</v>
      </c>
      <c r="M299" s="28" t="s">
        <v>93</v>
      </c>
      <c r="N299" s="57">
        <f t="shared" ca="1" si="43"/>
        <v>46267</v>
      </c>
      <c r="O299" s="32" t="s">
        <v>201</v>
      </c>
      <c r="S299" s="4">
        <v>320</v>
      </c>
      <c r="T299" s="66">
        <f t="shared" si="47"/>
        <v>-107</v>
      </c>
      <c r="U299" s="46">
        <f t="shared" si="39"/>
        <v>213</v>
      </c>
      <c r="V299" s="27">
        <v>0</v>
      </c>
      <c r="W299" s="4">
        <v>2</v>
      </c>
      <c r="X299" s="67">
        <f t="shared" si="40"/>
        <v>213</v>
      </c>
      <c r="Y299" s="32" t="e">
        <f>IF(+VLOOKUP(I299,P.Referencia!E:S,3,FALSE)&lt;=L299,"Champion","Gerente")</f>
        <v>#N/A</v>
      </c>
      <c r="Z299" s="39" t="e">
        <f>VLOOKUP(I299,P.Referencia!E:S,3,0)</f>
        <v>#N/A</v>
      </c>
      <c r="AA299" s="40" t="e">
        <f t="shared" si="44"/>
        <v>#N/A</v>
      </c>
      <c r="AB299" s="41" t="e">
        <f t="shared" si="45"/>
        <v>#N/A</v>
      </c>
      <c r="AC299" s="41" t="e">
        <f t="shared" si="46"/>
        <v>#N/A</v>
      </c>
    </row>
    <row r="300" spans="1:30" hidden="1" x14ac:dyDescent="0.25">
      <c r="A300" s="43">
        <v>299</v>
      </c>
      <c r="B300" s="64" t="s">
        <v>375</v>
      </c>
      <c r="C300" s="131" t="str">
        <f t="shared" si="42"/>
        <v>LlaveD86166913897100002312</v>
      </c>
      <c r="D300" s="33" t="str">
        <f>VLOOKUP(E300,'NO MODIFICAR'!J:K,2,0)</f>
        <v>D861</v>
      </c>
      <c r="E300" s="26" t="s">
        <v>44</v>
      </c>
      <c r="F300" s="33" t="str">
        <f>VLOOKUP(D300,'NO MODIFICAR'!F:H,3,0)</f>
        <v xml:space="preserve">CENTRO </v>
      </c>
      <c r="G300" s="127">
        <v>66913897</v>
      </c>
      <c r="H300" s="128" t="s">
        <v>304</v>
      </c>
      <c r="I300" s="129">
        <v>10000231</v>
      </c>
      <c r="J300" s="130" t="str">
        <f>VLOOKUP(I300,'Materiales,canteras'!C:D,2,0)</f>
        <v>Grava Triturada Basalto 20 mm</v>
      </c>
      <c r="K300" s="33">
        <f>VLOOKUP(I300,'Materiales,canteras'!C:E,3,0)</f>
        <v>1.5649999999999999</v>
      </c>
      <c r="L300" s="105">
        <v>208</v>
      </c>
      <c r="M300" s="28" t="s">
        <v>93</v>
      </c>
      <c r="N300" s="57">
        <f t="shared" ca="1" si="43"/>
        <v>46267</v>
      </c>
      <c r="O300" s="32" t="s">
        <v>201</v>
      </c>
      <c r="S300" s="4">
        <v>280</v>
      </c>
      <c r="T300" s="66">
        <f t="shared" si="47"/>
        <v>-72</v>
      </c>
      <c r="U300" s="46">
        <f t="shared" si="39"/>
        <v>208</v>
      </c>
      <c r="V300" s="27">
        <v>0</v>
      </c>
      <c r="W300" s="4">
        <v>2</v>
      </c>
      <c r="X300" s="67">
        <f t="shared" si="40"/>
        <v>208</v>
      </c>
      <c r="Y300" s="32" t="e">
        <f>IF(+VLOOKUP(I300,P.Referencia!E:S,3,FALSE)&lt;=L300,"Champion","Gerente")</f>
        <v>#N/A</v>
      </c>
      <c r="Z300" s="39" t="e">
        <f>VLOOKUP(I300,P.Referencia!E:S,3,0)</f>
        <v>#N/A</v>
      </c>
      <c r="AA300" s="40" t="e">
        <f t="shared" si="44"/>
        <v>#N/A</v>
      </c>
      <c r="AB300" s="41" t="e">
        <f t="shared" si="45"/>
        <v>#N/A</v>
      </c>
      <c r="AC300" s="41" t="e">
        <f t="shared" si="46"/>
        <v>#N/A</v>
      </c>
    </row>
    <row r="301" spans="1:30" hidden="1" x14ac:dyDescent="0.25">
      <c r="A301" s="43">
        <v>300</v>
      </c>
      <c r="B301" s="64" t="s">
        <v>375</v>
      </c>
      <c r="C301" s="131" t="str">
        <f t="shared" si="42"/>
        <v>LlaveD86166913897100002332</v>
      </c>
      <c r="D301" s="33" t="str">
        <f>VLOOKUP(E301,'NO MODIFICAR'!J:K,2,0)</f>
        <v>D861</v>
      </c>
      <c r="E301" s="26" t="s">
        <v>44</v>
      </c>
      <c r="F301" s="33" t="str">
        <f>VLOOKUP(D301,'NO MODIFICAR'!F:H,3,0)</f>
        <v xml:space="preserve">CENTRO </v>
      </c>
      <c r="G301" s="127">
        <v>66913897</v>
      </c>
      <c r="H301" s="128" t="s">
        <v>304</v>
      </c>
      <c r="I301" s="129">
        <v>10000233</v>
      </c>
      <c r="J301" s="130" t="str">
        <f>VLOOKUP(I301,'Materiales,canteras'!C:D,2,0)</f>
        <v>Grava Triturada Basalto  40 mm</v>
      </c>
      <c r="K301" s="33">
        <f>VLOOKUP(I301,'Materiales,canteras'!C:E,3,0)</f>
        <v>1.456</v>
      </c>
      <c r="L301" s="105">
        <v>208</v>
      </c>
      <c r="M301" s="28" t="s">
        <v>93</v>
      </c>
      <c r="N301" s="57">
        <f t="shared" ca="1" si="43"/>
        <v>46267</v>
      </c>
      <c r="O301" s="32" t="s">
        <v>201</v>
      </c>
      <c r="S301" s="4">
        <v>282</v>
      </c>
      <c r="T301" s="66">
        <f t="shared" si="47"/>
        <v>-74</v>
      </c>
      <c r="U301" s="46">
        <f t="shared" ref="U301:U364" si="48">L301</f>
        <v>208</v>
      </c>
      <c r="V301" s="27">
        <v>0</v>
      </c>
      <c r="W301" s="4">
        <v>2</v>
      </c>
      <c r="X301" s="67">
        <f t="shared" si="40"/>
        <v>208</v>
      </c>
      <c r="Y301" s="32" t="e">
        <f>IF(+VLOOKUP(I301,P.Referencia!E:S,3,FALSE)&lt;=L301,"Champion","Gerente")</f>
        <v>#N/A</v>
      </c>
      <c r="Z301" s="39" t="e">
        <f>VLOOKUP(I301,P.Referencia!E:S,3,0)</f>
        <v>#N/A</v>
      </c>
      <c r="AA301" s="40" t="e">
        <f t="shared" si="44"/>
        <v>#N/A</v>
      </c>
      <c r="AB301" s="41" t="e">
        <f t="shared" si="45"/>
        <v>#N/A</v>
      </c>
      <c r="AC301" s="41" t="e">
        <f t="shared" si="46"/>
        <v>#N/A</v>
      </c>
    </row>
    <row r="302" spans="1:30" hidden="1" x14ac:dyDescent="0.25">
      <c r="A302" s="43">
        <v>301</v>
      </c>
      <c r="B302" s="64" t="s">
        <v>375</v>
      </c>
      <c r="C302" s="131" t="str">
        <f t="shared" si="42"/>
        <v>LlaveD86166913819100003112</v>
      </c>
      <c r="D302" s="33" t="str">
        <f>VLOOKUP(E302,'NO MODIFICAR'!J:K,2,0)</f>
        <v>D861</v>
      </c>
      <c r="E302" s="26" t="s">
        <v>44</v>
      </c>
      <c r="F302" s="33" t="str">
        <f>VLOOKUP(D302,'NO MODIFICAR'!F:H,3,0)</f>
        <v xml:space="preserve">CENTRO </v>
      </c>
      <c r="G302" s="92">
        <v>66913819</v>
      </c>
      <c r="H302" s="93" t="s">
        <v>305</v>
      </c>
      <c r="I302" s="94">
        <v>10000311</v>
      </c>
      <c r="J302" s="56" t="str">
        <f>VLOOKUP(I302,'Materiales,canteras'!C:D,2,0)</f>
        <v>Arena Triturada Basalto  Malla</v>
      </c>
      <c r="K302" s="33">
        <f>VLOOKUP(I302,'Materiales,canteras'!C:E,3,0)</f>
        <v>1.651</v>
      </c>
      <c r="L302" s="105">
        <v>175</v>
      </c>
      <c r="M302" s="28" t="s">
        <v>93</v>
      </c>
      <c r="N302" s="57">
        <f t="shared" ca="1" si="43"/>
        <v>46267</v>
      </c>
      <c r="O302" s="32" t="s">
        <v>201</v>
      </c>
      <c r="S302" s="4">
        <v>260</v>
      </c>
      <c r="T302" s="66">
        <f t="shared" si="47"/>
        <v>-85</v>
      </c>
      <c r="U302" s="46">
        <f t="shared" si="48"/>
        <v>175</v>
      </c>
      <c r="V302" s="27">
        <v>0</v>
      </c>
      <c r="W302" s="4">
        <v>2</v>
      </c>
      <c r="X302" s="67">
        <f t="shared" si="40"/>
        <v>175</v>
      </c>
      <c r="Y302" s="32" t="e">
        <f>IF(+VLOOKUP(I302,P.Referencia!E:S,3,FALSE)&lt;=L302,"Champion","Gerente")</f>
        <v>#N/A</v>
      </c>
      <c r="Z302" s="39" t="e">
        <f>VLOOKUP(I302,P.Referencia!E:S,3,0)</f>
        <v>#N/A</v>
      </c>
      <c r="AA302" s="40" t="e">
        <f t="shared" si="44"/>
        <v>#N/A</v>
      </c>
      <c r="AB302" s="41" t="e">
        <f t="shared" si="45"/>
        <v>#N/A</v>
      </c>
      <c r="AC302" s="41" t="e">
        <f t="shared" si="46"/>
        <v>#N/A</v>
      </c>
    </row>
    <row r="303" spans="1:30" hidden="1" x14ac:dyDescent="0.25">
      <c r="A303" s="43">
        <v>302</v>
      </c>
      <c r="B303" s="64" t="s">
        <v>375</v>
      </c>
      <c r="C303" s="131" t="str">
        <f t="shared" si="42"/>
        <v>LlaveD86166913819100002292</v>
      </c>
      <c r="D303" s="33" t="str">
        <f>VLOOKUP(E303,'NO MODIFICAR'!J:K,2,0)</f>
        <v>D861</v>
      </c>
      <c r="E303" s="26" t="s">
        <v>44</v>
      </c>
      <c r="F303" s="33" t="str">
        <f>VLOOKUP(D303,'NO MODIFICAR'!F:H,3,0)</f>
        <v xml:space="preserve">CENTRO </v>
      </c>
      <c r="G303" s="92">
        <v>66913819</v>
      </c>
      <c r="H303" s="93" t="s">
        <v>305</v>
      </c>
      <c r="I303" s="94">
        <v>10000229</v>
      </c>
      <c r="J303" s="56" t="str">
        <f>VLOOKUP(I303,'Materiales,canteras'!C:D,2,0)</f>
        <v>Grava Triturada Basalto  10 mm</v>
      </c>
      <c r="K303" s="33">
        <f>VLOOKUP(I303,'Materiales,canteras'!C:E,3,0)</f>
        <v>1.522</v>
      </c>
      <c r="L303" s="105">
        <v>213</v>
      </c>
      <c r="M303" s="28" t="s">
        <v>93</v>
      </c>
      <c r="N303" s="57">
        <f t="shared" ca="1" si="43"/>
        <v>46267</v>
      </c>
      <c r="O303" s="32" t="s">
        <v>201</v>
      </c>
      <c r="S303" s="4">
        <v>320</v>
      </c>
      <c r="T303" s="66">
        <f t="shared" si="47"/>
        <v>-107</v>
      </c>
      <c r="U303" s="46">
        <f t="shared" si="48"/>
        <v>213</v>
      </c>
      <c r="V303" s="27">
        <v>0</v>
      </c>
      <c r="W303" s="4">
        <v>2</v>
      </c>
      <c r="X303" s="67">
        <f t="shared" si="40"/>
        <v>213</v>
      </c>
      <c r="Y303" s="32" t="e">
        <f>IF(+VLOOKUP(I303,P.Referencia!E:S,3,FALSE)&lt;=L303,"Champion","Gerente")</f>
        <v>#N/A</v>
      </c>
      <c r="Z303" s="39" t="e">
        <f>VLOOKUP(I303,P.Referencia!E:S,3,0)</f>
        <v>#N/A</v>
      </c>
      <c r="AA303" s="40" t="e">
        <f t="shared" si="44"/>
        <v>#N/A</v>
      </c>
      <c r="AB303" s="41" t="e">
        <f t="shared" si="45"/>
        <v>#N/A</v>
      </c>
      <c r="AC303" s="41" t="e">
        <f t="shared" si="46"/>
        <v>#N/A</v>
      </c>
    </row>
    <row r="304" spans="1:30" hidden="1" x14ac:dyDescent="0.25">
      <c r="A304" s="43">
        <v>303</v>
      </c>
      <c r="B304" s="64" t="s">
        <v>375</v>
      </c>
      <c r="C304" s="131" t="str">
        <f t="shared" si="42"/>
        <v>LlaveD86166913819100002312</v>
      </c>
      <c r="D304" s="33" t="str">
        <f>VLOOKUP(E304,'NO MODIFICAR'!J:K,2,0)</f>
        <v>D861</v>
      </c>
      <c r="E304" s="26" t="s">
        <v>44</v>
      </c>
      <c r="F304" s="33" t="str">
        <f>VLOOKUP(D304,'NO MODIFICAR'!F:H,3,0)</f>
        <v xml:space="preserve">CENTRO </v>
      </c>
      <c r="G304" s="92">
        <v>66913819</v>
      </c>
      <c r="H304" s="93" t="s">
        <v>305</v>
      </c>
      <c r="I304" s="94">
        <v>10000231</v>
      </c>
      <c r="J304" s="56" t="str">
        <f>VLOOKUP(I304,'Materiales,canteras'!C:D,2,0)</f>
        <v>Grava Triturada Basalto 20 mm</v>
      </c>
      <c r="K304" s="33">
        <f>VLOOKUP(I304,'Materiales,canteras'!C:E,3,0)</f>
        <v>1.5649999999999999</v>
      </c>
      <c r="L304" s="105">
        <v>208</v>
      </c>
      <c r="M304" s="28" t="s">
        <v>93</v>
      </c>
      <c r="N304" s="57">
        <f t="shared" ca="1" si="43"/>
        <v>46267</v>
      </c>
      <c r="O304" s="32" t="s">
        <v>201</v>
      </c>
      <c r="S304" s="4">
        <v>280</v>
      </c>
      <c r="T304" s="66">
        <f t="shared" si="47"/>
        <v>-72</v>
      </c>
      <c r="U304" s="46">
        <f t="shared" si="48"/>
        <v>208</v>
      </c>
      <c r="V304" s="27">
        <v>0</v>
      </c>
      <c r="W304" s="4">
        <v>2</v>
      </c>
      <c r="X304" s="67">
        <f t="shared" si="40"/>
        <v>208</v>
      </c>
      <c r="Y304" s="32" t="e">
        <f>IF(+VLOOKUP(I304,P.Referencia!E:S,3,FALSE)&lt;=L304,"Champion","Gerente")</f>
        <v>#N/A</v>
      </c>
      <c r="Z304" s="39" t="e">
        <f>VLOOKUP(I304,P.Referencia!E:S,3,0)</f>
        <v>#N/A</v>
      </c>
      <c r="AA304" s="40" t="e">
        <f t="shared" si="44"/>
        <v>#N/A</v>
      </c>
      <c r="AB304" s="41" t="e">
        <f t="shared" si="45"/>
        <v>#N/A</v>
      </c>
      <c r="AC304" s="41" t="e">
        <f t="shared" si="46"/>
        <v>#N/A</v>
      </c>
    </row>
    <row r="305" spans="1:29" hidden="1" x14ac:dyDescent="0.25">
      <c r="A305" s="43">
        <v>304</v>
      </c>
      <c r="B305" s="64" t="s">
        <v>375</v>
      </c>
      <c r="C305" s="131" t="str">
        <f t="shared" si="42"/>
        <v>LlaveD86166913819100002332</v>
      </c>
      <c r="D305" s="33" t="str">
        <f>VLOOKUP(E305,'NO MODIFICAR'!J:K,2,0)</f>
        <v>D861</v>
      </c>
      <c r="E305" s="26" t="s">
        <v>44</v>
      </c>
      <c r="F305" s="33" t="str">
        <f>VLOOKUP(D305,'NO MODIFICAR'!F:H,3,0)</f>
        <v xml:space="preserve">CENTRO </v>
      </c>
      <c r="G305" s="92">
        <v>66913819</v>
      </c>
      <c r="H305" s="93" t="s">
        <v>305</v>
      </c>
      <c r="I305" s="94">
        <v>10000233</v>
      </c>
      <c r="J305" s="56" t="str">
        <f>VLOOKUP(I305,'Materiales,canteras'!C:D,2,0)</f>
        <v>Grava Triturada Basalto  40 mm</v>
      </c>
      <c r="K305" s="33">
        <f>VLOOKUP(I305,'Materiales,canteras'!C:E,3,0)</f>
        <v>1.456</v>
      </c>
      <c r="L305" s="105">
        <v>208</v>
      </c>
      <c r="M305" s="28" t="s">
        <v>93</v>
      </c>
      <c r="N305" s="57">
        <f t="shared" ca="1" si="43"/>
        <v>46267</v>
      </c>
      <c r="O305" s="32" t="s">
        <v>201</v>
      </c>
      <c r="S305" s="4">
        <v>282</v>
      </c>
      <c r="T305" s="66">
        <f t="shared" si="47"/>
        <v>-74</v>
      </c>
      <c r="U305" s="46">
        <f t="shared" si="48"/>
        <v>208</v>
      </c>
      <c r="V305" s="27">
        <v>0</v>
      </c>
      <c r="W305" s="4">
        <v>2</v>
      </c>
      <c r="X305" s="67">
        <f t="shared" si="40"/>
        <v>208</v>
      </c>
      <c r="Y305" s="32" t="e">
        <f>IF(+VLOOKUP(I305,P.Referencia!E:S,3,FALSE)&lt;=L305,"Champion","Gerente")</f>
        <v>#N/A</v>
      </c>
      <c r="Z305" s="39" t="e">
        <f>VLOOKUP(I305,P.Referencia!E:S,3,0)</f>
        <v>#N/A</v>
      </c>
      <c r="AA305" s="40" t="e">
        <f t="shared" si="44"/>
        <v>#N/A</v>
      </c>
      <c r="AB305" s="41" t="e">
        <f t="shared" si="45"/>
        <v>#N/A</v>
      </c>
      <c r="AC305" s="41" t="e">
        <f t="shared" si="46"/>
        <v>#N/A</v>
      </c>
    </row>
    <row r="306" spans="1:29" hidden="1" x14ac:dyDescent="0.25">
      <c r="A306" s="43">
        <v>305</v>
      </c>
      <c r="B306" s="64" t="s">
        <v>375</v>
      </c>
      <c r="C306" s="131" t="str">
        <f t="shared" si="42"/>
        <v>LlaveD86166913897100003112</v>
      </c>
      <c r="D306" s="33" t="str">
        <f>VLOOKUP(E306,'NO MODIFICAR'!J:K,2,0)</f>
        <v>D861</v>
      </c>
      <c r="E306" s="26" t="s">
        <v>44</v>
      </c>
      <c r="F306" s="33" t="str">
        <f>VLOOKUP(D306,'NO MODIFICAR'!F:H,3,0)</f>
        <v xml:space="preserve">CENTRO </v>
      </c>
      <c r="G306" s="127">
        <v>66913897</v>
      </c>
      <c r="H306" s="128" t="s">
        <v>306</v>
      </c>
      <c r="I306" s="129">
        <v>10000311</v>
      </c>
      <c r="J306" s="130" t="str">
        <f>VLOOKUP(I306,'Materiales,canteras'!C:D,2,0)</f>
        <v>Arena Triturada Basalto  Malla</v>
      </c>
      <c r="K306" s="33">
        <f>VLOOKUP(I306,'Materiales,canteras'!C:E,3,0)</f>
        <v>1.651</v>
      </c>
      <c r="L306" s="105">
        <v>175</v>
      </c>
      <c r="M306" s="28" t="s">
        <v>93</v>
      </c>
      <c r="N306" s="57">
        <f t="shared" ca="1" si="43"/>
        <v>46267</v>
      </c>
      <c r="O306" s="32" t="s">
        <v>201</v>
      </c>
      <c r="S306" s="4">
        <v>260</v>
      </c>
      <c r="T306" s="66">
        <f t="shared" si="47"/>
        <v>-85</v>
      </c>
      <c r="U306" s="46">
        <f t="shared" si="48"/>
        <v>175</v>
      </c>
      <c r="V306" s="27">
        <v>0</v>
      </c>
      <c r="W306" s="4">
        <v>2</v>
      </c>
      <c r="X306" s="67">
        <f t="shared" si="40"/>
        <v>175</v>
      </c>
      <c r="Y306" s="32" t="e">
        <f>IF(+VLOOKUP(I306,P.Referencia!E:S,3,FALSE)&lt;=L306,"Champion","Gerente")</f>
        <v>#N/A</v>
      </c>
      <c r="Z306" s="39" t="e">
        <f>VLOOKUP(I306,P.Referencia!E:S,3,0)</f>
        <v>#N/A</v>
      </c>
      <c r="AA306" s="40" t="e">
        <f t="shared" si="44"/>
        <v>#N/A</v>
      </c>
      <c r="AB306" s="41" t="e">
        <f t="shared" si="45"/>
        <v>#N/A</v>
      </c>
      <c r="AC306" s="41" t="e">
        <f t="shared" si="46"/>
        <v>#N/A</v>
      </c>
    </row>
    <row r="307" spans="1:29" hidden="1" x14ac:dyDescent="0.25">
      <c r="A307" s="43">
        <v>306</v>
      </c>
      <c r="B307" s="64" t="s">
        <v>375</v>
      </c>
      <c r="C307" s="131" t="str">
        <f t="shared" si="42"/>
        <v>LlaveD86166913897100002292</v>
      </c>
      <c r="D307" s="33" t="str">
        <f>VLOOKUP(E307,'NO MODIFICAR'!J:K,2,0)</f>
        <v>D861</v>
      </c>
      <c r="E307" s="26" t="s">
        <v>44</v>
      </c>
      <c r="F307" s="33" t="str">
        <f>VLOOKUP(D307,'NO MODIFICAR'!F:H,3,0)</f>
        <v xml:space="preserve">CENTRO </v>
      </c>
      <c r="G307" s="127">
        <v>66913897</v>
      </c>
      <c r="H307" s="128" t="s">
        <v>306</v>
      </c>
      <c r="I307" s="129">
        <v>10000229</v>
      </c>
      <c r="J307" s="130" t="str">
        <f>VLOOKUP(I307,'Materiales,canteras'!C:D,2,0)</f>
        <v>Grava Triturada Basalto  10 mm</v>
      </c>
      <c r="K307" s="33">
        <f>VLOOKUP(I307,'Materiales,canteras'!C:E,3,0)</f>
        <v>1.522</v>
      </c>
      <c r="L307" s="105">
        <v>213</v>
      </c>
      <c r="M307" s="28" t="s">
        <v>93</v>
      </c>
      <c r="N307" s="57">
        <f t="shared" ca="1" si="43"/>
        <v>46267</v>
      </c>
      <c r="O307" s="32" t="s">
        <v>201</v>
      </c>
      <c r="S307" s="4">
        <v>320</v>
      </c>
      <c r="T307" s="66">
        <f t="shared" si="47"/>
        <v>-107</v>
      </c>
      <c r="U307" s="46">
        <f t="shared" si="48"/>
        <v>213</v>
      </c>
      <c r="V307" s="27">
        <v>0</v>
      </c>
      <c r="W307" s="4">
        <v>2</v>
      </c>
      <c r="X307" s="67">
        <f t="shared" si="40"/>
        <v>213</v>
      </c>
      <c r="Y307" s="32" t="e">
        <f>IF(+VLOOKUP(I307,P.Referencia!E:S,3,FALSE)&lt;=L307,"Champion","Gerente")</f>
        <v>#N/A</v>
      </c>
      <c r="Z307" s="39" t="e">
        <f>VLOOKUP(I307,P.Referencia!E:S,3,0)</f>
        <v>#N/A</v>
      </c>
      <c r="AA307" s="40" t="e">
        <f t="shared" si="44"/>
        <v>#N/A</v>
      </c>
      <c r="AB307" s="41" t="e">
        <f t="shared" si="45"/>
        <v>#N/A</v>
      </c>
      <c r="AC307" s="41" t="e">
        <f t="shared" si="46"/>
        <v>#N/A</v>
      </c>
    </row>
    <row r="308" spans="1:29" hidden="1" x14ac:dyDescent="0.25">
      <c r="A308" s="43">
        <v>307</v>
      </c>
      <c r="B308" s="64" t="s">
        <v>375</v>
      </c>
      <c r="C308" s="131" t="str">
        <f t="shared" si="42"/>
        <v>LlaveD86166913897100002312</v>
      </c>
      <c r="D308" s="33" t="str">
        <f>VLOOKUP(E308,'NO MODIFICAR'!J:K,2,0)</f>
        <v>D861</v>
      </c>
      <c r="E308" s="26" t="s">
        <v>44</v>
      </c>
      <c r="F308" s="33" t="str">
        <f>VLOOKUP(D308,'NO MODIFICAR'!F:H,3,0)</f>
        <v xml:space="preserve">CENTRO </v>
      </c>
      <c r="G308" s="127">
        <v>66913897</v>
      </c>
      <c r="H308" s="128" t="s">
        <v>306</v>
      </c>
      <c r="I308" s="129">
        <v>10000231</v>
      </c>
      <c r="J308" s="130" t="str">
        <f>VLOOKUP(I308,'Materiales,canteras'!C:D,2,0)</f>
        <v>Grava Triturada Basalto 20 mm</v>
      </c>
      <c r="K308" s="33">
        <f>VLOOKUP(I308,'Materiales,canteras'!C:E,3,0)</f>
        <v>1.5649999999999999</v>
      </c>
      <c r="L308" s="105">
        <v>208</v>
      </c>
      <c r="M308" s="28" t="s">
        <v>93</v>
      </c>
      <c r="N308" s="57">
        <f t="shared" ca="1" si="43"/>
        <v>46267</v>
      </c>
      <c r="O308" s="32" t="s">
        <v>201</v>
      </c>
      <c r="S308" s="4">
        <v>280</v>
      </c>
      <c r="T308" s="66">
        <f t="shared" si="47"/>
        <v>-72</v>
      </c>
      <c r="U308" s="46">
        <f t="shared" si="48"/>
        <v>208</v>
      </c>
      <c r="V308" s="27">
        <v>0</v>
      </c>
      <c r="W308" s="4">
        <v>2</v>
      </c>
      <c r="X308" s="67">
        <f t="shared" si="40"/>
        <v>208</v>
      </c>
      <c r="Y308" s="32" t="e">
        <f>IF(+VLOOKUP(I308,P.Referencia!E:S,3,FALSE)&lt;=L308,"Champion","Gerente")</f>
        <v>#N/A</v>
      </c>
      <c r="Z308" s="39" t="e">
        <f>VLOOKUP(I308,P.Referencia!E:S,3,0)</f>
        <v>#N/A</v>
      </c>
      <c r="AA308" s="40" t="e">
        <f t="shared" si="44"/>
        <v>#N/A</v>
      </c>
      <c r="AB308" s="41" t="e">
        <f t="shared" si="45"/>
        <v>#N/A</v>
      </c>
      <c r="AC308" s="41" t="e">
        <f t="shared" si="46"/>
        <v>#N/A</v>
      </c>
    </row>
    <row r="309" spans="1:29" hidden="1" x14ac:dyDescent="0.25">
      <c r="A309" s="43">
        <v>308</v>
      </c>
      <c r="B309" s="64" t="s">
        <v>375</v>
      </c>
      <c r="C309" s="131" t="str">
        <f t="shared" si="42"/>
        <v>LlaveD86166913897100002332</v>
      </c>
      <c r="D309" s="33" t="str">
        <f>VLOOKUP(E309,'NO MODIFICAR'!J:K,2,0)</f>
        <v>D861</v>
      </c>
      <c r="E309" s="26" t="s">
        <v>44</v>
      </c>
      <c r="F309" s="33" t="str">
        <f>VLOOKUP(D309,'NO MODIFICAR'!F:H,3,0)</f>
        <v xml:space="preserve">CENTRO </v>
      </c>
      <c r="G309" s="127">
        <v>66913897</v>
      </c>
      <c r="H309" s="128" t="s">
        <v>306</v>
      </c>
      <c r="I309" s="129">
        <v>10000233</v>
      </c>
      <c r="J309" s="130" t="str">
        <f>VLOOKUP(I309,'Materiales,canteras'!C:D,2,0)</f>
        <v>Grava Triturada Basalto  40 mm</v>
      </c>
      <c r="K309" s="33">
        <f>VLOOKUP(I309,'Materiales,canteras'!C:E,3,0)</f>
        <v>1.456</v>
      </c>
      <c r="L309" s="105">
        <v>208</v>
      </c>
      <c r="M309" s="28" t="s">
        <v>93</v>
      </c>
      <c r="N309" s="57">
        <f t="shared" ca="1" si="43"/>
        <v>46267</v>
      </c>
      <c r="O309" s="32" t="s">
        <v>201</v>
      </c>
      <c r="S309" s="4">
        <v>282</v>
      </c>
      <c r="T309" s="66">
        <f t="shared" si="47"/>
        <v>-74</v>
      </c>
      <c r="U309" s="46">
        <f t="shared" si="48"/>
        <v>208</v>
      </c>
      <c r="V309" s="27">
        <v>0</v>
      </c>
      <c r="W309" s="4">
        <v>2</v>
      </c>
      <c r="X309" s="67">
        <f t="shared" si="40"/>
        <v>208</v>
      </c>
      <c r="Y309" s="32" t="e">
        <f>IF(+VLOOKUP(I309,P.Referencia!E:S,3,FALSE)&lt;=L309,"Champion","Gerente")</f>
        <v>#N/A</v>
      </c>
      <c r="Z309" s="39" t="e">
        <f>VLOOKUP(I309,P.Referencia!E:S,3,0)</f>
        <v>#N/A</v>
      </c>
      <c r="AA309" s="40" t="e">
        <f t="shared" si="44"/>
        <v>#N/A</v>
      </c>
      <c r="AB309" s="41" t="e">
        <f t="shared" si="45"/>
        <v>#N/A</v>
      </c>
      <c r="AC309" s="41" t="e">
        <f t="shared" si="46"/>
        <v>#N/A</v>
      </c>
    </row>
    <row r="310" spans="1:29" hidden="1" x14ac:dyDescent="0.25">
      <c r="A310" s="43">
        <v>309</v>
      </c>
      <c r="B310" s="64" t="s">
        <v>375</v>
      </c>
      <c r="C310" s="131" t="str">
        <f t="shared" si="42"/>
        <v>LlaveD86166936788100003112</v>
      </c>
      <c r="D310" s="33" t="str">
        <f>VLOOKUP(E310,'NO MODIFICAR'!J:K,2,0)</f>
        <v>D861</v>
      </c>
      <c r="E310" s="26" t="s">
        <v>44</v>
      </c>
      <c r="F310" s="33" t="str">
        <f>VLOOKUP(D310,'NO MODIFICAR'!F:H,3,0)</f>
        <v xml:space="preserve">CENTRO </v>
      </c>
      <c r="G310" s="127">
        <v>66936788</v>
      </c>
      <c r="H310" s="128" t="s">
        <v>307</v>
      </c>
      <c r="I310" s="129">
        <v>10000311</v>
      </c>
      <c r="J310" s="130" t="str">
        <f>VLOOKUP(I310,'Materiales,canteras'!C:D,2,0)</f>
        <v>Arena Triturada Basalto  Malla</v>
      </c>
      <c r="K310" s="33">
        <f>VLOOKUP(I310,'Materiales,canteras'!C:E,3,0)</f>
        <v>1.651</v>
      </c>
      <c r="L310" s="105">
        <v>175</v>
      </c>
      <c r="M310" s="28" t="s">
        <v>93</v>
      </c>
      <c r="N310" s="57">
        <f t="shared" ca="1" si="43"/>
        <v>46267</v>
      </c>
      <c r="O310" s="32" t="s">
        <v>201</v>
      </c>
      <c r="S310" s="4">
        <v>260</v>
      </c>
      <c r="T310" s="66">
        <f t="shared" si="47"/>
        <v>-85</v>
      </c>
      <c r="U310" s="46">
        <f t="shared" si="48"/>
        <v>175</v>
      </c>
      <c r="V310" s="27">
        <v>0</v>
      </c>
      <c r="W310" s="4">
        <v>2</v>
      </c>
      <c r="X310" s="67">
        <f t="shared" si="40"/>
        <v>175</v>
      </c>
      <c r="Y310" s="32" t="e">
        <f>IF(+VLOOKUP(I310,P.Referencia!E:S,3,FALSE)&lt;=L310,"Champion","Gerente")</f>
        <v>#N/A</v>
      </c>
      <c r="Z310" s="39" t="e">
        <f>VLOOKUP(I310,P.Referencia!E:S,3,0)</f>
        <v>#N/A</v>
      </c>
      <c r="AA310" s="40" t="e">
        <f t="shared" si="44"/>
        <v>#N/A</v>
      </c>
      <c r="AB310" s="41" t="e">
        <f t="shared" si="45"/>
        <v>#N/A</v>
      </c>
      <c r="AC310" s="41" t="e">
        <f t="shared" si="46"/>
        <v>#N/A</v>
      </c>
    </row>
    <row r="311" spans="1:29" hidden="1" x14ac:dyDescent="0.25">
      <c r="A311" s="43">
        <v>310</v>
      </c>
      <c r="B311" s="64" t="s">
        <v>375</v>
      </c>
      <c r="C311" s="131" t="str">
        <f t="shared" si="42"/>
        <v>LlaveD86166936788100002292</v>
      </c>
      <c r="D311" s="33" t="str">
        <f>VLOOKUP(E311,'NO MODIFICAR'!J:K,2,0)</f>
        <v>D861</v>
      </c>
      <c r="E311" s="26" t="s">
        <v>44</v>
      </c>
      <c r="F311" s="33" t="str">
        <f>VLOOKUP(D311,'NO MODIFICAR'!F:H,3,0)</f>
        <v xml:space="preserve">CENTRO </v>
      </c>
      <c r="G311" s="127">
        <v>66936788</v>
      </c>
      <c r="H311" s="128" t="s">
        <v>307</v>
      </c>
      <c r="I311" s="129">
        <v>10000229</v>
      </c>
      <c r="J311" s="130" t="str">
        <f>VLOOKUP(I311,'Materiales,canteras'!C:D,2,0)</f>
        <v>Grava Triturada Basalto  10 mm</v>
      </c>
      <c r="K311" s="33">
        <f>VLOOKUP(I311,'Materiales,canteras'!C:E,3,0)</f>
        <v>1.522</v>
      </c>
      <c r="L311" s="105">
        <v>213</v>
      </c>
      <c r="M311" s="28" t="s">
        <v>93</v>
      </c>
      <c r="N311" s="57">
        <f t="shared" ca="1" si="43"/>
        <v>46267</v>
      </c>
      <c r="O311" s="32" t="s">
        <v>201</v>
      </c>
      <c r="S311" s="4">
        <v>320</v>
      </c>
      <c r="T311" s="66">
        <f t="shared" si="47"/>
        <v>-107</v>
      </c>
      <c r="U311" s="46">
        <f t="shared" si="48"/>
        <v>213</v>
      </c>
      <c r="V311" s="27">
        <v>0</v>
      </c>
      <c r="W311" s="4">
        <v>2</v>
      </c>
      <c r="X311" s="67">
        <f t="shared" si="40"/>
        <v>213</v>
      </c>
      <c r="Y311" s="32" t="e">
        <f>IF(+VLOOKUP(I311,P.Referencia!E:S,3,FALSE)&lt;=L311,"Champion","Gerente")</f>
        <v>#N/A</v>
      </c>
      <c r="Z311" s="39" t="e">
        <f>VLOOKUP(I311,P.Referencia!E:S,3,0)</f>
        <v>#N/A</v>
      </c>
      <c r="AA311" s="40" t="e">
        <f t="shared" si="44"/>
        <v>#N/A</v>
      </c>
      <c r="AB311" s="41" t="e">
        <f t="shared" si="45"/>
        <v>#N/A</v>
      </c>
      <c r="AC311" s="41" t="e">
        <f t="shared" si="46"/>
        <v>#N/A</v>
      </c>
    </row>
    <row r="312" spans="1:29" hidden="1" x14ac:dyDescent="0.25">
      <c r="A312" s="43">
        <v>311</v>
      </c>
      <c r="B312" s="64" t="s">
        <v>375</v>
      </c>
      <c r="C312" s="131" t="str">
        <f t="shared" si="42"/>
        <v>LlaveD86166936788100002312</v>
      </c>
      <c r="D312" s="33" t="str">
        <f>VLOOKUP(E312,'NO MODIFICAR'!J:K,2,0)</f>
        <v>D861</v>
      </c>
      <c r="E312" s="26" t="s">
        <v>44</v>
      </c>
      <c r="F312" s="33" t="str">
        <f>VLOOKUP(D312,'NO MODIFICAR'!F:H,3,0)</f>
        <v xml:space="preserve">CENTRO </v>
      </c>
      <c r="G312" s="127">
        <v>66936788</v>
      </c>
      <c r="H312" s="128" t="s">
        <v>307</v>
      </c>
      <c r="I312" s="129">
        <v>10000231</v>
      </c>
      <c r="J312" s="130" t="str">
        <f>VLOOKUP(I312,'Materiales,canteras'!C:D,2,0)</f>
        <v>Grava Triturada Basalto 20 mm</v>
      </c>
      <c r="K312" s="33">
        <f>VLOOKUP(I312,'Materiales,canteras'!C:E,3,0)</f>
        <v>1.5649999999999999</v>
      </c>
      <c r="L312" s="105">
        <v>208</v>
      </c>
      <c r="M312" s="28" t="s">
        <v>93</v>
      </c>
      <c r="N312" s="57">
        <f t="shared" ca="1" si="43"/>
        <v>46267</v>
      </c>
      <c r="O312" s="32" t="s">
        <v>201</v>
      </c>
      <c r="S312" s="4">
        <v>280</v>
      </c>
      <c r="T312" s="66">
        <f t="shared" si="47"/>
        <v>-72</v>
      </c>
      <c r="U312" s="46">
        <f t="shared" si="48"/>
        <v>208</v>
      </c>
      <c r="V312" s="27">
        <v>0</v>
      </c>
      <c r="W312" s="4">
        <v>2</v>
      </c>
      <c r="X312" s="67">
        <f t="shared" si="40"/>
        <v>208</v>
      </c>
      <c r="Y312" s="32" t="e">
        <f>IF(+VLOOKUP(I312,P.Referencia!E:S,3,FALSE)&lt;=L312,"Champion","Gerente")</f>
        <v>#N/A</v>
      </c>
      <c r="Z312" s="39" t="e">
        <f>VLOOKUP(I312,P.Referencia!E:S,3,0)</f>
        <v>#N/A</v>
      </c>
      <c r="AA312" s="40" t="e">
        <f t="shared" si="44"/>
        <v>#N/A</v>
      </c>
      <c r="AB312" s="41" t="e">
        <f t="shared" si="45"/>
        <v>#N/A</v>
      </c>
      <c r="AC312" s="41" t="e">
        <f t="shared" si="46"/>
        <v>#N/A</v>
      </c>
    </row>
    <row r="313" spans="1:29" hidden="1" x14ac:dyDescent="0.25">
      <c r="A313" s="43">
        <v>312</v>
      </c>
      <c r="B313" s="64" t="s">
        <v>375</v>
      </c>
      <c r="C313" s="131" t="str">
        <f t="shared" si="42"/>
        <v>LlaveD86166936788100002332</v>
      </c>
      <c r="D313" s="33" t="str">
        <f>VLOOKUP(E313,'NO MODIFICAR'!J:K,2,0)</f>
        <v>D861</v>
      </c>
      <c r="E313" s="26" t="s">
        <v>44</v>
      </c>
      <c r="F313" s="33" t="str">
        <f>VLOOKUP(D313,'NO MODIFICAR'!F:H,3,0)</f>
        <v xml:space="preserve">CENTRO </v>
      </c>
      <c r="G313" s="127">
        <v>66936788</v>
      </c>
      <c r="H313" s="128" t="s">
        <v>307</v>
      </c>
      <c r="I313" s="129">
        <v>10000233</v>
      </c>
      <c r="J313" s="130" t="str">
        <f>VLOOKUP(I313,'Materiales,canteras'!C:D,2,0)</f>
        <v>Grava Triturada Basalto  40 mm</v>
      </c>
      <c r="K313" s="33">
        <f>VLOOKUP(I313,'Materiales,canteras'!C:E,3,0)</f>
        <v>1.456</v>
      </c>
      <c r="L313" s="105">
        <v>208</v>
      </c>
      <c r="M313" s="28" t="s">
        <v>93</v>
      </c>
      <c r="N313" s="57">
        <f t="shared" ca="1" si="43"/>
        <v>46267</v>
      </c>
      <c r="O313" s="32" t="s">
        <v>201</v>
      </c>
      <c r="S313" s="4">
        <v>282</v>
      </c>
      <c r="T313" s="66">
        <f t="shared" si="47"/>
        <v>-74</v>
      </c>
      <c r="U313" s="46">
        <f t="shared" si="48"/>
        <v>208</v>
      </c>
      <c r="V313" s="27">
        <v>0</v>
      </c>
      <c r="W313" s="4">
        <v>2</v>
      </c>
      <c r="X313" s="67">
        <f t="shared" si="40"/>
        <v>208</v>
      </c>
      <c r="Y313" s="32" t="e">
        <f>IF(+VLOOKUP(I313,P.Referencia!E:S,3,FALSE)&lt;=L313,"Champion","Gerente")</f>
        <v>#N/A</v>
      </c>
      <c r="Z313" s="39" t="e">
        <f>VLOOKUP(I313,P.Referencia!E:S,3,0)</f>
        <v>#N/A</v>
      </c>
      <c r="AA313" s="40" t="e">
        <f t="shared" si="44"/>
        <v>#N/A</v>
      </c>
      <c r="AB313" s="41" t="e">
        <f t="shared" si="45"/>
        <v>#N/A</v>
      </c>
      <c r="AC313" s="41" t="e">
        <f t="shared" si="46"/>
        <v>#N/A</v>
      </c>
    </row>
    <row r="314" spans="1:29" hidden="1" x14ac:dyDescent="0.25">
      <c r="A314" s="43">
        <v>313</v>
      </c>
      <c r="B314" t="s">
        <v>375</v>
      </c>
      <c r="C314" s="131" t="str">
        <f t="shared" si="42"/>
        <v>LlaveD86166932813100003112</v>
      </c>
      <c r="D314" s="33" t="str">
        <f>VLOOKUP(E314,'NO MODIFICAR'!J:K,2,0)</f>
        <v>D861</v>
      </c>
      <c r="E314" s="26" t="s">
        <v>44</v>
      </c>
      <c r="F314" s="33" t="str">
        <f>VLOOKUP(D314,'NO MODIFICAR'!F:H,3,0)</f>
        <v xml:space="preserve">CENTRO </v>
      </c>
      <c r="G314" s="92">
        <v>66932813</v>
      </c>
      <c r="H314" s="93" t="s">
        <v>308</v>
      </c>
      <c r="I314" s="94">
        <v>10000311</v>
      </c>
      <c r="J314" s="56" t="str">
        <f>VLOOKUP(I314,'Materiales,canteras'!C:D,2,0)</f>
        <v>Arena Triturada Basalto  Malla</v>
      </c>
      <c r="K314" s="33">
        <f>VLOOKUP(I314,'Materiales,canteras'!C:E,3,0)</f>
        <v>1.651</v>
      </c>
      <c r="L314" s="105">
        <v>175</v>
      </c>
      <c r="M314" s="28" t="s">
        <v>93</v>
      </c>
      <c r="N314" s="57">
        <f t="shared" ca="1" si="43"/>
        <v>46267</v>
      </c>
      <c r="O314" s="32" t="s">
        <v>201</v>
      </c>
      <c r="S314" s="4">
        <v>260</v>
      </c>
      <c r="T314" s="66">
        <f t="shared" si="47"/>
        <v>-85</v>
      </c>
      <c r="U314" s="46">
        <f t="shared" si="48"/>
        <v>175</v>
      </c>
      <c r="V314" s="27">
        <v>0</v>
      </c>
      <c r="W314" s="4">
        <v>2</v>
      </c>
      <c r="X314" s="67">
        <f t="shared" si="40"/>
        <v>175</v>
      </c>
      <c r="Y314" s="32" t="e">
        <f>IF(+VLOOKUP(I314,P.Referencia!E:S,3,FALSE)&lt;=L314,"Champion","Gerente")</f>
        <v>#N/A</v>
      </c>
      <c r="Z314" s="39" t="e">
        <f>VLOOKUP(I314,P.Referencia!E:S,3,0)</f>
        <v>#N/A</v>
      </c>
      <c r="AA314" s="40" t="e">
        <f t="shared" si="44"/>
        <v>#N/A</v>
      </c>
      <c r="AB314" s="41" t="e">
        <f t="shared" si="45"/>
        <v>#N/A</v>
      </c>
      <c r="AC314" s="41" t="e">
        <f t="shared" si="46"/>
        <v>#N/A</v>
      </c>
    </row>
    <row r="315" spans="1:29" hidden="1" x14ac:dyDescent="0.25">
      <c r="A315" s="43">
        <v>314</v>
      </c>
      <c r="B315" t="s">
        <v>375</v>
      </c>
      <c r="C315" s="131" t="str">
        <f t="shared" si="42"/>
        <v>LlaveD86166932813100002292</v>
      </c>
      <c r="D315" s="33" t="str">
        <f>VLOOKUP(E315,'NO MODIFICAR'!J:K,2,0)</f>
        <v>D861</v>
      </c>
      <c r="E315" s="26" t="s">
        <v>44</v>
      </c>
      <c r="F315" s="33" t="str">
        <f>VLOOKUP(D315,'NO MODIFICAR'!F:H,3,0)</f>
        <v xml:space="preserve">CENTRO </v>
      </c>
      <c r="G315" s="92">
        <v>66932813</v>
      </c>
      <c r="H315" s="93" t="s">
        <v>308</v>
      </c>
      <c r="I315" s="94">
        <v>10000229</v>
      </c>
      <c r="J315" s="56" t="str">
        <f>VLOOKUP(I315,'Materiales,canteras'!C:D,2,0)</f>
        <v>Grava Triturada Basalto  10 mm</v>
      </c>
      <c r="K315" s="33">
        <f>VLOOKUP(I315,'Materiales,canteras'!C:E,3,0)</f>
        <v>1.522</v>
      </c>
      <c r="L315" s="105">
        <v>213</v>
      </c>
      <c r="M315" s="28" t="s">
        <v>93</v>
      </c>
      <c r="N315" s="57">
        <f t="shared" ca="1" si="43"/>
        <v>46267</v>
      </c>
      <c r="O315" s="32" t="s">
        <v>201</v>
      </c>
      <c r="S315" s="4">
        <v>320</v>
      </c>
      <c r="T315" s="66">
        <f t="shared" si="47"/>
        <v>-107</v>
      </c>
      <c r="U315" s="46">
        <f t="shared" si="48"/>
        <v>213</v>
      </c>
      <c r="V315" s="27">
        <v>0</v>
      </c>
      <c r="W315" s="4">
        <v>2</v>
      </c>
      <c r="X315" s="67">
        <f t="shared" si="40"/>
        <v>213</v>
      </c>
      <c r="Y315" s="32" t="e">
        <f>IF(+VLOOKUP(I315,P.Referencia!E:S,3,FALSE)&lt;=L315,"Champion","Gerente")</f>
        <v>#N/A</v>
      </c>
      <c r="Z315" s="39" t="e">
        <f>VLOOKUP(I315,P.Referencia!E:S,3,0)</f>
        <v>#N/A</v>
      </c>
      <c r="AA315" s="40" t="e">
        <f t="shared" si="44"/>
        <v>#N/A</v>
      </c>
      <c r="AB315" s="41" t="e">
        <f t="shared" si="45"/>
        <v>#N/A</v>
      </c>
      <c r="AC315" s="41" t="e">
        <f t="shared" si="46"/>
        <v>#N/A</v>
      </c>
    </row>
    <row r="316" spans="1:29" hidden="1" x14ac:dyDescent="0.25">
      <c r="A316" s="43">
        <v>315</v>
      </c>
      <c r="B316" t="s">
        <v>375</v>
      </c>
      <c r="C316" s="131" t="str">
        <f t="shared" si="42"/>
        <v>LlaveD86166932813100002312</v>
      </c>
      <c r="D316" s="33" t="str">
        <f>VLOOKUP(E316,'NO MODIFICAR'!J:K,2,0)</f>
        <v>D861</v>
      </c>
      <c r="E316" s="26" t="s">
        <v>44</v>
      </c>
      <c r="F316" s="33" t="str">
        <f>VLOOKUP(D316,'NO MODIFICAR'!F:H,3,0)</f>
        <v xml:space="preserve">CENTRO </v>
      </c>
      <c r="G316" s="92">
        <v>66932813</v>
      </c>
      <c r="H316" s="93" t="s">
        <v>308</v>
      </c>
      <c r="I316" s="94">
        <v>10000231</v>
      </c>
      <c r="J316" s="56" t="str">
        <f>VLOOKUP(I316,'Materiales,canteras'!C:D,2,0)</f>
        <v>Grava Triturada Basalto 20 mm</v>
      </c>
      <c r="K316" s="33">
        <f>VLOOKUP(I316,'Materiales,canteras'!C:E,3,0)</f>
        <v>1.5649999999999999</v>
      </c>
      <c r="L316" s="105">
        <v>208</v>
      </c>
      <c r="M316" s="28" t="s">
        <v>93</v>
      </c>
      <c r="N316" s="57">
        <f t="shared" ca="1" si="43"/>
        <v>46267</v>
      </c>
      <c r="O316" s="32" t="s">
        <v>201</v>
      </c>
      <c r="S316" s="4">
        <v>280</v>
      </c>
      <c r="T316" s="66">
        <f t="shared" si="47"/>
        <v>-72</v>
      </c>
      <c r="U316" s="46">
        <f t="shared" si="48"/>
        <v>208</v>
      </c>
      <c r="V316" s="27">
        <v>0</v>
      </c>
      <c r="W316" s="4">
        <v>2</v>
      </c>
      <c r="X316" s="67">
        <f t="shared" ref="X316:X379" si="49">U316+V316</f>
        <v>208</v>
      </c>
      <c r="Y316" s="32" t="e">
        <f>IF(+VLOOKUP(I316,P.Referencia!E:S,3,FALSE)&lt;=L316,"Champion","Gerente")</f>
        <v>#N/A</v>
      </c>
      <c r="Z316" s="39" t="e">
        <f>VLOOKUP(I316,P.Referencia!E:S,3,0)</f>
        <v>#N/A</v>
      </c>
      <c r="AA316" s="40" t="e">
        <f t="shared" si="44"/>
        <v>#N/A</v>
      </c>
      <c r="AB316" s="41" t="e">
        <f t="shared" si="45"/>
        <v>#N/A</v>
      </c>
      <c r="AC316" s="41" t="e">
        <f t="shared" si="46"/>
        <v>#N/A</v>
      </c>
    </row>
    <row r="317" spans="1:29" hidden="1" x14ac:dyDescent="0.25">
      <c r="A317" s="43">
        <v>316</v>
      </c>
      <c r="B317" t="s">
        <v>375</v>
      </c>
      <c r="C317" s="131" t="str">
        <f t="shared" si="42"/>
        <v>LlaveD86166932813100002332</v>
      </c>
      <c r="D317" s="33" t="str">
        <f>VLOOKUP(E317,'NO MODIFICAR'!J:K,2,0)</f>
        <v>D861</v>
      </c>
      <c r="E317" s="26" t="s">
        <v>44</v>
      </c>
      <c r="F317" s="33" t="str">
        <f>VLOOKUP(D317,'NO MODIFICAR'!F:H,3,0)</f>
        <v xml:space="preserve">CENTRO </v>
      </c>
      <c r="G317" s="92">
        <v>66932813</v>
      </c>
      <c r="H317" s="93" t="s">
        <v>308</v>
      </c>
      <c r="I317" s="94">
        <v>10000233</v>
      </c>
      <c r="J317" s="56" t="str">
        <f>VLOOKUP(I317,'Materiales,canteras'!C:D,2,0)</f>
        <v>Grava Triturada Basalto  40 mm</v>
      </c>
      <c r="K317" s="33">
        <f>VLOOKUP(I317,'Materiales,canteras'!C:E,3,0)</f>
        <v>1.456</v>
      </c>
      <c r="L317" s="105">
        <v>208</v>
      </c>
      <c r="M317" s="28" t="s">
        <v>93</v>
      </c>
      <c r="N317" s="57">
        <f t="shared" ca="1" si="43"/>
        <v>46267</v>
      </c>
      <c r="O317" s="32" t="s">
        <v>201</v>
      </c>
      <c r="S317" s="4">
        <v>282</v>
      </c>
      <c r="T317" s="66">
        <f t="shared" si="47"/>
        <v>-74</v>
      </c>
      <c r="U317" s="46">
        <f t="shared" si="48"/>
        <v>208</v>
      </c>
      <c r="V317" s="27">
        <v>0</v>
      </c>
      <c r="W317" s="4">
        <v>2</v>
      </c>
      <c r="X317" s="67">
        <f t="shared" si="49"/>
        <v>208</v>
      </c>
      <c r="Y317" s="32" t="e">
        <f>IF(+VLOOKUP(I317,P.Referencia!E:S,3,FALSE)&lt;=L317,"Champion","Gerente")</f>
        <v>#N/A</v>
      </c>
      <c r="Z317" s="39" t="e">
        <f>VLOOKUP(I317,P.Referencia!E:S,3,0)</f>
        <v>#N/A</v>
      </c>
      <c r="AA317" s="40" t="e">
        <f t="shared" si="44"/>
        <v>#N/A</v>
      </c>
      <c r="AB317" s="41" t="e">
        <f t="shared" si="45"/>
        <v>#N/A</v>
      </c>
      <c r="AC317" s="41" t="e">
        <f t="shared" si="46"/>
        <v>#N/A</v>
      </c>
    </row>
    <row r="318" spans="1:29" hidden="1" x14ac:dyDescent="0.25">
      <c r="A318" s="43">
        <v>317</v>
      </c>
      <c r="B318" t="s">
        <v>375</v>
      </c>
      <c r="C318" s="131" t="str">
        <f t="shared" si="42"/>
        <v>LlaveD86167330224100014502</v>
      </c>
      <c r="D318" s="33" t="str">
        <f>VLOOKUP(E318,'NO MODIFICAR'!J:K,2,0)</f>
        <v>D861</v>
      </c>
      <c r="E318" s="26" t="s">
        <v>44</v>
      </c>
      <c r="F318" s="33" t="str">
        <f>VLOOKUP(D318,'NO MODIFICAR'!F:H,3,0)</f>
        <v xml:space="preserve">CENTRO </v>
      </c>
      <c r="G318" s="92">
        <v>67330224</v>
      </c>
      <c r="H318" s="93" t="s">
        <v>310</v>
      </c>
      <c r="I318" s="94">
        <v>10001450</v>
      </c>
      <c r="J318" s="56" t="str">
        <f>VLOOKUP(I318,'Materiales,canteras'!C:D,2,0)</f>
        <v>Base Hidraúlica Basalto de 1 /1/2</v>
      </c>
      <c r="K318" s="33">
        <f>VLOOKUP(I318,'Materiales,canteras'!C:E,3,0)</f>
        <v>1.7490000000000001</v>
      </c>
      <c r="L318" s="105">
        <v>256.72000000000003</v>
      </c>
      <c r="M318" s="28" t="s">
        <v>93</v>
      </c>
      <c r="N318" s="57">
        <f t="shared" ca="1" si="43"/>
        <v>46267</v>
      </c>
      <c r="O318" s="32" t="s">
        <v>201</v>
      </c>
      <c r="S318" s="4">
        <v>260</v>
      </c>
      <c r="T318" s="66">
        <f t="shared" si="47"/>
        <v>-3.2799999999999727</v>
      </c>
      <c r="U318" s="46">
        <f t="shared" si="48"/>
        <v>256.72000000000003</v>
      </c>
      <c r="V318" s="27">
        <v>0</v>
      </c>
      <c r="W318" s="4">
        <v>2</v>
      </c>
      <c r="X318" s="67">
        <f t="shared" si="49"/>
        <v>256.72000000000003</v>
      </c>
      <c r="Y318" s="32" t="e">
        <f>IF(+VLOOKUP(I318,P.Referencia!E:S,3,FALSE)&lt;=L318,"Champion","Gerente")</f>
        <v>#N/A</v>
      </c>
      <c r="Z318" s="39" t="e">
        <f>VLOOKUP(I318,P.Referencia!E:S,3,0)</f>
        <v>#N/A</v>
      </c>
      <c r="AA318" s="40" t="e">
        <f t="shared" si="44"/>
        <v>#N/A</v>
      </c>
      <c r="AB318" s="41" t="e">
        <f t="shared" si="45"/>
        <v>#N/A</v>
      </c>
      <c r="AC318" s="41" t="e">
        <f t="shared" si="46"/>
        <v>#N/A</v>
      </c>
    </row>
    <row r="319" spans="1:29" hidden="1" x14ac:dyDescent="0.25">
      <c r="A319" s="43">
        <v>318</v>
      </c>
      <c r="B319" t="s">
        <v>375</v>
      </c>
      <c r="C319" s="131" t="str">
        <f t="shared" si="42"/>
        <v>LlaveD86465016451100002362</v>
      </c>
      <c r="D319" s="33" t="str">
        <f>VLOOKUP(E319,'NO MODIFICAR'!J:K,2,0)</f>
        <v>D864</v>
      </c>
      <c r="E319" s="26" t="s">
        <v>55</v>
      </c>
      <c r="F319" s="33" t="str">
        <f>VLOOKUP(D319,'NO MODIFICAR'!F:H,3,0)</f>
        <v xml:space="preserve">CENTRO </v>
      </c>
      <c r="G319" s="92">
        <v>65016451</v>
      </c>
      <c r="H319" s="93" t="s">
        <v>311</v>
      </c>
      <c r="I319" s="94">
        <v>10000236</v>
      </c>
      <c r="J319" s="56" t="str">
        <f>VLOOKUP(I319,'Materiales,canteras'!C:D,2,0)</f>
        <v>Grava Triturada Caliza 10 mm -</v>
      </c>
      <c r="K319" s="33">
        <f>VLOOKUP(I319,'Materiales,canteras'!C:E,3,0)</f>
        <v>1.41</v>
      </c>
      <c r="L319" s="105">
        <v>120</v>
      </c>
      <c r="M319" s="28" t="s">
        <v>93</v>
      </c>
      <c r="N319" s="57">
        <f t="shared" ca="1" si="43"/>
        <v>46267</v>
      </c>
      <c r="O319" s="32" t="s">
        <v>201</v>
      </c>
      <c r="R319">
        <f>1.5/100</f>
        <v>1.4999999999999999E-2</v>
      </c>
      <c r="S319" s="4">
        <v>240</v>
      </c>
      <c r="T319" s="66">
        <f t="shared" ref="T319:T322" si="50">L319-(S319-(S319*R319))</f>
        <v>-116.4</v>
      </c>
      <c r="U319" s="46">
        <f t="shared" si="48"/>
        <v>120</v>
      </c>
      <c r="V319" s="27">
        <v>0</v>
      </c>
      <c r="W319" s="4">
        <v>2</v>
      </c>
      <c r="X319" s="67">
        <f t="shared" si="49"/>
        <v>120</v>
      </c>
      <c r="Y319" s="32" t="e">
        <f>IF(+VLOOKUP(I319,P.Referencia!E:S,3,FALSE)&lt;=L319,"Champion","Gerente")</f>
        <v>#N/A</v>
      </c>
      <c r="Z319" s="39" t="e">
        <f>VLOOKUP(I319,P.Referencia!E:S,3,0)</f>
        <v>#N/A</v>
      </c>
      <c r="AA319" s="40" t="e">
        <f t="shared" si="44"/>
        <v>#N/A</v>
      </c>
      <c r="AB319" s="41" t="e">
        <f t="shared" si="45"/>
        <v>#N/A</v>
      </c>
      <c r="AC319" s="41" t="e">
        <f t="shared" si="46"/>
        <v>#N/A</v>
      </c>
    </row>
    <row r="320" spans="1:29" hidden="1" x14ac:dyDescent="0.25">
      <c r="A320" s="43">
        <v>319</v>
      </c>
      <c r="B320" t="s">
        <v>375</v>
      </c>
      <c r="C320" s="131" t="str">
        <f t="shared" si="42"/>
        <v>LlaveD86465016451100010732</v>
      </c>
      <c r="D320" s="33" t="str">
        <f>VLOOKUP(E320,'NO MODIFICAR'!J:K,2,0)</f>
        <v>D864</v>
      </c>
      <c r="E320" s="26" t="s">
        <v>55</v>
      </c>
      <c r="F320" s="33" t="str">
        <f>VLOOKUP(D320,'NO MODIFICAR'!F:H,3,0)</f>
        <v xml:space="preserve">CENTRO </v>
      </c>
      <c r="G320" s="92">
        <v>65016451</v>
      </c>
      <c r="H320" s="93" t="s">
        <v>311</v>
      </c>
      <c r="I320" s="94">
        <v>10001073</v>
      </c>
      <c r="J320" s="56" t="str">
        <f>VLOOKUP(I320,'Materiales,canteras'!C:D,2,0)</f>
        <v>Arena Triturada Caliza Malla 4</v>
      </c>
      <c r="K320" s="33">
        <f>VLOOKUP(I320,'Materiales,canteras'!C:E,3,0)</f>
        <v>1.56</v>
      </c>
      <c r="L320" s="105">
        <v>87.5</v>
      </c>
      <c r="M320" s="28" t="s">
        <v>93</v>
      </c>
      <c r="N320" s="57">
        <f t="shared" ca="1" si="43"/>
        <v>46267</v>
      </c>
      <c r="O320" s="32" t="s">
        <v>201</v>
      </c>
      <c r="R320">
        <f>1.5/100</f>
        <v>1.4999999999999999E-2</v>
      </c>
      <c r="S320" s="4">
        <v>150</v>
      </c>
      <c r="T320" s="66">
        <f t="shared" si="50"/>
        <v>-60.25</v>
      </c>
      <c r="U320" s="46">
        <f t="shared" si="48"/>
        <v>87.5</v>
      </c>
      <c r="V320" s="27">
        <v>0</v>
      </c>
      <c r="W320" s="4">
        <v>2</v>
      </c>
      <c r="X320" s="67">
        <f t="shared" si="49"/>
        <v>87.5</v>
      </c>
      <c r="Y320" s="32" t="e">
        <f>IF(+VLOOKUP(I320,P.Referencia!E:S,3,FALSE)&lt;=L320,"Champion","Gerente")</f>
        <v>#N/A</v>
      </c>
      <c r="Z320" s="39" t="e">
        <f>VLOOKUP(I320,P.Referencia!E:S,3,0)</f>
        <v>#N/A</v>
      </c>
      <c r="AA320" s="40" t="e">
        <f t="shared" si="44"/>
        <v>#N/A</v>
      </c>
      <c r="AB320" s="41" t="e">
        <f t="shared" si="45"/>
        <v>#N/A</v>
      </c>
      <c r="AC320" s="41" t="e">
        <f t="shared" si="46"/>
        <v>#N/A</v>
      </c>
    </row>
    <row r="321" spans="1:30" hidden="1" x14ac:dyDescent="0.25">
      <c r="A321" s="43">
        <v>320</v>
      </c>
      <c r="B321" t="s">
        <v>375</v>
      </c>
      <c r="C321" s="131" t="str">
        <f t="shared" si="42"/>
        <v>LlaveD86465016451100010742</v>
      </c>
      <c r="D321" s="33" t="str">
        <f>VLOOKUP(E321,'NO MODIFICAR'!J:K,2,0)</f>
        <v>D864</v>
      </c>
      <c r="E321" s="26" t="s">
        <v>55</v>
      </c>
      <c r="F321" s="33" t="str">
        <f>VLOOKUP(D321,'NO MODIFICAR'!F:H,3,0)</f>
        <v xml:space="preserve">CENTRO </v>
      </c>
      <c r="G321" s="92">
        <v>65016451</v>
      </c>
      <c r="H321" s="93" t="s">
        <v>311</v>
      </c>
      <c r="I321" s="94">
        <v>10001074</v>
      </c>
      <c r="J321" s="56" t="str">
        <f>VLOOKUP(I321,'Materiales,canteras'!C:D,2,0)</f>
        <v>Grava Triturada Caliza 40 mm -</v>
      </c>
      <c r="K321" s="33">
        <f>VLOOKUP(I321,'Materiales,canteras'!C:E,3,0)</f>
        <v>1.4</v>
      </c>
      <c r="L321" s="105">
        <v>137</v>
      </c>
      <c r="M321" s="28" t="s">
        <v>93</v>
      </c>
      <c r="N321" s="57">
        <f t="shared" ca="1" si="43"/>
        <v>46267</v>
      </c>
      <c r="O321" s="32" t="s">
        <v>201</v>
      </c>
      <c r="R321">
        <f>1.5/100</f>
        <v>1.4999999999999999E-2</v>
      </c>
      <c r="S321" s="4">
        <v>220</v>
      </c>
      <c r="T321" s="66">
        <f t="shared" si="50"/>
        <v>-79.699999999999989</v>
      </c>
      <c r="U321" s="46">
        <f t="shared" si="48"/>
        <v>137</v>
      </c>
      <c r="V321" s="27">
        <v>0</v>
      </c>
      <c r="W321" s="4">
        <v>2</v>
      </c>
      <c r="X321" s="67">
        <f t="shared" si="49"/>
        <v>137</v>
      </c>
      <c r="Y321" s="32" t="e">
        <f>IF(+VLOOKUP(I321,P.Referencia!E:S,3,FALSE)&lt;=L321,"Champion","Gerente")</f>
        <v>#N/A</v>
      </c>
      <c r="Z321" s="39" t="e">
        <f>VLOOKUP(I321,P.Referencia!E:S,3,0)</f>
        <v>#N/A</v>
      </c>
      <c r="AA321" s="40" t="e">
        <f t="shared" si="44"/>
        <v>#N/A</v>
      </c>
      <c r="AB321" s="41" t="e">
        <f t="shared" si="45"/>
        <v>#N/A</v>
      </c>
      <c r="AC321" s="41" t="e">
        <f t="shared" si="46"/>
        <v>#N/A</v>
      </c>
    </row>
    <row r="322" spans="1:30" hidden="1" x14ac:dyDescent="0.25">
      <c r="A322" s="43">
        <v>321</v>
      </c>
      <c r="B322" t="s">
        <v>375</v>
      </c>
      <c r="C322" s="131" t="str">
        <f t="shared" ref="C322:C385" si="51">_xlfn.CONCAT($C$1,D322,G322,I322,W322)</f>
        <v>LlaveD81365016451100002552</v>
      </c>
      <c r="D322" s="33" t="str">
        <f>VLOOKUP(E322,'NO MODIFICAR'!J:K,2,0)</f>
        <v>D813</v>
      </c>
      <c r="E322" s="26" t="s">
        <v>6</v>
      </c>
      <c r="F322" s="33" t="str">
        <f>VLOOKUP(D322,'NO MODIFICAR'!F:H,3,0)</f>
        <v xml:space="preserve">CENTRO </v>
      </c>
      <c r="G322" s="92">
        <v>65016451</v>
      </c>
      <c r="H322" s="93" t="s">
        <v>311</v>
      </c>
      <c r="I322" s="94">
        <v>10000255</v>
      </c>
      <c r="J322" s="56" t="str">
        <f>VLOOKUP(I322,'Materiales,canteras'!C:D,2,0)</f>
        <v>Arena Triturada Andesita Malla</v>
      </c>
      <c r="K322" s="33">
        <f>VLOOKUP(I322,'Materiales,canteras'!C:E,3,0)</f>
        <v>1.5349999999999999</v>
      </c>
      <c r="L322" s="105">
        <v>95</v>
      </c>
      <c r="M322" s="28" t="s">
        <v>93</v>
      </c>
      <c r="N322" s="57">
        <f t="shared" ref="N322:N385" ca="1" si="52">TODAY()</f>
        <v>46267</v>
      </c>
      <c r="O322" s="32" t="s">
        <v>201</v>
      </c>
      <c r="R322">
        <f>1.5/100</f>
        <v>1.4999999999999999E-2</v>
      </c>
      <c r="S322" s="4">
        <v>150</v>
      </c>
      <c r="T322" s="66">
        <f t="shared" si="50"/>
        <v>-52.75</v>
      </c>
      <c r="U322" s="46">
        <f t="shared" si="48"/>
        <v>95</v>
      </c>
      <c r="V322" s="27">
        <v>0</v>
      </c>
      <c r="W322" s="4">
        <v>2</v>
      </c>
      <c r="X322" s="67">
        <f t="shared" si="49"/>
        <v>95</v>
      </c>
      <c r="Y322" s="32" t="e">
        <f>IF(+VLOOKUP(I322,P.Referencia!E:S,3,FALSE)&lt;=L322,"Champion","Gerente")</f>
        <v>#N/A</v>
      </c>
      <c r="Z322" s="39" t="e">
        <f>VLOOKUP(I322,P.Referencia!E:S,3,0)</f>
        <v>#N/A</v>
      </c>
      <c r="AA322" s="40" t="e">
        <f t="shared" ref="AA322:AA385" si="53">(Z322-U322)/U322</f>
        <v>#N/A</v>
      </c>
      <c r="AB322" s="41" t="e">
        <f t="shared" ref="AB322:AB385" si="54">U322*AA322</f>
        <v>#N/A</v>
      </c>
      <c r="AC322" s="41" t="e">
        <f t="shared" ref="AC322:AC385" si="55">U322+AB322</f>
        <v>#N/A</v>
      </c>
    </row>
    <row r="323" spans="1:30" hidden="1" x14ac:dyDescent="0.25">
      <c r="A323" s="43">
        <v>322</v>
      </c>
      <c r="B323" t="s">
        <v>375</v>
      </c>
      <c r="C323" s="131" t="str">
        <f t="shared" si="51"/>
        <v>LlaveD86167198586100003112</v>
      </c>
      <c r="D323" s="33" t="str">
        <f>VLOOKUP(E323,'NO MODIFICAR'!J:K,2,0)</f>
        <v>D861</v>
      </c>
      <c r="E323" s="26" t="s">
        <v>44</v>
      </c>
      <c r="F323" s="33" t="str">
        <f>VLOOKUP(D323,'NO MODIFICAR'!F:H,3,0)</f>
        <v xml:space="preserve">CENTRO </v>
      </c>
      <c r="G323" s="92">
        <v>67198586</v>
      </c>
      <c r="H323" s="93" t="s">
        <v>158</v>
      </c>
      <c r="I323" s="94">
        <v>10000311</v>
      </c>
      <c r="J323" s="56" t="str">
        <f>VLOOKUP(I323,'Materiales,canteras'!C:D,2,0)</f>
        <v>Arena Triturada Basalto  Malla</v>
      </c>
      <c r="K323" s="33">
        <f>VLOOKUP(I323,'Materiales,canteras'!C:E,3,0)</f>
        <v>1.651</v>
      </c>
      <c r="L323" s="105">
        <v>185</v>
      </c>
      <c r="M323" s="28" t="s">
        <v>93</v>
      </c>
      <c r="N323" s="57">
        <f t="shared" ca="1" si="52"/>
        <v>46267</v>
      </c>
      <c r="O323" s="32" t="s">
        <v>201</v>
      </c>
      <c r="Q323">
        <v>18.2</v>
      </c>
      <c r="R323">
        <v>3.63</v>
      </c>
      <c r="S323" s="4">
        <v>260</v>
      </c>
      <c r="T323" s="66">
        <f>L323-((S323-Q323)-(R323))</f>
        <v>-53.170000000000016</v>
      </c>
      <c r="U323" s="46">
        <f t="shared" si="48"/>
        <v>185</v>
      </c>
      <c r="V323" s="27">
        <v>0</v>
      </c>
      <c r="W323" s="4">
        <v>2</v>
      </c>
      <c r="X323" s="67">
        <f t="shared" si="49"/>
        <v>185</v>
      </c>
      <c r="Y323" s="32" t="e">
        <f>IF(+VLOOKUP(I323,P.Referencia!E:S,3,FALSE)&lt;=L323,"Champion","Gerente")</f>
        <v>#N/A</v>
      </c>
      <c r="Z323" s="39" t="e">
        <f>VLOOKUP(I323,P.Referencia!E:S,3,0)</f>
        <v>#N/A</v>
      </c>
      <c r="AA323" s="40" t="e">
        <f t="shared" si="53"/>
        <v>#N/A</v>
      </c>
      <c r="AB323" s="41" t="e">
        <f t="shared" si="54"/>
        <v>#N/A</v>
      </c>
      <c r="AC323" s="41" t="e">
        <f t="shared" si="55"/>
        <v>#N/A</v>
      </c>
    </row>
    <row r="324" spans="1:30" hidden="1" x14ac:dyDescent="0.25">
      <c r="A324" s="43">
        <v>323</v>
      </c>
      <c r="B324" t="s">
        <v>375</v>
      </c>
      <c r="C324" s="131" t="str">
        <f t="shared" si="51"/>
        <v>LlaveDU07EQ86102712241</v>
      </c>
      <c r="D324" s="33" t="str">
        <f>VLOOKUP(E324,'NO MODIFICAR'!J:K,2,0)</f>
        <v>DU07</v>
      </c>
      <c r="E324" s="26" t="s">
        <v>87</v>
      </c>
      <c r="F324" s="33" t="str">
        <f>VLOOKUP(D324,'NO MODIFICAR'!F:H,3,0)</f>
        <v>SURESTE</v>
      </c>
      <c r="G324" s="92" t="s">
        <v>280</v>
      </c>
      <c r="H324" s="93" t="s">
        <v>281</v>
      </c>
      <c r="I324" s="94">
        <v>10271224</v>
      </c>
      <c r="J324" s="56" t="str">
        <f>VLOOKUP(I324,'Materiales,canteras'!C:D,2,0)</f>
        <v>SUBRASANTE</v>
      </c>
      <c r="K324" s="33">
        <f>VLOOKUP(I324,'Materiales,canteras'!C:E,3,0)</f>
        <v>1.462</v>
      </c>
      <c r="L324" s="105">
        <v>106.02</v>
      </c>
      <c r="M324" s="28" t="s">
        <v>93</v>
      </c>
      <c r="N324" s="57">
        <f t="shared" ca="1" si="52"/>
        <v>46267</v>
      </c>
      <c r="O324" s="32" t="s">
        <v>201</v>
      </c>
      <c r="T324" s="66">
        <f t="shared" ref="T324:T329" si="56">L324-(S324-(S324*R324))</f>
        <v>106.02</v>
      </c>
      <c r="U324" s="46">
        <f t="shared" si="48"/>
        <v>106.02</v>
      </c>
      <c r="V324" s="27">
        <v>107.73</v>
      </c>
      <c r="W324" s="4">
        <v>1</v>
      </c>
      <c r="X324" s="67">
        <f t="shared" si="49"/>
        <v>213.75</v>
      </c>
      <c r="Y324" s="32" t="e">
        <f>IF(+VLOOKUP(I324,P.Referencia!E:S,3,FALSE)&lt;=L324,"Champion","Gerente")</f>
        <v>#N/A</v>
      </c>
      <c r="Z324" s="39" t="e">
        <f>VLOOKUP(I324,P.Referencia!E:S,3,0)</f>
        <v>#N/A</v>
      </c>
      <c r="AA324" s="40" t="e">
        <f t="shared" si="53"/>
        <v>#N/A</v>
      </c>
      <c r="AB324" s="41" t="e">
        <f t="shared" si="54"/>
        <v>#N/A</v>
      </c>
      <c r="AC324" s="41" t="e">
        <f t="shared" si="55"/>
        <v>#N/A</v>
      </c>
      <c r="AD324" t="s">
        <v>314</v>
      </c>
    </row>
    <row r="325" spans="1:30" hidden="1" x14ac:dyDescent="0.25">
      <c r="A325" s="43">
        <v>324</v>
      </c>
      <c r="B325" t="s">
        <v>375</v>
      </c>
      <c r="C325" s="131" t="str">
        <f t="shared" si="51"/>
        <v>LlaveD81365061687100002532</v>
      </c>
      <c r="D325" s="33" t="str">
        <f>VLOOKUP(E325,'NO MODIFICAR'!J:K,2,0)</f>
        <v>D813</v>
      </c>
      <c r="E325" s="26" t="s">
        <v>6</v>
      </c>
      <c r="F325" s="33" t="str">
        <f>VLOOKUP(D325,'NO MODIFICAR'!F:H,3,0)</f>
        <v xml:space="preserve">CENTRO </v>
      </c>
      <c r="G325" s="92">
        <v>65061687</v>
      </c>
      <c r="H325" s="93" t="s">
        <v>315</v>
      </c>
      <c r="I325" s="94">
        <v>10000253</v>
      </c>
      <c r="J325" s="56" t="str">
        <f>VLOOKUP(I325,'Materiales,canteras'!C:D,2,0)</f>
        <v>Grava Triturada Andesita 20 mm</v>
      </c>
      <c r="K325" s="33">
        <f>VLOOKUP(I325,'Materiales,canteras'!C:E,3,0)</f>
        <v>1.385</v>
      </c>
      <c r="L325" s="105">
        <v>99.9</v>
      </c>
      <c r="M325" s="28" t="s">
        <v>93</v>
      </c>
      <c r="N325" s="57">
        <f t="shared" ca="1" si="52"/>
        <v>46267</v>
      </c>
      <c r="O325" s="32" t="s">
        <v>201</v>
      </c>
      <c r="R325">
        <f>5/100</f>
        <v>0.05</v>
      </c>
      <c r="S325" s="4">
        <v>150</v>
      </c>
      <c r="T325" s="66">
        <f t="shared" si="56"/>
        <v>-42.599999999999994</v>
      </c>
      <c r="U325" s="46">
        <f t="shared" si="48"/>
        <v>99.9</v>
      </c>
      <c r="V325" s="27">
        <v>0</v>
      </c>
      <c r="W325" s="4">
        <v>2</v>
      </c>
      <c r="X325" s="67">
        <f t="shared" si="49"/>
        <v>99.9</v>
      </c>
      <c r="Y325" s="32" t="e">
        <f>IF(+VLOOKUP(I325,P.Referencia!E:S,3,FALSE)&lt;=L325,"Champion","Gerente")</f>
        <v>#N/A</v>
      </c>
      <c r="Z325" s="39" t="e">
        <f>VLOOKUP(I325,P.Referencia!E:S,3,0)</f>
        <v>#N/A</v>
      </c>
      <c r="AA325" s="40" t="e">
        <f t="shared" si="53"/>
        <v>#N/A</v>
      </c>
      <c r="AB325" s="41" t="e">
        <f t="shared" si="54"/>
        <v>#N/A</v>
      </c>
      <c r="AC325" s="41" t="e">
        <f t="shared" si="55"/>
        <v>#N/A</v>
      </c>
    </row>
    <row r="326" spans="1:30" hidden="1" x14ac:dyDescent="0.25">
      <c r="A326" s="43">
        <v>325</v>
      </c>
      <c r="B326" t="s">
        <v>376</v>
      </c>
      <c r="C326" s="131" t="str">
        <f t="shared" si="51"/>
        <v>LlaveD86167012554100002902</v>
      </c>
      <c r="D326" s="33" t="str">
        <f>VLOOKUP(E326,'NO MODIFICAR'!J:K,2,0)</f>
        <v>D861</v>
      </c>
      <c r="E326" s="26" t="s">
        <v>44</v>
      </c>
      <c r="F326" s="33" t="str">
        <f>VLOOKUP(D326,'NO MODIFICAR'!F:H,3,0)</f>
        <v xml:space="preserve">CENTRO </v>
      </c>
      <c r="G326" s="92">
        <v>67012554</v>
      </c>
      <c r="H326" s="93" t="s">
        <v>316</v>
      </c>
      <c r="I326" s="94">
        <v>10000290</v>
      </c>
      <c r="J326" s="56" t="str">
        <f>VLOOKUP(I326,'Materiales,canteras'!C:D,2,0)</f>
        <v>Polvos Triturado Basalto 3/4"</v>
      </c>
      <c r="K326" s="33">
        <f>VLOOKUP(I326,'Materiales,canteras'!C:E,3,0)</f>
        <v>1.3720000000000001</v>
      </c>
      <c r="L326" s="105">
        <v>10</v>
      </c>
      <c r="M326" s="28" t="s">
        <v>93</v>
      </c>
      <c r="N326" s="57">
        <f t="shared" ca="1" si="52"/>
        <v>46267</v>
      </c>
      <c r="O326" s="32" t="s">
        <v>201</v>
      </c>
      <c r="S326" s="4">
        <v>25</v>
      </c>
      <c r="T326" s="66">
        <f t="shared" si="56"/>
        <v>-15</v>
      </c>
      <c r="U326" s="46">
        <f t="shared" si="48"/>
        <v>10</v>
      </c>
      <c r="V326" s="27">
        <v>0</v>
      </c>
      <c r="W326" s="4">
        <v>2</v>
      </c>
      <c r="X326" s="67">
        <f t="shared" si="49"/>
        <v>10</v>
      </c>
      <c r="Y326" s="32" t="e">
        <f>IF(+VLOOKUP(I326,P.Referencia!E:S,3,FALSE)&lt;=L326,"Champion","Gerente")</f>
        <v>#N/A</v>
      </c>
      <c r="Z326" s="39" t="e">
        <f>VLOOKUP(I326,P.Referencia!E:S,3,0)</f>
        <v>#N/A</v>
      </c>
      <c r="AA326" s="40" t="e">
        <f t="shared" si="53"/>
        <v>#N/A</v>
      </c>
      <c r="AB326" s="41" t="e">
        <f t="shared" si="54"/>
        <v>#N/A</v>
      </c>
      <c r="AC326" s="41" t="e">
        <f t="shared" si="55"/>
        <v>#N/A</v>
      </c>
    </row>
    <row r="327" spans="1:30" hidden="1" x14ac:dyDescent="0.25">
      <c r="A327" s="43">
        <v>326</v>
      </c>
      <c r="B327" t="s">
        <v>376</v>
      </c>
      <c r="C327" s="131" t="str">
        <f t="shared" si="51"/>
        <v>LlaveD86466908488100002402</v>
      </c>
      <c r="D327" s="33" t="str">
        <f>VLOOKUP(E327,'NO MODIFICAR'!J:K,2,0)</f>
        <v>D864</v>
      </c>
      <c r="E327" s="26" t="s">
        <v>55</v>
      </c>
      <c r="F327" s="33" t="str">
        <f>VLOOKUP(D327,'NO MODIFICAR'!F:H,3,0)</f>
        <v xml:space="preserve">CENTRO </v>
      </c>
      <c r="G327" s="92">
        <v>66908488</v>
      </c>
      <c r="H327" s="93" t="s">
        <v>317</v>
      </c>
      <c r="I327" s="94">
        <v>10000240</v>
      </c>
      <c r="J327" s="56" t="str">
        <f>VLOOKUP(I327,'Materiales,canteras'!C:D,2,0)</f>
        <v>Grava Triturada Caliza 20 mm -</v>
      </c>
      <c r="K327" s="33">
        <f>VLOOKUP(I327,'Materiales,canteras'!C:E,3,0)</f>
        <v>1.462</v>
      </c>
      <c r="L327" s="105">
        <v>127</v>
      </c>
      <c r="M327" s="28" t="s">
        <v>93</v>
      </c>
      <c r="N327" s="57">
        <f t="shared" ca="1" si="52"/>
        <v>46267</v>
      </c>
      <c r="O327" s="32" t="s">
        <v>201</v>
      </c>
      <c r="S327" s="4">
        <v>280</v>
      </c>
      <c r="T327" s="66">
        <f t="shared" si="56"/>
        <v>-153</v>
      </c>
      <c r="U327" s="46">
        <f t="shared" si="48"/>
        <v>127</v>
      </c>
      <c r="V327" s="27">
        <v>0</v>
      </c>
      <c r="W327" s="131">
        <v>2</v>
      </c>
      <c r="X327" s="67">
        <f t="shared" si="49"/>
        <v>127</v>
      </c>
      <c r="Y327" s="32" t="e">
        <f>IF(+VLOOKUP(I327,P.Referencia!E:S,3,FALSE)&lt;=L327,"Champion","Gerente")</f>
        <v>#N/A</v>
      </c>
      <c r="Z327" s="39" t="e">
        <f>VLOOKUP(I327,P.Referencia!E:S,3,0)</f>
        <v>#N/A</v>
      </c>
      <c r="AA327" s="40" t="e">
        <f t="shared" si="53"/>
        <v>#N/A</v>
      </c>
      <c r="AB327" s="41" t="e">
        <f t="shared" si="54"/>
        <v>#N/A</v>
      </c>
      <c r="AC327" s="41" t="e">
        <f t="shared" si="55"/>
        <v>#N/A</v>
      </c>
    </row>
    <row r="328" spans="1:30" hidden="1" x14ac:dyDescent="0.25">
      <c r="A328" s="43">
        <v>327</v>
      </c>
      <c r="B328" t="s">
        <v>376</v>
      </c>
      <c r="C328" s="131" t="str">
        <f t="shared" si="51"/>
        <v>LlaveD86466908488100002692</v>
      </c>
      <c r="D328" s="33" t="str">
        <f>VLOOKUP(E328,'NO MODIFICAR'!J:K,2,0)</f>
        <v>D864</v>
      </c>
      <c r="E328" s="26" t="s">
        <v>55</v>
      </c>
      <c r="F328" s="33" t="str">
        <f>VLOOKUP(D328,'NO MODIFICAR'!F:H,3,0)</f>
        <v xml:space="preserve">CENTRO </v>
      </c>
      <c r="G328" s="92">
        <v>66908488</v>
      </c>
      <c r="H328" s="93" t="s">
        <v>317</v>
      </c>
      <c r="I328" s="94">
        <v>10000269</v>
      </c>
      <c r="J328" s="56" t="str">
        <f>VLOOKUP(I328,'Materiales,canteras'!C:D,2,0)</f>
        <v>Grava Triturada Caliza 13 mm -</v>
      </c>
      <c r="K328" s="33">
        <f>VLOOKUP(I328,'Materiales,canteras'!C:E,3,0)</f>
        <v>1.423</v>
      </c>
      <c r="L328" s="105">
        <v>137</v>
      </c>
      <c r="M328" s="28" t="s">
        <v>93</v>
      </c>
      <c r="N328" s="57">
        <f t="shared" ca="1" si="52"/>
        <v>46267</v>
      </c>
      <c r="O328" s="32" t="s">
        <v>201</v>
      </c>
      <c r="S328" s="4">
        <v>250</v>
      </c>
      <c r="T328" s="66">
        <f t="shared" si="56"/>
        <v>-113</v>
      </c>
      <c r="U328" s="46">
        <f t="shared" si="48"/>
        <v>137</v>
      </c>
      <c r="V328" s="27">
        <v>0</v>
      </c>
      <c r="W328" s="131">
        <v>2</v>
      </c>
      <c r="X328" s="67">
        <f t="shared" si="49"/>
        <v>137</v>
      </c>
      <c r="Y328" s="32" t="e">
        <f>IF(+VLOOKUP(I328,P.Referencia!E:S,3,FALSE)&lt;=L328,"Champion","Gerente")</f>
        <v>#N/A</v>
      </c>
      <c r="Z328" s="39" t="e">
        <f>VLOOKUP(I328,P.Referencia!E:S,3,0)</f>
        <v>#N/A</v>
      </c>
      <c r="AA328" s="40" t="e">
        <f t="shared" si="53"/>
        <v>#N/A</v>
      </c>
      <c r="AB328" s="41" t="e">
        <f t="shared" si="54"/>
        <v>#N/A</v>
      </c>
      <c r="AC328" s="41" t="e">
        <f t="shared" si="55"/>
        <v>#N/A</v>
      </c>
    </row>
    <row r="329" spans="1:30" hidden="1" x14ac:dyDescent="0.25">
      <c r="A329" s="43">
        <v>328</v>
      </c>
      <c r="B329" t="s">
        <v>376</v>
      </c>
      <c r="C329" s="131" t="str">
        <f t="shared" si="51"/>
        <v>LlaveD86467333612100002692</v>
      </c>
      <c r="D329" s="33" t="str">
        <f>VLOOKUP(E329,'NO MODIFICAR'!J:K,2,0)</f>
        <v>D864</v>
      </c>
      <c r="E329" s="26" t="s">
        <v>55</v>
      </c>
      <c r="F329" s="33" t="str">
        <f>VLOOKUP(D329,'NO MODIFICAR'!F:H,3,0)</f>
        <v xml:space="preserve">CENTRO </v>
      </c>
      <c r="G329" s="92">
        <v>67333612</v>
      </c>
      <c r="H329" s="93" t="s">
        <v>318</v>
      </c>
      <c r="I329" s="94">
        <v>10000269</v>
      </c>
      <c r="J329" s="56" t="s">
        <v>132</v>
      </c>
      <c r="K329" s="33">
        <f>VLOOKUP(I329,'Materiales,canteras'!C:E,3,0)</f>
        <v>1.423</v>
      </c>
      <c r="L329" s="105">
        <v>137</v>
      </c>
      <c r="M329" s="28" t="s">
        <v>93</v>
      </c>
      <c r="N329" s="57">
        <f t="shared" ca="1" si="52"/>
        <v>46267</v>
      </c>
      <c r="O329" s="32" t="s">
        <v>201</v>
      </c>
      <c r="R329">
        <f>1.5/100</f>
        <v>1.4999999999999999E-2</v>
      </c>
      <c r="S329" s="4">
        <v>250</v>
      </c>
      <c r="T329" s="66">
        <f t="shared" si="56"/>
        <v>-109.25</v>
      </c>
      <c r="U329" s="46">
        <f t="shared" si="48"/>
        <v>137</v>
      </c>
      <c r="V329" s="27">
        <v>0</v>
      </c>
      <c r="W329" s="131">
        <v>2</v>
      </c>
      <c r="X329" s="67">
        <f t="shared" si="49"/>
        <v>137</v>
      </c>
      <c r="Y329" s="32" t="e">
        <f>IF(+VLOOKUP(I329,P.Referencia!E:S,3,FALSE)&lt;=L329,"Champion","Gerente")</f>
        <v>#N/A</v>
      </c>
      <c r="Z329" s="39" t="e">
        <f>VLOOKUP(I329,P.Referencia!E:S,3,0)</f>
        <v>#N/A</v>
      </c>
      <c r="AA329" s="40" t="e">
        <f t="shared" si="53"/>
        <v>#N/A</v>
      </c>
      <c r="AB329" s="41" t="e">
        <f t="shared" si="54"/>
        <v>#N/A</v>
      </c>
      <c r="AC329" s="41" t="e">
        <f t="shared" si="55"/>
        <v>#N/A</v>
      </c>
    </row>
    <row r="330" spans="1:30" hidden="1" x14ac:dyDescent="0.25">
      <c r="A330" s="43">
        <v>329</v>
      </c>
      <c r="B330" t="s">
        <v>376</v>
      </c>
      <c r="C330" s="131" t="str">
        <f t="shared" si="51"/>
        <v>LlaveD86466793827100002692</v>
      </c>
      <c r="D330" s="33" t="str">
        <f>VLOOKUP(E330,'NO MODIFICAR'!J:K,2,0)</f>
        <v>D864</v>
      </c>
      <c r="E330" s="26" t="s">
        <v>55</v>
      </c>
      <c r="F330" s="33" t="str">
        <f>VLOOKUP(D330,'NO MODIFICAR'!F:H,3,0)</f>
        <v xml:space="preserve">CENTRO </v>
      </c>
      <c r="G330" s="92">
        <v>66793827</v>
      </c>
      <c r="H330" s="93" t="s">
        <v>319</v>
      </c>
      <c r="I330" s="94">
        <v>10000269</v>
      </c>
      <c r="J330" s="56" t="s">
        <v>132</v>
      </c>
      <c r="K330" s="33">
        <f>VLOOKUP(I330,'Materiales,canteras'!C:E,3,0)</f>
        <v>1.423</v>
      </c>
      <c r="L330" s="105">
        <v>137</v>
      </c>
      <c r="M330" s="28" t="s">
        <v>93</v>
      </c>
      <c r="N330" s="57">
        <f t="shared" ca="1" si="52"/>
        <v>46267</v>
      </c>
      <c r="O330" s="32" t="s">
        <v>201</v>
      </c>
      <c r="Q330">
        <v>12.5</v>
      </c>
      <c r="R330">
        <v>3.56</v>
      </c>
      <c r="S330" s="4">
        <v>250</v>
      </c>
      <c r="T330" s="66">
        <f>L330-((S330-Q330)-(R330))</f>
        <v>-96.94</v>
      </c>
      <c r="U330" s="46">
        <f t="shared" si="48"/>
        <v>137</v>
      </c>
      <c r="V330" s="27">
        <v>0</v>
      </c>
      <c r="W330" s="131">
        <v>2</v>
      </c>
      <c r="X330" s="67">
        <f t="shared" si="49"/>
        <v>137</v>
      </c>
      <c r="Y330" s="32" t="e">
        <f>IF(+VLOOKUP(I330,P.Referencia!E:S,3,FALSE)&lt;=L330,"Champion","Gerente")</f>
        <v>#N/A</v>
      </c>
      <c r="Z330" s="39" t="e">
        <f>VLOOKUP(I330,P.Referencia!E:S,3,0)</f>
        <v>#N/A</v>
      </c>
      <c r="AA330" s="40" t="e">
        <f t="shared" si="53"/>
        <v>#N/A</v>
      </c>
      <c r="AB330" s="41" t="e">
        <f t="shared" si="54"/>
        <v>#N/A</v>
      </c>
      <c r="AC330" s="41" t="e">
        <f t="shared" si="55"/>
        <v>#N/A</v>
      </c>
    </row>
    <row r="331" spans="1:30" hidden="1" x14ac:dyDescent="0.25">
      <c r="A331" s="43">
        <v>330</v>
      </c>
      <c r="B331" t="s">
        <v>376</v>
      </c>
      <c r="C331" s="131" t="str">
        <f t="shared" si="51"/>
        <v>LlaveD90267341386102191352</v>
      </c>
      <c r="D331" s="33" t="str">
        <f>VLOOKUP(E331,'NO MODIFICAR'!J:K,2,0)</f>
        <v>D902</v>
      </c>
      <c r="E331" s="26" t="s">
        <v>79</v>
      </c>
      <c r="F331" s="33" t="str">
        <f>VLOOKUP(D331,'NO MODIFICAR'!F:H,3,0)</f>
        <v>SURESTE</v>
      </c>
      <c r="G331" s="92">
        <v>67341386</v>
      </c>
      <c r="H331" s="93" t="s">
        <v>321</v>
      </c>
      <c r="I331" s="94">
        <v>10219135</v>
      </c>
      <c r="J331" s="56" t="str">
        <f>VLOOKUP(I331,'Materiales,canteras'!C:D,2,0)</f>
        <v>BALASTO DE 2 ½#</v>
      </c>
      <c r="K331" s="33">
        <f>VLOOKUP(I331,'Materiales,canteras'!C:E,3,0)</f>
        <v>1.494</v>
      </c>
      <c r="L331" s="105">
        <v>883.53413699999999</v>
      </c>
      <c r="M331" s="28" t="s">
        <v>93</v>
      </c>
      <c r="N331" s="57">
        <f t="shared" ca="1" si="52"/>
        <v>46267</v>
      </c>
      <c r="O331" s="32" t="s">
        <v>201</v>
      </c>
      <c r="S331" s="4">
        <v>937</v>
      </c>
      <c r="T331" s="66">
        <f t="shared" ref="T331:T362" si="57">L331-(S331-(S331*R331))</f>
        <v>-53.465863000000013</v>
      </c>
      <c r="U331" s="46">
        <f t="shared" si="48"/>
        <v>883.53413699999999</v>
      </c>
      <c r="V331" s="27">
        <v>0</v>
      </c>
      <c r="W331" s="131">
        <v>2</v>
      </c>
      <c r="X331" s="67">
        <f t="shared" si="49"/>
        <v>883.53413699999999</v>
      </c>
      <c r="Y331" s="32" t="e">
        <f>IF(+VLOOKUP(I331,P.Referencia!E:S,3,FALSE)&lt;=L331,"Champion","Gerente")</f>
        <v>#N/A</v>
      </c>
      <c r="Z331" s="39" t="e">
        <f>VLOOKUP(I331,P.Referencia!E:S,3,0)</f>
        <v>#N/A</v>
      </c>
      <c r="AA331" s="40" t="e">
        <f t="shared" si="53"/>
        <v>#N/A</v>
      </c>
      <c r="AB331" s="41" t="e">
        <f t="shared" si="54"/>
        <v>#N/A</v>
      </c>
      <c r="AC331" s="41" t="e">
        <f t="shared" si="55"/>
        <v>#N/A</v>
      </c>
    </row>
    <row r="332" spans="1:30" hidden="1" x14ac:dyDescent="0.25">
      <c r="A332" s="43">
        <v>331</v>
      </c>
      <c r="B332" t="s">
        <v>376</v>
      </c>
      <c r="C332" s="131" t="str">
        <f t="shared" si="51"/>
        <v>LlaveD90267337788102191352</v>
      </c>
      <c r="D332" s="33" t="str">
        <f>VLOOKUP(E332,'NO MODIFICAR'!J:K,2,0)</f>
        <v>D902</v>
      </c>
      <c r="E332" s="26" t="s">
        <v>79</v>
      </c>
      <c r="F332" s="33" t="str">
        <f>VLOOKUP(D332,'NO MODIFICAR'!F:H,3,0)</f>
        <v>SURESTE</v>
      </c>
      <c r="G332" s="92">
        <v>67337788</v>
      </c>
      <c r="H332" s="93" t="s">
        <v>322</v>
      </c>
      <c r="I332" s="94">
        <v>10219135</v>
      </c>
      <c r="J332" s="56" t="str">
        <f>VLOOKUP(I332,'Materiales,canteras'!C:D,2,0)</f>
        <v>BALASTO DE 2 ½#</v>
      </c>
      <c r="K332" s="33">
        <f>VLOOKUP(I332,'Materiales,canteras'!C:E,3,0)</f>
        <v>1.494</v>
      </c>
      <c r="L332" s="105">
        <v>883.53413699999999</v>
      </c>
      <c r="M332" s="28" t="s">
        <v>93</v>
      </c>
      <c r="N332" s="57">
        <f t="shared" ca="1" si="52"/>
        <v>46267</v>
      </c>
      <c r="O332" s="32" t="s">
        <v>201</v>
      </c>
      <c r="S332" s="4">
        <v>937</v>
      </c>
      <c r="T332" s="66">
        <f t="shared" si="57"/>
        <v>-53.465863000000013</v>
      </c>
      <c r="U332" s="46">
        <f t="shared" si="48"/>
        <v>883.53413699999999</v>
      </c>
      <c r="V332" s="27">
        <v>0</v>
      </c>
      <c r="W332" s="131">
        <v>2</v>
      </c>
      <c r="X332" s="67">
        <f t="shared" si="49"/>
        <v>883.53413699999999</v>
      </c>
      <c r="Y332" s="32" t="e">
        <f>IF(+VLOOKUP(I332,P.Referencia!E:S,3,FALSE)&lt;=L332,"Champion","Gerente")</f>
        <v>#N/A</v>
      </c>
      <c r="Z332" s="39" t="e">
        <f>VLOOKUP(I332,P.Referencia!E:S,3,0)</f>
        <v>#N/A</v>
      </c>
      <c r="AA332" s="40" t="e">
        <f t="shared" si="53"/>
        <v>#N/A</v>
      </c>
      <c r="AB332" s="41" t="e">
        <f t="shared" si="54"/>
        <v>#N/A</v>
      </c>
      <c r="AC332" s="41" t="e">
        <f t="shared" si="55"/>
        <v>#N/A</v>
      </c>
    </row>
    <row r="333" spans="1:30" hidden="1" x14ac:dyDescent="0.25">
      <c r="A333" s="43">
        <v>332</v>
      </c>
      <c r="B333" t="s">
        <v>376</v>
      </c>
      <c r="C333" s="131" t="str">
        <f t="shared" si="51"/>
        <v>LlaveDU0767323242100001032</v>
      </c>
      <c r="D333" s="33" t="str">
        <f>VLOOKUP(E333,'NO MODIFICAR'!J:K,2,0)</f>
        <v>DU07</v>
      </c>
      <c r="E333" s="26" t="s">
        <v>87</v>
      </c>
      <c r="F333" s="33" t="str">
        <f>VLOOKUP(D333,'NO MODIFICAR'!F:H,3,0)</f>
        <v>SURESTE</v>
      </c>
      <c r="G333" s="92">
        <v>67323242</v>
      </c>
      <c r="H333" s="93" t="s">
        <v>324</v>
      </c>
      <c r="I333" s="94">
        <v>10000103</v>
      </c>
      <c r="J333" s="56" t="str">
        <f>VLOOKUP(I333,'Materiales,canteras'!C:D,2,0)</f>
        <v>Base H Triturada Caliza 1 1/2" a Finos</v>
      </c>
      <c r="K333" s="33">
        <f>VLOOKUP(I333,'Materiales,canteras'!C:E,3,0)</f>
        <v>1.462</v>
      </c>
      <c r="L333" s="105">
        <f>145/K333</f>
        <v>99.179206566347474</v>
      </c>
      <c r="M333" s="28" t="s">
        <v>93</v>
      </c>
      <c r="N333" s="57">
        <f t="shared" ca="1" si="52"/>
        <v>46267</v>
      </c>
      <c r="O333" s="32" t="s">
        <v>201</v>
      </c>
      <c r="R333">
        <f>1.5/100</f>
        <v>1.4999999999999999E-2</v>
      </c>
      <c r="S333" s="4">
        <v>150</v>
      </c>
      <c r="T333" s="66">
        <f t="shared" si="57"/>
        <v>-48.570793433652526</v>
      </c>
      <c r="U333" s="46">
        <f t="shared" si="48"/>
        <v>99.179206566347474</v>
      </c>
      <c r="V333" s="27">
        <v>0</v>
      </c>
      <c r="W333" s="131">
        <v>2</v>
      </c>
      <c r="X333" s="67">
        <f t="shared" si="49"/>
        <v>99.179206566347474</v>
      </c>
      <c r="Y333" s="32" t="e">
        <f>IF(+VLOOKUP(I333,P.Referencia!E:S,3,FALSE)&lt;=L333,"Champion","Gerente")</f>
        <v>#N/A</v>
      </c>
      <c r="Z333" s="39" t="e">
        <f>VLOOKUP(I333,P.Referencia!E:S,3,0)</f>
        <v>#N/A</v>
      </c>
      <c r="AA333" s="40" t="e">
        <f t="shared" si="53"/>
        <v>#N/A</v>
      </c>
      <c r="AB333" s="41" t="e">
        <f t="shared" si="54"/>
        <v>#N/A</v>
      </c>
      <c r="AC333" s="41" t="e">
        <f t="shared" si="55"/>
        <v>#N/A</v>
      </c>
    </row>
    <row r="334" spans="1:30" hidden="1" x14ac:dyDescent="0.25">
      <c r="A334" s="43">
        <v>333</v>
      </c>
      <c r="B334" t="s">
        <v>376</v>
      </c>
      <c r="C334" s="131" t="str">
        <f t="shared" si="51"/>
        <v>LlaveDU0767323242102641032</v>
      </c>
      <c r="D334" s="33" t="str">
        <f>VLOOKUP(E334,'NO MODIFICAR'!J:K,2,0)</f>
        <v>DU07</v>
      </c>
      <c r="E334" s="26" t="s">
        <v>87</v>
      </c>
      <c r="F334" s="33" t="str">
        <f>VLOOKUP(D334,'NO MODIFICAR'!F:H,3,0)</f>
        <v>SURESTE</v>
      </c>
      <c r="G334" s="92">
        <v>67323242</v>
      </c>
      <c r="H334" s="93" t="s">
        <v>324</v>
      </c>
      <c r="I334" s="94">
        <v>10264103</v>
      </c>
      <c r="J334" s="56" t="str">
        <f>VLOOKUP(I334,'Materiales,canteras'!C:D,2,0)</f>
        <v>MOV BASE H TRITURADA CALIZA 1 1/2</v>
      </c>
      <c r="K334" s="33">
        <f>VLOOKUP(I334,'Materiales,canteras'!C:E,3,0)</f>
        <v>1.462</v>
      </c>
      <c r="L334" s="105">
        <f>145/K334</f>
        <v>99.179206566347474</v>
      </c>
      <c r="M334" s="28" t="s">
        <v>93</v>
      </c>
      <c r="N334" s="57">
        <f t="shared" ca="1" si="52"/>
        <v>46267</v>
      </c>
      <c r="O334" s="32" t="s">
        <v>201</v>
      </c>
      <c r="R334">
        <f>1.5/100</f>
        <v>1.4999999999999999E-2</v>
      </c>
      <c r="S334" s="4">
        <v>390</v>
      </c>
      <c r="T334" s="66">
        <f t="shared" si="57"/>
        <v>-284.97079343365249</v>
      </c>
      <c r="U334" s="46">
        <f t="shared" si="48"/>
        <v>99.179206566347474</v>
      </c>
      <c r="V334" s="27">
        <v>0</v>
      </c>
      <c r="W334" s="131">
        <v>2</v>
      </c>
      <c r="X334" s="67">
        <f t="shared" si="49"/>
        <v>99.179206566347474</v>
      </c>
      <c r="Y334" s="32" t="e">
        <f>IF(+VLOOKUP(I334,P.Referencia!E:S,3,FALSE)&lt;=L334,"Champion","Gerente")</f>
        <v>#N/A</v>
      </c>
      <c r="Z334" s="39" t="e">
        <f>VLOOKUP(I334,P.Referencia!E:S,3,0)</f>
        <v>#N/A</v>
      </c>
      <c r="AA334" s="40" t="e">
        <f t="shared" si="53"/>
        <v>#N/A</v>
      </c>
      <c r="AB334" s="41" t="e">
        <f t="shared" si="54"/>
        <v>#N/A</v>
      </c>
      <c r="AC334" s="41" t="e">
        <f t="shared" si="55"/>
        <v>#N/A</v>
      </c>
    </row>
    <row r="335" spans="1:30" hidden="1" x14ac:dyDescent="0.25">
      <c r="A335" s="43">
        <v>334</v>
      </c>
      <c r="B335" t="s">
        <v>376</v>
      </c>
      <c r="C335" s="131" t="str">
        <f t="shared" si="51"/>
        <v>LlaveDU0765796059100001032</v>
      </c>
      <c r="D335" s="33" t="str">
        <f>VLOOKUP(E335,'NO MODIFICAR'!J:K,2,0)</f>
        <v>DU07</v>
      </c>
      <c r="E335" s="26" t="s">
        <v>87</v>
      </c>
      <c r="F335" s="33" t="str">
        <f>VLOOKUP(D335,'NO MODIFICAR'!F:H,3,0)</f>
        <v>SURESTE</v>
      </c>
      <c r="G335" s="92">
        <v>65796059</v>
      </c>
      <c r="H335" s="93" t="s">
        <v>325</v>
      </c>
      <c r="I335" s="94">
        <v>10000103</v>
      </c>
      <c r="J335" s="56" t="str">
        <f>VLOOKUP(I335,'Materiales,canteras'!C:D,2,0)</f>
        <v>Base H Triturada Caliza 1 1/2" a Finos</v>
      </c>
      <c r="K335" s="33">
        <f>VLOOKUP(I335,'Materiales,canteras'!C:E,3,0)</f>
        <v>1.462</v>
      </c>
      <c r="L335" s="105">
        <f>145/K335</f>
        <v>99.179206566347474</v>
      </c>
      <c r="M335" s="28" t="s">
        <v>93</v>
      </c>
      <c r="N335" s="57">
        <f t="shared" ca="1" si="52"/>
        <v>46267</v>
      </c>
      <c r="O335" s="32" t="s">
        <v>201</v>
      </c>
      <c r="S335" s="4">
        <v>150</v>
      </c>
      <c r="T335" s="66">
        <f t="shared" si="57"/>
        <v>-50.820793433652526</v>
      </c>
      <c r="U335" s="46">
        <f t="shared" si="48"/>
        <v>99.179206566347474</v>
      </c>
      <c r="V335" s="27">
        <v>0</v>
      </c>
      <c r="W335" s="131">
        <v>2</v>
      </c>
      <c r="X335" s="67">
        <f t="shared" si="49"/>
        <v>99.179206566347474</v>
      </c>
      <c r="Y335" s="32" t="e">
        <f>IF(+VLOOKUP(I335,P.Referencia!E:S,3,FALSE)&lt;=L335,"Champion","Gerente")</f>
        <v>#N/A</v>
      </c>
      <c r="Z335" s="39" t="e">
        <f>VLOOKUP(I335,P.Referencia!E:S,3,0)</f>
        <v>#N/A</v>
      </c>
      <c r="AA335" s="40" t="e">
        <f t="shared" si="53"/>
        <v>#N/A</v>
      </c>
      <c r="AB335" s="41" t="e">
        <f t="shared" si="54"/>
        <v>#N/A</v>
      </c>
      <c r="AC335" s="41" t="e">
        <f t="shared" si="55"/>
        <v>#N/A</v>
      </c>
    </row>
    <row r="336" spans="1:30" hidden="1" x14ac:dyDescent="0.25">
      <c r="A336" s="43">
        <v>335</v>
      </c>
      <c r="B336" t="s">
        <v>376</v>
      </c>
      <c r="C336" s="131" t="str">
        <f t="shared" si="51"/>
        <v>LlaveDU0765796059102641032</v>
      </c>
      <c r="D336" s="33" t="str">
        <f>VLOOKUP(E336,'NO MODIFICAR'!J:K,2,0)</f>
        <v>DU07</v>
      </c>
      <c r="E336" s="26" t="s">
        <v>87</v>
      </c>
      <c r="F336" s="33" t="str">
        <f>VLOOKUP(D336,'NO MODIFICAR'!F:H,3,0)</f>
        <v>SURESTE</v>
      </c>
      <c r="G336" s="92">
        <v>65796059</v>
      </c>
      <c r="H336" s="93" t="s">
        <v>325</v>
      </c>
      <c r="I336" s="94">
        <v>10264103</v>
      </c>
      <c r="J336" s="56" t="str">
        <f>VLOOKUP(I336,'Materiales,canteras'!C:D,2,0)</f>
        <v>MOV BASE H TRITURADA CALIZA 1 1/2</v>
      </c>
      <c r="K336" s="33">
        <f>VLOOKUP(I336,'Materiales,canteras'!C:E,3,0)</f>
        <v>1.462</v>
      </c>
      <c r="L336" s="105">
        <f>145/K336</f>
        <v>99.179206566347474</v>
      </c>
      <c r="M336" s="28" t="s">
        <v>93</v>
      </c>
      <c r="N336" s="57">
        <f t="shared" ca="1" si="52"/>
        <v>46267</v>
      </c>
      <c r="O336" s="32" t="s">
        <v>201</v>
      </c>
      <c r="S336" s="4">
        <v>390</v>
      </c>
      <c r="T336" s="66">
        <f t="shared" si="57"/>
        <v>-290.82079343365251</v>
      </c>
      <c r="U336" s="46">
        <f t="shared" si="48"/>
        <v>99.179206566347474</v>
      </c>
      <c r="V336" s="27">
        <v>0</v>
      </c>
      <c r="W336" s="131">
        <v>2</v>
      </c>
      <c r="X336" s="67">
        <f t="shared" si="49"/>
        <v>99.179206566347474</v>
      </c>
      <c r="Y336" s="32" t="e">
        <f>IF(+VLOOKUP(I336,P.Referencia!E:S,3,FALSE)&lt;=L336,"Champion","Gerente")</f>
        <v>#N/A</v>
      </c>
      <c r="Z336" s="39" t="e">
        <f>VLOOKUP(I336,P.Referencia!E:S,3,0)</f>
        <v>#N/A</v>
      </c>
      <c r="AA336" s="40" t="e">
        <f t="shared" si="53"/>
        <v>#N/A</v>
      </c>
      <c r="AB336" s="41" t="e">
        <f t="shared" si="54"/>
        <v>#N/A</v>
      </c>
      <c r="AC336" s="41" t="e">
        <f t="shared" si="55"/>
        <v>#N/A</v>
      </c>
    </row>
    <row r="337" spans="1:30" hidden="1" x14ac:dyDescent="0.25">
      <c r="A337" s="43">
        <v>336</v>
      </c>
      <c r="B337" t="s">
        <v>376</v>
      </c>
      <c r="C337" s="131" t="str">
        <f t="shared" si="51"/>
        <v>LlaveD86467344303100002402</v>
      </c>
      <c r="D337" s="33" t="str">
        <f>VLOOKUP(E337,'NO MODIFICAR'!J:K,2,0)</f>
        <v>D864</v>
      </c>
      <c r="E337" s="26" t="s">
        <v>55</v>
      </c>
      <c r="F337" s="33" t="str">
        <f>VLOOKUP(D337,'NO MODIFICAR'!F:H,3,0)</f>
        <v xml:space="preserve">CENTRO </v>
      </c>
      <c r="G337" s="92">
        <v>67344303</v>
      </c>
      <c r="H337" s="93" t="s">
        <v>326</v>
      </c>
      <c r="I337" s="94">
        <v>10000240</v>
      </c>
      <c r="J337" s="56" t="str">
        <f>VLOOKUP(I337,'Materiales,canteras'!C:D,2,0)</f>
        <v>Grava Triturada Caliza 20 mm -</v>
      </c>
      <c r="K337" s="33">
        <f>VLOOKUP(I337,'Materiales,canteras'!C:E,3,0)</f>
        <v>1.462</v>
      </c>
      <c r="L337" s="105">
        <v>127</v>
      </c>
      <c r="M337" s="28" t="s">
        <v>93</v>
      </c>
      <c r="N337" s="57">
        <f t="shared" ca="1" si="52"/>
        <v>46267</v>
      </c>
      <c r="O337" s="32" t="s">
        <v>201</v>
      </c>
      <c r="R337">
        <f t="shared" ref="R337:R344" si="58">1.5/100</f>
        <v>1.4999999999999999E-2</v>
      </c>
      <c r="S337" s="4">
        <v>280</v>
      </c>
      <c r="T337" s="66">
        <f t="shared" si="57"/>
        <v>-148.80000000000001</v>
      </c>
      <c r="U337" s="46">
        <f t="shared" si="48"/>
        <v>127</v>
      </c>
      <c r="V337" s="27">
        <v>0</v>
      </c>
      <c r="W337" s="131">
        <v>2</v>
      </c>
      <c r="X337" s="67">
        <f t="shared" si="49"/>
        <v>127</v>
      </c>
      <c r="Y337" s="32" t="e">
        <f>IF(+VLOOKUP(I337,P.Referencia!E:S,3,FALSE)&lt;=L337,"Champion","Gerente")</f>
        <v>#N/A</v>
      </c>
      <c r="Z337" s="39" t="e">
        <f>VLOOKUP(I337,P.Referencia!E:S,3,0)</f>
        <v>#N/A</v>
      </c>
      <c r="AA337" s="40" t="e">
        <f t="shared" si="53"/>
        <v>#N/A</v>
      </c>
      <c r="AB337" s="41" t="e">
        <f t="shared" si="54"/>
        <v>#N/A</v>
      </c>
      <c r="AC337" s="41" t="e">
        <f t="shared" si="55"/>
        <v>#N/A</v>
      </c>
    </row>
    <row r="338" spans="1:30" hidden="1" x14ac:dyDescent="0.25">
      <c r="A338" s="43">
        <v>337</v>
      </c>
      <c r="B338" t="s">
        <v>376</v>
      </c>
      <c r="C338" s="131" t="str">
        <f t="shared" si="51"/>
        <v>LlaveD86467344303100010742</v>
      </c>
      <c r="D338" s="33" t="str">
        <f>VLOOKUP(E338,'NO MODIFICAR'!J:K,2,0)</f>
        <v>D864</v>
      </c>
      <c r="E338" s="26" t="s">
        <v>55</v>
      </c>
      <c r="F338" s="33" t="str">
        <f>VLOOKUP(D338,'NO MODIFICAR'!F:H,3,0)</f>
        <v xml:space="preserve">CENTRO </v>
      </c>
      <c r="G338" s="92">
        <v>67344303</v>
      </c>
      <c r="H338" s="93" t="s">
        <v>326</v>
      </c>
      <c r="I338" s="94">
        <v>10001074</v>
      </c>
      <c r="J338" s="56" t="str">
        <f>VLOOKUP(I338,'Materiales,canteras'!C:D,2,0)</f>
        <v>Grava Triturada Caliza 40 mm -</v>
      </c>
      <c r="K338" s="33">
        <f>VLOOKUP(I338,'Materiales,canteras'!C:E,3,0)</f>
        <v>1.4</v>
      </c>
      <c r="L338" s="105">
        <v>135</v>
      </c>
      <c r="M338" s="28" t="s">
        <v>93</v>
      </c>
      <c r="N338" s="57">
        <f t="shared" ca="1" si="52"/>
        <v>46267</v>
      </c>
      <c r="O338" s="32" t="s">
        <v>201</v>
      </c>
      <c r="R338">
        <f t="shared" si="58"/>
        <v>1.4999999999999999E-2</v>
      </c>
      <c r="S338" s="4">
        <v>220</v>
      </c>
      <c r="T338" s="66">
        <f t="shared" si="57"/>
        <v>-81.699999999999989</v>
      </c>
      <c r="U338" s="46">
        <f t="shared" si="48"/>
        <v>135</v>
      </c>
      <c r="V338" s="27">
        <v>0</v>
      </c>
      <c r="W338" s="131">
        <v>2</v>
      </c>
      <c r="X338" s="67">
        <f t="shared" si="49"/>
        <v>135</v>
      </c>
      <c r="Y338" s="32" t="e">
        <f>IF(+VLOOKUP(I338,P.Referencia!E:S,3,FALSE)&lt;=L338,"Champion","Gerente")</f>
        <v>#N/A</v>
      </c>
      <c r="Z338" s="39" t="e">
        <f>VLOOKUP(I338,P.Referencia!E:S,3,0)</f>
        <v>#N/A</v>
      </c>
      <c r="AA338" s="40" t="e">
        <f t="shared" si="53"/>
        <v>#N/A</v>
      </c>
      <c r="AB338" s="41" t="e">
        <f t="shared" si="54"/>
        <v>#N/A</v>
      </c>
      <c r="AC338" s="41" t="e">
        <f t="shared" si="55"/>
        <v>#N/A</v>
      </c>
    </row>
    <row r="339" spans="1:30" hidden="1" x14ac:dyDescent="0.25">
      <c r="A339" s="43">
        <v>338</v>
      </c>
      <c r="B339" t="s">
        <v>376</v>
      </c>
      <c r="C339" s="131" t="str">
        <f t="shared" si="51"/>
        <v>LlaveD86467344303100002362</v>
      </c>
      <c r="D339" s="33" t="str">
        <f>VLOOKUP(E339,'NO MODIFICAR'!J:K,2,0)</f>
        <v>D864</v>
      </c>
      <c r="E339" s="26" t="s">
        <v>55</v>
      </c>
      <c r="F339" s="33" t="str">
        <f>VLOOKUP(D339,'NO MODIFICAR'!F:H,3,0)</f>
        <v xml:space="preserve">CENTRO </v>
      </c>
      <c r="G339" s="92">
        <v>67344303</v>
      </c>
      <c r="H339" s="93" t="s">
        <v>326</v>
      </c>
      <c r="I339" s="94">
        <v>10000236</v>
      </c>
      <c r="J339" s="56" t="str">
        <f>VLOOKUP(I339,'Materiales,canteras'!C:D,2,0)</f>
        <v>Grava Triturada Caliza 10 mm -</v>
      </c>
      <c r="K339" s="33">
        <f>VLOOKUP(I339,'Materiales,canteras'!C:E,3,0)</f>
        <v>1.41</v>
      </c>
      <c r="L339" s="105">
        <v>120</v>
      </c>
      <c r="M339" s="28" t="s">
        <v>93</v>
      </c>
      <c r="N339" s="57">
        <f t="shared" ca="1" si="52"/>
        <v>46267</v>
      </c>
      <c r="O339" s="32" t="s">
        <v>201</v>
      </c>
      <c r="R339">
        <f t="shared" si="58"/>
        <v>1.4999999999999999E-2</v>
      </c>
      <c r="S339" s="4">
        <v>240</v>
      </c>
      <c r="T339" s="66">
        <f t="shared" si="57"/>
        <v>-116.4</v>
      </c>
      <c r="U339" s="46">
        <f t="shared" si="48"/>
        <v>120</v>
      </c>
      <c r="V339" s="27">
        <v>0</v>
      </c>
      <c r="W339" s="131">
        <v>2</v>
      </c>
      <c r="X339" s="67">
        <f t="shared" si="49"/>
        <v>120</v>
      </c>
      <c r="Y339" s="32" t="e">
        <f>IF(+VLOOKUP(I339,P.Referencia!E:S,3,FALSE)&lt;=L339,"Champion","Gerente")</f>
        <v>#N/A</v>
      </c>
      <c r="Z339" s="39" t="e">
        <f>VLOOKUP(I339,P.Referencia!E:S,3,0)</f>
        <v>#N/A</v>
      </c>
      <c r="AA339" s="40" t="e">
        <f t="shared" si="53"/>
        <v>#N/A</v>
      </c>
      <c r="AB339" s="41" t="e">
        <f t="shared" si="54"/>
        <v>#N/A</v>
      </c>
      <c r="AC339" s="41" t="e">
        <f t="shared" si="55"/>
        <v>#N/A</v>
      </c>
    </row>
    <row r="340" spans="1:30" hidden="1" x14ac:dyDescent="0.25">
      <c r="A340" s="43">
        <v>339</v>
      </c>
      <c r="B340" t="s">
        <v>376</v>
      </c>
      <c r="C340" s="131" t="str">
        <f t="shared" si="51"/>
        <v>LlaveD86467344303100010732</v>
      </c>
      <c r="D340" s="33" t="str">
        <f>VLOOKUP(E340,'NO MODIFICAR'!J:K,2,0)</f>
        <v>D864</v>
      </c>
      <c r="E340" s="26" t="s">
        <v>55</v>
      </c>
      <c r="F340" s="33" t="str">
        <f>VLOOKUP(D340,'NO MODIFICAR'!F:H,3,0)</f>
        <v xml:space="preserve">CENTRO </v>
      </c>
      <c r="G340" s="92">
        <v>67344303</v>
      </c>
      <c r="H340" s="93" t="s">
        <v>326</v>
      </c>
      <c r="I340" s="94">
        <v>10001073</v>
      </c>
      <c r="J340" s="56" t="str">
        <f>VLOOKUP(I340,'Materiales,canteras'!C:D,2,0)</f>
        <v>Arena Triturada Caliza Malla 4</v>
      </c>
      <c r="K340" s="33">
        <f>VLOOKUP(I340,'Materiales,canteras'!C:E,3,0)</f>
        <v>1.56</v>
      </c>
      <c r="L340" s="105">
        <v>89</v>
      </c>
      <c r="M340" s="28" t="s">
        <v>93</v>
      </c>
      <c r="N340" s="57">
        <f t="shared" ca="1" si="52"/>
        <v>46267</v>
      </c>
      <c r="O340" s="32" t="s">
        <v>201</v>
      </c>
      <c r="R340">
        <f t="shared" si="58"/>
        <v>1.4999999999999999E-2</v>
      </c>
      <c r="S340" s="4">
        <v>150</v>
      </c>
      <c r="T340" s="66">
        <f t="shared" si="57"/>
        <v>-58.75</v>
      </c>
      <c r="U340" s="46">
        <f t="shared" si="48"/>
        <v>89</v>
      </c>
      <c r="V340" s="27">
        <v>0</v>
      </c>
      <c r="W340" s="131">
        <v>2</v>
      </c>
      <c r="X340" s="67">
        <f t="shared" si="49"/>
        <v>89</v>
      </c>
      <c r="Y340" s="32" t="e">
        <f>IF(+VLOOKUP(I340,P.Referencia!E:S,3,FALSE)&lt;=L340,"Champion","Gerente")</f>
        <v>#N/A</v>
      </c>
      <c r="Z340" s="39" t="e">
        <f>VLOOKUP(I340,P.Referencia!E:S,3,0)</f>
        <v>#N/A</v>
      </c>
      <c r="AA340" s="40" t="e">
        <f t="shared" si="53"/>
        <v>#N/A</v>
      </c>
      <c r="AB340" s="41" t="e">
        <f t="shared" si="54"/>
        <v>#N/A</v>
      </c>
      <c r="AC340" s="41" t="e">
        <f t="shared" si="55"/>
        <v>#N/A</v>
      </c>
    </row>
    <row r="341" spans="1:30" hidden="1" x14ac:dyDescent="0.25">
      <c r="A341" s="43">
        <v>340</v>
      </c>
      <c r="B341" t="s">
        <v>376</v>
      </c>
      <c r="C341" s="131" t="str">
        <f t="shared" si="51"/>
        <v>LlaveD86467344303100002692</v>
      </c>
      <c r="D341" s="33" t="str">
        <f>VLOOKUP(E341,'NO MODIFICAR'!J:K,2,0)</f>
        <v>D864</v>
      </c>
      <c r="E341" s="26" t="s">
        <v>55</v>
      </c>
      <c r="F341" s="33" t="str">
        <f>VLOOKUP(D341,'NO MODIFICAR'!F:H,3,0)</f>
        <v xml:space="preserve">CENTRO </v>
      </c>
      <c r="G341" s="92">
        <v>67344303</v>
      </c>
      <c r="H341" s="93" t="s">
        <v>326</v>
      </c>
      <c r="I341" s="94">
        <v>10000269</v>
      </c>
      <c r="J341" s="56" t="str">
        <f>VLOOKUP(I341,'Materiales,canteras'!C:D,2,0)</f>
        <v>Grava Triturada Caliza 13 mm -</v>
      </c>
      <c r="K341" s="33">
        <f>VLOOKUP(I341,'Materiales,canteras'!C:E,3,0)</f>
        <v>1.423</v>
      </c>
      <c r="L341" s="105">
        <v>145</v>
      </c>
      <c r="M341" s="28" t="s">
        <v>93</v>
      </c>
      <c r="N341" s="57">
        <f t="shared" ca="1" si="52"/>
        <v>46267</v>
      </c>
      <c r="O341" s="32" t="s">
        <v>201</v>
      </c>
      <c r="R341">
        <f t="shared" si="58"/>
        <v>1.4999999999999999E-2</v>
      </c>
      <c r="S341" s="4">
        <v>250</v>
      </c>
      <c r="T341" s="66">
        <f t="shared" si="57"/>
        <v>-101.25</v>
      </c>
      <c r="U341" s="46">
        <f t="shared" si="48"/>
        <v>145</v>
      </c>
      <c r="V341" s="27">
        <v>0</v>
      </c>
      <c r="W341" s="131">
        <v>2</v>
      </c>
      <c r="X341" s="67">
        <f t="shared" si="49"/>
        <v>145</v>
      </c>
      <c r="Y341" s="32" t="e">
        <f>IF(+VLOOKUP(I341,P.Referencia!E:S,3,FALSE)&lt;=L341,"Champion","Gerente")</f>
        <v>#N/A</v>
      </c>
      <c r="Z341" s="39" t="e">
        <f>VLOOKUP(I341,P.Referencia!E:S,3,0)</f>
        <v>#N/A</v>
      </c>
      <c r="AA341" s="40" t="e">
        <f t="shared" si="53"/>
        <v>#N/A</v>
      </c>
      <c r="AB341" s="41" t="e">
        <f t="shared" si="54"/>
        <v>#N/A</v>
      </c>
      <c r="AC341" s="41" t="e">
        <f t="shared" si="55"/>
        <v>#N/A</v>
      </c>
    </row>
    <row r="342" spans="1:30" hidden="1" x14ac:dyDescent="0.25">
      <c r="A342" s="43">
        <v>341</v>
      </c>
      <c r="B342" t="s">
        <v>376</v>
      </c>
      <c r="C342" s="131" t="str">
        <f t="shared" si="51"/>
        <v>LlaveD81367344303100023502</v>
      </c>
      <c r="D342" s="33" t="str">
        <f>VLOOKUP(E342,'NO MODIFICAR'!J:K,2,0)</f>
        <v>D813</v>
      </c>
      <c r="E342" s="26" t="s">
        <v>6</v>
      </c>
      <c r="F342" s="33" t="str">
        <f>VLOOKUP(D342,'NO MODIFICAR'!F:H,3,0)</f>
        <v xml:space="preserve">CENTRO </v>
      </c>
      <c r="G342" s="92">
        <v>67344303</v>
      </c>
      <c r="H342" s="93" t="s">
        <v>326</v>
      </c>
      <c r="I342" s="94">
        <v>10002350</v>
      </c>
      <c r="J342" s="56" t="str">
        <f>VLOOKUP(I342,'Materiales,canteras'!C:D,2,0)</f>
        <v>Grava Triturada Andesita 10mm-</v>
      </c>
      <c r="K342" s="33">
        <f>VLOOKUP(I342,'Materiales,canteras'!C:E,3,0)</f>
        <v>1.246</v>
      </c>
      <c r="L342" s="105">
        <v>134.6</v>
      </c>
      <c r="M342" s="28" t="s">
        <v>93</v>
      </c>
      <c r="N342" s="57">
        <f t="shared" ca="1" si="52"/>
        <v>46267</v>
      </c>
      <c r="O342" s="32" t="s">
        <v>201</v>
      </c>
      <c r="R342">
        <f t="shared" si="58"/>
        <v>1.4999999999999999E-2</v>
      </c>
      <c r="S342" s="4">
        <v>150</v>
      </c>
      <c r="T342" s="66">
        <f t="shared" si="57"/>
        <v>-13.150000000000006</v>
      </c>
      <c r="U342" s="46">
        <f t="shared" si="48"/>
        <v>134.6</v>
      </c>
      <c r="V342" s="27">
        <v>0</v>
      </c>
      <c r="W342" s="131">
        <v>2</v>
      </c>
      <c r="X342" s="67">
        <f t="shared" si="49"/>
        <v>134.6</v>
      </c>
      <c r="Y342" s="32" t="e">
        <f>IF(+VLOOKUP(I342,P.Referencia!E:S,3,FALSE)&lt;=L342,"Champion","Gerente")</f>
        <v>#N/A</v>
      </c>
      <c r="Z342" s="39" t="e">
        <f>VLOOKUP(I342,P.Referencia!E:S,3,0)</f>
        <v>#N/A</v>
      </c>
      <c r="AA342" s="40" t="e">
        <f t="shared" si="53"/>
        <v>#N/A</v>
      </c>
      <c r="AB342" s="41" t="e">
        <f t="shared" si="54"/>
        <v>#N/A</v>
      </c>
      <c r="AC342" s="41" t="e">
        <f t="shared" si="55"/>
        <v>#N/A</v>
      </c>
      <c r="AD342" t="s">
        <v>329</v>
      </c>
    </row>
    <row r="343" spans="1:30" hidden="1" x14ac:dyDescent="0.25">
      <c r="A343" s="43">
        <v>342</v>
      </c>
      <c r="B343" t="s">
        <v>376</v>
      </c>
      <c r="C343" s="131" t="str">
        <f t="shared" si="51"/>
        <v>LlaveD81367344303100002532</v>
      </c>
      <c r="D343" s="33" t="str">
        <f>VLOOKUP(E343,'NO MODIFICAR'!J:K,2,0)</f>
        <v>D813</v>
      </c>
      <c r="E343" s="26" t="s">
        <v>6</v>
      </c>
      <c r="F343" s="33" t="str">
        <f>VLOOKUP(D343,'NO MODIFICAR'!F:H,3,0)</f>
        <v xml:space="preserve">CENTRO </v>
      </c>
      <c r="G343" s="92">
        <v>67344303</v>
      </c>
      <c r="H343" s="93" t="s">
        <v>326</v>
      </c>
      <c r="I343" s="94">
        <v>10000253</v>
      </c>
      <c r="J343" s="56" t="str">
        <f>VLOOKUP(I343,'Materiales,canteras'!C:D,2,0)</f>
        <v>Grava Triturada Andesita 20 mm</v>
      </c>
      <c r="K343" s="33">
        <f>VLOOKUP(I343,'Materiales,canteras'!C:E,3,0)</f>
        <v>1.385</v>
      </c>
      <c r="L343" s="105">
        <v>103.9</v>
      </c>
      <c r="M343" s="28" t="s">
        <v>93</v>
      </c>
      <c r="N343" s="57">
        <f t="shared" ca="1" si="52"/>
        <v>46267</v>
      </c>
      <c r="O343" s="32" t="s">
        <v>201</v>
      </c>
      <c r="R343">
        <f t="shared" si="58"/>
        <v>1.4999999999999999E-2</v>
      </c>
      <c r="S343" s="4">
        <v>150</v>
      </c>
      <c r="T343" s="66">
        <f t="shared" si="57"/>
        <v>-43.849999999999994</v>
      </c>
      <c r="U343" s="46">
        <f t="shared" si="48"/>
        <v>103.9</v>
      </c>
      <c r="V343" s="27">
        <v>0</v>
      </c>
      <c r="W343" s="131">
        <v>2</v>
      </c>
      <c r="X343" s="67">
        <f t="shared" si="49"/>
        <v>103.9</v>
      </c>
      <c r="Y343" s="32" t="e">
        <f>IF(+VLOOKUP(I343,P.Referencia!E:S,3,FALSE)&lt;=L343,"Champion","Gerente")</f>
        <v>#N/A</v>
      </c>
      <c r="Z343" s="39" t="e">
        <f>VLOOKUP(I343,P.Referencia!E:S,3,0)</f>
        <v>#N/A</v>
      </c>
      <c r="AA343" s="40" t="e">
        <f t="shared" si="53"/>
        <v>#N/A</v>
      </c>
      <c r="AB343" s="41" t="e">
        <f t="shared" si="54"/>
        <v>#N/A</v>
      </c>
      <c r="AC343" s="41" t="e">
        <f t="shared" si="55"/>
        <v>#N/A</v>
      </c>
    </row>
    <row r="344" spans="1:30" hidden="1" x14ac:dyDescent="0.25">
      <c r="A344" s="43">
        <v>343</v>
      </c>
      <c r="B344" t="s">
        <v>376</v>
      </c>
      <c r="C344" s="131" t="str">
        <f t="shared" si="51"/>
        <v>LlaveD81367344303100002552</v>
      </c>
      <c r="D344" s="33" t="str">
        <f>VLOOKUP(E344,'NO MODIFICAR'!J:K,2,0)</f>
        <v>D813</v>
      </c>
      <c r="E344" s="26" t="s">
        <v>6</v>
      </c>
      <c r="F344" s="33" t="str">
        <f>VLOOKUP(D344,'NO MODIFICAR'!F:H,3,0)</f>
        <v xml:space="preserve">CENTRO </v>
      </c>
      <c r="G344" s="92">
        <v>67344303</v>
      </c>
      <c r="H344" s="93" t="s">
        <v>326</v>
      </c>
      <c r="I344" s="94">
        <v>10000255</v>
      </c>
      <c r="J344" s="56" t="str">
        <f>VLOOKUP(I344,'Materiales,canteras'!C:D,2,0)</f>
        <v>Arena Triturada Andesita Malla</v>
      </c>
      <c r="K344" s="33">
        <f>VLOOKUP(I344,'Materiales,canteras'!C:E,3,0)</f>
        <v>1.5349999999999999</v>
      </c>
      <c r="L344" s="105">
        <v>104.1</v>
      </c>
      <c r="M344" s="28" t="s">
        <v>93</v>
      </c>
      <c r="N344" s="57">
        <f t="shared" ca="1" si="52"/>
        <v>46267</v>
      </c>
      <c r="O344" s="32" t="s">
        <v>201</v>
      </c>
      <c r="R344">
        <f t="shared" si="58"/>
        <v>1.4999999999999999E-2</v>
      </c>
      <c r="S344" s="4">
        <v>150</v>
      </c>
      <c r="T344" s="66">
        <f t="shared" si="57"/>
        <v>-43.650000000000006</v>
      </c>
      <c r="U344" s="46">
        <f t="shared" si="48"/>
        <v>104.1</v>
      </c>
      <c r="V344" s="27">
        <v>0</v>
      </c>
      <c r="W344" s="131">
        <v>2</v>
      </c>
      <c r="X344" s="67">
        <f t="shared" si="49"/>
        <v>104.1</v>
      </c>
      <c r="Y344" s="32" t="e">
        <f>IF(+VLOOKUP(I344,P.Referencia!E:S,3,FALSE)&lt;=L344,"Champion","Gerente")</f>
        <v>#N/A</v>
      </c>
      <c r="Z344" s="39" t="e">
        <f>VLOOKUP(I344,P.Referencia!E:S,3,0)</f>
        <v>#N/A</v>
      </c>
      <c r="AA344" s="40" t="e">
        <f t="shared" si="53"/>
        <v>#N/A</v>
      </c>
      <c r="AB344" s="41" t="e">
        <f t="shared" si="54"/>
        <v>#N/A</v>
      </c>
      <c r="AC344" s="41" t="e">
        <f t="shared" si="55"/>
        <v>#N/A</v>
      </c>
    </row>
    <row r="345" spans="1:30" hidden="1" x14ac:dyDescent="0.25">
      <c r="A345" s="43">
        <v>344</v>
      </c>
      <c r="B345" t="s">
        <v>376</v>
      </c>
      <c r="C345" s="131" t="str">
        <f t="shared" si="51"/>
        <v>LlaveD86467244663100002361</v>
      </c>
      <c r="D345" s="33" t="str">
        <f>VLOOKUP(E345,'NO MODIFICAR'!J:K,2,0)</f>
        <v>D864</v>
      </c>
      <c r="E345" s="26" t="s">
        <v>55</v>
      </c>
      <c r="F345" s="33" t="str">
        <f>VLOOKUP(D345,'NO MODIFICAR'!F:H,3,0)</f>
        <v xml:space="preserve">CENTRO </v>
      </c>
      <c r="G345" s="92">
        <v>67244663</v>
      </c>
      <c r="H345" s="93" t="s">
        <v>327</v>
      </c>
      <c r="I345" s="94">
        <v>10000236</v>
      </c>
      <c r="J345" s="56" t="str">
        <f>VLOOKUP(I345,'Materiales,canteras'!C:D,2,0)</f>
        <v>Grava Triturada Caliza 10 mm -</v>
      </c>
      <c r="K345" s="33">
        <f>VLOOKUP(I345,'Materiales,canteras'!C:E,3,0)</f>
        <v>1.41</v>
      </c>
      <c r="L345" s="105">
        <v>120</v>
      </c>
      <c r="M345" s="28" t="s">
        <v>93</v>
      </c>
      <c r="N345" s="57">
        <f t="shared" ca="1" si="52"/>
        <v>46267</v>
      </c>
      <c r="O345" s="32" t="s">
        <v>201</v>
      </c>
      <c r="T345" s="66">
        <f t="shared" si="57"/>
        <v>120</v>
      </c>
      <c r="U345" s="46">
        <f t="shared" si="48"/>
        <v>120</v>
      </c>
      <c r="V345" s="27">
        <v>205</v>
      </c>
      <c r="W345" s="131">
        <v>1</v>
      </c>
      <c r="X345" s="67">
        <f t="shared" si="49"/>
        <v>325</v>
      </c>
      <c r="Y345" s="32" t="e">
        <f>IF(+VLOOKUP(I345,P.Referencia!E:S,3,FALSE)&lt;=L345,"Champion","Gerente")</f>
        <v>#N/A</v>
      </c>
      <c r="Z345" s="39" t="e">
        <f>VLOOKUP(I345,P.Referencia!E:S,3,0)</f>
        <v>#N/A</v>
      </c>
      <c r="AA345" s="40" t="e">
        <f t="shared" si="53"/>
        <v>#N/A</v>
      </c>
      <c r="AB345" s="41" t="e">
        <f t="shared" si="54"/>
        <v>#N/A</v>
      </c>
      <c r="AC345" s="41" t="e">
        <f t="shared" si="55"/>
        <v>#N/A</v>
      </c>
      <c r="AD345" t="s">
        <v>330</v>
      </c>
    </row>
    <row r="346" spans="1:30" hidden="1" x14ac:dyDescent="0.25">
      <c r="A346" s="43">
        <v>345</v>
      </c>
      <c r="B346" t="s">
        <v>376</v>
      </c>
      <c r="C346" s="131" t="str">
        <f t="shared" si="51"/>
        <v>LlaveD86467244663100002401</v>
      </c>
      <c r="D346" s="33" t="str">
        <f>VLOOKUP(E346,'NO MODIFICAR'!J:K,2,0)</f>
        <v>D864</v>
      </c>
      <c r="E346" s="26" t="s">
        <v>55</v>
      </c>
      <c r="F346" s="33" t="str">
        <f>VLOOKUP(D346,'NO MODIFICAR'!F:H,3,0)</f>
        <v xml:space="preserve">CENTRO </v>
      </c>
      <c r="G346" s="92">
        <v>67244663</v>
      </c>
      <c r="H346" s="93" t="s">
        <v>327</v>
      </c>
      <c r="I346" s="94">
        <v>10000240</v>
      </c>
      <c r="J346" s="56" t="str">
        <f>VLOOKUP(I346,'Materiales,canteras'!C:D,2,0)</f>
        <v>Grava Triturada Caliza 20 mm -</v>
      </c>
      <c r="K346" s="33">
        <f>VLOOKUP(I346,'Materiales,canteras'!C:E,3,0)</f>
        <v>1.462</v>
      </c>
      <c r="L346" s="105">
        <v>127</v>
      </c>
      <c r="M346" s="28" t="s">
        <v>93</v>
      </c>
      <c r="N346" s="57">
        <f t="shared" ca="1" si="52"/>
        <v>46267</v>
      </c>
      <c r="O346" s="32" t="s">
        <v>201</v>
      </c>
      <c r="T346" s="66">
        <f t="shared" si="57"/>
        <v>127</v>
      </c>
      <c r="U346" s="46">
        <f t="shared" si="48"/>
        <v>127</v>
      </c>
      <c r="V346" s="27">
        <v>198</v>
      </c>
      <c r="W346" s="131">
        <v>1</v>
      </c>
      <c r="X346" s="67">
        <f t="shared" si="49"/>
        <v>325</v>
      </c>
      <c r="Y346" s="32" t="e">
        <f>IF(+VLOOKUP(I346,P.Referencia!E:S,3,FALSE)&lt;=L346,"Champion","Gerente")</f>
        <v>#N/A</v>
      </c>
      <c r="Z346" s="39" t="e">
        <f>VLOOKUP(I346,P.Referencia!E:S,3,0)</f>
        <v>#N/A</v>
      </c>
      <c r="AA346" s="40" t="e">
        <f t="shared" si="53"/>
        <v>#N/A</v>
      </c>
      <c r="AB346" s="41" t="e">
        <f t="shared" si="54"/>
        <v>#N/A</v>
      </c>
      <c r="AC346" s="41" t="e">
        <f t="shared" si="55"/>
        <v>#N/A</v>
      </c>
      <c r="AD346" t="s">
        <v>330</v>
      </c>
    </row>
    <row r="347" spans="1:30" hidden="1" x14ac:dyDescent="0.25">
      <c r="A347" s="43">
        <v>346</v>
      </c>
      <c r="B347" t="s">
        <v>376</v>
      </c>
      <c r="C347" s="131" t="str">
        <f t="shared" si="51"/>
        <v>LlaveD86467244663100002691</v>
      </c>
      <c r="D347" s="33" t="str">
        <f>VLOOKUP(E347,'NO MODIFICAR'!J:K,2,0)</f>
        <v>D864</v>
      </c>
      <c r="E347" s="26" t="s">
        <v>55</v>
      </c>
      <c r="F347" s="33" t="str">
        <f>VLOOKUP(D347,'NO MODIFICAR'!F:H,3,0)</f>
        <v xml:space="preserve">CENTRO </v>
      </c>
      <c r="G347" s="92">
        <v>67244663</v>
      </c>
      <c r="H347" s="93" t="s">
        <v>327</v>
      </c>
      <c r="I347" s="94">
        <v>10000269</v>
      </c>
      <c r="J347" s="56" t="str">
        <f>VLOOKUP(I347,'Materiales,canteras'!C:D,2,0)</f>
        <v>Grava Triturada Caliza 13 mm -</v>
      </c>
      <c r="K347" s="33">
        <f>VLOOKUP(I347,'Materiales,canteras'!C:E,3,0)</f>
        <v>1.423</v>
      </c>
      <c r="L347" s="105">
        <v>145</v>
      </c>
      <c r="M347" s="28" t="s">
        <v>93</v>
      </c>
      <c r="N347" s="57">
        <f t="shared" ca="1" si="52"/>
        <v>46267</v>
      </c>
      <c r="O347" s="32" t="s">
        <v>201</v>
      </c>
      <c r="T347" s="66">
        <f t="shared" si="57"/>
        <v>145</v>
      </c>
      <c r="U347" s="46">
        <f t="shared" si="48"/>
        <v>145</v>
      </c>
      <c r="V347" s="27">
        <v>203</v>
      </c>
      <c r="W347" s="131">
        <v>1</v>
      </c>
      <c r="X347" s="67">
        <f t="shared" si="49"/>
        <v>348</v>
      </c>
      <c r="Y347" s="32" t="e">
        <f>IF(+VLOOKUP(I347,P.Referencia!E:S,3,FALSE)&lt;=L347,"Champion","Gerente")</f>
        <v>#N/A</v>
      </c>
      <c r="Z347" s="39" t="e">
        <f>VLOOKUP(I347,P.Referencia!E:S,3,0)</f>
        <v>#N/A</v>
      </c>
      <c r="AA347" s="40" t="e">
        <f t="shared" si="53"/>
        <v>#N/A</v>
      </c>
      <c r="AB347" s="41" t="e">
        <f t="shared" si="54"/>
        <v>#N/A</v>
      </c>
      <c r="AC347" s="41" t="e">
        <f t="shared" si="55"/>
        <v>#N/A</v>
      </c>
      <c r="AD347" t="s">
        <v>330</v>
      </c>
    </row>
    <row r="348" spans="1:30" hidden="1" x14ac:dyDescent="0.25">
      <c r="A348" s="43">
        <v>347</v>
      </c>
      <c r="B348" t="s">
        <v>376</v>
      </c>
      <c r="C348" s="131" t="str">
        <f t="shared" si="51"/>
        <v>LlaveD86467244663100010731</v>
      </c>
      <c r="D348" s="33" t="str">
        <f>VLOOKUP(E348,'NO MODIFICAR'!J:K,2,0)</f>
        <v>D864</v>
      </c>
      <c r="E348" s="26" t="s">
        <v>55</v>
      </c>
      <c r="F348" s="33" t="str">
        <f>VLOOKUP(D348,'NO MODIFICAR'!F:H,3,0)</f>
        <v xml:space="preserve">CENTRO </v>
      </c>
      <c r="G348" s="92">
        <v>67244663</v>
      </c>
      <c r="H348" s="93" t="s">
        <v>327</v>
      </c>
      <c r="I348" s="94">
        <v>10001073</v>
      </c>
      <c r="J348" s="56" t="str">
        <f>VLOOKUP(I348,'Materiales,canteras'!C:D,2,0)</f>
        <v>Arena Triturada Caliza Malla 4</v>
      </c>
      <c r="K348" s="33">
        <f>VLOOKUP(I348,'Materiales,canteras'!C:E,3,0)</f>
        <v>1.56</v>
      </c>
      <c r="L348" s="105">
        <v>89</v>
      </c>
      <c r="M348" s="28" t="s">
        <v>93</v>
      </c>
      <c r="N348" s="57">
        <f t="shared" ca="1" si="52"/>
        <v>46267</v>
      </c>
      <c r="O348" s="32" t="s">
        <v>201</v>
      </c>
      <c r="T348" s="66">
        <f t="shared" si="57"/>
        <v>89</v>
      </c>
      <c r="U348" s="46">
        <f t="shared" si="48"/>
        <v>89</v>
      </c>
      <c r="V348" s="27">
        <v>186</v>
      </c>
      <c r="W348" s="131">
        <v>1</v>
      </c>
      <c r="X348" s="67">
        <f t="shared" si="49"/>
        <v>275</v>
      </c>
      <c r="Y348" s="32" t="e">
        <f>IF(+VLOOKUP(I348,P.Referencia!E:S,3,FALSE)&lt;=L348,"Champion","Gerente")</f>
        <v>#N/A</v>
      </c>
      <c r="Z348" s="39" t="e">
        <f>VLOOKUP(I348,P.Referencia!E:S,3,0)</f>
        <v>#N/A</v>
      </c>
      <c r="AA348" s="40" t="e">
        <f t="shared" si="53"/>
        <v>#N/A</v>
      </c>
      <c r="AB348" s="41" t="e">
        <f t="shared" si="54"/>
        <v>#N/A</v>
      </c>
      <c r="AC348" s="41" t="e">
        <f t="shared" si="55"/>
        <v>#N/A</v>
      </c>
      <c r="AD348" t="s">
        <v>330</v>
      </c>
    </row>
    <row r="349" spans="1:30" hidden="1" x14ac:dyDescent="0.25">
      <c r="A349" s="43">
        <v>348</v>
      </c>
      <c r="B349" t="s">
        <v>376</v>
      </c>
      <c r="C349" s="131" t="str">
        <f t="shared" si="51"/>
        <v>LlaveD86467244663100010741</v>
      </c>
      <c r="D349" s="33" t="str">
        <f>VLOOKUP(E349,'NO MODIFICAR'!J:K,2,0)</f>
        <v>D864</v>
      </c>
      <c r="E349" s="26" t="s">
        <v>55</v>
      </c>
      <c r="F349" s="33" t="str">
        <f>VLOOKUP(D349,'NO MODIFICAR'!F:H,3,0)</f>
        <v xml:space="preserve">CENTRO </v>
      </c>
      <c r="G349" s="92">
        <v>67244663</v>
      </c>
      <c r="H349" s="93" t="s">
        <v>327</v>
      </c>
      <c r="I349" s="94">
        <v>10001074</v>
      </c>
      <c r="J349" s="56" t="str">
        <f>VLOOKUP(I349,'Materiales,canteras'!C:D,2,0)</f>
        <v>Grava Triturada Caliza 40 mm -</v>
      </c>
      <c r="K349" s="33">
        <f>VLOOKUP(I349,'Materiales,canteras'!C:E,3,0)</f>
        <v>1.4</v>
      </c>
      <c r="L349" s="105">
        <v>135</v>
      </c>
      <c r="M349" s="28" t="s">
        <v>93</v>
      </c>
      <c r="N349" s="57">
        <f t="shared" ca="1" si="52"/>
        <v>46267</v>
      </c>
      <c r="O349" s="32" t="s">
        <v>201</v>
      </c>
      <c r="T349" s="66">
        <f t="shared" si="57"/>
        <v>135</v>
      </c>
      <c r="U349" s="46">
        <f t="shared" si="48"/>
        <v>135</v>
      </c>
      <c r="V349" s="27">
        <v>206</v>
      </c>
      <c r="W349" s="131">
        <v>1</v>
      </c>
      <c r="X349" s="67">
        <f t="shared" si="49"/>
        <v>341</v>
      </c>
      <c r="Y349" s="32" t="e">
        <f>IF(+VLOOKUP(I349,P.Referencia!E:S,3,FALSE)&lt;=L349,"Champion","Gerente")</f>
        <v>#N/A</v>
      </c>
      <c r="Z349" s="39" t="e">
        <f>VLOOKUP(I349,P.Referencia!E:S,3,0)</f>
        <v>#N/A</v>
      </c>
      <c r="AA349" s="40" t="e">
        <f t="shared" si="53"/>
        <v>#N/A</v>
      </c>
      <c r="AB349" s="41" t="e">
        <f t="shared" si="54"/>
        <v>#N/A</v>
      </c>
      <c r="AC349" s="41" t="e">
        <f t="shared" si="55"/>
        <v>#N/A</v>
      </c>
      <c r="AD349" t="s">
        <v>333</v>
      </c>
    </row>
    <row r="350" spans="1:30" hidden="1" x14ac:dyDescent="0.25">
      <c r="A350" s="43">
        <v>349</v>
      </c>
      <c r="B350" t="s">
        <v>376</v>
      </c>
      <c r="C350" s="131" t="str">
        <f t="shared" si="51"/>
        <v>LlaveD86467242208100002361</v>
      </c>
      <c r="D350" s="33" t="str">
        <f>VLOOKUP(E350,'NO MODIFICAR'!J:K,2,0)</f>
        <v>D864</v>
      </c>
      <c r="E350" s="26" t="s">
        <v>55</v>
      </c>
      <c r="F350" s="33" t="str">
        <f>VLOOKUP(D350,'NO MODIFICAR'!F:H,3,0)</f>
        <v xml:space="preserve">CENTRO </v>
      </c>
      <c r="G350" s="92">
        <v>67242208</v>
      </c>
      <c r="H350" s="93" t="s">
        <v>328</v>
      </c>
      <c r="I350" s="94">
        <v>10000236</v>
      </c>
      <c r="J350" s="56" t="str">
        <f>VLOOKUP(I350,'Materiales,canteras'!C:D,2,0)</f>
        <v>Grava Triturada Caliza 10 mm -</v>
      </c>
      <c r="K350" s="33">
        <f>VLOOKUP(I350,'Materiales,canteras'!C:E,3,0)</f>
        <v>1.41</v>
      </c>
      <c r="L350" s="105">
        <v>120</v>
      </c>
      <c r="M350" s="28" t="s">
        <v>93</v>
      </c>
      <c r="N350" s="57">
        <f t="shared" ca="1" si="52"/>
        <v>46267</v>
      </c>
      <c r="O350" s="32" t="s">
        <v>201</v>
      </c>
      <c r="T350" s="66">
        <f t="shared" si="57"/>
        <v>120</v>
      </c>
      <c r="U350" s="46">
        <f t="shared" si="48"/>
        <v>120</v>
      </c>
      <c r="V350" s="27">
        <v>226</v>
      </c>
      <c r="W350" s="131">
        <v>1</v>
      </c>
      <c r="X350" s="67">
        <f t="shared" si="49"/>
        <v>346</v>
      </c>
      <c r="Y350" s="32" t="e">
        <f>IF(+VLOOKUP(I350,P.Referencia!E:S,3,FALSE)&lt;=L350,"Champion","Gerente")</f>
        <v>#N/A</v>
      </c>
      <c r="Z350" s="39" t="e">
        <f>VLOOKUP(I350,P.Referencia!E:S,3,0)</f>
        <v>#N/A</v>
      </c>
      <c r="AA350" s="40" t="e">
        <f t="shared" si="53"/>
        <v>#N/A</v>
      </c>
      <c r="AB350" s="41" t="e">
        <f t="shared" si="54"/>
        <v>#N/A</v>
      </c>
      <c r="AC350" s="41" t="e">
        <f t="shared" si="55"/>
        <v>#N/A</v>
      </c>
      <c r="AD350" t="s">
        <v>331</v>
      </c>
    </row>
    <row r="351" spans="1:30" hidden="1" x14ac:dyDescent="0.25">
      <c r="A351" s="43">
        <v>350</v>
      </c>
      <c r="B351" t="s">
        <v>376</v>
      </c>
      <c r="C351" s="131" t="str">
        <f t="shared" si="51"/>
        <v>LlaveD86467242208100002401</v>
      </c>
      <c r="D351" s="33" t="str">
        <f>VLOOKUP(E351,'NO MODIFICAR'!J:K,2,0)</f>
        <v>D864</v>
      </c>
      <c r="E351" s="26" t="s">
        <v>55</v>
      </c>
      <c r="F351" s="33" t="str">
        <f>VLOOKUP(D351,'NO MODIFICAR'!F:H,3,0)</f>
        <v xml:space="preserve">CENTRO </v>
      </c>
      <c r="G351" s="92">
        <v>67242208</v>
      </c>
      <c r="H351" s="93" t="s">
        <v>328</v>
      </c>
      <c r="I351" s="94">
        <v>10000240</v>
      </c>
      <c r="J351" s="56" t="str">
        <f>VLOOKUP(I351,'Materiales,canteras'!C:D,2,0)</f>
        <v>Grava Triturada Caliza 20 mm -</v>
      </c>
      <c r="K351" s="33">
        <f>VLOOKUP(I351,'Materiales,canteras'!C:E,3,0)</f>
        <v>1.462</v>
      </c>
      <c r="L351" s="105">
        <v>127</v>
      </c>
      <c r="M351" s="28" t="s">
        <v>93</v>
      </c>
      <c r="N351" s="57">
        <f t="shared" ca="1" si="52"/>
        <v>46267</v>
      </c>
      <c r="O351" s="32" t="s">
        <v>201</v>
      </c>
      <c r="T351" s="66">
        <f t="shared" si="57"/>
        <v>127</v>
      </c>
      <c r="U351" s="46">
        <f t="shared" si="48"/>
        <v>127</v>
      </c>
      <c r="V351" s="27">
        <v>218</v>
      </c>
      <c r="W351" s="131">
        <v>1</v>
      </c>
      <c r="X351" s="67">
        <f t="shared" si="49"/>
        <v>345</v>
      </c>
      <c r="Y351" s="32" t="e">
        <f>IF(+VLOOKUP(I351,P.Referencia!E:S,3,FALSE)&lt;=L351,"Champion","Gerente")</f>
        <v>#N/A</v>
      </c>
      <c r="Z351" s="39" t="e">
        <f>VLOOKUP(I351,P.Referencia!E:S,3,0)</f>
        <v>#N/A</v>
      </c>
      <c r="AA351" s="40" t="e">
        <f t="shared" si="53"/>
        <v>#N/A</v>
      </c>
      <c r="AB351" s="41" t="e">
        <f t="shared" si="54"/>
        <v>#N/A</v>
      </c>
      <c r="AC351" s="41" t="e">
        <f t="shared" si="55"/>
        <v>#N/A</v>
      </c>
      <c r="AD351" t="s">
        <v>331</v>
      </c>
    </row>
    <row r="352" spans="1:30" hidden="1" x14ac:dyDescent="0.25">
      <c r="A352" s="43">
        <v>351</v>
      </c>
      <c r="B352" t="s">
        <v>376</v>
      </c>
      <c r="C352" s="131" t="str">
        <f t="shared" si="51"/>
        <v>LlaveD86467242208100002691</v>
      </c>
      <c r="D352" s="33" t="str">
        <f>VLOOKUP(E352,'NO MODIFICAR'!J:K,2,0)</f>
        <v>D864</v>
      </c>
      <c r="E352" s="26" t="s">
        <v>55</v>
      </c>
      <c r="F352" s="33" t="str">
        <f>VLOOKUP(D352,'NO MODIFICAR'!F:H,3,0)</f>
        <v xml:space="preserve">CENTRO </v>
      </c>
      <c r="G352" s="92">
        <v>67242208</v>
      </c>
      <c r="H352" s="93" t="s">
        <v>328</v>
      </c>
      <c r="I352" s="94">
        <v>10000269</v>
      </c>
      <c r="J352" s="56" t="str">
        <f>VLOOKUP(I352,'Materiales,canteras'!C:D,2,0)</f>
        <v>Grava Triturada Caliza 13 mm -</v>
      </c>
      <c r="K352" s="33">
        <f>VLOOKUP(I352,'Materiales,canteras'!C:E,3,0)</f>
        <v>1.423</v>
      </c>
      <c r="L352" s="105">
        <v>145</v>
      </c>
      <c r="M352" s="28" t="s">
        <v>93</v>
      </c>
      <c r="N352" s="57">
        <f t="shared" ca="1" si="52"/>
        <v>46267</v>
      </c>
      <c r="O352" s="32" t="s">
        <v>201</v>
      </c>
      <c r="T352" s="66">
        <f t="shared" si="57"/>
        <v>145</v>
      </c>
      <c r="U352" s="46">
        <f t="shared" si="48"/>
        <v>145</v>
      </c>
      <c r="V352" s="27">
        <v>224</v>
      </c>
      <c r="W352" s="131">
        <v>1</v>
      </c>
      <c r="X352" s="67">
        <f t="shared" si="49"/>
        <v>369</v>
      </c>
      <c r="Y352" s="32" t="e">
        <f>IF(+VLOOKUP(I352,P.Referencia!E:S,3,FALSE)&lt;=L352,"Champion","Gerente")</f>
        <v>#N/A</v>
      </c>
      <c r="Z352" s="39" t="e">
        <f>VLOOKUP(I352,P.Referencia!E:S,3,0)</f>
        <v>#N/A</v>
      </c>
      <c r="AA352" s="40" t="e">
        <f t="shared" si="53"/>
        <v>#N/A</v>
      </c>
      <c r="AB352" s="41" t="e">
        <f t="shared" si="54"/>
        <v>#N/A</v>
      </c>
      <c r="AC352" s="41" t="e">
        <f t="shared" si="55"/>
        <v>#N/A</v>
      </c>
      <c r="AD352" t="s">
        <v>331</v>
      </c>
    </row>
    <row r="353" spans="1:31" hidden="1" x14ac:dyDescent="0.25">
      <c r="A353" s="43">
        <v>352</v>
      </c>
      <c r="B353" t="s">
        <v>376</v>
      </c>
      <c r="C353" s="131" t="str">
        <f t="shared" si="51"/>
        <v>LlaveD86467242208100010731</v>
      </c>
      <c r="D353" s="33" t="str">
        <f>VLOOKUP(E353,'NO MODIFICAR'!J:K,2,0)</f>
        <v>D864</v>
      </c>
      <c r="E353" s="26" t="s">
        <v>55</v>
      </c>
      <c r="F353" s="33" t="str">
        <f>VLOOKUP(D353,'NO MODIFICAR'!F:H,3,0)</f>
        <v xml:space="preserve">CENTRO </v>
      </c>
      <c r="G353" s="92">
        <v>67242208</v>
      </c>
      <c r="H353" s="93" t="s">
        <v>328</v>
      </c>
      <c r="I353" s="94">
        <v>10001073</v>
      </c>
      <c r="J353" s="56" t="str">
        <f>VLOOKUP(I353,'Materiales,canteras'!C:D,2,0)</f>
        <v>Arena Triturada Caliza Malla 4</v>
      </c>
      <c r="K353" s="33">
        <f>VLOOKUP(I353,'Materiales,canteras'!C:E,3,0)</f>
        <v>1.56</v>
      </c>
      <c r="L353" s="105">
        <v>89</v>
      </c>
      <c r="M353" s="28" t="s">
        <v>93</v>
      </c>
      <c r="N353" s="57">
        <f t="shared" ca="1" si="52"/>
        <v>46267</v>
      </c>
      <c r="O353" s="32" t="s">
        <v>201</v>
      </c>
      <c r="T353" s="66">
        <f t="shared" si="57"/>
        <v>89</v>
      </c>
      <c r="U353" s="46">
        <f t="shared" si="48"/>
        <v>89</v>
      </c>
      <c r="V353" s="27">
        <v>204</v>
      </c>
      <c r="W353" s="131">
        <v>1</v>
      </c>
      <c r="X353" s="67">
        <f t="shared" si="49"/>
        <v>293</v>
      </c>
      <c r="Y353" s="32" t="e">
        <f>IF(+VLOOKUP(I353,P.Referencia!E:S,3,FALSE)&lt;=L353,"Champion","Gerente")</f>
        <v>#N/A</v>
      </c>
      <c r="Z353" s="39" t="e">
        <f>VLOOKUP(I353,P.Referencia!E:S,3,0)</f>
        <v>#N/A</v>
      </c>
      <c r="AA353" s="40" t="e">
        <f t="shared" si="53"/>
        <v>#N/A</v>
      </c>
      <c r="AB353" s="41" t="e">
        <f t="shared" si="54"/>
        <v>#N/A</v>
      </c>
      <c r="AC353" s="41" t="e">
        <f t="shared" si="55"/>
        <v>#N/A</v>
      </c>
      <c r="AD353" t="s">
        <v>331</v>
      </c>
    </row>
    <row r="354" spans="1:31" hidden="1" x14ac:dyDescent="0.25">
      <c r="A354" s="43">
        <v>353</v>
      </c>
      <c r="B354" t="s">
        <v>376</v>
      </c>
      <c r="C354" s="131" t="str">
        <f t="shared" si="51"/>
        <v>LlaveD86467242208100010741</v>
      </c>
      <c r="D354" s="33" t="str">
        <f>VLOOKUP(E354,'NO MODIFICAR'!J:K,2,0)</f>
        <v>D864</v>
      </c>
      <c r="E354" s="26" t="s">
        <v>55</v>
      </c>
      <c r="F354" s="33" t="str">
        <f>VLOOKUP(D354,'NO MODIFICAR'!F:H,3,0)</f>
        <v xml:space="preserve">CENTRO </v>
      </c>
      <c r="G354" s="92">
        <v>67242208</v>
      </c>
      <c r="H354" s="93" t="s">
        <v>328</v>
      </c>
      <c r="I354" s="94">
        <v>10001074</v>
      </c>
      <c r="J354" s="56" t="str">
        <f>VLOOKUP(I354,'Materiales,canteras'!C:D,2,0)</f>
        <v>Grava Triturada Caliza 40 mm -</v>
      </c>
      <c r="K354" s="33">
        <f>VLOOKUP(I354,'Materiales,canteras'!C:E,3,0)</f>
        <v>1.4</v>
      </c>
      <c r="L354" s="105">
        <v>135</v>
      </c>
      <c r="M354" s="28" t="s">
        <v>93</v>
      </c>
      <c r="N354" s="57">
        <f t="shared" ca="1" si="52"/>
        <v>46267</v>
      </c>
      <c r="O354" s="32" t="s">
        <v>201</v>
      </c>
      <c r="T354" s="66">
        <f t="shared" si="57"/>
        <v>135</v>
      </c>
      <c r="U354" s="46">
        <f t="shared" si="48"/>
        <v>135</v>
      </c>
      <c r="V354" s="27">
        <v>227</v>
      </c>
      <c r="W354" s="131">
        <v>1</v>
      </c>
      <c r="X354" s="67">
        <f t="shared" si="49"/>
        <v>362</v>
      </c>
      <c r="Y354" s="32" t="e">
        <f>IF(+VLOOKUP(I354,P.Referencia!E:S,3,FALSE)&lt;=L354,"Champion","Gerente")</f>
        <v>#N/A</v>
      </c>
      <c r="Z354" s="39" t="e">
        <f>VLOOKUP(I354,P.Referencia!E:S,3,0)</f>
        <v>#N/A</v>
      </c>
      <c r="AA354" s="40" t="e">
        <f t="shared" si="53"/>
        <v>#N/A</v>
      </c>
      <c r="AB354" s="41" t="e">
        <f t="shared" si="54"/>
        <v>#N/A</v>
      </c>
      <c r="AC354" s="41" t="e">
        <f t="shared" si="55"/>
        <v>#N/A</v>
      </c>
      <c r="AD354" t="s">
        <v>334</v>
      </c>
    </row>
    <row r="355" spans="1:31" hidden="1" x14ac:dyDescent="0.25">
      <c r="A355" s="43">
        <v>354</v>
      </c>
      <c r="B355" t="s">
        <v>376</v>
      </c>
      <c r="C355" s="131" t="str">
        <f t="shared" si="51"/>
        <v>LlaveD81367242208100023501</v>
      </c>
      <c r="D355" s="33" t="str">
        <f>VLOOKUP(E355,'NO MODIFICAR'!J:K,2,0)</f>
        <v>D813</v>
      </c>
      <c r="E355" s="26" t="s">
        <v>6</v>
      </c>
      <c r="F355" s="33" t="str">
        <f>VLOOKUP(D355,'NO MODIFICAR'!F:H,3,0)</f>
        <v xml:space="preserve">CENTRO </v>
      </c>
      <c r="G355" s="92">
        <v>67242208</v>
      </c>
      <c r="H355" s="93" t="s">
        <v>328</v>
      </c>
      <c r="I355" s="94">
        <v>10002350</v>
      </c>
      <c r="J355" s="56" t="str">
        <f>VLOOKUP(I355,'Materiales,canteras'!C:D,2,0)</f>
        <v>Grava Triturada Andesita 10mm-</v>
      </c>
      <c r="K355" s="33">
        <f>VLOOKUP(I355,'Materiales,canteras'!C:E,3,0)</f>
        <v>1.246</v>
      </c>
      <c r="L355" s="105">
        <v>120.5</v>
      </c>
      <c r="M355" s="28" t="s">
        <v>93</v>
      </c>
      <c r="N355" s="57">
        <f t="shared" ca="1" si="52"/>
        <v>46267</v>
      </c>
      <c r="O355" s="32" t="s">
        <v>201</v>
      </c>
      <c r="S355" s="4">
        <v>150</v>
      </c>
      <c r="T355" s="66">
        <f t="shared" si="57"/>
        <v>-29.5</v>
      </c>
      <c r="U355" s="46">
        <f t="shared" si="48"/>
        <v>120.5</v>
      </c>
      <c r="V355" s="27">
        <v>211</v>
      </c>
      <c r="W355" s="131">
        <v>1</v>
      </c>
      <c r="X355" s="67">
        <f t="shared" si="49"/>
        <v>331.5</v>
      </c>
      <c r="Y355" s="32" t="e">
        <f>IF(+VLOOKUP(I355,P.Referencia!E:S,3,FALSE)&lt;=L355,"Champion","Gerente")</f>
        <v>#N/A</v>
      </c>
      <c r="Z355" s="39" t="e">
        <f>VLOOKUP(I355,P.Referencia!E:S,3,0)</f>
        <v>#N/A</v>
      </c>
      <c r="AA355" s="40" t="e">
        <f t="shared" si="53"/>
        <v>#N/A</v>
      </c>
      <c r="AB355" s="41" t="e">
        <f t="shared" si="54"/>
        <v>#N/A</v>
      </c>
      <c r="AC355" s="41" t="e">
        <f t="shared" si="55"/>
        <v>#N/A</v>
      </c>
      <c r="AD355" t="s">
        <v>335</v>
      </c>
    </row>
    <row r="356" spans="1:31" hidden="1" x14ac:dyDescent="0.25">
      <c r="A356" s="43">
        <v>355</v>
      </c>
      <c r="B356" t="s">
        <v>376</v>
      </c>
      <c r="C356" s="131" t="str">
        <f t="shared" si="51"/>
        <v>LlaveD81367242208100002531</v>
      </c>
      <c r="D356" s="33" t="str">
        <f>VLOOKUP(E356,'NO MODIFICAR'!J:K,2,0)</f>
        <v>D813</v>
      </c>
      <c r="E356" s="26" t="s">
        <v>6</v>
      </c>
      <c r="F356" s="33" t="str">
        <f>VLOOKUP(D356,'NO MODIFICAR'!F:H,3,0)</f>
        <v xml:space="preserve">CENTRO </v>
      </c>
      <c r="G356" s="92">
        <v>67242208</v>
      </c>
      <c r="H356" s="93" t="s">
        <v>328</v>
      </c>
      <c r="I356" s="94">
        <v>10000253</v>
      </c>
      <c r="J356" s="56" t="str">
        <f>VLOOKUP(I356,'Materiales,canteras'!C:D,2,0)</f>
        <v>Grava Triturada Andesita 20 mm</v>
      </c>
      <c r="K356" s="33">
        <f>VLOOKUP(I356,'Materiales,canteras'!C:E,3,0)</f>
        <v>1.385</v>
      </c>
      <c r="L356" s="105">
        <v>103.9</v>
      </c>
      <c r="M356" s="28" t="s">
        <v>93</v>
      </c>
      <c r="N356" s="57">
        <f t="shared" ca="1" si="52"/>
        <v>46267</v>
      </c>
      <c r="O356" s="32" t="s">
        <v>201</v>
      </c>
      <c r="S356" s="4">
        <v>150</v>
      </c>
      <c r="T356" s="66">
        <f t="shared" si="57"/>
        <v>-46.099999999999994</v>
      </c>
      <c r="U356" s="46">
        <f t="shared" si="48"/>
        <v>103.9</v>
      </c>
      <c r="V356" s="27">
        <v>189.99999999999997</v>
      </c>
      <c r="W356" s="131">
        <v>1</v>
      </c>
      <c r="X356" s="67">
        <f t="shared" si="49"/>
        <v>293.89999999999998</v>
      </c>
      <c r="Y356" s="32" t="e">
        <f>IF(+VLOOKUP(I356,P.Referencia!E:S,3,FALSE)&lt;=L356,"Champion","Gerente")</f>
        <v>#N/A</v>
      </c>
      <c r="Z356" s="39" t="e">
        <f>VLOOKUP(I356,P.Referencia!E:S,3,0)</f>
        <v>#N/A</v>
      </c>
      <c r="AA356" s="40" t="e">
        <f t="shared" si="53"/>
        <v>#N/A</v>
      </c>
      <c r="AB356" s="41" t="e">
        <f t="shared" si="54"/>
        <v>#N/A</v>
      </c>
      <c r="AC356" s="41" t="e">
        <f t="shared" si="55"/>
        <v>#N/A</v>
      </c>
      <c r="AD356" t="s">
        <v>332</v>
      </c>
      <c r="AE356" t="s">
        <v>336</v>
      </c>
    </row>
    <row r="357" spans="1:31" hidden="1" x14ac:dyDescent="0.25">
      <c r="A357" s="43">
        <v>356</v>
      </c>
      <c r="B357" t="s">
        <v>376</v>
      </c>
      <c r="C357" s="131" t="str">
        <f t="shared" si="51"/>
        <v>LlaveD81367242208100002551</v>
      </c>
      <c r="D357" s="33" t="str">
        <f>VLOOKUP(E357,'NO MODIFICAR'!J:K,2,0)</f>
        <v>D813</v>
      </c>
      <c r="E357" s="26" t="s">
        <v>6</v>
      </c>
      <c r="F357" s="33" t="str">
        <f>VLOOKUP(D357,'NO MODIFICAR'!F:H,3,0)</f>
        <v xml:space="preserve">CENTRO </v>
      </c>
      <c r="G357" s="92">
        <v>67242208</v>
      </c>
      <c r="H357" s="93" t="s">
        <v>328</v>
      </c>
      <c r="I357" s="94">
        <v>10000255</v>
      </c>
      <c r="J357" s="56" t="str">
        <f>VLOOKUP(I357,'Materiales,canteras'!C:D,2,0)</f>
        <v>Arena Triturada Andesita Malla</v>
      </c>
      <c r="K357" s="33">
        <f>VLOOKUP(I357,'Materiales,canteras'!C:E,3,0)</f>
        <v>1.5349999999999999</v>
      </c>
      <c r="L357" s="105">
        <v>104.1</v>
      </c>
      <c r="M357" s="28" t="s">
        <v>93</v>
      </c>
      <c r="N357" s="57">
        <f t="shared" ca="1" si="52"/>
        <v>46267</v>
      </c>
      <c r="O357" s="32" t="s">
        <v>201</v>
      </c>
      <c r="S357" s="4">
        <v>150</v>
      </c>
      <c r="T357" s="66">
        <f t="shared" si="57"/>
        <v>-45.900000000000006</v>
      </c>
      <c r="U357" s="46">
        <f t="shared" si="48"/>
        <v>104.1</v>
      </c>
      <c r="V357" s="27">
        <v>172.00000000000003</v>
      </c>
      <c r="W357" s="131">
        <v>1</v>
      </c>
      <c r="X357" s="67">
        <f t="shared" si="49"/>
        <v>276.10000000000002</v>
      </c>
      <c r="Y357" s="32" t="e">
        <f>IF(+VLOOKUP(I357,P.Referencia!E:S,3,FALSE)&lt;=L357,"Champion","Gerente")</f>
        <v>#N/A</v>
      </c>
      <c r="Z357" s="39" t="e">
        <f>VLOOKUP(I357,P.Referencia!E:S,3,0)</f>
        <v>#N/A</v>
      </c>
      <c r="AA357" s="40" t="e">
        <f t="shared" si="53"/>
        <v>#N/A</v>
      </c>
      <c r="AB357" s="41" t="e">
        <f t="shared" si="54"/>
        <v>#N/A</v>
      </c>
      <c r="AC357" s="41" t="e">
        <f t="shared" si="55"/>
        <v>#N/A</v>
      </c>
      <c r="AD357" t="s">
        <v>332</v>
      </c>
      <c r="AE357" t="s">
        <v>336</v>
      </c>
    </row>
    <row r="358" spans="1:31" hidden="1" x14ac:dyDescent="0.25">
      <c r="A358" s="43">
        <v>357</v>
      </c>
      <c r="B358" t="s">
        <v>376</v>
      </c>
      <c r="C358" s="131" t="str">
        <f t="shared" si="51"/>
        <v>LlaveD86167062302100002902</v>
      </c>
      <c r="D358" s="33" t="str">
        <f>VLOOKUP(E358,'NO MODIFICAR'!J:K,2,0)</f>
        <v>D861</v>
      </c>
      <c r="E358" s="26" t="s">
        <v>44</v>
      </c>
      <c r="F358" s="33" t="str">
        <f>VLOOKUP(D358,'NO MODIFICAR'!F:H,3,0)</f>
        <v xml:space="preserve">CENTRO </v>
      </c>
      <c r="G358" s="92">
        <v>67062302</v>
      </c>
      <c r="H358" s="93" t="s">
        <v>337</v>
      </c>
      <c r="I358" s="94">
        <v>10000290</v>
      </c>
      <c r="J358" s="56" t="str">
        <f>VLOOKUP(I358,'Materiales,canteras'!C:D,2,0)</f>
        <v>Polvos Triturado Basalto 3/4"</v>
      </c>
      <c r="K358" s="33">
        <f>VLOOKUP(I358,'Materiales,canteras'!C:E,3,0)</f>
        <v>1.3720000000000001</v>
      </c>
      <c r="L358" s="105">
        <v>18</v>
      </c>
      <c r="M358" s="28" t="s">
        <v>93</v>
      </c>
      <c r="N358" s="57">
        <f t="shared" ca="1" si="52"/>
        <v>46267</v>
      </c>
      <c r="O358" s="32" t="s">
        <v>201</v>
      </c>
      <c r="S358" s="4">
        <v>25</v>
      </c>
      <c r="T358" s="66">
        <f t="shared" si="57"/>
        <v>-7</v>
      </c>
      <c r="U358" s="46">
        <f t="shared" si="48"/>
        <v>18</v>
      </c>
      <c r="V358" s="27">
        <v>0</v>
      </c>
      <c r="W358" s="131">
        <v>2</v>
      </c>
      <c r="X358" s="67">
        <f t="shared" si="49"/>
        <v>18</v>
      </c>
      <c r="Y358" s="32" t="e">
        <f>IF(+VLOOKUP(I358,P.Referencia!E:S,3,FALSE)&lt;=L358,"Champion","Gerente")</f>
        <v>#N/A</v>
      </c>
      <c r="Z358" s="39" t="e">
        <f>VLOOKUP(I358,P.Referencia!E:S,3,0)</f>
        <v>#N/A</v>
      </c>
      <c r="AA358" s="40" t="e">
        <f t="shared" si="53"/>
        <v>#N/A</v>
      </c>
      <c r="AB358" s="41" t="e">
        <f t="shared" si="54"/>
        <v>#N/A</v>
      </c>
      <c r="AC358" s="41" t="e">
        <f t="shared" si="55"/>
        <v>#N/A</v>
      </c>
    </row>
    <row r="359" spans="1:31" hidden="1" x14ac:dyDescent="0.25">
      <c r="A359" s="43">
        <v>358</v>
      </c>
      <c r="B359" t="s">
        <v>376</v>
      </c>
      <c r="C359" s="131" t="str">
        <f t="shared" si="51"/>
        <v>LlaveD86467345008100002402</v>
      </c>
      <c r="D359" s="33" t="str">
        <f>VLOOKUP(E359,'NO MODIFICAR'!J:K,2,0)</f>
        <v>D864</v>
      </c>
      <c r="E359" s="26" t="s">
        <v>55</v>
      </c>
      <c r="F359" s="33" t="str">
        <f>VLOOKUP(D359,'NO MODIFICAR'!F:H,3,0)</f>
        <v xml:space="preserve">CENTRO </v>
      </c>
      <c r="G359" s="92">
        <v>67345008</v>
      </c>
      <c r="H359" s="93" t="s">
        <v>338</v>
      </c>
      <c r="I359" s="94">
        <v>10000240</v>
      </c>
      <c r="J359" s="56" t="str">
        <f>VLOOKUP(I359,'Materiales,canteras'!C:D,2,0)</f>
        <v>Grava Triturada Caliza 20 mm -</v>
      </c>
      <c r="K359" s="33">
        <f>VLOOKUP(I359,'Materiales,canteras'!C:E,3,0)</f>
        <v>1.462</v>
      </c>
      <c r="L359" s="105">
        <v>127</v>
      </c>
      <c r="M359" s="28" t="s">
        <v>93</v>
      </c>
      <c r="N359" s="57">
        <f t="shared" ca="1" si="52"/>
        <v>46267</v>
      </c>
      <c r="O359" s="32" t="s">
        <v>201</v>
      </c>
      <c r="R359">
        <f t="shared" ref="R359:R366" si="59">1.5/100</f>
        <v>1.4999999999999999E-2</v>
      </c>
      <c r="S359" s="4">
        <v>280</v>
      </c>
      <c r="T359" s="66">
        <f t="shared" si="57"/>
        <v>-148.80000000000001</v>
      </c>
      <c r="U359" s="46">
        <f t="shared" si="48"/>
        <v>127</v>
      </c>
      <c r="V359" s="27">
        <v>0</v>
      </c>
      <c r="W359" s="131">
        <v>2</v>
      </c>
      <c r="X359" s="67">
        <f t="shared" si="49"/>
        <v>127</v>
      </c>
      <c r="Y359" s="32" t="e">
        <f>IF(+VLOOKUP(I359,P.Referencia!E:S,3,FALSE)&lt;=L359,"Champion","Gerente")</f>
        <v>#N/A</v>
      </c>
      <c r="Z359" s="39" t="e">
        <f>VLOOKUP(I359,P.Referencia!E:S,3,0)</f>
        <v>#N/A</v>
      </c>
      <c r="AA359" s="40" t="e">
        <f t="shared" si="53"/>
        <v>#N/A</v>
      </c>
      <c r="AB359" s="41" t="e">
        <f t="shared" si="54"/>
        <v>#N/A</v>
      </c>
      <c r="AC359" s="41" t="e">
        <f t="shared" si="55"/>
        <v>#N/A</v>
      </c>
    </row>
    <row r="360" spans="1:31" hidden="1" x14ac:dyDescent="0.25">
      <c r="A360" s="43">
        <v>359</v>
      </c>
      <c r="B360" t="s">
        <v>376</v>
      </c>
      <c r="C360" s="131" t="str">
        <f t="shared" si="51"/>
        <v>LlaveD86467345008100010742</v>
      </c>
      <c r="D360" s="33" t="str">
        <f>VLOOKUP(E360,'NO MODIFICAR'!J:K,2,0)</f>
        <v>D864</v>
      </c>
      <c r="E360" s="26" t="s">
        <v>55</v>
      </c>
      <c r="F360" s="33" t="str">
        <f>VLOOKUP(D360,'NO MODIFICAR'!F:H,3,0)</f>
        <v xml:space="preserve">CENTRO </v>
      </c>
      <c r="G360" s="92">
        <v>67345008</v>
      </c>
      <c r="H360" s="93" t="s">
        <v>338</v>
      </c>
      <c r="I360" s="94">
        <v>10001074</v>
      </c>
      <c r="J360" s="56" t="str">
        <f>VLOOKUP(I360,'Materiales,canteras'!C:D,2,0)</f>
        <v>Grava Triturada Caliza 40 mm -</v>
      </c>
      <c r="K360" s="33">
        <f>VLOOKUP(I360,'Materiales,canteras'!C:E,3,0)</f>
        <v>1.4</v>
      </c>
      <c r="L360" s="105">
        <v>135</v>
      </c>
      <c r="M360" s="28" t="s">
        <v>93</v>
      </c>
      <c r="N360" s="57">
        <f t="shared" ca="1" si="52"/>
        <v>46267</v>
      </c>
      <c r="O360" s="32" t="s">
        <v>201</v>
      </c>
      <c r="R360">
        <f t="shared" si="59"/>
        <v>1.4999999999999999E-2</v>
      </c>
      <c r="S360" s="4">
        <v>220</v>
      </c>
      <c r="T360" s="66">
        <f t="shared" si="57"/>
        <v>-81.699999999999989</v>
      </c>
      <c r="U360" s="46">
        <f t="shared" si="48"/>
        <v>135</v>
      </c>
      <c r="V360" s="27">
        <v>0</v>
      </c>
      <c r="W360" s="131">
        <v>2</v>
      </c>
      <c r="X360" s="67">
        <f t="shared" si="49"/>
        <v>135</v>
      </c>
      <c r="Y360" s="32" t="e">
        <f>IF(+VLOOKUP(I360,P.Referencia!E:S,3,FALSE)&lt;=L360,"Champion","Gerente")</f>
        <v>#N/A</v>
      </c>
      <c r="Z360" s="39" t="e">
        <f>VLOOKUP(I360,P.Referencia!E:S,3,0)</f>
        <v>#N/A</v>
      </c>
      <c r="AA360" s="40" t="e">
        <f t="shared" si="53"/>
        <v>#N/A</v>
      </c>
      <c r="AB360" s="41" t="e">
        <f t="shared" si="54"/>
        <v>#N/A</v>
      </c>
      <c r="AC360" s="41" t="e">
        <f t="shared" si="55"/>
        <v>#N/A</v>
      </c>
    </row>
    <row r="361" spans="1:31" hidden="1" x14ac:dyDescent="0.25">
      <c r="A361" s="43">
        <v>360</v>
      </c>
      <c r="B361" t="s">
        <v>376</v>
      </c>
      <c r="C361" s="131" t="str">
        <f t="shared" si="51"/>
        <v>LlaveD86467345008100002362</v>
      </c>
      <c r="D361" s="33" t="str">
        <f>VLOOKUP(E361,'NO MODIFICAR'!J:K,2,0)</f>
        <v>D864</v>
      </c>
      <c r="E361" s="26" t="s">
        <v>55</v>
      </c>
      <c r="F361" s="33" t="str">
        <f>VLOOKUP(D361,'NO MODIFICAR'!F:H,3,0)</f>
        <v xml:space="preserve">CENTRO </v>
      </c>
      <c r="G361" s="92">
        <v>67345008</v>
      </c>
      <c r="H361" s="93" t="s">
        <v>338</v>
      </c>
      <c r="I361" s="94">
        <v>10000236</v>
      </c>
      <c r="J361" s="56" t="str">
        <f>VLOOKUP(I361,'Materiales,canteras'!C:D,2,0)</f>
        <v>Grava Triturada Caliza 10 mm -</v>
      </c>
      <c r="K361" s="33">
        <f>VLOOKUP(I361,'Materiales,canteras'!C:E,3,0)</f>
        <v>1.41</v>
      </c>
      <c r="L361" s="105">
        <v>120</v>
      </c>
      <c r="M361" s="28" t="s">
        <v>93</v>
      </c>
      <c r="N361" s="57">
        <f t="shared" ca="1" si="52"/>
        <v>46267</v>
      </c>
      <c r="O361" s="32" t="s">
        <v>201</v>
      </c>
      <c r="R361">
        <f t="shared" si="59"/>
        <v>1.4999999999999999E-2</v>
      </c>
      <c r="S361" s="4">
        <v>240</v>
      </c>
      <c r="T361" s="66">
        <f t="shared" si="57"/>
        <v>-116.4</v>
      </c>
      <c r="U361" s="46">
        <f t="shared" si="48"/>
        <v>120</v>
      </c>
      <c r="V361" s="27">
        <v>0</v>
      </c>
      <c r="W361" s="131">
        <v>2</v>
      </c>
      <c r="X361" s="67">
        <f t="shared" si="49"/>
        <v>120</v>
      </c>
      <c r="Y361" s="32" t="e">
        <f>IF(+VLOOKUP(I361,P.Referencia!E:S,3,FALSE)&lt;=L361,"Champion","Gerente")</f>
        <v>#N/A</v>
      </c>
      <c r="Z361" s="39" t="e">
        <f>VLOOKUP(I361,P.Referencia!E:S,3,0)</f>
        <v>#N/A</v>
      </c>
      <c r="AA361" s="40" t="e">
        <f t="shared" si="53"/>
        <v>#N/A</v>
      </c>
      <c r="AB361" s="41" t="e">
        <f t="shared" si="54"/>
        <v>#N/A</v>
      </c>
      <c r="AC361" s="41" t="e">
        <f t="shared" si="55"/>
        <v>#N/A</v>
      </c>
    </row>
    <row r="362" spans="1:31" hidden="1" x14ac:dyDescent="0.25">
      <c r="A362" s="43">
        <v>361</v>
      </c>
      <c r="B362" t="s">
        <v>376</v>
      </c>
      <c r="C362" s="131" t="str">
        <f t="shared" si="51"/>
        <v>LlaveD86467345008100010732</v>
      </c>
      <c r="D362" s="33" t="str">
        <f>VLOOKUP(E362,'NO MODIFICAR'!J:K,2,0)</f>
        <v>D864</v>
      </c>
      <c r="E362" s="26" t="s">
        <v>55</v>
      </c>
      <c r="F362" s="33" t="str">
        <f>VLOOKUP(D362,'NO MODIFICAR'!F:H,3,0)</f>
        <v xml:space="preserve">CENTRO </v>
      </c>
      <c r="G362" s="92">
        <v>67345008</v>
      </c>
      <c r="H362" s="93" t="s">
        <v>338</v>
      </c>
      <c r="I362" s="94">
        <v>10001073</v>
      </c>
      <c r="J362" s="56" t="str">
        <f>VLOOKUP(I362,'Materiales,canteras'!C:D,2,0)</f>
        <v>Arena Triturada Caliza Malla 4</v>
      </c>
      <c r="K362" s="33">
        <f>VLOOKUP(I362,'Materiales,canteras'!C:E,3,0)</f>
        <v>1.56</v>
      </c>
      <c r="L362" s="105">
        <v>89</v>
      </c>
      <c r="M362" s="28" t="s">
        <v>93</v>
      </c>
      <c r="N362" s="57">
        <f t="shared" ca="1" si="52"/>
        <v>46267</v>
      </c>
      <c r="O362" s="32" t="s">
        <v>201</v>
      </c>
      <c r="R362">
        <f t="shared" si="59"/>
        <v>1.4999999999999999E-2</v>
      </c>
      <c r="S362" s="4">
        <v>150</v>
      </c>
      <c r="T362" s="66">
        <f t="shared" si="57"/>
        <v>-58.75</v>
      </c>
      <c r="U362" s="46">
        <f t="shared" si="48"/>
        <v>89</v>
      </c>
      <c r="V362" s="27">
        <v>0</v>
      </c>
      <c r="W362" s="131">
        <v>2</v>
      </c>
      <c r="X362" s="67">
        <f t="shared" si="49"/>
        <v>89</v>
      </c>
      <c r="Y362" s="32" t="e">
        <f>IF(+VLOOKUP(I362,P.Referencia!E:S,3,FALSE)&lt;=L362,"Champion","Gerente")</f>
        <v>#N/A</v>
      </c>
      <c r="Z362" s="39" t="e">
        <f>VLOOKUP(I362,P.Referencia!E:S,3,0)</f>
        <v>#N/A</v>
      </c>
      <c r="AA362" s="40" t="e">
        <f t="shared" si="53"/>
        <v>#N/A</v>
      </c>
      <c r="AB362" s="41" t="e">
        <f t="shared" si="54"/>
        <v>#N/A</v>
      </c>
      <c r="AC362" s="41" t="e">
        <f t="shared" si="55"/>
        <v>#N/A</v>
      </c>
    </row>
    <row r="363" spans="1:31" hidden="1" x14ac:dyDescent="0.25">
      <c r="A363" s="43">
        <v>362</v>
      </c>
      <c r="B363" t="s">
        <v>376</v>
      </c>
      <c r="C363" s="131" t="str">
        <f t="shared" si="51"/>
        <v>LlaveD86467345008100002692</v>
      </c>
      <c r="D363" s="33" t="str">
        <f>VLOOKUP(E363,'NO MODIFICAR'!J:K,2,0)</f>
        <v>D864</v>
      </c>
      <c r="E363" s="26" t="s">
        <v>55</v>
      </c>
      <c r="F363" s="33" t="str">
        <f>VLOOKUP(D363,'NO MODIFICAR'!F:H,3,0)</f>
        <v xml:space="preserve">CENTRO </v>
      </c>
      <c r="G363" s="92">
        <v>67345008</v>
      </c>
      <c r="H363" s="93" t="s">
        <v>338</v>
      </c>
      <c r="I363" s="94">
        <v>10000269</v>
      </c>
      <c r="J363" s="56" t="str">
        <f>VLOOKUP(I363,'Materiales,canteras'!C:D,2,0)</f>
        <v>Grava Triturada Caliza 13 mm -</v>
      </c>
      <c r="K363" s="33">
        <f>VLOOKUP(I363,'Materiales,canteras'!C:E,3,0)</f>
        <v>1.423</v>
      </c>
      <c r="L363" s="105">
        <v>145</v>
      </c>
      <c r="M363" s="28" t="s">
        <v>93</v>
      </c>
      <c r="N363" s="57">
        <f t="shared" ca="1" si="52"/>
        <v>46267</v>
      </c>
      <c r="O363" s="32" t="s">
        <v>201</v>
      </c>
      <c r="R363">
        <f t="shared" si="59"/>
        <v>1.4999999999999999E-2</v>
      </c>
      <c r="S363" s="4">
        <v>250</v>
      </c>
      <c r="T363" s="66">
        <f t="shared" ref="T363:T384" si="60">L363-(S363-(S363*R363))</f>
        <v>-101.25</v>
      </c>
      <c r="U363" s="46">
        <f t="shared" si="48"/>
        <v>145</v>
      </c>
      <c r="V363" s="27">
        <v>0</v>
      </c>
      <c r="W363" s="131">
        <v>2</v>
      </c>
      <c r="X363" s="67">
        <f t="shared" si="49"/>
        <v>145</v>
      </c>
      <c r="Y363" s="32" t="e">
        <f>IF(+VLOOKUP(I363,P.Referencia!E:S,3,FALSE)&lt;=L363,"Champion","Gerente")</f>
        <v>#N/A</v>
      </c>
      <c r="Z363" s="39" t="e">
        <f>VLOOKUP(I363,P.Referencia!E:S,3,0)</f>
        <v>#N/A</v>
      </c>
      <c r="AA363" s="40" t="e">
        <f t="shared" si="53"/>
        <v>#N/A</v>
      </c>
      <c r="AB363" s="41" t="e">
        <f t="shared" si="54"/>
        <v>#N/A</v>
      </c>
      <c r="AC363" s="41" t="e">
        <f t="shared" si="55"/>
        <v>#N/A</v>
      </c>
    </row>
    <row r="364" spans="1:31" hidden="1" x14ac:dyDescent="0.25">
      <c r="A364" s="43">
        <v>363</v>
      </c>
      <c r="B364" t="s">
        <v>376</v>
      </c>
      <c r="C364" s="131" t="str">
        <f t="shared" si="51"/>
        <v>LlaveD81367345008100023502</v>
      </c>
      <c r="D364" s="33" t="str">
        <f>VLOOKUP(E364,'NO MODIFICAR'!J:K,2,0)</f>
        <v>D813</v>
      </c>
      <c r="E364" s="26" t="s">
        <v>6</v>
      </c>
      <c r="F364" s="33" t="str">
        <f>VLOOKUP(D364,'NO MODIFICAR'!F:H,3,0)</f>
        <v xml:space="preserve">CENTRO </v>
      </c>
      <c r="G364" s="92">
        <v>67345008</v>
      </c>
      <c r="H364" s="93" t="s">
        <v>338</v>
      </c>
      <c r="I364" s="94">
        <v>10002350</v>
      </c>
      <c r="J364" s="56" t="str">
        <f>VLOOKUP(I364,'Materiales,canteras'!C:D,2,0)</f>
        <v>Grava Triturada Andesita 10mm-</v>
      </c>
      <c r="K364" s="33">
        <f>VLOOKUP(I364,'Materiales,canteras'!C:E,3,0)</f>
        <v>1.246</v>
      </c>
      <c r="L364" s="105">
        <v>120.5</v>
      </c>
      <c r="M364" s="28" t="s">
        <v>93</v>
      </c>
      <c r="N364" s="57">
        <f t="shared" ca="1" si="52"/>
        <v>46267</v>
      </c>
      <c r="O364" s="32" t="s">
        <v>201</v>
      </c>
      <c r="R364">
        <f t="shared" si="59"/>
        <v>1.4999999999999999E-2</v>
      </c>
      <c r="S364" s="4">
        <v>150</v>
      </c>
      <c r="T364" s="66">
        <f t="shared" si="60"/>
        <v>-27.25</v>
      </c>
      <c r="U364" s="46">
        <f t="shared" si="48"/>
        <v>120.5</v>
      </c>
      <c r="V364" s="27">
        <v>0</v>
      </c>
      <c r="W364" s="131">
        <v>2</v>
      </c>
      <c r="X364" s="67">
        <f t="shared" si="49"/>
        <v>120.5</v>
      </c>
      <c r="Y364" s="32" t="e">
        <f>IF(+VLOOKUP(I364,P.Referencia!E:S,3,FALSE)&lt;=L364,"Champion","Gerente")</f>
        <v>#N/A</v>
      </c>
      <c r="Z364" s="39" t="e">
        <f>VLOOKUP(I364,P.Referencia!E:S,3,0)</f>
        <v>#N/A</v>
      </c>
      <c r="AA364" s="40" t="e">
        <f t="shared" si="53"/>
        <v>#N/A</v>
      </c>
      <c r="AB364" s="41" t="e">
        <f t="shared" si="54"/>
        <v>#N/A</v>
      </c>
      <c r="AC364" s="41" t="e">
        <f t="shared" si="55"/>
        <v>#N/A</v>
      </c>
    </row>
    <row r="365" spans="1:31" hidden="1" x14ac:dyDescent="0.25">
      <c r="A365" s="43">
        <v>364</v>
      </c>
      <c r="B365" t="s">
        <v>376</v>
      </c>
      <c r="C365" s="131" t="str">
        <f t="shared" si="51"/>
        <v>LlaveD81367345008100002532</v>
      </c>
      <c r="D365" s="33" t="str">
        <f>VLOOKUP(E365,'NO MODIFICAR'!J:K,2,0)</f>
        <v>D813</v>
      </c>
      <c r="E365" s="26" t="s">
        <v>6</v>
      </c>
      <c r="F365" s="33" t="str">
        <f>VLOOKUP(D365,'NO MODIFICAR'!F:H,3,0)</f>
        <v xml:space="preserve">CENTRO </v>
      </c>
      <c r="G365" s="92">
        <v>67345008</v>
      </c>
      <c r="H365" s="93" t="s">
        <v>338</v>
      </c>
      <c r="I365" s="94">
        <v>10000253</v>
      </c>
      <c r="J365" s="56" t="str">
        <f>VLOOKUP(I365,'Materiales,canteras'!C:D,2,0)</f>
        <v>Grava Triturada Andesita 20 mm</v>
      </c>
      <c r="K365" s="33">
        <f>VLOOKUP(I365,'Materiales,canteras'!C:E,3,0)</f>
        <v>1.385</v>
      </c>
      <c r="L365" s="105">
        <v>103.9</v>
      </c>
      <c r="M365" s="28" t="s">
        <v>93</v>
      </c>
      <c r="N365" s="57">
        <f t="shared" ca="1" si="52"/>
        <v>46267</v>
      </c>
      <c r="O365" s="32" t="s">
        <v>201</v>
      </c>
      <c r="R365">
        <f t="shared" si="59"/>
        <v>1.4999999999999999E-2</v>
      </c>
      <c r="S365" s="4">
        <v>150</v>
      </c>
      <c r="T365" s="66">
        <f t="shared" si="60"/>
        <v>-43.849999999999994</v>
      </c>
      <c r="U365" s="46">
        <f t="shared" ref="U365:U428" si="61">L365</f>
        <v>103.9</v>
      </c>
      <c r="V365" s="27">
        <v>0</v>
      </c>
      <c r="W365" s="131">
        <v>2</v>
      </c>
      <c r="X365" s="67">
        <f t="shared" si="49"/>
        <v>103.9</v>
      </c>
      <c r="Y365" s="32" t="e">
        <f>IF(+VLOOKUP(I365,P.Referencia!E:S,3,FALSE)&lt;=L365,"Champion","Gerente")</f>
        <v>#N/A</v>
      </c>
      <c r="Z365" s="39" t="e">
        <f>VLOOKUP(I365,P.Referencia!E:S,3,0)</f>
        <v>#N/A</v>
      </c>
      <c r="AA365" s="40" t="e">
        <f t="shared" si="53"/>
        <v>#N/A</v>
      </c>
      <c r="AB365" s="41" t="e">
        <f t="shared" si="54"/>
        <v>#N/A</v>
      </c>
      <c r="AC365" s="41" t="e">
        <f t="shared" si="55"/>
        <v>#N/A</v>
      </c>
    </row>
    <row r="366" spans="1:31" hidden="1" x14ac:dyDescent="0.25">
      <c r="A366" s="43">
        <v>365</v>
      </c>
      <c r="B366" t="s">
        <v>376</v>
      </c>
      <c r="C366" s="131" t="str">
        <f t="shared" si="51"/>
        <v>LlaveD81367345008100002552</v>
      </c>
      <c r="D366" s="33" t="str">
        <f>VLOOKUP(E366,'NO MODIFICAR'!J:K,2,0)</f>
        <v>D813</v>
      </c>
      <c r="E366" s="26" t="s">
        <v>6</v>
      </c>
      <c r="F366" s="33" t="str">
        <f>VLOOKUP(D366,'NO MODIFICAR'!F:H,3,0)</f>
        <v xml:space="preserve">CENTRO </v>
      </c>
      <c r="G366" s="92">
        <v>67345008</v>
      </c>
      <c r="H366" s="93" t="s">
        <v>338</v>
      </c>
      <c r="I366" s="94">
        <v>10000255</v>
      </c>
      <c r="J366" s="56" t="str">
        <f>VLOOKUP(I366,'Materiales,canteras'!C:D,2,0)</f>
        <v>Arena Triturada Andesita Malla</v>
      </c>
      <c r="K366" s="33">
        <f>VLOOKUP(I366,'Materiales,canteras'!C:E,3,0)</f>
        <v>1.5349999999999999</v>
      </c>
      <c r="L366" s="105">
        <v>104.1</v>
      </c>
      <c r="M366" s="28" t="s">
        <v>93</v>
      </c>
      <c r="N366" s="57">
        <f t="shared" ca="1" si="52"/>
        <v>46267</v>
      </c>
      <c r="O366" s="32" t="s">
        <v>201</v>
      </c>
      <c r="R366">
        <f t="shared" si="59"/>
        <v>1.4999999999999999E-2</v>
      </c>
      <c r="S366" s="4">
        <v>150</v>
      </c>
      <c r="T366" s="66">
        <f t="shared" si="60"/>
        <v>-43.650000000000006</v>
      </c>
      <c r="U366" s="46">
        <f t="shared" si="61"/>
        <v>104.1</v>
      </c>
      <c r="V366" s="27">
        <v>0</v>
      </c>
      <c r="W366" s="131">
        <v>2</v>
      </c>
      <c r="X366" s="67">
        <f t="shared" si="49"/>
        <v>104.1</v>
      </c>
      <c r="Y366" s="32" t="e">
        <f>IF(+VLOOKUP(I366,P.Referencia!E:S,3,FALSE)&lt;=L366,"Champion","Gerente")</f>
        <v>#N/A</v>
      </c>
      <c r="Z366" s="39" t="e">
        <f>VLOOKUP(I366,P.Referencia!E:S,3,0)</f>
        <v>#N/A</v>
      </c>
      <c r="AA366" s="40" t="e">
        <f t="shared" si="53"/>
        <v>#N/A</v>
      </c>
      <c r="AB366" s="41" t="e">
        <f t="shared" si="54"/>
        <v>#N/A</v>
      </c>
      <c r="AC366" s="41" t="e">
        <f t="shared" si="55"/>
        <v>#N/A</v>
      </c>
    </row>
    <row r="367" spans="1:31" hidden="1" x14ac:dyDescent="0.25">
      <c r="A367" s="43">
        <v>366</v>
      </c>
      <c r="B367" t="s">
        <v>376</v>
      </c>
      <c r="C367" s="131" t="str">
        <f t="shared" si="51"/>
        <v>LlaveDU0767223787100001032</v>
      </c>
      <c r="D367" s="33" t="str">
        <f>VLOOKUP(E367,'NO MODIFICAR'!J:K,2,0)</f>
        <v>DU07</v>
      </c>
      <c r="E367" s="26" t="s">
        <v>87</v>
      </c>
      <c r="F367" s="33" t="str">
        <f>VLOOKUP(D367,'NO MODIFICAR'!F:H,3,0)</f>
        <v>SURESTE</v>
      </c>
      <c r="G367" s="92">
        <v>67223787</v>
      </c>
      <c r="H367" s="93" t="s">
        <v>339</v>
      </c>
      <c r="I367" s="94">
        <v>10000103</v>
      </c>
      <c r="J367" s="56" t="str">
        <f>VLOOKUP(I367,'Materiales,canteras'!C:D,2,0)</f>
        <v>Base H Triturada Caliza 1 1/2" a Finos</v>
      </c>
      <c r="K367" s="33">
        <f>VLOOKUP(I367,'Materiales,canteras'!C:E,3,0)</f>
        <v>1.462</v>
      </c>
      <c r="L367" s="105">
        <v>109.09</v>
      </c>
      <c r="M367" s="28" t="s">
        <v>93</v>
      </c>
      <c r="N367" s="57">
        <f t="shared" ca="1" si="52"/>
        <v>46267</v>
      </c>
      <c r="O367" s="32" t="s">
        <v>201</v>
      </c>
      <c r="T367" s="66">
        <f t="shared" si="60"/>
        <v>109.09</v>
      </c>
      <c r="U367" s="46">
        <f t="shared" si="61"/>
        <v>109.09</v>
      </c>
      <c r="V367" s="27">
        <v>0</v>
      </c>
      <c r="W367" s="131">
        <v>2</v>
      </c>
      <c r="X367" s="67">
        <f t="shared" si="49"/>
        <v>109.09</v>
      </c>
      <c r="Y367" s="32" t="e">
        <f>IF(+VLOOKUP(I367,P.Referencia!E:S,3,FALSE)&lt;=L367,"Champion","Gerente")</f>
        <v>#N/A</v>
      </c>
      <c r="Z367" s="39" t="e">
        <f>VLOOKUP(I367,P.Referencia!E:S,3,0)</f>
        <v>#N/A</v>
      </c>
      <c r="AA367" s="40" t="e">
        <f t="shared" si="53"/>
        <v>#N/A</v>
      </c>
      <c r="AB367" s="41" t="e">
        <f t="shared" si="54"/>
        <v>#N/A</v>
      </c>
      <c r="AC367" s="41" t="e">
        <f t="shared" si="55"/>
        <v>#N/A</v>
      </c>
    </row>
    <row r="368" spans="1:31" hidden="1" x14ac:dyDescent="0.25">
      <c r="A368" s="43">
        <v>367</v>
      </c>
      <c r="B368" t="s">
        <v>376</v>
      </c>
      <c r="C368" s="131" t="str">
        <f t="shared" si="51"/>
        <v>LlaveDU0767223787102641032</v>
      </c>
      <c r="D368" s="33" t="str">
        <f>VLOOKUP(E368,'NO MODIFICAR'!J:K,2,0)</f>
        <v>DU07</v>
      </c>
      <c r="E368" s="26" t="s">
        <v>87</v>
      </c>
      <c r="F368" s="33" t="str">
        <f>VLOOKUP(D368,'NO MODIFICAR'!F:H,3,0)</f>
        <v>SURESTE</v>
      </c>
      <c r="G368" s="92">
        <v>67223787</v>
      </c>
      <c r="H368" s="93" t="s">
        <v>339</v>
      </c>
      <c r="I368" s="94">
        <v>10264103</v>
      </c>
      <c r="J368" s="56" t="str">
        <f>VLOOKUP(I368,'Materiales,canteras'!C:D,2,0)</f>
        <v>MOV BASE H TRITURADA CALIZA 1 1/2</v>
      </c>
      <c r="K368" s="33">
        <f>VLOOKUP(I368,'Materiales,canteras'!C:E,3,0)</f>
        <v>1.462</v>
      </c>
      <c r="L368" s="105">
        <v>109.09</v>
      </c>
      <c r="M368" s="28" t="s">
        <v>93</v>
      </c>
      <c r="N368" s="57">
        <f t="shared" ca="1" si="52"/>
        <v>46267</v>
      </c>
      <c r="O368" s="32" t="s">
        <v>201</v>
      </c>
      <c r="T368" s="66">
        <f t="shared" si="60"/>
        <v>109.09</v>
      </c>
      <c r="U368" s="46">
        <f t="shared" si="61"/>
        <v>109.09</v>
      </c>
      <c r="V368" s="27">
        <v>0</v>
      </c>
      <c r="W368" s="131">
        <v>2</v>
      </c>
      <c r="X368" s="67">
        <f t="shared" si="49"/>
        <v>109.09</v>
      </c>
      <c r="Y368" s="32" t="e">
        <f>IF(+VLOOKUP(I368,P.Referencia!E:S,3,FALSE)&lt;=L368,"Champion","Gerente")</f>
        <v>#N/A</v>
      </c>
      <c r="Z368" s="39" t="e">
        <f>VLOOKUP(I368,P.Referencia!E:S,3,0)</f>
        <v>#N/A</v>
      </c>
      <c r="AA368" s="40" t="e">
        <f t="shared" si="53"/>
        <v>#N/A</v>
      </c>
      <c r="AB368" s="41" t="e">
        <f t="shared" si="54"/>
        <v>#N/A</v>
      </c>
      <c r="AC368" s="41" t="e">
        <f t="shared" si="55"/>
        <v>#N/A</v>
      </c>
    </row>
    <row r="369" spans="1:30" hidden="1" x14ac:dyDescent="0.25">
      <c r="A369" s="43">
        <v>368</v>
      </c>
      <c r="B369" t="s">
        <v>377</v>
      </c>
      <c r="C369" s="131" t="str">
        <f t="shared" si="51"/>
        <v>LlaveD81367344396100002532</v>
      </c>
      <c r="D369" s="33" t="str">
        <f>VLOOKUP(E369,'NO MODIFICAR'!J:K,2,0)</f>
        <v>D813</v>
      </c>
      <c r="E369" s="26" t="s">
        <v>6</v>
      </c>
      <c r="F369" s="33" t="str">
        <f>VLOOKUP(D369,'NO MODIFICAR'!F:H,3,0)</f>
        <v xml:space="preserve">CENTRO </v>
      </c>
      <c r="G369" s="92">
        <v>67344396</v>
      </c>
      <c r="H369" s="93" t="s">
        <v>340</v>
      </c>
      <c r="I369" s="94">
        <v>10000253</v>
      </c>
      <c r="J369" s="56" t="str">
        <f>VLOOKUP(I369,'Materiales,canteras'!C:D,2,0)</f>
        <v>Grava Triturada Andesita 20 mm</v>
      </c>
      <c r="K369" s="33">
        <f>VLOOKUP(I369,'Materiales,canteras'!C:E,3,0)</f>
        <v>1.385</v>
      </c>
      <c r="L369" s="105">
        <v>100</v>
      </c>
      <c r="M369" s="28" t="s">
        <v>93</v>
      </c>
      <c r="N369" s="57">
        <f t="shared" ca="1" si="52"/>
        <v>46267</v>
      </c>
      <c r="O369" s="32" t="s">
        <v>201</v>
      </c>
      <c r="R369">
        <f>1.5/100</f>
        <v>1.4999999999999999E-2</v>
      </c>
      <c r="S369" s="4">
        <v>150</v>
      </c>
      <c r="T369" s="66">
        <f t="shared" si="60"/>
        <v>-47.75</v>
      </c>
      <c r="U369" s="46">
        <f t="shared" si="61"/>
        <v>100</v>
      </c>
      <c r="V369" s="27">
        <v>0</v>
      </c>
      <c r="W369" s="131">
        <v>2</v>
      </c>
      <c r="X369" s="67">
        <f t="shared" si="49"/>
        <v>100</v>
      </c>
      <c r="Y369" s="32" t="e">
        <f>IF(+VLOOKUP(I369,P.Referencia!E:S,3,FALSE)&lt;=L369,"Champion","Gerente")</f>
        <v>#N/A</v>
      </c>
      <c r="Z369" s="39" t="e">
        <f>VLOOKUP(I369,P.Referencia!E:S,3,0)</f>
        <v>#N/A</v>
      </c>
      <c r="AA369" s="40" t="e">
        <f t="shared" si="53"/>
        <v>#N/A</v>
      </c>
      <c r="AB369" s="41" t="e">
        <f t="shared" si="54"/>
        <v>#N/A</v>
      </c>
      <c r="AC369" s="41" t="e">
        <f t="shared" si="55"/>
        <v>#N/A</v>
      </c>
    </row>
    <row r="370" spans="1:30" hidden="1" x14ac:dyDescent="0.25">
      <c r="A370" s="43">
        <v>369</v>
      </c>
      <c r="B370" t="s">
        <v>377</v>
      </c>
      <c r="C370" s="131" t="str">
        <f t="shared" si="51"/>
        <v>LlaveD81367344396100002552</v>
      </c>
      <c r="D370" s="33" t="str">
        <f>VLOOKUP(E370,'NO MODIFICAR'!J:K,2,0)</f>
        <v>D813</v>
      </c>
      <c r="E370" s="26" t="s">
        <v>6</v>
      </c>
      <c r="F370" s="33" t="str">
        <f>VLOOKUP(D370,'NO MODIFICAR'!F:H,3,0)</f>
        <v xml:space="preserve">CENTRO </v>
      </c>
      <c r="G370" s="92">
        <v>67344396</v>
      </c>
      <c r="H370" s="93" t="s">
        <v>340</v>
      </c>
      <c r="I370" s="94">
        <v>10000255</v>
      </c>
      <c r="J370" s="56" t="str">
        <f>VLOOKUP(I370,'Materiales,canteras'!C:D,2,0)</f>
        <v>Arena Triturada Andesita Malla</v>
      </c>
      <c r="K370" s="33">
        <f>VLOOKUP(I370,'Materiales,canteras'!C:E,3,0)</f>
        <v>1.5349999999999999</v>
      </c>
      <c r="L370" s="105">
        <v>90.95</v>
      </c>
      <c r="M370" s="28" t="s">
        <v>93</v>
      </c>
      <c r="N370" s="57">
        <f t="shared" ca="1" si="52"/>
        <v>46267</v>
      </c>
      <c r="O370" s="32" t="s">
        <v>201</v>
      </c>
      <c r="R370">
        <f>1.5/100</f>
        <v>1.4999999999999999E-2</v>
      </c>
      <c r="S370" s="4">
        <v>150</v>
      </c>
      <c r="T370" s="66">
        <f t="shared" si="60"/>
        <v>-56.8</v>
      </c>
      <c r="U370" s="46">
        <f t="shared" si="61"/>
        <v>90.95</v>
      </c>
      <c r="V370" s="27">
        <v>0</v>
      </c>
      <c r="W370" s="131">
        <v>2</v>
      </c>
      <c r="X370" s="67">
        <f t="shared" si="49"/>
        <v>90.95</v>
      </c>
      <c r="Y370" s="32" t="e">
        <f>IF(+VLOOKUP(I370,P.Referencia!E:S,3,FALSE)&lt;=L370,"Champion","Gerente")</f>
        <v>#N/A</v>
      </c>
      <c r="Z370" s="39" t="e">
        <f>VLOOKUP(I370,P.Referencia!E:S,3,0)</f>
        <v>#N/A</v>
      </c>
      <c r="AA370" s="40" t="e">
        <f t="shared" si="53"/>
        <v>#N/A</v>
      </c>
      <c r="AB370" s="41" t="e">
        <f t="shared" si="54"/>
        <v>#N/A</v>
      </c>
      <c r="AC370" s="41" t="e">
        <f t="shared" si="55"/>
        <v>#N/A</v>
      </c>
    </row>
    <row r="371" spans="1:30" hidden="1" x14ac:dyDescent="0.25">
      <c r="A371" s="43">
        <v>370</v>
      </c>
      <c r="B371" t="s">
        <v>376</v>
      </c>
      <c r="C371" s="131" t="str">
        <f t="shared" si="51"/>
        <v>LlaveD86467345643101727852</v>
      </c>
      <c r="D371" s="33" t="str">
        <f>VLOOKUP(E371,'NO MODIFICAR'!J:K,2,0)</f>
        <v>D864</v>
      </c>
      <c r="E371" s="26" t="s">
        <v>55</v>
      </c>
      <c r="F371" s="33" t="str">
        <f>VLOOKUP(D371,'NO MODIFICAR'!F:H,3,0)</f>
        <v xml:space="preserve">CENTRO </v>
      </c>
      <c r="G371" s="92">
        <v>67345643</v>
      </c>
      <c r="H371" s="93" t="s">
        <v>341</v>
      </c>
      <c r="I371" s="94">
        <v>10172785</v>
      </c>
      <c r="J371" s="56" t="str">
        <f>VLOOKUP(I371,'Materiales,canteras'!C:D,2,0)</f>
        <v>BASE HIDRÁULICA 60%FINOS-40%GR</v>
      </c>
      <c r="K371" s="33">
        <f>VLOOKUP(I371,'Materiales,canteras'!C:E,3,0)</f>
        <v>1.5840000000000001</v>
      </c>
      <c r="L371" s="105">
        <v>78</v>
      </c>
      <c r="M371" s="28" t="s">
        <v>93</v>
      </c>
      <c r="N371" s="57">
        <f t="shared" ca="1" si="52"/>
        <v>46267</v>
      </c>
      <c r="O371" s="32" t="s">
        <v>201</v>
      </c>
      <c r="R371">
        <f>1.5/100</f>
        <v>1.4999999999999999E-2</v>
      </c>
      <c r="S371" s="4">
        <v>105</v>
      </c>
      <c r="T371" s="66">
        <f t="shared" si="60"/>
        <v>-25.424999999999997</v>
      </c>
      <c r="U371" s="46">
        <f t="shared" si="61"/>
        <v>78</v>
      </c>
      <c r="V371" s="27">
        <v>0</v>
      </c>
      <c r="W371" s="131">
        <v>2</v>
      </c>
      <c r="X371" s="67">
        <f t="shared" si="49"/>
        <v>78</v>
      </c>
      <c r="Y371" s="32" t="e">
        <f>IF(+VLOOKUP(I371,P.Referencia!E:S,3,FALSE)&lt;=L371,"Champion","Gerente")</f>
        <v>#N/A</v>
      </c>
      <c r="Z371" s="39" t="e">
        <f>VLOOKUP(I371,P.Referencia!E:S,3,0)</f>
        <v>#N/A</v>
      </c>
      <c r="AA371" s="40" t="e">
        <f t="shared" si="53"/>
        <v>#N/A</v>
      </c>
      <c r="AB371" s="41" t="e">
        <f t="shared" si="54"/>
        <v>#N/A</v>
      </c>
      <c r="AC371" s="41" t="e">
        <f t="shared" si="55"/>
        <v>#N/A</v>
      </c>
    </row>
    <row r="372" spans="1:30" hidden="1" x14ac:dyDescent="0.25">
      <c r="A372" s="43">
        <v>371</v>
      </c>
      <c r="B372" t="s">
        <v>376</v>
      </c>
      <c r="C372" s="131" t="str">
        <f t="shared" si="51"/>
        <v>LlaveD86467345643101737842</v>
      </c>
      <c r="D372" s="33" t="str">
        <f>VLOOKUP(E372,'NO MODIFICAR'!J:K,2,0)</f>
        <v>D864</v>
      </c>
      <c r="E372" s="26" t="s">
        <v>55</v>
      </c>
      <c r="F372" s="33" t="str">
        <f>VLOOKUP(D372,'NO MODIFICAR'!F:H,3,0)</f>
        <v xml:space="preserve">CENTRO </v>
      </c>
      <c r="G372" s="92">
        <v>67345643</v>
      </c>
      <c r="H372" s="93" t="s">
        <v>341</v>
      </c>
      <c r="I372" s="94">
        <v>10173784</v>
      </c>
      <c r="J372" s="56" t="str">
        <f>VLOOKUP(I372,'Materiales,canteras'!C:D,2,0)</f>
        <v>BASE HIDRÁULICA 80%FINOS-20%GR</v>
      </c>
      <c r="K372" s="33">
        <f>VLOOKUP(I372,'Materiales,canteras'!C:E,3,0)</f>
        <v>1.6240000000000001</v>
      </c>
      <c r="L372" s="105">
        <v>50</v>
      </c>
      <c r="M372" s="28" t="s">
        <v>93</v>
      </c>
      <c r="N372" s="57">
        <f t="shared" ca="1" si="52"/>
        <v>46267</v>
      </c>
      <c r="O372" s="32" t="s">
        <v>201</v>
      </c>
      <c r="R372">
        <f>1.5/100</f>
        <v>1.4999999999999999E-2</v>
      </c>
      <c r="S372" s="4">
        <v>65</v>
      </c>
      <c r="T372" s="66">
        <f t="shared" si="60"/>
        <v>-14.025000000000006</v>
      </c>
      <c r="U372" s="46">
        <f t="shared" si="61"/>
        <v>50</v>
      </c>
      <c r="V372" s="27">
        <v>0</v>
      </c>
      <c r="W372" s="131">
        <v>2</v>
      </c>
      <c r="X372" s="67">
        <f t="shared" si="49"/>
        <v>50</v>
      </c>
      <c r="Y372" s="32" t="e">
        <f>IF(+VLOOKUP(I372,P.Referencia!E:S,3,FALSE)&lt;=L372,"Champion","Gerente")</f>
        <v>#N/A</v>
      </c>
      <c r="Z372" s="39" t="e">
        <f>VLOOKUP(I372,P.Referencia!E:S,3,0)</f>
        <v>#N/A</v>
      </c>
      <c r="AA372" s="40" t="e">
        <f t="shared" si="53"/>
        <v>#N/A</v>
      </c>
      <c r="AB372" s="41" t="e">
        <f t="shared" si="54"/>
        <v>#N/A</v>
      </c>
      <c r="AC372" s="41" t="e">
        <f t="shared" si="55"/>
        <v>#N/A</v>
      </c>
    </row>
    <row r="373" spans="1:30" hidden="1" x14ac:dyDescent="0.25">
      <c r="A373" s="43">
        <v>372</v>
      </c>
      <c r="B373" t="s">
        <v>376</v>
      </c>
      <c r="C373" s="131" t="str">
        <f t="shared" si="51"/>
        <v>LlaveD86467345643100012032</v>
      </c>
      <c r="D373" s="33" t="str">
        <f>VLOOKUP(E373,'NO MODIFICAR'!J:K,2,0)</f>
        <v>D864</v>
      </c>
      <c r="E373" s="26" t="s">
        <v>55</v>
      </c>
      <c r="F373" s="33" t="str">
        <f>VLOOKUP(D373,'NO MODIFICAR'!F:H,3,0)</f>
        <v xml:space="preserve">CENTRO </v>
      </c>
      <c r="G373" s="92">
        <v>67345643</v>
      </c>
      <c r="H373" s="93" t="s">
        <v>341</v>
      </c>
      <c r="I373" s="94">
        <v>10001203</v>
      </c>
      <c r="J373" s="56" t="str">
        <f>VLOOKUP(I373,'Materiales,canteras'!C:D,2,0)</f>
        <v>Desperdicio Triturado Caliza</v>
      </c>
      <c r="K373" s="33">
        <f>VLOOKUP(I373,'Materiales,canteras'!C:E,3,0)</f>
        <v>1.665</v>
      </c>
      <c r="L373" s="105">
        <v>15</v>
      </c>
      <c r="M373" s="28" t="s">
        <v>93</v>
      </c>
      <c r="N373" s="57">
        <f t="shared" ca="1" si="52"/>
        <v>46267</v>
      </c>
      <c r="O373" s="32" t="s">
        <v>201</v>
      </c>
      <c r="R373">
        <f>1.5/100</f>
        <v>1.4999999999999999E-2</v>
      </c>
      <c r="S373" s="4">
        <v>22</v>
      </c>
      <c r="T373" s="66">
        <f t="shared" si="60"/>
        <v>-6.6700000000000017</v>
      </c>
      <c r="U373" s="46">
        <f t="shared" si="61"/>
        <v>15</v>
      </c>
      <c r="V373" s="27">
        <v>0</v>
      </c>
      <c r="W373" s="131">
        <v>2</v>
      </c>
      <c r="X373" s="67">
        <f t="shared" si="49"/>
        <v>15</v>
      </c>
      <c r="Y373" s="32" t="e">
        <f>IF(+VLOOKUP(I373,P.Referencia!E:S,3,FALSE)&lt;=L373,"Champion","Gerente")</f>
        <v>#N/A</v>
      </c>
      <c r="Z373" s="39" t="e">
        <f>VLOOKUP(I373,P.Referencia!E:S,3,0)</f>
        <v>#N/A</v>
      </c>
      <c r="AA373" s="40" t="e">
        <f t="shared" si="53"/>
        <v>#N/A</v>
      </c>
      <c r="AB373" s="41" t="e">
        <f t="shared" si="54"/>
        <v>#N/A</v>
      </c>
      <c r="AC373" s="41" t="e">
        <f t="shared" si="55"/>
        <v>#N/A</v>
      </c>
    </row>
    <row r="374" spans="1:30" hidden="1" x14ac:dyDescent="0.25">
      <c r="A374" s="43">
        <v>373</v>
      </c>
      <c r="B374" t="s">
        <v>376</v>
      </c>
      <c r="C374" s="131" t="str">
        <f t="shared" si="51"/>
        <v>LlaveDU07EQ86100005791</v>
      </c>
      <c r="D374" s="33" t="str">
        <f>VLOOKUP(E374,'NO MODIFICAR'!J:K,2,0)</f>
        <v>DU07</v>
      </c>
      <c r="E374" s="26" t="s">
        <v>87</v>
      </c>
      <c r="F374" s="33" t="str">
        <f>VLOOKUP(D374,'NO MODIFICAR'!F:H,3,0)</f>
        <v>SURESTE</v>
      </c>
      <c r="G374" s="92" t="s">
        <v>280</v>
      </c>
      <c r="H374" s="93" t="s">
        <v>281</v>
      </c>
      <c r="I374" s="94">
        <v>10000579</v>
      </c>
      <c r="J374" s="56" t="str">
        <f>VLOOKUP(I374,'Materiales,canteras'!C:D,2,0)</f>
        <v>Grava Triturada Caliza 40 mm - 1 1/2"</v>
      </c>
      <c r="K374" s="33">
        <f>VLOOKUP(I374,'Materiales,canteras'!C:E,3,0)</f>
        <v>1.387</v>
      </c>
      <c r="L374" s="27">
        <v>241.53</v>
      </c>
      <c r="M374" s="28" t="s">
        <v>93</v>
      </c>
      <c r="N374" s="57">
        <f t="shared" ca="1" si="52"/>
        <v>46267</v>
      </c>
      <c r="O374" s="32" t="s">
        <v>201</v>
      </c>
      <c r="T374" s="66">
        <f t="shared" si="60"/>
        <v>241.53</v>
      </c>
      <c r="U374" s="46">
        <f t="shared" si="61"/>
        <v>241.53</v>
      </c>
      <c r="V374" s="27">
        <v>113.55</v>
      </c>
      <c r="W374" s="131">
        <v>1</v>
      </c>
      <c r="X374" s="67">
        <f t="shared" si="49"/>
        <v>355.08</v>
      </c>
      <c r="Y374" s="32" t="e">
        <f>IF(+VLOOKUP(I374,P.Referencia!E:S,3,FALSE)&lt;=L374,"Champion","Gerente")</f>
        <v>#N/A</v>
      </c>
      <c r="Z374" s="39" t="e">
        <f>VLOOKUP(I374,P.Referencia!E:S,3,0)</f>
        <v>#N/A</v>
      </c>
      <c r="AA374" s="40" t="e">
        <f t="shared" si="53"/>
        <v>#N/A</v>
      </c>
      <c r="AB374" s="41" t="e">
        <f t="shared" si="54"/>
        <v>#N/A</v>
      </c>
      <c r="AC374" s="41" t="e">
        <f t="shared" si="55"/>
        <v>#N/A</v>
      </c>
      <c r="AD374" t="s">
        <v>342</v>
      </c>
    </row>
    <row r="375" spans="1:30" hidden="1" x14ac:dyDescent="0.25">
      <c r="A375" s="43">
        <v>374</v>
      </c>
      <c r="B375" t="s">
        <v>376</v>
      </c>
      <c r="C375" s="131" t="str">
        <f t="shared" si="51"/>
        <v>LlaveD86167012554100031532</v>
      </c>
      <c r="D375" s="33" t="str">
        <f>VLOOKUP(E375,'NO MODIFICAR'!J:K,2,0)</f>
        <v>D861</v>
      </c>
      <c r="E375" s="26" t="s">
        <v>44</v>
      </c>
      <c r="F375" s="33" t="str">
        <f>VLOOKUP(D375,'NO MODIFICAR'!F:H,3,0)</f>
        <v xml:space="preserve">CENTRO </v>
      </c>
      <c r="G375" s="92">
        <v>67012554</v>
      </c>
      <c r="H375" s="93" t="s">
        <v>316</v>
      </c>
      <c r="I375" s="94">
        <v>10003153</v>
      </c>
      <c r="J375" s="56" t="str">
        <f>VLOOKUP(I375,'Materiales,canteras'!C:D,2,0)</f>
        <v>Grava Triturada Basalto 13 mm</v>
      </c>
      <c r="K375" s="33">
        <f>VLOOKUP(I375,'Materiales,canteras'!C:E,3,0)</f>
        <v>1.546</v>
      </c>
      <c r="L375" s="27">
        <v>215</v>
      </c>
      <c r="M375" s="28" t="s">
        <v>93</v>
      </c>
      <c r="N375" s="57">
        <f t="shared" ca="1" si="52"/>
        <v>46267</v>
      </c>
      <c r="O375" s="32" t="s">
        <v>201</v>
      </c>
      <c r="S375" s="4">
        <v>270</v>
      </c>
      <c r="T375" s="66">
        <f t="shared" si="60"/>
        <v>-55</v>
      </c>
      <c r="U375" s="46">
        <f t="shared" si="61"/>
        <v>215</v>
      </c>
      <c r="V375" s="27">
        <v>0</v>
      </c>
      <c r="W375" s="131">
        <v>2</v>
      </c>
      <c r="X375" s="67">
        <f t="shared" si="49"/>
        <v>215</v>
      </c>
      <c r="Y375" s="32" t="e">
        <f>IF(+VLOOKUP(I375,P.Referencia!E:S,3,FALSE)&lt;=L375,"Champion","Gerente")</f>
        <v>#N/A</v>
      </c>
      <c r="Z375" s="39" t="e">
        <f>VLOOKUP(I375,P.Referencia!E:S,3,0)</f>
        <v>#N/A</v>
      </c>
      <c r="AA375" s="40" t="e">
        <f t="shared" si="53"/>
        <v>#N/A</v>
      </c>
      <c r="AB375" s="41" t="e">
        <f t="shared" si="54"/>
        <v>#N/A</v>
      </c>
      <c r="AC375" s="41" t="e">
        <f t="shared" si="55"/>
        <v>#N/A</v>
      </c>
    </row>
    <row r="376" spans="1:30" hidden="1" x14ac:dyDescent="0.25">
      <c r="A376" s="43">
        <v>375</v>
      </c>
      <c r="B376" t="s">
        <v>376</v>
      </c>
      <c r="C376" s="131" t="str">
        <f t="shared" si="51"/>
        <v>LlaveD86467089577101727852</v>
      </c>
      <c r="D376" s="33" t="str">
        <f>VLOOKUP(E376,'NO MODIFICAR'!J:K,2,0)</f>
        <v>D864</v>
      </c>
      <c r="E376" s="26" t="s">
        <v>55</v>
      </c>
      <c r="F376" s="33" t="str">
        <f>VLOOKUP(D376,'NO MODIFICAR'!F:H,3,0)</f>
        <v xml:space="preserve">CENTRO </v>
      </c>
      <c r="G376" s="92">
        <v>67089577</v>
      </c>
      <c r="H376" s="93" t="s">
        <v>343</v>
      </c>
      <c r="I376" s="94">
        <v>10172785</v>
      </c>
      <c r="J376" s="56" t="str">
        <f>VLOOKUP(I376,'Materiales,canteras'!C:D,2,0)</f>
        <v>BASE HIDRÁULICA 60%FINOS-40%GR</v>
      </c>
      <c r="K376" s="33">
        <f>VLOOKUP(I376,'Materiales,canteras'!C:E,3,0)</f>
        <v>1.5840000000000001</v>
      </c>
      <c r="L376" s="27">
        <v>78</v>
      </c>
      <c r="M376" s="28" t="s">
        <v>93</v>
      </c>
      <c r="N376" s="57">
        <f t="shared" ca="1" si="52"/>
        <v>46267</v>
      </c>
      <c r="O376" s="32" t="s">
        <v>201</v>
      </c>
      <c r="R376">
        <f>1.5/100</f>
        <v>1.4999999999999999E-2</v>
      </c>
      <c r="S376" s="4">
        <v>105</v>
      </c>
      <c r="T376" s="66">
        <f t="shared" si="60"/>
        <v>-25.424999999999997</v>
      </c>
      <c r="U376" s="46">
        <f t="shared" si="61"/>
        <v>78</v>
      </c>
      <c r="V376" s="27">
        <v>0</v>
      </c>
      <c r="W376" s="131">
        <v>2</v>
      </c>
      <c r="X376" s="67">
        <f t="shared" si="49"/>
        <v>78</v>
      </c>
      <c r="Y376" s="32" t="e">
        <f>IF(+VLOOKUP(I376,P.Referencia!E:S,3,FALSE)&lt;=L376,"Champion","Gerente")</f>
        <v>#N/A</v>
      </c>
      <c r="Z376" s="39" t="e">
        <f>VLOOKUP(I376,P.Referencia!E:S,3,0)</f>
        <v>#N/A</v>
      </c>
      <c r="AA376" s="40" t="e">
        <f t="shared" si="53"/>
        <v>#N/A</v>
      </c>
      <c r="AB376" s="41" t="e">
        <f t="shared" si="54"/>
        <v>#N/A</v>
      </c>
      <c r="AC376" s="41" t="e">
        <f t="shared" si="55"/>
        <v>#N/A</v>
      </c>
    </row>
    <row r="377" spans="1:30" hidden="1" x14ac:dyDescent="0.25">
      <c r="A377" s="43">
        <v>376</v>
      </c>
      <c r="B377" t="s">
        <v>376</v>
      </c>
      <c r="C377" s="131" t="str">
        <f t="shared" si="51"/>
        <v>LlaveDU0766984747100001032</v>
      </c>
      <c r="D377" s="33" t="str">
        <f>VLOOKUP(E377,'NO MODIFICAR'!J:K,2,0)</f>
        <v>DU07</v>
      </c>
      <c r="E377" s="26" t="s">
        <v>87</v>
      </c>
      <c r="F377" s="33" t="str">
        <f>VLOOKUP(D377,'NO MODIFICAR'!F:H,3,0)</f>
        <v>SURESTE</v>
      </c>
      <c r="G377" s="92">
        <v>66984747</v>
      </c>
      <c r="H377" s="93" t="s">
        <v>344</v>
      </c>
      <c r="I377" s="94">
        <v>10000103</v>
      </c>
      <c r="J377" s="56" t="str">
        <f>VLOOKUP(I377,'Materiales,canteras'!C:D,2,0)</f>
        <v>Base H Triturada Caliza 1 1/2" a Finos</v>
      </c>
      <c r="K377" s="33">
        <f>VLOOKUP(I377,'Materiales,canteras'!C:E,3,0)</f>
        <v>1.462</v>
      </c>
      <c r="L377" s="105">
        <f>160/K377</f>
        <v>109.43912448700411</v>
      </c>
      <c r="M377" s="28" t="s">
        <v>93</v>
      </c>
      <c r="N377" s="57">
        <f t="shared" ca="1" si="52"/>
        <v>46267</v>
      </c>
      <c r="O377" s="32" t="s">
        <v>201</v>
      </c>
      <c r="S377" s="4">
        <v>150</v>
      </c>
      <c r="T377" s="66">
        <f t="shared" si="60"/>
        <v>-40.560875512995892</v>
      </c>
      <c r="U377" s="46">
        <f t="shared" si="61"/>
        <v>109.43912448700411</v>
      </c>
      <c r="V377" s="27">
        <v>0</v>
      </c>
      <c r="W377" s="4">
        <v>2</v>
      </c>
      <c r="X377" s="67">
        <f t="shared" si="49"/>
        <v>109.43912448700411</v>
      </c>
      <c r="Y377" s="32" t="e">
        <f>IF(+VLOOKUP(I377,P.Referencia!E:S,3,FALSE)&lt;=L377,"Champion","Gerente")</f>
        <v>#N/A</v>
      </c>
      <c r="Z377" s="39" t="e">
        <f>VLOOKUP(I377,P.Referencia!E:S,3,0)</f>
        <v>#N/A</v>
      </c>
      <c r="AA377" s="40" t="e">
        <f t="shared" si="53"/>
        <v>#N/A</v>
      </c>
      <c r="AB377" s="41" t="e">
        <f t="shared" si="54"/>
        <v>#N/A</v>
      </c>
      <c r="AC377" s="41" t="e">
        <f t="shared" si="55"/>
        <v>#N/A</v>
      </c>
    </row>
    <row r="378" spans="1:30" hidden="1" x14ac:dyDescent="0.25">
      <c r="A378" s="43">
        <v>377</v>
      </c>
      <c r="B378" t="s">
        <v>376</v>
      </c>
      <c r="C378" s="131" t="str">
        <f t="shared" si="51"/>
        <v>LlaveDU0766984747102641032</v>
      </c>
      <c r="D378" s="33" t="str">
        <f>VLOOKUP(E378,'NO MODIFICAR'!J:K,2,0)</f>
        <v>DU07</v>
      </c>
      <c r="E378" s="26" t="s">
        <v>87</v>
      </c>
      <c r="F378" s="33" t="str">
        <f>VLOOKUP(D378,'NO MODIFICAR'!F:H,3,0)</f>
        <v>SURESTE</v>
      </c>
      <c r="G378" s="92">
        <v>66984747</v>
      </c>
      <c r="H378" s="93" t="s">
        <v>344</v>
      </c>
      <c r="I378" s="94">
        <v>10264103</v>
      </c>
      <c r="J378" s="56" t="str">
        <f>VLOOKUP(I378,'Materiales,canteras'!C:D,2,0)</f>
        <v>MOV BASE H TRITURADA CALIZA 1 1/2</v>
      </c>
      <c r="K378" s="33">
        <f>VLOOKUP(I378,'Materiales,canteras'!C:E,3,0)</f>
        <v>1.462</v>
      </c>
      <c r="L378" s="105">
        <f>160/K378</f>
        <v>109.43912448700411</v>
      </c>
      <c r="M378" s="28" t="s">
        <v>93</v>
      </c>
      <c r="N378" s="57">
        <f t="shared" ca="1" si="52"/>
        <v>46267</v>
      </c>
      <c r="O378" s="32" t="s">
        <v>201</v>
      </c>
      <c r="S378" s="4">
        <v>390</v>
      </c>
      <c r="T378" s="66">
        <f t="shared" si="60"/>
        <v>-280.56087551299589</v>
      </c>
      <c r="U378" s="46">
        <f t="shared" si="61"/>
        <v>109.43912448700411</v>
      </c>
      <c r="V378" s="27">
        <v>0</v>
      </c>
      <c r="W378" s="4">
        <v>2</v>
      </c>
      <c r="X378" s="67">
        <f t="shared" si="49"/>
        <v>109.43912448700411</v>
      </c>
      <c r="Y378" s="32" t="e">
        <f>IF(+VLOOKUP(I378,P.Referencia!E:S,3,FALSE)&lt;=L378,"Champion","Gerente")</f>
        <v>#N/A</v>
      </c>
      <c r="Z378" s="39" t="e">
        <f>VLOOKUP(I378,P.Referencia!E:S,3,0)</f>
        <v>#N/A</v>
      </c>
      <c r="AA378" s="40" t="e">
        <f t="shared" si="53"/>
        <v>#N/A</v>
      </c>
      <c r="AB378" s="41" t="e">
        <f t="shared" si="54"/>
        <v>#N/A</v>
      </c>
      <c r="AC378" s="41" t="e">
        <f t="shared" si="55"/>
        <v>#N/A</v>
      </c>
    </row>
    <row r="379" spans="1:30" hidden="1" x14ac:dyDescent="0.25">
      <c r="A379" s="43">
        <v>378</v>
      </c>
      <c r="B379" t="s">
        <v>376</v>
      </c>
      <c r="C379" s="131" t="str">
        <f t="shared" si="51"/>
        <v>LlaveD86466908488100010742</v>
      </c>
      <c r="D379" s="33" t="str">
        <f>VLOOKUP(E379,'NO MODIFICAR'!J:K,2,0)</f>
        <v>D864</v>
      </c>
      <c r="E379" s="26" t="s">
        <v>55</v>
      </c>
      <c r="F379" s="33" t="str">
        <f>VLOOKUP(D379,'NO MODIFICAR'!F:H,3,0)</f>
        <v xml:space="preserve">CENTRO </v>
      </c>
      <c r="G379" s="92">
        <v>66908488</v>
      </c>
      <c r="H379" s="93" t="s">
        <v>317</v>
      </c>
      <c r="I379" s="94">
        <v>10001074</v>
      </c>
      <c r="J379" s="56" t="str">
        <f>VLOOKUP(I379,'Materiales,canteras'!C:D,2,0)</f>
        <v>Grava Triturada Caliza 40 mm -</v>
      </c>
      <c r="K379" s="33">
        <f>VLOOKUP(I379,'Materiales,canteras'!C:E,3,0)</f>
        <v>1.4</v>
      </c>
      <c r="L379" s="105">
        <v>137</v>
      </c>
      <c r="M379" s="28" t="s">
        <v>93</v>
      </c>
      <c r="N379" s="57">
        <f t="shared" ca="1" si="52"/>
        <v>46267</v>
      </c>
      <c r="O379" s="32" t="s">
        <v>201</v>
      </c>
      <c r="S379" s="4">
        <v>220</v>
      </c>
      <c r="T379" s="66">
        <f t="shared" si="60"/>
        <v>-83</v>
      </c>
      <c r="U379" s="46">
        <f t="shared" si="61"/>
        <v>137</v>
      </c>
      <c r="V379" s="27">
        <v>0</v>
      </c>
      <c r="W379" s="4">
        <v>2</v>
      </c>
      <c r="X379" s="67">
        <f t="shared" si="49"/>
        <v>137</v>
      </c>
      <c r="Y379" s="32" t="e">
        <f>IF(+VLOOKUP(I379,P.Referencia!E:S,3,FALSE)&lt;=L379,"Champion","Gerente")</f>
        <v>#N/A</v>
      </c>
      <c r="Z379" s="39" t="e">
        <f>VLOOKUP(I379,P.Referencia!E:S,3,0)</f>
        <v>#N/A</v>
      </c>
      <c r="AA379" s="40" t="e">
        <f t="shared" si="53"/>
        <v>#N/A</v>
      </c>
      <c r="AB379" s="41" t="e">
        <f t="shared" si="54"/>
        <v>#N/A</v>
      </c>
      <c r="AC379" s="41" t="e">
        <f t="shared" si="55"/>
        <v>#N/A</v>
      </c>
    </row>
    <row r="380" spans="1:30" hidden="1" x14ac:dyDescent="0.25">
      <c r="A380" s="43">
        <v>379</v>
      </c>
      <c r="B380" t="s">
        <v>376</v>
      </c>
      <c r="C380" s="131" t="str">
        <f t="shared" si="51"/>
        <v>LlaveDU0767223787100001031</v>
      </c>
      <c r="D380" s="33" t="str">
        <f>VLOOKUP(E380,'NO MODIFICAR'!J:K,2,0)</f>
        <v>DU07</v>
      </c>
      <c r="E380" s="26" t="s">
        <v>87</v>
      </c>
      <c r="F380" s="33" t="str">
        <f>VLOOKUP(D380,'NO MODIFICAR'!F:H,3,0)</f>
        <v>SURESTE</v>
      </c>
      <c r="G380" s="92">
        <v>67223787</v>
      </c>
      <c r="H380" s="93" t="s">
        <v>339</v>
      </c>
      <c r="I380" s="94">
        <v>10000103</v>
      </c>
      <c r="J380" s="56" t="str">
        <f>VLOOKUP(I380,'Materiales,canteras'!C:D,2,0)</f>
        <v>Base H Triturada Caliza 1 1/2" a Finos</v>
      </c>
      <c r="K380" s="33">
        <f>VLOOKUP(I380,'Materiales,canteras'!C:E,3,0)</f>
        <v>1.462</v>
      </c>
      <c r="L380" s="105">
        <v>109.08533421387803</v>
      </c>
      <c r="M380" s="28" t="s">
        <v>93</v>
      </c>
      <c r="N380" s="57">
        <f t="shared" ca="1" si="52"/>
        <v>46267</v>
      </c>
      <c r="O380" s="32" t="s">
        <v>201</v>
      </c>
      <c r="R380">
        <f>1.5/100</f>
        <v>1.4999999999999999E-2</v>
      </c>
      <c r="S380" s="4">
        <v>150</v>
      </c>
      <c r="T380" s="66">
        <f t="shared" si="60"/>
        <v>-38.664665786121972</v>
      </c>
      <c r="U380" s="46">
        <f t="shared" si="61"/>
        <v>109.08533421387803</v>
      </c>
      <c r="V380" s="82">
        <v>51.299589603283174</v>
      </c>
      <c r="W380" s="4">
        <v>1</v>
      </c>
      <c r="X380" s="67">
        <f t="shared" ref="X380:X443" si="62">U380+V380</f>
        <v>160.38492381716119</v>
      </c>
      <c r="Y380" s="32" t="e">
        <f>IF(+VLOOKUP(I380,P.Referencia!E:S,3,FALSE)&lt;=L380,"Champion","Gerente")</f>
        <v>#N/A</v>
      </c>
      <c r="Z380" s="39" t="e">
        <f>VLOOKUP(I380,P.Referencia!E:S,3,0)</f>
        <v>#N/A</v>
      </c>
      <c r="AA380" s="40" t="e">
        <f t="shared" si="53"/>
        <v>#N/A</v>
      </c>
      <c r="AB380" s="41" t="e">
        <f t="shared" si="54"/>
        <v>#N/A</v>
      </c>
      <c r="AC380" s="41" t="e">
        <f t="shared" si="55"/>
        <v>#N/A</v>
      </c>
    </row>
    <row r="381" spans="1:30" hidden="1" x14ac:dyDescent="0.25">
      <c r="A381" s="43">
        <v>380</v>
      </c>
      <c r="B381" t="s">
        <v>376</v>
      </c>
      <c r="C381" s="131" t="str">
        <f t="shared" si="51"/>
        <v>LlaveDU0767223787102641031</v>
      </c>
      <c r="D381" s="33" t="str">
        <f>VLOOKUP(E381,'NO MODIFICAR'!J:K,2,0)</f>
        <v>DU07</v>
      </c>
      <c r="E381" s="26" t="s">
        <v>87</v>
      </c>
      <c r="F381" s="33" t="str">
        <f>VLOOKUP(D381,'NO MODIFICAR'!F:H,3,0)</f>
        <v>SURESTE</v>
      </c>
      <c r="G381" s="92">
        <v>67223787</v>
      </c>
      <c r="H381" s="93" t="s">
        <v>339</v>
      </c>
      <c r="I381" s="94">
        <v>10264103</v>
      </c>
      <c r="J381" s="56" t="str">
        <f>VLOOKUP(I381,'Materiales,canteras'!C:D,2,0)</f>
        <v>MOV BASE H TRITURADA CALIZA 1 1/2</v>
      </c>
      <c r="K381" s="33">
        <f>VLOOKUP(I381,'Materiales,canteras'!C:E,3,0)</f>
        <v>1.462</v>
      </c>
      <c r="L381" s="105">
        <v>109.08533421387803</v>
      </c>
      <c r="M381" s="28" t="s">
        <v>93</v>
      </c>
      <c r="N381" s="57">
        <f t="shared" ca="1" si="52"/>
        <v>46267</v>
      </c>
      <c r="O381" s="32" t="s">
        <v>201</v>
      </c>
      <c r="R381">
        <f>1.5/100</f>
        <v>1.4999999999999999E-2</v>
      </c>
      <c r="S381" s="4">
        <v>390</v>
      </c>
      <c r="T381" s="66">
        <f t="shared" si="60"/>
        <v>-275.06466578612196</v>
      </c>
      <c r="U381" s="46">
        <f t="shared" si="61"/>
        <v>109.08533421387803</v>
      </c>
      <c r="V381" s="82">
        <v>51.299589603283174</v>
      </c>
      <c r="W381" s="4">
        <v>1</v>
      </c>
      <c r="X381" s="67">
        <f t="shared" si="62"/>
        <v>160.38492381716119</v>
      </c>
      <c r="Y381" s="32" t="e">
        <f>IF(+VLOOKUP(I381,P.Referencia!E:S,3,FALSE)&lt;=L381,"Champion","Gerente")</f>
        <v>#N/A</v>
      </c>
      <c r="Z381" s="39" t="e">
        <f>VLOOKUP(I381,P.Referencia!E:S,3,0)</f>
        <v>#N/A</v>
      </c>
      <c r="AA381" s="40" t="e">
        <f t="shared" si="53"/>
        <v>#N/A</v>
      </c>
      <c r="AB381" s="41" t="e">
        <f t="shared" si="54"/>
        <v>#N/A</v>
      </c>
      <c r="AC381" s="41" t="e">
        <f t="shared" si="55"/>
        <v>#N/A</v>
      </c>
    </row>
    <row r="382" spans="1:30" hidden="1" x14ac:dyDescent="0.25">
      <c r="A382" s="43">
        <v>381</v>
      </c>
      <c r="B382" t="s">
        <v>376</v>
      </c>
      <c r="C382" s="131" t="str">
        <f t="shared" si="51"/>
        <v>LlaveDU0767347215100001031</v>
      </c>
      <c r="D382" s="33" t="str">
        <f>VLOOKUP(E382,'NO MODIFICAR'!J:K,2,0)</f>
        <v>DU07</v>
      </c>
      <c r="E382" s="26" t="s">
        <v>87</v>
      </c>
      <c r="F382" s="33" t="str">
        <f>VLOOKUP(D382,'NO MODIFICAR'!F:H,3,0)</f>
        <v>SURESTE</v>
      </c>
      <c r="G382" s="92">
        <v>67347215</v>
      </c>
      <c r="H382" s="93" t="s">
        <v>345</v>
      </c>
      <c r="I382" s="94">
        <v>10000103</v>
      </c>
      <c r="J382" s="56" t="str">
        <f>VLOOKUP(I382,'Materiales,canteras'!C:D,2,0)</f>
        <v>Base H Triturada Caliza 1 1/2" a Finos</v>
      </c>
      <c r="K382" s="33">
        <f>VLOOKUP(I382,'Materiales,canteras'!C:E,3,0)</f>
        <v>1.462</v>
      </c>
      <c r="L382" s="105">
        <v>109.08533421387803</v>
      </c>
      <c r="M382" s="28" t="s">
        <v>93</v>
      </c>
      <c r="N382" s="57">
        <f t="shared" ca="1" si="52"/>
        <v>46267</v>
      </c>
      <c r="O382" s="32" t="s">
        <v>201</v>
      </c>
      <c r="R382">
        <f>1.5/100</f>
        <v>1.4999999999999999E-2</v>
      </c>
      <c r="S382" s="4">
        <v>150</v>
      </c>
      <c r="T382" s="66">
        <f t="shared" si="60"/>
        <v>-38.664665786121972</v>
      </c>
      <c r="U382" s="46">
        <f t="shared" si="61"/>
        <v>109.08533421387803</v>
      </c>
      <c r="V382" s="82">
        <v>51.299589603283174</v>
      </c>
      <c r="W382" s="4">
        <v>1</v>
      </c>
      <c r="X382" s="67">
        <f t="shared" si="62"/>
        <v>160.38492381716119</v>
      </c>
      <c r="Y382" s="32" t="e">
        <f>IF(+VLOOKUP(I382,P.Referencia!E:S,3,FALSE)&lt;=L382,"Champion","Gerente")</f>
        <v>#N/A</v>
      </c>
      <c r="Z382" s="39" t="e">
        <f>VLOOKUP(I382,P.Referencia!E:S,3,0)</f>
        <v>#N/A</v>
      </c>
      <c r="AA382" s="40" t="e">
        <f t="shared" si="53"/>
        <v>#N/A</v>
      </c>
      <c r="AB382" s="41" t="e">
        <f t="shared" si="54"/>
        <v>#N/A</v>
      </c>
      <c r="AC382" s="41" t="e">
        <f t="shared" si="55"/>
        <v>#N/A</v>
      </c>
    </row>
    <row r="383" spans="1:30" hidden="1" x14ac:dyDescent="0.25">
      <c r="A383" s="43">
        <v>382</v>
      </c>
      <c r="B383" t="s">
        <v>376</v>
      </c>
      <c r="C383" s="131" t="str">
        <f t="shared" si="51"/>
        <v>LlaveDU0767347215102641031</v>
      </c>
      <c r="D383" s="33" t="str">
        <f>VLOOKUP(E383,'NO MODIFICAR'!J:K,2,0)</f>
        <v>DU07</v>
      </c>
      <c r="E383" s="26" t="s">
        <v>87</v>
      </c>
      <c r="F383" s="33" t="str">
        <f>VLOOKUP(D383,'NO MODIFICAR'!F:H,3,0)</f>
        <v>SURESTE</v>
      </c>
      <c r="G383" s="92">
        <v>67347215</v>
      </c>
      <c r="H383" s="93" t="s">
        <v>345</v>
      </c>
      <c r="I383" s="94">
        <v>10264103</v>
      </c>
      <c r="J383" s="56" t="str">
        <f>VLOOKUP(I383,'Materiales,canteras'!C:D,2,0)</f>
        <v>MOV BASE H TRITURADA CALIZA 1 1/2</v>
      </c>
      <c r="K383" s="33">
        <f>VLOOKUP(I383,'Materiales,canteras'!C:E,3,0)</f>
        <v>1.462</v>
      </c>
      <c r="L383" s="105">
        <v>109.08533421387803</v>
      </c>
      <c r="M383" s="28" t="s">
        <v>93</v>
      </c>
      <c r="N383" s="57">
        <f t="shared" ca="1" si="52"/>
        <v>46267</v>
      </c>
      <c r="O383" s="32" t="s">
        <v>201</v>
      </c>
      <c r="R383">
        <f>1.5/100</f>
        <v>1.4999999999999999E-2</v>
      </c>
      <c r="S383" s="4">
        <v>390</v>
      </c>
      <c r="T383" s="66">
        <f t="shared" si="60"/>
        <v>-275.06466578612196</v>
      </c>
      <c r="U383" s="46">
        <f t="shared" si="61"/>
        <v>109.08533421387803</v>
      </c>
      <c r="V383" s="82">
        <v>51.299589603283174</v>
      </c>
      <c r="W383" s="4">
        <v>1</v>
      </c>
      <c r="X383" s="67">
        <f t="shared" si="62"/>
        <v>160.38492381716119</v>
      </c>
      <c r="Y383" s="32" t="e">
        <f>IF(+VLOOKUP(I383,P.Referencia!E:S,3,FALSE)&lt;=L383,"Champion","Gerente")</f>
        <v>#N/A</v>
      </c>
      <c r="Z383" s="39" t="e">
        <f>VLOOKUP(I383,P.Referencia!E:S,3,0)</f>
        <v>#N/A</v>
      </c>
      <c r="AA383" s="40" t="e">
        <f t="shared" si="53"/>
        <v>#N/A</v>
      </c>
      <c r="AB383" s="41" t="e">
        <f t="shared" si="54"/>
        <v>#N/A</v>
      </c>
      <c r="AC383" s="41" t="e">
        <f t="shared" si="55"/>
        <v>#N/A</v>
      </c>
    </row>
    <row r="384" spans="1:30" hidden="1" x14ac:dyDescent="0.25">
      <c r="A384" s="43">
        <v>383</v>
      </c>
      <c r="B384" t="s">
        <v>377</v>
      </c>
      <c r="C384" s="131" t="str">
        <f t="shared" si="51"/>
        <v>LlaveD81367132343100002552</v>
      </c>
      <c r="D384" s="33" t="str">
        <f>VLOOKUP(E384,'NO MODIFICAR'!J:K,2,0)</f>
        <v>D813</v>
      </c>
      <c r="E384" s="26" t="s">
        <v>6</v>
      </c>
      <c r="F384" s="33" t="str">
        <f>VLOOKUP(D384,'NO MODIFICAR'!F:H,3,0)</f>
        <v xml:space="preserve">CENTRO </v>
      </c>
      <c r="G384" s="92">
        <v>67132343</v>
      </c>
      <c r="H384" s="93" t="s">
        <v>346</v>
      </c>
      <c r="I384" s="94">
        <v>10000255</v>
      </c>
      <c r="J384" s="56" t="str">
        <f>VLOOKUP(I384,'Materiales,canteras'!C:D,2,0)</f>
        <v>Arena Triturada Andesita Malla</v>
      </c>
      <c r="K384" s="33">
        <f>VLOOKUP(I384,'Materiales,canteras'!C:E,3,0)</f>
        <v>1.5349999999999999</v>
      </c>
      <c r="L384" s="105">
        <v>85</v>
      </c>
      <c r="M384" s="28" t="s">
        <v>347</v>
      </c>
      <c r="N384" s="57">
        <f t="shared" ca="1" si="52"/>
        <v>46267</v>
      </c>
      <c r="O384" s="32" t="s">
        <v>201</v>
      </c>
      <c r="R384">
        <f>1.5/100</f>
        <v>1.4999999999999999E-2</v>
      </c>
      <c r="S384" s="4">
        <v>150</v>
      </c>
      <c r="T384" s="66">
        <f t="shared" si="60"/>
        <v>-62.75</v>
      </c>
      <c r="U384" s="46">
        <f t="shared" si="61"/>
        <v>85</v>
      </c>
      <c r="V384" s="82">
        <v>0</v>
      </c>
      <c r="W384" s="4">
        <v>2</v>
      </c>
      <c r="X384" s="67">
        <f t="shared" si="62"/>
        <v>85</v>
      </c>
      <c r="Y384" s="32" t="e">
        <f>IF(+VLOOKUP(I384,P.Referencia!E:S,3,FALSE)&lt;=L384,"Champion","Gerente")</f>
        <v>#N/A</v>
      </c>
      <c r="Z384" s="39" t="e">
        <f>VLOOKUP(I384,P.Referencia!E:S,3,0)</f>
        <v>#N/A</v>
      </c>
      <c r="AA384" s="40" t="e">
        <f t="shared" si="53"/>
        <v>#N/A</v>
      </c>
      <c r="AB384" s="41" t="e">
        <f t="shared" si="54"/>
        <v>#N/A</v>
      </c>
      <c r="AC384" s="41" t="e">
        <f t="shared" si="55"/>
        <v>#N/A</v>
      </c>
    </row>
    <row r="385" spans="1:29" hidden="1" x14ac:dyDescent="0.25">
      <c r="A385" s="43">
        <v>384</v>
      </c>
      <c r="B385" t="s">
        <v>377</v>
      </c>
      <c r="C385" s="131" t="str">
        <f t="shared" si="51"/>
        <v>LlaveD86167168600100024992</v>
      </c>
      <c r="D385" s="33" t="str">
        <f>VLOOKUP(E385,'NO MODIFICAR'!J:K,2,0)</f>
        <v>D861</v>
      </c>
      <c r="E385" s="26" t="s">
        <v>44</v>
      </c>
      <c r="F385" s="33" t="str">
        <f>VLOOKUP(D385,'NO MODIFICAR'!F:H,3,0)</f>
        <v xml:space="preserve">CENTRO </v>
      </c>
      <c r="G385" s="92">
        <v>67168600</v>
      </c>
      <c r="H385" s="93" t="s">
        <v>348</v>
      </c>
      <c r="I385" s="94">
        <v>10002499</v>
      </c>
      <c r="J385" s="56" t="str">
        <f>VLOOKUP(I385,'Materiales,canteras'!C:D,2,0)</f>
        <v>Arena Triturada Basalto Malla 4  -Mezcla</v>
      </c>
      <c r="K385" s="33">
        <f>VLOOKUP(I385,'Materiales,canteras'!C:E,3,0)</f>
        <v>1.6659999999999999</v>
      </c>
      <c r="L385" s="105">
        <v>215</v>
      </c>
      <c r="M385" s="28" t="s">
        <v>93</v>
      </c>
      <c r="N385" s="57">
        <f t="shared" ca="1" si="52"/>
        <v>46267</v>
      </c>
      <c r="O385" s="32" t="s">
        <v>201</v>
      </c>
      <c r="Q385">
        <v>21.6</v>
      </c>
      <c r="R385">
        <v>2.38</v>
      </c>
      <c r="S385" s="4">
        <v>180</v>
      </c>
      <c r="T385" s="66">
        <f>L385-((S385-Q385)-(R385))</f>
        <v>58.97999999999999</v>
      </c>
      <c r="U385" s="46">
        <f t="shared" si="61"/>
        <v>215</v>
      </c>
      <c r="V385" s="27">
        <v>0</v>
      </c>
      <c r="W385" s="4">
        <v>2</v>
      </c>
      <c r="X385" s="67">
        <f t="shared" si="62"/>
        <v>215</v>
      </c>
      <c r="Y385" s="32" t="e">
        <f>IF(+VLOOKUP(I385,P.Referencia!E:S,3,FALSE)&lt;=L385,"Champion","Gerente")</f>
        <v>#N/A</v>
      </c>
      <c r="Z385" s="39" t="e">
        <f>VLOOKUP(I385,P.Referencia!E:S,3,0)</f>
        <v>#N/A</v>
      </c>
      <c r="AA385" s="40" t="e">
        <f t="shared" si="53"/>
        <v>#N/A</v>
      </c>
      <c r="AB385" s="41" t="e">
        <f t="shared" si="54"/>
        <v>#N/A</v>
      </c>
      <c r="AC385" s="41" t="e">
        <f t="shared" si="55"/>
        <v>#N/A</v>
      </c>
    </row>
    <row r="386" spans="1:29" hidden="1" x14ac:dyDescent="0.25">
      <c r="A386" s="43">
        <v>385</v>
      </c>
      <c r="B386" t="s">
        <v>377</v>
      </c>
      <c r="C386" s="131" t="str">
        <f t="shared" ref="C386:C449" si="63">_xlfn.CONCAT($C$1,D386,G386,I386,W386)</f>
        <v>LlaveD86467012297100010742</v>
      </c>
      <c r="D386" s="33" t="str">
        <f>VLOOKUP(E386,'NO MODIFICAR'!J:K,2,0)</f>
        <v>D864</v>
      </c>
      <c r="E386" s="26" t="s">
        <v>55</v>
      </c>
      <c r="F386" s="33" t="str">
        <f>VLOOKUP(D386,'NO MODIFICAR'!F:H,3,0)</f>
        <v xml:space="preserve">CENTRO </v>
      </c>
      <c r="G386" s="92">
        <v>67012297</v>
      </c>
      <c r="H386" s="93" t="s">
        <v>349</v>
      </c>
      <c r="I386" s="94">
        <v>10001074</v>
      </c>
      <c r="J386" s="56" t="str">
        <f>VLOOKUP(I386,'Materiales,canteras'!C:D,2,0)</f>
        <v>Grava Triturada Caliza 40 mm -</v>
      </c>
      <c r="K386" s="33">
        <f>VLOOKUP(I386,'Materiales,canteras'!C:E,3,0)</f>
        <v>1.4</v>
      </c>
      <c r="L386" s="105">
        <v>128</v>
      </c>
      <c r="M386" s="28" t="s">
        <v>93</v>
      </c>
      <c r="N386" s="57">
        <f t="shared" ref="N386:N449" ca="1" si="64">TODAY()</f>
        <v>46267</v>
      </c>
      <c r="O386" s="32" t="s">
        <v>201</v>
      </c>
      <c r="S386" s="4">
        <v>220</v>
      </c>
      <c r="T386" s="66">
        <f t="shared" ref="T386:T417" si="65">L386-(S386-(S386*R386))</f>
        <v>-92</v>
      </c>
      <c r="U386" s="46">
        <f t="shared" si="61"/>
        <v>128</v>
      </c>
      <c r="V386" s="27">
        <v>0</v>
      </c>
      <c r="W386" s="4">
        <v>2</v>
      </c>
      <c r="X386" s="67">
        <f t="shared" si="62"/>
        <v>128</v>
      </c>
      <c r="Y386" s="32" t="e">
        <f>IF(+VLOOKUP(I386,P.Referencia!E:S,3,FALSE)&lt;=L386,"Champion","Gerente")</f>
        <v>#N/A</v>
      </c>
      <c r="Z386" s="39" t="e">
        <f>VLOOKUP(I386,P.Referencia!E:S,3,0)</f>
        <v>#N/A</v>
      </c>
      <c r="AA386" s="40" t="e">
        <f t="shared" ref="AA386:AA449" si="66">(Z386-U386)/U386</f>
        <v>#N/A</v>
      </c>
      <c r="AB386" s="41" t="e">
        <f t="shared" ref="AB386:AB449" si="67">U386*AA386</f>
        <v>#N/A</v>
      </c>
      <c r="AC386" s="41" t="e">
        <f t="shared" ref="AC386:AC449" si="68">U386+AB386</f>
        <v>#N/A</v>
      </c>
    </row>
    <row r="387" spans="1:29" hidden="1" x14ac:dyDescent="0.25">
      <c r="A387" s="43">
        <v>386</v>
      </c>
      <c r="B387" t="s">
        <v>377</v>
      </c>
      <c r="C387" s="131" t="str">
        <f t="shared" si="63"/>
        <v>LlaveD86467347709100002362</v>
      </c>
      <c r="D387" s="33" t="str">
        <f>VLOOKUP(E387,'NO MODIFICAR'!J:K,2,0)</f>
        <v>D864</v>
      </c>
      <c r="E387" s="26" t="s">
        <v>55</v>
      </c>
      <c r="F387" s="33" t="str">
        <f>VLOOKUP(D387,'NO MODIFICAR'!F:H,3,0)</f>
        <v xml:space="preserve">CENTRO </v>
      </c>
      <c r="G387" s="92">
        <v>67347709</v>
      </c>
      <c r="H387" s="93" t="s">
        <v>350</v>
      </c>
      <c r="I387" s="94">
        <v>10000236</v>
      </c>
      <c r="J387" s="56" t="str">
        <f>VLOOKUP(I387,'Materiales,canteras'!C:D,2,0)</f>
        <v>Grava Triturada Caliza 10 mm -</v>
      </c>
      <c r="K387" s="33">
        <f>VLOOKUP(I387,'Materiales,canteras'!C:E,3,0)</f>
        <v>1.41</v>
      </c>
      <c r="L387" s="105">
        <v>130</v>
      </c>
      <c r="M387" s="28" t="s">
        <v>93</v>
      </c>
      <c r="N387" s="57">
        <f t="shared" ca="1" si="64"/>
        <v>46267</v>
      </c>
      <c r="O387" s="32" t="s">
        <v>201</v>
      </c>
      <c r="R387">
        <f t="shared" ref="R387:R398" si="69">1.5/100</f>
        <v>1.4999999999999999E-2</v>
      </c>
      <c r="S387" s="4">
        <v>240</v>
      </c>
      <c r="T387" s="66">
        <f t="shared" si="65"/>
        <v>-106.4</v>
      </c>
      <c r="U387" s="46">
        <f t="shared" si="61"/>
        <v>130</v>
      </c>
      <c r="V387" s="27">
        <v>0</v>
      </c>
      <c r="W387" s="4">
        <v>2</v>
      </c>
      <c r="X387" s="67">
        <f t="shared" si="62"/>
        <v>130</v>
      </c>
      <c r="Y387" s="32" t="e">
        <f>IF(+VLOOKUP(I387,P.Referencia!E:S,3,FALSE)&lt;=L387,"Champion","Gerente")</f>
        <v>#N/A</v>
      </c>
      <c r="Z387" s="39" t="e">
        <f>VLOOKUP(I387,P.Referencia!E:S,3,0)</f>
        <v>#N/A</v>
      </c>
      <c r="AA387" s="40" t="e">
        <f t="shared" si="66"/>
        <v>#N/A</v>
      </c>
      <c r="AB387" s="41" t="e">
        <f t="shared" si="67"/>
        <v>#N/A</v>
      </c>
      <c r="AC387" s="41" t="e">
        <f t="shared" si="68"/>
        <v>#N/A</v>
      </c>
    </row>
    <row r="388" spans="1:29" hidden="1" x14ac:dyDescent="0.25">
      <c r="A388" s="43">
        <v>387</v>
      </c>
      <c r="B388" t="s">
        <v>377</v>
      </c>
      <c r="C388" s="131" t="str">
        <f t="shared" si="63"/>
        <v>LlaveD86467347709100002402</v>
      </c>
      <c r="D388" s="33" t="str">
        <f>VLOOKUP(E388,'NO MODIFICAR'!J:K,2,0)</f>
        <v>D864</v>
      </c>
      <c r="E388" s="26" t="s">
        <v>55</v>
      </c>
      <c r="F388" s="33" t="str">
        <f>VLOOKUP(D388,'NO MODIFICAR'!F:H,3,0)</f>
        <v xml:space="preserve">CENTRO </v>
      </c>
      <c r="G388" s="92">
        <v>67347709</v>
      </c>
      <c r="H388" s="93" t="s">
        <v>350</v>
      </c>
      <c r="I388" s="94">
        <v>10000240</v>
      </c>
      <c r="J388" s="56" t="str">
        <f>VLOOKUP(I388,'Materiales,canteras'!C:D,2,0)</f>
        <v>Grava Triturada Caliza 20 mm -</v>
      </c>
      <c r="K388" s="33">
        <f>VLOOKUP(I388,'Materiales,canteras'!C:E,3,0)</f>
        <v>1.462</v>
      </c>
      <c r="L388" s="105">
        <v>110</v>
      </c>
      <c r="M388" s="28" t="s">
        <v>93</v>
      </c>
      <c r="N388" s="57">
        <f t="shared" ca="1" si="64"/>
        <v>46267</v>
      </c>
      <c r="O388" s="32" t="s">
        <v>201</v>
      </c>
      <c r="R388">
        <f t="shared" si="69"/>
        <v>1.4999999999999999E-2</v>
      </c>
      <c r="S388" s="4">
        <v>280</v>
      </c>
      <c r="T388" s="66">
        <f t="shared" si="65"/>
        <v>-165.8</v>
      </c>
      <c r="U388" s="46">
        <f t="shared" si="61"/>
        <v>110</v>
      </c>
      <c r="V388" s="27">
        <v>0</v>
      </c>
      <c r="W388" s="4">
        <v>2</v>
      </c>
      <c r="X388" s="67">
        <f t="shared" si="62"/>
        <v>110</v>
      </c>
      <c r="Y388" s="32" t="e">
        <f>IF(+VLOOKUP(I388,P.Referencia!E:S,3,FALSE)&lt;=L388,"Champion","Gerente")</f>
        <v>#N/A</v>
      </c>
      <c r="Z388" s="39" t="e">
        <f>VLOOKUP(I388,P.Referencia!E:S,3,0)</f>
        <v>#N/A</v>
      </c>
      <c r="AA388" s="40" t="e">
        <f t="shared" si="66"/>
        <v>#N/A</v>
      </c>
      <c r="AB388" s="41" t="e">
        <f t="shared" si="67"/>
        <v>#N/A</v>
      </c>
      <c r="AC388" s="41" t="e">
        <f t="shared" si="68"/>
        <v>#N/A</v>
      </c>
    </row>
    <row r="389" spans="1:29" hidden="1" x14ac:dyDescent="0.25">
      <c r="A389" s="43">
        <v>388</v>
      </c>
      <c r="B389" t="s">
        <v>377</v>
      </c>
      <c r="C389" s="131" t="str">
        <f t="shared" si="63"/>
        <v>LlaveD86467347709100002692</v>
      </c>
      <c r="D389" s="33" t="str">
        <f>VLOOKUP(E389,'NO MODIFICAR'!J:K,2,0)</f>
        <v>D864</v>
      </c>
      <c r="E389" s="26" t="s">
        <v>55</v>
      </c>
      <c r="F389" s="33" t="str">
        <f>VLOOKUP(D389,'NO MODIFICAR'!F:H,3,0)</f>
        <v xml:space="preserve">CENTRO </v>
      </c>
      <c r="G389" s="92">
        <v>67347709</v>
      </c>
      <c r="H389" s="93" t="s">
        <v>350</v>
      </c>
      <c r="I389" s="94">
        <v>10000269</v>
      </c>
      <c r="J389" s="56" t="str">
        <f>VLOOKUP(I389,'Materiales,canteras'!C:D,2,0)</f>
        <v>Grava Triturada Caliza 13 mm -</v>
      </c>
      <c r="K389" s="33">
        <f>VLOOKUP(I389,'Materiales,canteras'!C:E,3,0)</f>
        <v>1.423</v>
      </c>
      <c r="L389" s="105">
        <v>130</v>
      </c>
      <c r="M389" s="28" t="s">
        <v>93</v>
      </c>
      <c r="N389" s="57">
        <f t="shared" ca="1" si="64"/>
        <v>46267</v>
      </c>
      <c r="O389" s="32" t="s">
        <v>201</v>
      </c>
      <c r="R389">
        <f t="shared" si="69"/>
        <v>1.4999999999999999E-2</v>
      </c>
      <c r="S389" s="4">
        <v>250</v>
      </c>
      <c r="T389" s="66">
        <f t="shared" si="65"/>
        <v>-116.25</v>
      </c>
      <c r="U389" s="46">
        <f t="shared" si="61"/>
        <v>130</v>
      </c>
      <c r="V389" s="27">
        <v>0</v>
      </c>
      <c r="W389" s="4">
        <v>2</v>
      </c>
      <c r="X389" s="67">
        <f t="shared" si="62"/>
        <v>130</v>
      </c>
      <c r="Y389" s="32" t="e">
        <f>IF(+VLOOKUP(I389,P.Referencia!E:S,3,FALSE)&lt;=L389,"Champion","Gerente")</f>
        <v>#N/A</v>
      </c>
      <c r="Z389" s="39" t="e">
        <f>VLOOKUP(I389,P.Referencia!E:S,3,0)</f>
        <v>#N/A</v>
      </c>
      <c r="AA389" s="40" t="e">
        <f t="shared" si="66"/>
        <v>#N/A</v>
      </c>
      <c r="AB389" s="41" t="e">
        <f t="shared" si="67"/>
        <v>#N/A</v>
      </c>
      <c r="AC389" s="41" t="e">
        <f t="shared" si="68"/>
        <v>#N/A</v>
      </c>
    </row>
    <row r="390" spans="1:29" hidden="1" x14ac:dyDescent="0.25">
      <c r="A390" s="43">
        <v>389</v>
      </c>
      <c r="B390" t="s">
        <v>377</v>
      </c>
      <c r="C390" s="131" t="str">
        <f t="shared" si="63"/>
        <v>LlaveD86467347709100010732</v>
      </c>
      <c r="D390" s="33" t="str">
        <f>VLOOKUP(E390,'NO MODIFICAR'!J:K,2,0)</f>
        <v>D864</v>
      </c>
      <c r="E390" s="26" t="s">
        <v>55</v>
      </c>
      <c r="F390" s="33" t="str">
        <f>VLOOKUP(D390,'NO MODIFICAR'!F:H,3,0)</f>
        <v xml:space="preserve">CENTRO </v>
      </c>
      <c r="G390" s="92">
        <v>67347709</v>
      </c>
      <c r="H390" s="93" t="s">
        <v>350</v>
      </c>
      <c r="I390" s="94">
        <v>10001073</v>
      </c>
      <c r="J390" s="56" t="str">
        <f>VLOOKUP(I390,'Materiales,canteras'!C:D,2,0)</f>
        <v>Arena Triturada Caliza Malla 4</v>
      </c>
      <c r="K390" s="33">
        <f>VLOOKUP(I390,'Materiales,canteras'!C:E,3,0)</f>
        <v>1.56</v>
      </c>
      <c r="L390" s="105">
        <v>80</v>
      </c>
      <c r="M390" s="28" t="s">
        <v>93</v>
      </c>
      <c r="N390" s="57">
        <f t="shared" ca="1" si="64"/>
        <v>46267</v>
      </c>
      <c r="O390" s="32" t="s">
        <v>201</v>
      </c>
      <c r="R390">
        <f t="shared" si="69"/>
        <v>1.4999999999999999E-2</v>
      </c>
      <c r="S390" s="4">
        <v>150</v>
      </c>
      <c r="T390" s="66">
        <f t="shared" si="65"/>
        <v>-67.75</v>
      </c>
      <c r="U390" s="46">
        <f t="shared" si="61"/>
        <v>80</v>
      </c>
      <c r="V390" s="27">
        <v>0</v>
      </c>
      <c r="W390" s="4">
        <v>2</v>
      </c>
      <c r="X390" s="67">
        <f t="shared" si="62"/>
        <v>80</v>
      </c>
      <c r="Y390" s="32" t="e">
        <f>IF(+VLOOKUP(I390,P.Referencia!E:S,3,FALSE)&lt;=L390,"Champion","Gerente")</f>
        <v>#N/A</v>
      </c>
      <c r="Z390" s="39" t="e">
        <f>VLOOKUP(I390,P.Referencia!E:S,3,0)</f>
        <v>#N/A</v>
      </c>
      <c r="AA390" s="40" t="e">
        <f t="shared" si="66"/>
        <v>#N/A</v>
      </c>
      <c r="AB390" s="41" t="e">
        <f t="shared" si="67"/>
        <v>#N/A</v>
      </c>
      <c r="AC390" s="41" t="e">
        <f t="shared" si="68"/>
        <v>#N/A</v>
      </c>
    </row>
    <row r="391" spans="1:29" hidden="1" x14ac:dyDescent="0.25">
      <c r="A391" s="43">
        <v>390</v>
      </c>
      <c r="B391" t="s">
        <v>377</v>
      </c>
      <c r="C391" s="131" t="str">
        <f t="shared" si="63"/>
        <v>LlaveD86467347709100010742</v>
      </c>
      <c r="D391" s="33" t="str">
        <f>VLOOKUP(E391,'NO MODIFICAR'!J:K,2,0)</f>
        <v>D864</v>
      </c>
      <c r="E391" s="26" t="s">
        <v>55</v>
      </c>
      <c r="F391" s="33" t="str">
        <f>VLOOKUP(D391,'NO MODIFICAR'!F:H,3,0)</f>
        <v xml:space="preserve">CENTRO </v>
      </c>
      <c r="G391" s="92">
        <v>67347709</v>
      </c>
      <c r="H391" s="93" t="s">
        <v>350</v>
      </c>
      <c r="I391" s="94">
        <v>10001074</v>
      </c>
      <c r="J391" s="56" t="str">
        <f>VLOOKUP(I391,'Materiales,canteras'!C:D,2,0)</f>
        <v>Grava Triturada Caliza 40 mm -</v>
      </c>
      <c r="K391" s="33">
        <f>VLOOKUP(I391,'Materiales,canteras'!C:E,3,0)</f>
        <v>1.4</v>
      </c>
      <c r="L391" s="105">
        <v>110</v>
      </c>
      <c r="M391" s="28" t="s">
        <v>93</v>
      </c>
      <c r="N391" s="57">
        <f t="shared" ca="1" si="64"/>
        <v>46267</v>
      </c>
      <c r="O391" s="32" t="s">
        <v>201</v>
      </c>
      <c r="R391">
        <f t="shared" si="69"/>
        <v>1.4999999999999999E-2</v>
      </c>
      <c r="S391" s="4">
        <v>220</v>
      </c>
      <c r="T391" s="66">
        <f t="shared" si="65"/>
        <v>-106.69999999999999</v>
      </c>
      <c r="U391" s="46">
        <f t="shared" si="61"/>
        <v>110</v>
      </c>
      <c r="V391" s="27">
        <v>0</v>
      </c>
      <c r="W391" s="4">
        <v>2</v>
      </c>
      <c r="X391" s="67">
        <f t="shared" si="62"/>
        <v>110</v>
      </c>
      <c r="Y391" s="32" t="e">
        <f>IF(+VLOOKUP(I391,P.Referencia!E:S,3,FALSE)&lt;=L391,"Champion","Gerente")</f>
        <v>#N/A</v>
      </c>
      <c r="Z391" s="39" t="e">
        <f>VLOOKUP(I391,P.Referencia!E:S,3,0)</f>
        <v>#N/A</v>
      </c>
      <c r="AA391" s="40" t="e">
        <f t="shared" si="66"/>
        <v>#N/A</v>
      </c>
      <c r="AB391" s="41" t="e">
        <f t="shared" si="67"/>
        <v>#N/A</v>
      </c>
      <c r="AC391" s="41" t="e">
        <f t="shared" si="68"/>
        <v>#N/A</v>
      </c>
    </row>
    <row r="392" spans="1:29" hidden="1" x14ac:dyDescent="0.25">
      <c r="A392" s="43">
        <v>391</v>
      </c>
      <c r="B392" t="s">
        <v>377</v>
      </c>
      <c r="C392" s="131" t="str">
        <f t="shared" si="63"/>
        <v>LlaveD86467347709100012032</v>
      </c>
      <c r="D392" s="33" t="str">
        <f>VLOOKUP(E392,'NO MODIFICAR'!J:K,2,0)</f>
        <v>D864</v>
      </c>
      <c r="E392" s="26" t="s">
        <v>55</v>
      </c>
      <c r="F392" s="33" t="str">
        <f>VLOOKUP(D392,'NO MODIFICAR'!F:H,3,0)</f>
        <v xml:space="preserve">CENTRO </v>
      </c>
      <c r="G392" s="92">
        <v>67347709</v>
      </c>
      <c r="H392" s="93" t="s">
        <v>350</v>
      </c>
      <c r="I392" s="94">
        <v>10001203</v>
      </c>
      <c r="J392" s="56" t="str">
        <f>VLOOKUP(I392,'Materiales,canteras'!C:D,2,0)</f>
        <v>Desperdicio Triturado Caliza</v>
      </c>
      <c r="K392" s="33">
        <f>VLOOKUP(I392,'Materiales,canteras'!C:E,3,0)</f>
        <v>1.665</v>
      </c>
      <c r="L392" s="105">
        <v>20</v>
      </c>
      <c r="M392" s="28" t="s">
        <v>93</v>
      </c>
      <c r="N392" s="57">
        <f t="shared" ca="1" si="64"/>
        <v>46267</v>
      </c>
      <c r="O392" s="32" t="s">
        <v>201</v>
      </c>
      <c r="R392">
        <f t="shared" si="69"/>
        <v>1.4999999999999999E-2</v>
      </c>
      <c r="S392" s="4">
        <v>22</v>
      </c>
      <c r="T392" s="66">
        <f t="shared" si="65"/>
        <v>-1.6700000000000017</v>
      </c>
      <c r="U392" s="46">
        <f t="shared" si="61"/>
        <v>20</v>
      </c>
      <c r="V392" s="27">
        <v>0</v>
      </c>
      <c r="W392" s="4">
        <v>2</v>
      </c>
      <c r="X392" s="67">
        <f t="shared" si="62"/>
        <v>20</v>
      </c>
      <c r="Y392" s="32" t="e">
        <f>IF(+VLOOKUP(I392,P.Referencia!E:S,3,FALSE)&lt;=L392,"Champion","Gerente")</f>
        <v>#N/A</v>
      </c>
      <c r="Z392" s="39" t="e">
        <f>VLOOKUP(I392,P.Referencia!E:S,3,0)</f>
        <v>#N/A</v>
      </c>
      <c r="AA392" s="40" t="e">
        <f t="shared" si="66"/>
        <v>#N/A</v>
      </c>
      <c r="AB392" s="41" t="e">
        <f t="shared" si="67"/>
        <v>#N/A</v>
      </c>
      <c r="AC392" s="41" t="e">
        <f t="shared" si="68"/>
        <v>#N/A</v>
      </c>
    </row>
    <row r="393" spans="1:29" hidden="1" x14ac:dyDescent="0.25">
      <c r="A393" s="43">
        <v>392</v>
      </c>
      <c r="B393" t="s">
        <v>377</v>
      </c>
      <c r="C393" s="131" t="str">
        <f t="shared" si="63"/>
        <v>LlaveD86467347709101727852</v>
      </c>
      <c r="D393" s="33" t="str">
        <f>VLOOKUP(E393,'NO MODIFICAR'!J:K,2,0)</f>
        <v>D864</v>
      </c>
      <c r="E393" s="26" t="s">
        <v>55</v>
      </c>
      <c r="F393" s="33" t="str">
        <f>VLOOKUP(D393,'NO MODIFICAR'!F:H,3,0)</f>
        <v xml:space="preserve">CENTRO </v>
      </c>
      <c r="G393" s="92">
        <v>67347709</v>
      </c>
      <c r="H393" s="93" t="s">
        <v>350</v>
      </c>
      <c r="I393" s="94">
        <v>10172785</v>
      </c>
      <c r="J393" s="56" t="str">
        <f>VLOOKUP(I393,'Materiales,canteras'!C:D,2,0)</f>
        <v>BASE HIDRÁULICA 60%FINOS-40%GR</v>
      </c>
      <c r="K393" s="33">
        <f>VLOOKUP(I393,'Materiales,canteras'!C:E,3,0)</f>
        <v>1.5840000000000001</v>
      </c>
      <c r="L393" s="105">
        <v>60</v>
      </c>
      <c r="M393" s="28" t="s">
        <v>93</v>
      </c>
      <c r="N393" s="57">
        <f t="shared" ca="1" si="64"/>
        <v>46267</v>
      </c>
      <c r="O393" s="32" t="s">
        <v>201</v>
      </c>
      <c r="R393">
        <f t="shared" si="69"/>
        <v>1.4999999999999999E-2</v>
      </c>
      <c r="S393" s="4">
        <v>105</v>
      </c>
      <c r="T393" s="66">
        <f t="shared" si="65"/>
        <v>-43.424999999999997</v>
      </c>
      <c r="U393" s="46">
        <f t="shared" si="61"/>
        <v>60</v>
      </c>
      <c r="V393" s="27">
        <v>0</v>
      </c>
      <c r="W393" s="4">
        <v>2</v>
      </c>
      <c r="X393" s="67">
        <f t="shared" si="62"/>
        <v>60</v>
      </c>
      <c r="Y393" s="32" t="e">
        <f>IF(+VLOOKUP(I393,P.Referencia!E:S,3,FALSE)&lt;=L393,"Champion","Gerente")</f>
        <v>#N/A</v>
      </c>
      <c r="Z393" s="39" t="e">
        <f>VLOOKUP(I393,P.Referencia!E:S,3,0)</f>
        <v>#N/A</v>
      </c>
      <c r="AA393" s="40" t="e">
        <f t="shared" si="66"/>
        <v>#N/A</v>
      </c>
      <c r="AB393" s="41" t="e">
        <f t="shared" si="67"/>
        <v>#N/A</v>
      </c>
      <c r="AC393" s="41" t="e">
        <f t="shared" si="68"/>
        <v>#N/A</v>
      </c>
    </row>
    <row r="394" spans="1:29" hidden="1" x14ac:dyDescent="0.25">
      <c r="A394" s="43">
        <v>393</v>
      </c>
      <c r="B394" t="s">
        <v>377</v>
      </c>
      <c r="C394" s="131" t="str">
        <f t="shared" si="63"/>
        <v>LlaveD86467347709101737842</v>
      </c>
      <c r="D394" s="33" t="str">
        <f>VLOOKUP(E394,'NO MODIFICAR'!J:K,2,0)</f>
        <v>D864</v>
      </c>
      <c r="E394" s="26" t="s">
        <v>55</v>
      </c>
      <c r="F394" s="33" t="str">
        <f>VLOOKUP(D394,'NO MODIFICAR'!F:H,3,0)</f>
        <v xml:space="preserve">CENTRO </v>
      </c>
      <c r="G394" s="92">
        <v>67347709</v>
      </c>
      <c r="H394" s="93" t="s">
        <v>350</v>
      </c>
      <c r="I394" s="94">
        <v>10173784</v>
      </c>
      <c r="J394" s="56" t="str">
        <f>VLOOKUP(I394,'Materiales,canteras'!C:D,2,0)</f>
        <v>BASE HIDRÁULICA 80%FINOS-20%GR</v>
      </c>
      <c r="K394" s="33">
        <f>VLOOKUP(I394,'Materiales,canteras'!C:E,3,0)</f>
        <v>1.6240000000000001</v>
      </c>
      <c r="L394" s="105">
        <v>42</v>
      </c>
      <c r="M394" s="28" t="s">
        <v>93</v>
      </c>
      <c r="N394" s="57">
        <f t="shared" ca="1" si="64"/>
        <v>46267</v>
      </c>
      <c r="O394" s="32" t="s">
        <v>201</v>
      </c>
      <c r="R394">
        <f t="shared" si="69"/>
        <v>1.4999999999999999E-2</v>
      </c>
      <c r="S394" s="4">
        <v>65</v>
      </c>
      <c r="T394" s="66">
        <f t="shared" si="65"/>
        <v>-22.025000000000006</v>
      </c>
      <c r="U394" s="46">
        <f t="shared" si="61"/>
        <v>42</v>
      </c>
      <c r="V394" s="27">
        <v>0</v>
      </c>
      <c r="W394" s="4">
        <v>2</v>
      </c>
      <c r="X394" s="67">
        <f t="shared" si="62"/>
        <v>42</v>
      </c>
      <c r="Y394" s="32" t="e">
        <f>IF(+VLOOKUP(I394,P.Referencia!E:S,3,FALSE)&lt;=L394,"Champion","Gerente")</f>
        <v>#N/A</v>
      </c>
      <c r="Z394" s="39" t="e">
        <f>VLOOKUP(I394,P.Referencia!E:S,3,0)</f>
        <v>#N/A</v>
      </c>
      <c r="AA394" s="40" t="e">
        <f t="shared" si="66"/>
        <v>#N/A</v>
      </c>
      <c r="AB394" s="41" t="e">
        <f t="shared" si="67"/>
        <v>#N/A</v>
      </c>
      <c r="AC394" s="41" t="e">
        <f t="shared" si="68"/>
        <v>#N/A</v>
      </c>
    </row>
    <row r="395" spans="1:29" hidden="1" x14ac:dyDescent="0.25">
      <c r="A395" s="43">
        <v>394</v>
      </c>
      <c r="B395" t="s">
        <v>377</v>
      </c>
      <c r="C395" s="131" t="str">
        <f t="shared" si="63"/>
        <v>LlaveD81367347709100002532</v>
      </c>
      <c r="D395" s="33" t="str">
        <f>VLOOKUP(E395,'NO MODIFICAR'!J:K,2,0)</f>
        <v>D813</v>
      </c>
      <c r="E395" s="26" t="s">
        <v>6</v>
      </c>
      <c r="F395" s="33" t="str">
        <f>VLOOKUP(D395,'NO MODIFICAR'!F:H,3,0)</f>
        <v xml:space="preserve">CENTRO </v>
      </c>
      <c r="G395" s="92">
        <v>67347709</v>
      </c>
      <c r="H395" s="93" t="s">
        <v>350</v>
      </c>
      <c r="I395" s="94">
        <v>10000253</v>
      </c>
      <c r="J395" s="56" t="str">
        <f>VLOOKUP(I395,'Materiales,canteras'!C:D,2,0)</f>
        <v>Grava Triturada Andesita 20 mm</v>
      </c>
      <c r="K395" s="33">
        <f>VLOOKUP(I395,'Materiales,canteras'!C:E,3,0)</f>
        <v>1.385</v>
      </c>
      <c r="L395" s="105">
        <v>100</v>
      </c>
      <c r="M395" s="28" t="s">
        <v>93</v>
      </c>
      <c r="N395" s="57">
        <f t="shared" ca="1" si="64"/>
        <v>46267</v>
      </c>
      <c r="O395" s="32" t="s">
        <v>201</v>
      </c>
      <c r="R395">
        <f t="shared" si="69"/>
        <v>1.4999999999999999E-2</v>
      </c>
      <c r="S395" s="4">
        <v>150</v>
      </c>
      <c r="T395" s="66">
        <f t="shared" si="65"/>
        <v>-47.75</v>
      </c>
      <c r="U395" s="46">
        <f t="shared" si="61"/>
        <v>100</v>
      </c>
      <c r="V395" s="27">
        <v>0</v>
      </c>
      <c r="W395" s="4">
        <v>2</v>
      </c>
      <c r="X395" s="67">
        <f t="shared" si="62"/>
        <v>100</v>
      </c>
      <c r="Y395" s="32" t="e">
        <f>IF(+VLOOKUP(I395,P.Referencia!E:S,3,FALSE)&lt;=L395,"Champion","Gerente")</f>
        <v>#N/A</v>
      </c>
      <c r="Z395" s="39" t="e">
        <f>VLOOKUP(I395,P.Referencia!E:S,3,0)</f>
        <v>#N/A</v>
      </c>
      <c r="AA395" s="40" t="e">
        <f t="shared" si="66"/>
        <v>#N/A</v>
      </c>
      <c r="AB395" s="41" t="e">
        <f t="shared" si="67"/>
        <v>#N/A</v>
      </c>
      <c r="AC395" s="41" t="e">
        <f t="shared" si="68"/>
        <v>#N/A</v>
      </c>
    </row>
    <row r="396" spans="1:29" hidden="1" x14ac:dyDescent="0.25">
      <c r="A396" s="43">
        <v>395</v>
      </c>
      <c r="B396" t="s">
        <v>377</v>
      </c>
      <c r="C396" s="131" t="str">
        <f t="shared" si="63"/>
        <v>LlaveD81367347709100002552</v>
      </c>
      <c r="D396" s="33" t="str">
        <f>VLOOKUP(E396,'NO MODIFICAR'!J:K,2,0)</f>
        <v>D813</v>
      </c>
      <c r="E396" s="26" t="s">
        <v>6</v>
      </c>
      <c r="F396" s="33" t="str">
        <f>VLOOKUP(D396,'NO MODIFICAR'!F:H,3,0)</f>
        <v xml:space="preserve">CENTRO </v>
      </c>
      <c r="G396" s="92">
        <v>67347709</v>
      </c>
      <c r="H396" s="93" t="s">
        <v>350</v>
      </c>
      <c r="I396" s="94">
        <v>10000255</v>
      </c>
      <c r="J396" s="56" t="str">
        <f>VLOOKUP(I396,'Materiales,canteras'!C:D,2,0)</f>
        <v>Arena Triturada Andesita Malla</v>
      </c>
      <c r="K396" s="33">
        <f>VLOOKUP(I396,'Materiales,canteras'!C:E,3,0)</f>
        <v>1.5349999999999999</v>
      </c>
      <c r="L396" s="105">
        <v>80</v>
      </c>
      <c r="M396" s="28" t="s">
        <v>93</v>
      </c>
      <c r="N396" s="57">
        <f t="shared" ca="1" si="64"/>
        <v>46267</v>
      </c>
      <c r="O396" s="32" t="s">
        <v>201</v>
      </c>
      <c r="R396">
        <f t="shared" si="69"/>
        <v>1.4999999999999999E-2</v>
      </c>
      <c r="S396" s="4">
        <v>150</v>
      </c>
      <c r="T396" s="66">
        <f t="shared" si="65"/>
        <v>-67.75</v>
      </c>
      <c r="U396" s="46">
        <f t="shared" si="61"/>
        <v>80</v>
      </c>
      <c r="V396" s="27">
        <v>0</v>
      </c>
      <c r="W396" s="4">
        <v>2</v>
      </c>
      <c r="X396" s="67">
        <f t="shared" si="62"/>
        <v>80</v>
      </c>
      <c r="Y396" s="32" t="e">
        <f>IF(+VLOOKUP(I396,P.Referencia!E:S,3,FALSE)&lt;=L396,"Champion","Gerente")</f>
        <v>#N/A</v>
      </c>
      <c r="Z396" s="39" t="e">
        <f>VLOOKUP(I396,P.Referencia!E:S,3,0)</f>
        <v>#N/A</v>
      </c>
      <c r="AA396" s="40" t="e">
        <f t="shared" si="66"/>
        <v>#N/A</v>
      </c>
      <c r="AB396" s="41" t="e">
        <f t="shared" si="67"/>
        <v>#N/A</v>
      </c>
      <c r="AC396" s="41" t="e">
        <f t="shared" si="68"/>
        <v>#N/A</v>
      </c>
    </row>
    <row r="397" spans="1:29" hidden="1" x14ac:dyDescent="0.25">
      <c r="A397" s="43">
        <v>396</v>
      </c>
      <c r="B397" t="s">
        <v>377</v>
      </c>
      <c r="C397" s="131" t="str">
        <f t="shared" si="63"/>
        <v>LlaveD81367347709100023502</v>
      </c>
      <c r="D397" s="33" t="str">
        <f>VLOOKUP(E397,'NO MODIFICAR'!J:K,2,0)</f>
        <v>D813</v>
      </c>
      <c r="E397" s="26" t="s">
        <v>6</v>
      </c>
      <c r="F397" s="33" t="str">
        <f>VLOOKUP(D397,'NO MODIFICAR'!F:H,3,0)</f>
        <v xml:space="preserve">CENTRO </v>
      </c>
      <c r="G397" s="92">
        <v>67347709</v>
      </c>
      <c r="H397" s="93" t="s">
        <v>350</v>
      </c>
      <c r="I397" s="94">
        <v>10002350</v>
      </c>
      <c r="J397" s="56" t="str">
        <f>VLOOKUP(I397,'Materiales,canteras'!C:D,2,0)</f>
        <v>Grava Triturada Andesita 10mm-</v>
      </c>
      <c r="K397" s="33">
        <f>VLOOKUP(I397,'Materiales,canteras'!C:E,3,0)</f>
        <v>1.246</v>
      </c>
      <c r="L397" s="105">
        <v>95</v>
      </c>
      <c r="M397" s="28" t="s">
        <v>93</v>
      </c>
      <c r="N397" s="57">
        <f t="shared" ca="1" si="64"/>
        <v>46267</v>
      </c>
      <c r="O397" s="32" t="s">
        <v>201</v>
      </c>
      <c r="R397">
        <f t="shared" si="69"/>
        <v>1.4999999999999999E-2</v>
      </c>
      <c r="S397" s="4">
        <v>150</v>
      </c>
      <c r="T397" s="66">
        <f t="shared" si="65"/>
        <v>-52.75</v>
      </c>
      <c r="U397" s="46">
        <f t="shared" si="61"/>
        <v>95</v>
      </c>
      <c r="V397" s="27">
        <v>0</v>
      </c>
      <c r="W397" s="4">
        <v>2</v>
      </c>
      <c r="X397" s="67">
        <f t="shared" si="62"/>
        <v>95</v>
      </c>
      <c r="Y397" s="32" t="e">
        <f>IF(+VLOOKUP(I397,P.Referencia!E:S,3,FALSE)&lt;=L397,"Champion","Gerente")</f>
        <v>#N/A</v>
      </c>
      <c r="Z397" s="39" t="e">
        <f>VLOOKUP(I397,P.Referencia!E:S,3,0)</f>
        <v>#N/A</v>
      </c>
      <c r="AA397" s="40" t="e">
        <f t="shared" si="66"/>
        <v>#N/A</v>
      </c>
      <c r="AB397" s="41" t="e">
        <f t="shared" si="67"/>
        <v>#N/A</v>
      </c>
      <c r="AC397" s="41" t="e">
        <f t="shared" si="68"/>
        <v>#N/A</v>
      </c>
    </row>
    <row r="398" spans="1:29" hidden="1" x14ac:dyDescent="0.25">
      <c r="A398" s="43">
        <v>397</v>
      </c>
      <c r="B398" t="s">
        <v>377</v>
      </c>
      <c r="C398" s="131" t="str">
        <f t="shared" si="63"/>
        <v>LlaveD86467012297102211472</v>
      </c>
      <c r="D398" s="33" t="str">
        <f>VLOOKUP(E398,'NO MODIFICAR'!J:K,2,0)</f>
        <v>D864</v>
      </c>
      <c r="E398" s="26" t="s">
        <v>55</v>
      </c>
      <c r="F398" s="33" t="str">
        <f>VLOOKUP(D398,'NO MODIFICAR'!F:H,3,0)</f>
        <v xml:space="preserve">CENTRO </v>
      </c>
      <c r="G398" s="92">
        <v>67012297</v>
      </c>
      <c r="H398" s="93" t="s">
        <v>349</v>
      </c>
      <c r="I398" s="94">
        <v>10221147</v>
      </c>
      <c r="J398" s="56" t="str">
        <f>VLOOKUP(I398,'Materiales,canteras'!C:D,2,0)</f>
        <v>BASE HIDRÁULICA 80%GRUESOS-20%FINOS</v>
      </c>
      <c r="K398" s="33">
        <f>VLOOKUP(I398,'Materiales,canteras'!C:E,3,0)</f>
        <v>1.452</v>
      </c>
      <c r="L398" s="105">
        <v>135</v>
      </c>
      <c r="M398" s="28" t="s">
        <v>93</v>
      </c>
      <c r="N398" s="57">
        <f t="shared" ca="1" si="64"/>
        <v>46267</v>
      </c>
      <c r="O398" s="32" t="s">
        <v>201</v>
      </c>
      <c r="R398">
        <f t="shared" si="69"/>
        <v>1.4999999999999999E-2</v>
      </c>
      <c r="S398" s="4">
        <v>143</v>
      </c>
      <c r="T398" s="66">
        <f t="shared" si="65"/>
        <v>-5.8549999999999898</v>
      </c>
      <c r="U398" s="46">
        <f t="shared" si="61"/>
        <v>135</v>
      </c>
      <c r="V398" s="27">
        <v>0</v>
      </c>
      <c r="W398" s="4">
        <v>2</v>
      </c>
      <c r="X398" s="67">
        <f t="shared" si="62"/>
        <v>135</v>
      </c>
      <c r="Y398" s="32" t="e">
        <f>IF(+VLOOKUP(I398,P.Referencia!E:S,3,FALSE)&lt;=L398,"Champion","Gerente")</f>
        <v>#N/A</v>
      </c>
      <c r="Z398" s="39" t="e">
        <f>VLOOKUP(I398,P.Referencia!E:S,3,0)</f>
        <v>#N/A</v>
      </c>
      <c r="AA398" s="40" t="e">
        <f t="shared" si="66"/>
        <v>#N/A</v>
      </c>
      <c r="AB398" s="41" t="e">
        <f t="shared" si="67"/>
        <v>#N/A</v>
      </c>
      <c r="AC398" s="41" t="e">
        <f t="shared" si="68"/>
        <v>#N/A</v>
      </c>
    </row>
    <row r="399" spans="1:29" hidden="1" x14ac:dyDescent="0.25">
      <c r="A399" s="43">
        <v>398</v>
      </c>
      <c r="B399" t="s">
        <v>377</v>
      </c>
      <c r="C399" s="131" t="str">
        <f t="shared" si="63"/>
        <v>LlaveD86466433511100002692</v>
      </c>
      <c r="D399" s="33" t="str">
        <f>VLOOKUP(E399,'NO MODIFICAR'!J:K,2,0)</f>
        <v>D864</v>
      </c>
      <c r="E399" s="26" t="s">
        <v>55</v>
      </c>
      <c r="F399" s="33" t="str">
        <f>VLOOKUP(D399,'NO MODIFICAR'!F:H,3,0)</f>
        <v xml:space="preserve">CENTRO </v>
      </c>
      <c r="G399" s="92" t="s">
        <v>353</v>
      </c>
      <c r="H399" s="93" t="s">
        <v>354</v>
      </c>
      <c r="I399" s="94">
        <v>10000269</v>
      </c>
      <c r="J399" s="56" t="str">
        <f>VLOOKUP(I399,'Materiales,canteras'!C:D,2,0)</f>
        <v>Grava Triturada Caliza 13 mm -</v>
      </c>
      <c r="K399" s="33">
        <f>VLOOKUP(I399,'Materiales,canteras'!C:E,3,0)</f>
        <v>1.423</v>
      </c>
      <c r="L399" s="105">
        <v>136.5</v>
      </c>
      <c r="M399" s="28" t="s">
        <v>93</v>
      </c>
      <c r="N399" s="57">
        <f t="shared" ca="1" si="64"/>
        <v>46267</v>
      </c>
      <c r="O399" s="32" t="s">
        <v>201</v>
      </c>
      <c r="R399">
        <v>0</v>
      </c>
      <c r="S399" s="4">
        <v>250</v>
      </c>
      <c r="T399" s="66">
        <f t="shared" si="65"/>
        <v>-113.5</v>
      </c>
      <c r="U399" s="46">
        <f t="shared" si="61"/>
        <v>136.5</v>
      </c>
      <c r="V399" s="27">
        <v>0</v>
      </c>
      <c r="W399" s="4">
        <v>2</v>
      </c>
      <c r="X399" s="67">
        <f t="shared" si="62"/>
        <v>136.5</v>
      </c>
      <c r="Y399" s="32" t="e">
        <f>IF(+VLOOKUP(I399,P.Referencia!E:S,3,FALSE)&lt;=L399,"Champion","Gerente")</f>
        <v>#N/A</v>
      </c>
      <c r="Z399" s="39" t="e">
        <f>VLOOKUP(I399,P.Referencia!E:S,3,0)</f>
        <v>#N/A</v>
      </c>
      <c r="AA399" s="40" t="e">
        <f t="shared" si="66"/>
        <v>#N/A</v>
      </c>
      <c r="AB399" s="41" t="e">
        <f t="shared" si="67"/>
        <v>#N/A</v>
      </c>
      <c r="AC399" s="41" t="e">
        <f t="shared" si="68"/>
        <v>#N/A</v>
      </c>
    </row>
    <row r="400" spans="1:29" hidden="1" x14ac:dyDescent="0.25">
      <c r="A400" s="43">
        <v>399</v>
      </c>
      <c r="B400" t="s">
        <v>377</v>
      </c>
      <c r="C400" s="131" t="str">
        <f t="shared" si="63"/>
        <v>LlaveD86167345388100014501</v>
      </c>
      <c r="D400" s="33" t="str">
        <f>VLOOKUP(E400,'NO MODIFICAR'!J:K,2,0)</f>
        <v>D861</v>
      </c>
      <c r="E400" s="26" t="s">
        <v>44</v>
      </c>
      <c r="F400" s="33" t="str">
        <f>VLOOKUP(D400,'NO MODIFICAR'!F:H,3,0)</f>
        <v xml:space="preserve">CENTRO </v>
      </c>
      <c r="G400" s="92">
        <v>67345388</v>
      </c>
      <c r="H400" s="93" t="s">
        <v>355</v>
      </c>
      <c r="I400" s="94">
        <v>10001450</v>
      </c>
      <c r="J400" s="56" t="str">
        <f>VLOOKUP(I400,'Materiales,canteras'!C:D,2,0)</f>
        <v>Base Hidraúlica Basalto de 1 /1/2</v>
      </c>
      <c r="K400" s="33">
        <f>VLOOKUP(I400,'Materiales,canteras'!C:E,3,0)</f>
        <v>1.7490000000000001</v>
      </c>
      <c r="L400" s="105">
        <v>200</v>
      </c>
      <c r="M400" s="28" t="s">
        <v>93</v>
      </c>
      <c r="N400" s="57">
        <f t="shared" ca="1" si="64"/>
        <v>46267</v>
      </c>
      <c r="O400" s="32" t="s">
        <v>356</v>
      </c>
      <c r="R400">
        <f>1.5/100</f>
        <v>1.4999999999999999E-2</v>
      </c>
      <c r="S400" s="4">
        <v>260</v>
      </c>
      <c r="T400" s="66">
        <f t="shared" si="65"/>
        <v>-56.100000000000023</v>
      </c>
      <c r="U400" s="46">
        <f t="shared" si="61"/>
        <v>200</v>
      </c>
      <c r="V400" s="27">
        <v>50</v>
      </c>
      <c r="W400" s="4">
        <v>1</v>
      </c>
      <c r="X400" s="67">
        <f t="shared" si="62"/>
        <v>250</v>
      </c>
      <c r="Y400" s="32" t="e">
        <f>IF(+VLOOKUP(I400,P.Referencia!E:S,3,FALSE)&lt;=L400,"Champion","Gerente")</f>
        <v>#N/A</v>
      </c>
      <c r="Z400" s="39" t="e">
        <f>VLOOKUP(I400,P.Referencia!E:S,3,0)</f>
        <v>#N/A</v>
      </c>
      <c r="AA400" s="40" t="e">
        <f t="shared" si="66"/>
        <v>#N/A</v>
      </c>
      <c r="AB400" s="41" t="e">
        <f t="shared" si="67"/>
        <v>#N/A</v>
      </c>
      <c r="AC400" s="41" t="e">
        <f t="shared" si="68"/>
        <v>#N/A</v>
      </c>
    </row>
    <row r="401" spans="1:29" s="132" customFormat="1" hidden="1" x14ac:dyDescent="0.25">
      <c r="A401" s="133">
        <v>400</v>
      </c>
      <c r="B401" s="132" t="s">
        <v>377</v>
      </c>
      <c r="C401" s="132" t="str">
        <f t="shared" si="63"/>
        <v>LlaveD89367347643100512952</v>
      </c>
      <c r="D401" s="134" t="s">
        <v>70</v>
      </c>
      <c r="E401" s="132" t="s">
        <v>253</v>
      </c>
      <c r="F401" s="135" t="s">
        <v>359</v>
      </c>
      <c r="G401" s="92">
        <v>67347643</v>
      </c>
      <c r="H401" s="132" t="s">
        <v>357</v>
      </c>
      <c r="I401" s="134">
        <v>10051295</v>
      </c>
      <c r="J401" s="136" t="str">
        <f>VLOOKUP(I401,'Materiales,canteras'!C:D,2,0)</f>
        <v>Grava Triturada Basalto 10 mm</v>
      </c>
      <c r="K401" s="137">
        <f>VLOOKUP(I401,'Materiales,canteras'!C:E,3,0)</f>
        <v>1.2529999999999999</v>
      </c>
      <c r="L401" s="141">
        <v>326</v>
      </c>
      <c r="M401" s="135" t="s">
        <v>93</v>
      </c>
      <c r="N401" s="138">
        <f t="shared" ca="1" si="64"/>
        <v>46267</v>
      </c>
      <c r="O401" s="32" t="s">
        <v>201</v>
      </c>
      <c r="R401" s="132">
        <f>1.5/100</f>
        <v>1.4999999999999999E-2</v>
      </c>
      <c r="S401" s="132">
        <v>395</v>
      </c>
      <c r="T401" s="139">
        <f t="shared" si="65"/>
        <v>-63.074999999999989</v>
      </c>
      <c r="U401" s="140">
        <f t="shared" si="61"/>
        <v>326</v>
      </c>
      <c r="V401" s="141">
        <v>0</v>
      </c>
      <c r="W401" s="132">
        <v>2</v>
      </c>
      <c r="X401" s="142">
        <f t="shared" si="62"/>
        <v>326</v>
      </c>
      <c r="Y401" s="134" t="e">
        <f>IF(+VLOOKUP(I401,P.Referencia!E:S,3,FALSE)&lt;=L401,"Champion","Gerente")</f>
        <v>#N/A</v>
      </c>
      <c r="Z401" s="143" t="e">
        <f>VLOOKUP(I401,P.Referencia!E:S,3,0)</f>
        <v>#N/A</v>
      </c>
      <c r="AA401" s="144" t="e">
        <f t="shared" si="66"/>
        <v>#N/A</v>
      </c>
      <c r="AB401" s="145" t="e">
        <f t="shared" si="67"/>
        <v>#N/A</v>
      </c>
      <c r="AC401" s="145" t="e">
        <f t="shared" si="68"/>
        <v>#N/A</v>
      </c>
    </row>
    <row r="402" spans="1:29" s="132" customFormat="1" hidden="1" x14ac:dyDescent="0.25">
      <c r="A402" s="133">
        <v>401</v>
      </c>
      <c r="B402" s="132" t="s">
        <v>377</v>
      </c>
      <c r="C402" s="132" t="str">
        <f t="shared" si="63"/>
        <v>LlaveD89367347643100512932</v>
      </c>
      <c r="D402" s="134" t="s">
        <v>70</v>
      </c>
      <c r="E402" s="132" t="s">
        <v>253</v>
      </c>
      <c r="F402" s="135" t="s">
        <v>359</v>
      </c>
      <c r="G402" s="92">
        <v>67347643</v>
      </c>
      <c r="H402" s="132" t="s">
        <v>357</v>
      </c>
      <c r="I402" s="134">
        <v>10051293</v>
      </c>
      <c r="J402" s="136" t="str">
        <f>VLOOKUP(I402,'Materiales,canteras'!C:D,2,0)</f>
        <v>Grava Triturada Basalto 20 mm</v>
      </c>
      <c r="K402" s="137">
        <f>VLOOKUP(I402,'Materiales,canteras'!C:E,3,0)</f>
        <v>1.403</v>
      </c>
      <c r="L402" s="141">
        <v>230</v>
      </c>
      <c r="M402" s="135" t="s">
        <v>93</v>
      </c>
      <c r="N402" s="138">
        <f t="shared" ca="1" si="64"/>
        <v>46267</v>
      </c>
      <c r="O402" s="32" t="s">
        <v>201</v>
      </c>
      <c r="R402" s="132">
        <f>1.5/100</f>
        <v>1.4999999999999999E-2</v>
      </c>
      <c r="S402" s="132">
        <v>275</v>
      </c>
      <c r="T402" s="139">
        <f t="shared" si="65"/>
        <v>-40.875</v>
      </c>
      <c r="U402" s="140">
        <f t="shared" si="61"/>
        <v>230</v>
      </c>
      <c r="V402" s="141">
        <v>0</v>
      </c>
      <c r="W402" s="132">
        <v>2</v>
      </c>
      <c r="X402" s="142">
        <f t="shared" si="62"/>
        <v>230</v>
      </c>
      <c r="Y402" s="134" t="e">
        <f>IF(+VLOOKUP(I402,P.Referencia!E:S,3,FALSE)&lt;=L402,"Champion","Gerente")</f>
        <v>#N/A</v>
      </c>
      <c r="Z402" s="143" t="e">
        <f>VLOOKUP(I402,P.Referencia!E:S,3,0)</f>
        <v>#N/A</v>
      </c>
      <c r="AA402" s="144" t="e">
        <f t="shared" si="66"/>
        <v>#N/A</v>
      </c>
      <c r="AB402" s="145" t="e">
        <f t="shared" si="67"/>
        <v>#N/A</v>
      </c>
      <c r="AC402" s="145" t="e">
        <f t="shared" si="68"/>
        <v>#N/A</v>
      </c>
    </row>
    <row r="403" spans="1:29" s="132" customFormat="1" hidden="1" x14ac:dyDescent="0.25">
      <c r="A403" s="133">
        <v>402</v>
      </c>
      <c r="B403" s="132" t="s">
        <v>377</v>
      </c>
      <c r="C403" s="132" t="str">
        <f t="shared" si="63"/>
        <v>LlaveD89367329262100512932</v>
      </c>
      <c r="D403" s="134" t="s">
        <v>70</v>
      </c>
      <c r="E403" s="132" t="s">
        <v>253</v>
      </c>
      <c r="F403" s="135" t="s">
        <v>359</v>
      </c>
      <c r="G403" s="92">
        <v>67329262</v>
      </c>
      <c r="H403" s="132" t="s">
        <v>358</v>
      </c>
      <c r="I403" s="134">
        <v>10051293</v>
      </c>
      <c r="J403" s="136" t="str">
        <f>VLOOKUP(I403,'Materiales,canteras'!C:D,2,0)</f>
        <v>Grava Triturada Basalto 20 mm</v>
      </c>
      <c r="K403" s="137">
        <f>VLOOKUP(I403,'Materiales,canteras'!C:E,3,0)</f>
        <v>1.403</v>
      </c>
      <c r="L403" s="141">
        <v>230</v>
      </c>
      <c r="M403" s="135" t="s">
        <v>93</v>
      </c>
      <c r="N403" s="138">
        <f t="shared" ca="1" si="64"/>
        <v>46267</v>
      </c>
      <c r="O403" s="32" t="s">
        <v>201</v>
      </c>
      <c r="R403" s="132">
        <f>1.5/100</f>
        <v>1.4999999999999999E-2</v>
      </c>
      <c r="S403" s="132">
        <v>275</v>
      </c>
      <c r="T403" s="139">
        <f t="shared" si="65"/>
        <v>-40.875</v>
      </c>
      <c r="U403" s="140">
        <f t="shared" si="61"/>
        <v>230</v>
      </c>
      <c r="V403" s="141">
        <v>0</v>
      </c>
      <c r="W403" s="132">
        <v>2</v>
      </c>
      <c r="X403" s="142">
        <f t="shared" si="62"/>
        <v>230</v>
      </c>
      <c r="Y403" s="134" t="e">
        <f>IF(+VLOOKUP(I403,P.Referencia!E:S,3,FALSE)&lt;=L403,"Champion","Gerente")</f>
        <v>#N/A</v>
      </c>
      <c r="Z403" s="143" t="e">
        <f>VLOOKUP(I403,P.Referencia!E:S,3,0)</f>
        <v>#N/A</v>
      </c>
      <c r="AA403" s="144" t="e">
        <f t="shared" si="66"/>
        <v>#N/A</v>
      </c>
      <c r="AB403" s="145" t="e">
        <f t="shared" si="67"/>
        <v>#N/A</v>
      </c>
      <c r="AC403" s="145" t="e">
        <f t="shared" si="68"/>
        <v>#N/A</v>
      </c>
    </row>
    <row r="404" spans="1:29" s="146" customFormat="1" hidden="1" x14ac:dyDescent="0.25">
      <c r="A404" s="147">
        <v>403</v>
      </c>
      <c r="B404" s="132" t="s">
        <v>377</v>
      </c>
      <c r="C404" s="146" t="str">
        <f t="shared" si="63"/>
        <v>LlaveD917 67086849102637012</v>
      </c>
      <c r="D404" s="147" t="s">
        <v>360</v>
      </c>
      <c r="E404" s="26" t="s">
        <v>84</v>
      </c>
      <c r="F404" s="148" t="s">
        <v>362</v>
      </c>
      <c r="G404" s="92">
        <v>67086849</v>
      </c>
      <c r="H404" s="146" t="s">
        <v>363</v>
      </c>
      <c r="I404" s="147">
        <v>10263701</v>
      </c>
      <c r="J404" s="149" t="str">
        <f>VLOOKUP(I404,'Materiales,canteras'!C:D,2,0)</f>
        <v>GRAVA TRITURADA CALIZA 20MM</v>
      </c>
      <c r="K404" s="150">
        <f>VLOOKUP(I404,'Materiales,canteras'!C:E,3,0)</f>
        <v>1.363</v>
      </c>
      <c r="L404" s="154">
        <v>188</v>
      </c>
      <c r="M404" s="148" t="s">
        <v>93</v>
      </c>
      <c r="N404" s="151">
        <f t="shared" ca="1" si="64"/>
        <v>46267</v>
      </c>
      <c r="O404" s="32" t="s">
        <v>201</v>
      </c>
      <c r="S404" s="146">
        <v>78</v>
      </c>
      <c r="T404" s="152">
        <f t="shared" si="65"/>
        <v>110</v>
      </c>
      <c r="U404" s="153">
        <f t="shared" si="61"/>
        <v>188</v>
      </c>
      <c r="V404" s="154">
        <v>0</v>
      </c>
      <c r="W404" s="146">
        <v>2</v>
      </c>
      <c r="X404" s="155">
        <f t="shared" si="62"/>
        <v>188</v>
      </c>
      <c r="Y404" s="147" t="e">
        <f>IF(+VLOOKUP(I404,P.Referencia!E:S,3,FALSE)&lt;=L404,"Champion","Gerente")</f>
        <v>#N/A</v>
      </c>
      <c r="Z404" s="156" t="e">
        <f>VLOOKUP(I404,P.Referencia!E:S,3,0)</f>
        <v>#N/A</v>
      </c>
      <c r="AA404" s="157" t="e">
        <f t="shared" si="66"/>
        <v>#N/A</v>
      </c>
      <c r="AB404" s="158" t="e">
        <f t="shared" si="67"/>
        <v>#N/A</v>
      </c>
      <c r="AC404" s="158" t="e">
        <f t="shared" si="68"/>
        <v>#N/A</v>
      </c>
    </row>
    <row r="405" spans="1:29" s="146" customFormat="1" hidden="1" x14ac:dyDescent="0.25">
      <c r="A405" s="147">
        <v>404</v>
      </c>
      <c r="B405" s="132" t="s">
        <v>377</v>
      </c>
      <c r="C405" s="146" t="str">
        <f t="shared" si="63"/>
        <v>LlaveD917 67280896102486592</v>
      </c>
      <c r="D405" s="147" t="s">
        <v>360</v>
      </c>
      <c r="E405" s="26" t="s">
        <v>84</v>
      </c>
      <c r="F405" s="148" t="s">
        <v>362</v>
      </c>
      <c r="G405" s="92">
        <v>67280896</v>
      </c>
      <c r="H405" s="146" t="s">
        <v>363</v>
      </c>
      <c r="I405" s="147">
        <v>10248659</v>
      </c>
      <c r="J405" s="149" t="str">
        <f>VLOOKUP(I405,'Materiales,canteras'!C:D,2,0)</f>
        <v>ARENA NO. 4</v>
      </c>
      <c r="K405" s="150">
        <f>VLOOKUP(I405,'Materiales,canteras'!C:E,3,0)</f>
        <v>1.673</v>
      </c>
      <c r="L405" s="154">
        <v>231</v>
      </c>
      <c r="M405" s="148" t="s">
        <v>93</v>
      </c>
      <c r="N405" s="151">
        <f t="shared" ca="1" si="64"/>
        <v>46267</v>
      </c>
      <c r="O405" s="32" t="s">
        <v>201</v>
      </c>
      <c r="T405" s="152">
        <f t="shared" si="65"/>
        <v>231</v>
      </c>
      <c r="U405" s="153">
        <f t="shared" si="61"/>
        <v>231</v>
      </c>
      <c r="V405" s="154">
        <v>0</v>
      </c>
      <c r="W405" s="146">
        <v>2</v>
      </c>
      <c r="X405" s="155">
        <f t="shared" si="62"/>
        <v>231</v>
      </c>
      <c r="Y405" s="147" t="e">
        <f>IF(+VLOOKUP(I405,P.Referencia!E:S,3,FALSE)&lt;=L405,"Champion","Gerente")</f>
        <v>#N/A</v>
      </c>
      <c r="Z405" s="156" t="e">
        <f>VLOOKUP(I405,P.Referencia!E:S,3,0)</f>
        <v>#N/A</v>
      </c>
      <c r="AA405" s="157" t="e">
        <f t="shared" si="66"/>
        <v>#N/A</v>
      </c>
      <c r="AB405" s="158" t="e">
        <f t="shared" si="67"/>
        <v>#N/A</v>
      </c>
      <c r="AC405" s="158" t="e">
        <f t="shared" si="68"/>
        <v>#N/A</v>
      </c>
    </row>
    <row r="406" spans="1:29" s="146" customFormat="1" hidden="1" x14ac:dyDescent="0.25">
      <c r="A406" s="147">
        <v>405</v>
      </c>
      <c r="B406" s="132" t="s">
        <v>377</v>
      </c>
      <c r="C406" s="146" t="str">
        <f t="shared" si="63"/>
        <v>LlaveD917 67287274102637012</v>
      </c>
      <c r="D406" s="147" t="s">
        <v>360</v>
      </c>
      <c r="E406" s="26" t="s">
        <v>84</v>
      </c>
      <c r="F406" s="148" t="s">
        <v>362</v>
      </c>
      <c r="G406" s="92">
        <v>67287274</v>
      </c>
      <c r="H406" s="146" t="s">
        <v>364</v>
      </c>
      <c r="I406" s="147">
        <v>10263701</v>
      </c>
      <c r="J406" s="149" t="str">
        <f>VLOOKUP(I406,'Materiales,canteras'!C:D,2,0)</f>
        <v>GRAVA TRITURADA CALIZA 20MM</v>
      </c>
      <c r="K406" s="150">
        <f>VLOOKUP(I406,'Materiales,canteras'!C:E,3,0)</f>
        <v>1.363</v>
      </c>
      <c r="L406" s="154">
        <v>188</v>
      </c>
      <c r="M406" s="148" t="s">
        <v>93</v>
      </c>
      <c r="N406" s="151">
        <f t="shared" ca="1" si="64"/>
        <v>46267</v>
      </c>
      <c r="O406" s="32" t="s">
        <v>201</v>
      </c>
      <c r="T406" s="152">
        <f t="shared" si="65"/>
        <v>188</v>
      </c>
      <c r="U406" s="153">
        <f t="shared" si="61"/>
        <v>188</v>
      </c>
      <c r="V406" s="154">
        <v>0</v>
      </c>
      <c r="W406" s="146">
        <v>2</v>
      </c>
      <c r="X406" s="155">
        <f t="shared" si="62"/>
        <v>188</v>
      </c>
      <c r="Y406" s="147" t="e">
        <f>IF(+VLOOKUP(I406,P.Referencia!E:S,3,FALSE)&lt;=L406,"Champion","Gerente")</f>
        <v>#N/A</v>
      </c>
      <c r="Z406" s="156" t="e">
        <f>VLOOKUP(I406,P.Referencia!E:S,3,0)</f>
        <v>#N/A</v>
      </c>
      <c r="AA406" s="157" t="e">
        <f t="shared" si="66"/>
        <v>#N/A</v>
      </c>
      <c r="AB406" s="158" t="e">
        <f t="shared" si="67"/>
        <v>#N/A</v>
      </c>
      <c r="AC406" s="158" t="e">
        <f t="shared" si="68"/>
        <v>#N/A</v>
      </c>
    </row>
    <row r="407" spans="1:29" s="146" customFormat="1" hidden="1" x14ac:dyDescent="0.25">
      <c r="A407" s="147">
        <v>406</v>
      </c>
      <c r="B407" s="132" t="s">
        <v>377</v>
      </c>
      <c r="C407" s="146" t="str">
        <f t="shared" si="63"/>
        <v>LlaveD917 67280896102486592</v>
      </c>
      <c r="D407" s="147" t="s">
        <v>360</v>
      </c>
      <c r="E407" s="26" t="s">
        <v>84</v>
      </c>
      <c r="F407" s="148" t="s">
        <v>362</v>
      </c>
      <c r="G407" s="92">
        <v>67280896</v>
      </c>
      <c r="H407" s="146" t="s">
        <v>364</v>
      </c>
      <c r="I407" s="147">
        <v>10248659</v>
      </c>
      <c r="J407" s="149" t="str">
        <f>VLOOKUP(I407,'Materiales,canteras'!C:D,2,0)</f>
        <v>ARENA NO. 4</v>
      </c>
      <c r="K407" s="150">
        <f>VLOOKUP(I407,'Materiales,canteras'!C:E,3,0)</f>
        <v>1.673</v>
      </c>
      <c r="L407" s="154">
        <v>231</v>
      </c>
      <c r="M407" s="148" t="s">
        <v>93</v>
      </c>
      <c r="N407" s="151">
        <f t="shared" ca="1" si="64"/>
        <v>46267</v>
      </c>
      <c r="O407" s="32" t="s">
        <v>201</v>
      </c>
      <c r="T407" s="152">
        <f t="shared" si="65"/>
        <v>231</v>
      </c>
      <c r="U407" s="153">
        <f t="shared" si="61"/>
        <v>231</v>
      </c>
      <c r="V407" s="154">
        <v>0</v>
      </c>
      <c r="W407" s="146">
        <v>2</v>
      </c>
      <c r="X407" s="155">
        <f t="shared" si="62"/>
        <v>231</v>
      </c>
      <c r="Y407" s="147" t="e">
        <f>IF(+VLOOKUP(I407,P.Referencia!E:S,3,FALSE)&lt;=L407,"Champion","Gerente")</f>
        <v>#N/A</v>
      </c>
      <c r="Z407" s="156" t="e">
        <f>VLOOKUP(I407,P.Referencia!E:S,3,0)</f>
        <v>#N/A</v>
      </c>
      <c r="AA407" s="157" t="e">
        <f t="shared" si="66"/>
        <v>#N/A</v>
      </c>
      <c r="AB407" s="158" t="e">
        <f t="shared" si="67"/>
        <v>#N/A</v>
      </c>
      <c r="AC407" s="158" t="e">
        <f t="shared" si="68"/>
        <v>#N/A</v>
      </c>
    </row>
    <row r="408" spans="1:29" hidden="1" x14ac:dyDescent="0.25">
      <c r="A408" s="43">
        <v>407</v>
      </c>
      <c r="B408" t="s">
        <v>377</v>
      </c>
      <c r="C408" s="131" t="str">
        <f t="shared" si="63"/>
        <v>LlaveD86466827157100002402</v>
      </c>
      <c r="D408" s="33" t="str">
        <f>VLOOKUP(E408,'NO MODIFICAR'!J:K,2,0)</f>
        <v>D864</v>
      </c>
      <c r="E408" s="26" t="s">
        <v>55</v>
      </c>
      <c r="F408" s="33" t="str">
        <f>VLOOKUP(D408,'NO MODIFICAR'!F:H,3,0)</f>
        <v xml:space="preserve">CENTRO </v>
      </c>
      <c r="G408" s="92">
        <v>66827157</v>
      </c>
      <c r="H408" s="93" t="s">
        <v>366</v>
      </c>
      <c r="I408" s="94">
        <v>10000240</v>
      </c>
      <c r="J408" s="56" t="str">
        <f>VLOOKUP(I408,'Materiales,canteras'!C:D,2,0)</f>
        <v>Grava Triturada Caliza 20 mm -</v>
      </c>
      <c r="K408" s="33">
        <f>VLOOKUP(I408,'Materiales,canteras'!C:E,3,0)</f>
        <v>1.462</v>
      </c>
      <c r="L408" s="105">
        <v>127</v>
      </c>
      <c r="M408" s="28" t="s">
        <v>93</v>
      </c>
      <c r="N408" s="57">
        <f t="shared" ca="1" si="64"/>
        <v>46267</v>
      </c>
      <c r="O408" s="32" t="s">
        <v>201</v>
      </c>
      <c r="R408">
        <v>0</v>
      </c>
      <c r="S408" s="4">
        <v>280</v>
      </c>
      <c r="T408" s="66">
        <f t="shared" si="65"/>
        <v>-153</v>
      </c>
      <c r="U408" s="46">
        <f t="shared" si="61"/>
        <v>127</v>
      </c>
      <c r="V408" s="27">
        <v>0</v>
      </c>
      <c r="W408" s="4">
        <v>2</v>
      </c>
      <c r="X408" s="67">
        <f t="shared" si="62"/>
        <v>127</v>
      </c>
      <c r="Y408" s="32" t="e">
        <f>IF(+VLOOKUP(I408,P.Referencia!E:S,3,FALSE)&lt;=L408,"Champion","Gerente")</f>
        <v>#N/A</v>
      </c>
      <c r="Z408" s="39" t="e">
        <f>VLOOKUP(I408,P.Referencia!E:S,3,0)</f>
        <v>#N/A</v>
      </c>
      <c r="AA408" s="40" t="e">
        <f t="shared" si="66"/>
        <v>#N/A</v>
      </c>
      <c r="AB408" s="41" t="e">
        <f t="shared" si="67"/>
        <v>#N/A</v>
      </c>
      <c r="AC408" s="41" t="e">
        <f t="shared" si="68"/>
        <v>#N/A</v>
      </c>
    </row>
    <row r="409" spans="1:29" hidden="1" x14ac:dyDescent="0.25">
      <c r="A409" s="43">
        <v>408</v>
      </c>
      <c r="B409" t="s">
        <v>377</v>
      </c>
      <c r="C409" s="131" t="str">
        <f t="shared" si="63"/>
        <v>LlaveD86466827157100010742</v>
      </c>
      <c r="D409" s="33" t="str">
        <f>VLOOKUP(E409,'NO MODIFICAR'!J:K,2,0)</f>
        <v>D864</v>
      </c>
      <c r="E409" s="26" t="s">
        <v>55</v>
      </c>
      <c r="F409" s="33" t="str">
        <f>VLOOKUP(D409,'NO MODIFICAR'!F:H,3,0)</f>
        <v xml:space="preserve">CENTRO </v>
      </c>
      <c r="G409" s="92">
        <v>66827157</v>
      </c>
      <c r="H409" s="93" t="s">
        <v>366</v>
      </c>
      <c r="I409" s="94">
        <v>10001074</v>
      </c>
      <c r="J409" s="56" t="str">
        <f>VLOOKUP(I409,'Materiales,canteras'!C:D,2,0)</f>
        <v>Grava Triturada Caliza 40 mm -</v>
      </c>
      <c r="K409" s="33">
        <f>VLOOKUP(I409,'Materiales,canteras'!C:E,3,0)</f>
        <v>1.4</v>
      </c>
      <c r="L409" s="105">
        <v>137</v>
      </c>
      <c r="M409" s="28" t="s">
        <v>93</v>
      </c>
      <c r="N409" s="57">
        <f t="shared" ca="1" si="64"/>
        <v>46267</v>
      </c>
      <c r="O409" s="32" t="s">
        <v>201</v>
      </c>
      <c r="S409" s="4">
        <v>220</v>
      </c>
      <c r="T409" s="66">
        <f t="shared" si="65"/>
        <v>-83</v>
      </c>
      <c r="U409" s="46">
        <f t="shared" si="61"/>
        <v>137</v>
      </c>
      <c r="V409" s="27">
        <v>0</v>
      </c>
      <c r="W409" s="4">
        <v>2</v>
      </c>
      <c r="X409" s="67">
        <f t="shared" si="62"/>
        <v>137</v>
      </c>
      <c r="Y409" s="32" t="e">
        <f>IF(+VLOOKUP(I409,P.Referencia!E:S,3,FALSE)&lt;=L409,"Champion","Gerente")</f>
        <v>#N/A</v>
      </c>
      <c r="Z409" s="39" t="e">
        <f>VLOOKUP(I409,P.Referencia!E:S,3,0)</f>
        <v>#N/A</v>
      </c>
      <c r="AA409" s="40" t="e">
        <f t="shared" si="66"/>
        <v>#N/A</v>
      </c>
      <c r="AB409" s="41" t="e">
        <f t="shared" si="67"/>
        <v>#N/A</v>
      </c>
      <c r="AC409" s="41" t="e">
        <f t="shared" si="68"/>
        <v>#N/A</v>
      </c>
    </row>
    <row r="410" spans="1:29" hidden="1" x14ac:dyDescent="0.25">
      <c r="A410" s="43">
        <v>409</v>
      </c>
      <c r="B410" t="s">
        <v>377</v>
      </c>
      <c r="C410" s="131" t="str">
        <f t="shared" si="63"/>
        <v>LlaveD86466827157100002362</v>
      </c>
      <c r="D410" s="33" t="str">
        <f>VLOOKUP(E410,'NO MODIFICAR'!J:K,2,0)</f>
        <v>D864</v>
      </c>
      <c r="E410" s="26" t="s">
        <v>55</v>
      </c>
      <c r="F410" s="33" t="str">
        <f>VLOOKUP(D410,'NO MODIFICAR'!F:H,3,0)</f>
        <v xml:space="preserve">CENTRO </v>
      </c>
      <c r="G410" s="92">
        <v>66827157</v>
      </c>
      <c r="H410" s="93" t="s">
        <v>366</v>
      </c>
      <c r="I410" s="94">
        <v>10000236</v>
      </c>
      <c r="J410" s="56" t="str">
        <f>VLOOKUP(I410,'Materiales,canteras'!C:D,2,0)</f>
        <v>Grava Triturada Caliza 10 mm -</v>
      </c>
      <c r="K410" s="33">
        <f>VLOOKUP(I410,'Materiales,canteras'!C:E,3,0)</f>
        <v>1.41</v>
      </c>
      <c r="L410" s="105">
        <v>120</v>
      </c>
      <c r="M410" s="28" t="s">
        <v>93</v>
      </c>
      <c r="N410" s="57">
        <f t="shared" ca="1" si="64"/>
        <v>46267</v>
      </c>
      <c r="O410" s="32" t="s">
        <v>201</v>
      </c>
      <c r="S410" s="4">
        <v>240</v>
      </c>
      <c r="T410" s="66">
        <f t="shared" si="65"/>
        <v>-120</v>
      </c>
      <c r="U410" s="46">
        <f t="shared" si="61"/>
        <v>120</v>
      </c>
      <c r="V410" s="27">
        <v>0</v>
      </c>
      <c r="W410" s="4">
        <v>2</v>
      </c>
      <c r="X410" s="67">
        <f t="shared" si="62"/>
        <v>120</v>
      </c>
      <c r="Y410" s="32" t="e">
        <f>IF(+VLOOKUP(I410,P.Referencia!E:S,3,FALSE)&lt;=L410,"Champion","Gerente")</f>
        <v>#N/A</v>
      </c>
      <c r="Z410" s="39" t="e">
        <f>VLOOKUP(I410,P.Referencia!E:S,3,0)</f>
        <v>#N/A</v>
      </c>
      <c r="AA410" s="40" t="e">
        <f t="shared" si="66"/>
        <v>#N/A</v>
      </c>
      <c r="AB410" s="41" t="e">
        <f t="shared" si="67"/>
        <v>#N/A</v>
      </c>
      <c r="AC410" s="41" t="e">
        <f t="shared" si="68"/>
        <v>#N/A</v>
      </c>
    </row>
    <row r="411" spans="1:29" hidden="1" x14ac:dyDescent="0.25">
      <c r="A411" s="43">
        <v>410</v>
      </c>
      <c r="B411" t="s">
        <v>377</v>
      </c>
      <c r="C411" s="131" t="str">
        <f t="shared" si="63"/>
        <v>LlaveD86466827157100010732</v>
      </c>
      <c r="D411" s="33" t="str">
        <f>VLOOKUP(E411,'NO MODIFICAR'!J:K,2,0)</f>
        <v>D864</v>
      </c>
      <c r="E411" s="26" t="s">
        <v>55</v>
      </c>
      <c r="F411" s="33" t="str">
        <f>VLOOKUP(D411,'NO MODIFICAR'!F:H,3,0)</f>
        <v xml:space="preserve">CENTRO </v>
      </c>
      <c r="G411" s="92">
        <v>66827157</v>
      </c>
      <c r="H411" s="93" t="s">
        <v>366</v>
      </c>
      <c r="I411" s="94">
        <v>10001073</v>
      </c>
      <c r="J411" s="56" t="str">
        <f>VLOOKUP(I411,'Materiales,canteras'!C:D,2,0)</f>
        <v>Arena Triturada Caliza Malla 4</v>
      </c>
      <c r="K411" s="33">
        <f>VLOOKUP(I411,'Materiales,canteras'!C:E,3,0)</f>
        <v>1.56</v>
      </c>
      <c r="L411" s="105">
        <v>89</v>
      </c>
      <c r="M411" s="28" t="s">
        <v>93</v>
      </c>
      <c r="N411" s="57">
        <f t="shared" ca="1" si="64"/>
        <v>46267</v>
      </c>
      <c r="O411" s="32" t="s">
        <v>201</v>
      </c>
      <c r="S411" s="4">
        <v>150</v>
      </c>
      <c r="T411" s="66">
        <f t="shared" si="65"/>
        <v>-61</v>
      </c>
      <c r="U411" s="46">
        <f t="shared" si="61"/>
        <v>89</v>
      </c>
      <c r="V411" s="27">
        <v>0</v>
      </c>
      <c r="W411" s="4">
        <v>2</v>
      </c>
      <c r="X411" s="67">
        <f t="shared" si="62"/>
        <v>89</v>
      </c>
      <c r="Y411" s="32" t="e">
        <f>IF(+VLOOKUP(I411,P.Referencia!E:S,3,FALSE)&lt;=L411,"Champion","Gerente")</f>
        <v>#N/A</v>
      </c>
      <c r="Z411" s="39" t="e">
        <f>VLOOKUP(I411,P.Referencia!E:S,3,0)</f>
        <v>#N/A</v>
      </c>
      <c r="AA411" s="40" t="e">
        <f t="shared" si="66"/>
        <v>#N/A</v>
      </c>
      <c r="AB411" s="41" t="e">
        <f t="shared" si="67"/>
        <v>#N/A</v>
      </c>
      <c r="AC411" s="41" t="e">
        <f t="shared" si="68"/>
        <v>#N/A</v>
      </c>
    </row>
    <row r="412" spans="1:29" hidden="1" x14ac:dyDescent="0.25">
      <c r="A412" s="43">
        <v>411</v>
      </c>
      <c r="B412" t="s">
        <v>377</v>
      </c>
      <c r="C412" s="131" t="str">
        <f t="shared" si="63"/>
        <v>LlaveD86466827157100002692</v>
      </c>
      <c r="D412" s="33" t="str">
        <f>VLOOKUP(E412,'NO MODIFICAR'!J:K,2,0)</f>
        <v>D864</v>
      </c>
      <c r="E412" s="26" t="s">
        <v>55</v>
      </c>
      <c r="F412" s="33" t="str">
        <f>VLOOKUP(D412,'NO MODIFICAR'!F:H,3,0)</f>
        <v xml:space="preserve">CENTRO </v>
      </c>
      <c r="G412" s="92">
        <v>66827157</v>
      </c>
      <c r="H412" s="93" t="s">
        <v>366</v>
      </c>
      <c r="I412" s="94">
        <v>10000269</v>
      </c>
      <c r="J412" s="56" t="str">
        <f>VLOOKUP(I412,'Materiales,canteras'!C:D,2,0)</f>
        <v>Grava Triturada Caliza 13 mm -</v>
      </c>
      <c r="K412" s="33">
        <f>VLOOKUP(I412,'Materiales,canteras'!C:E,3,0)</f>
        <v>1.423</v>
      </c>
      <c r="L412" s="105">
        <v>137</v>
      </c>
      <c r="M412" s="28" t="s">
        <v>93</v>
      </c>
      <c r="N412" s="57">
        <f t="shared" ca="1" si="64"/>
        <v>46267</v>
      </c>
      <c r="O412" s="32" t="s">
        <v>201</v>
      </c>
      <c r="S412" s="4">
        <v>250</v>
      </c>
      <c r="T412" s="66">
        <f t="shared" si="65"/>
        <v>-113</v>
      </c>
      <c r="U412" s="46">
        <f t="shared" si="61"/>
        <v>137</v>
      </c>
      <c r="V412" s="27">
        <v>0</v>
      </c>
      <c r="W412" s="4">
        <v>2</v>
      </c>
      <c r="X412" s="67">
        <f t="shared" si="62"/>
        <v>137</v>
      </c>
      <c r="Y412" s="32" t="e">
        <f>IF(+VLOOKUP(I412,P.Referencia!E:S,3,FALSE)&lt;=L412,"Champion","Gerente")</f>
        <v>#N/A</v>
      </c>
      <c r="Z412" s="39" t="e">
        <f>VLOOKUP(I412,P.Referencia!E:S,3,0)</f>
        <v>#N/A</v>
      </c>
      <c r="AA412" s="40" t="e">
        <f t="shared" si="66"/>
        <v>#N/A</v>
      </c>
      <c r="AB412" s="41" t="e">
        <f t="shared" si="67"/>
        <v>#N/A</v>
      </c>
      <c r="AC412" s="41" t="e">
        <f t="shared" si="68"/>
        <v>#N/A</v>
      </c>
    </row>
    <row r="413" spans="1:29" hidden="1" x14ac:dyDescent="0.25">
      <c r="A413" s="43">
        <v>412</v>
      </c>
      <c r="B413" t="s">
        <v>377</v>
      </c>
      <c r="C413" s="131" t="str">
        <f t="shared" si="63"/>
        <v>LlaveD81366827157100023502</v>
      </c>
      <c r="D413" s="33" t="str">
        <f>VLOOKUP(E413,'NO MODIFICAR'!J:K,2,0)</f>
        <v>D813</v>
      </c>
      <c r="E413" s="26" t="s">
        <v>6</v>
      </c>
      <c r="F413" s="33" t="str">
        <f>VLOOKUP(D413,'NO MODIFICAR'!F:H,3,0)</f>
        <v xml:space="preserve">CENTRO </v>
      </c>
      <c r="G413" s="92">
        <v>66827157</v>
      </c>
      <c r="H413" s="93" t="s">
        <v>366</v>
      </c>
      <c r="I413" s="94">
        <v>10002350</v>
      </c>
      <c r="J413" s="56" t="str">
        <f>VLOOKUP(I413,'Materiales,canteras'!C:D,2,0)</f>
        <v>Grava Triturada Andesita 10mm-</v>
      </c>
      <c r="K413" s="33">
        <f>VLOOKUP(I413,'Materiales,canteras'!C:E,3,0)</f>
        <v>1.246</v>
      </c>
      <c r="L413" s="105">
        <v>135</v>
      </c>
      <c r="M413" s="28" t="s">
        <v>93</v>
      </c>
      <c r="N413" s="57">
        <f t="shared" ca="1" si="64"/>
        <v>46267</v>
      </c>
      <c r="O413" s="32" t="s">
        <v>201</v>
      </c>
      <c r="S413" s="4">
        <v>150</v>
      </c>
      <c r="T413" s="66">
        <f t="shared" si="65"/>
        <v>-15</v>
      </c>
      <c r="U413" s="46">
        <f t="shared" si="61"/>
        <v>135</v>
      </c>
      <c r="V413" s="27">
        <v>0</v>
      </c>
      <c r="W413" s="4">
        <v>2</v>
      </c>
      <c r="X413" s="67">
        <f t="shared" si="62"/>
        <v>135</v>
      </c>
      <c r="Y413" s="32" t="e">
        <f>IF(+VLOOKUP(I413,P.Referencia!E:S,3,FALSE)&lt;=L413,"Champion","Gerente")</f>
        <v>#N/A</v>
      </c>
      <c r="Z413" s="39" t="e">
        <f>VLOOKUP(I413,P.Referencia!E:S,3,0)</f>
        <v>#N/A</v>
      </c>
      <c r="AA413" s="40" t="e">
        <f t="shared" si="66"/>
        <v>#N/A</v>
      </c>
      <c r="AB413" s="41" t="e">
        <f t="shared" si="67"/>
        <v>#N/A</v>
      </c>
      <c r="AC413" s="41" t="e">
        <f t="shared" si="68"/>
        <v>#N/A</v>
      </c>
    </row>
    <row r="414" spans="1:29" hidden="1" x14ac:dyDescent="0.25">
      <c r="A414" s="43">
        <v>413</v>
      </c>
      <c r="B414" t="s">
        <v>377</v>
      </c>
      <c r="C414" s="131" t="str">
        <f t="shared" si="63"/>
        <v>LlaveD81366827157100002532</v>
      </c>
      <c r="D414" s="33" t="str">
        <f>VLOOKUP(E414,'NO MODIFICAR'!J:K,2,0)</f>
        <v>D813</v>
      </c>
      <c r="E414" s="26" t="s">
        <v>6</v>
      </c>
      <c r="F414" s="33" t="str">
        <f>VLOOKUP(D414,'NO MODIFICAR'!F:H,3,0)</f>
        <v xml:space="preserve">CENTRO </v>
      </c>
      <c r="G414" s="92">
        <v>66827157</v>
      </c>
      <c r="H414" s="93" t="s">
        <v>366</v>
      </c>
      <c r="I414" s="94">
        <v>10000253</v>
      </c>
      <c r="J414" s="56" t="str">
        <f>VLOOKUP(I414,'Materiales,canteras'!C:D,2,0)</f>
        <v>Grava Triturada Andesita 20 mm</v>
      </c>
      <c r="K414" s="33">
        <f>VLOOKUP(I414,'Materiales,canteras'!C:E,3,0)</f>
        <v>1.385</v>
      </c>
      <c r="L414" s="105">
        <v>104.1</v>
      </c>
      <c r="M414" s="28" t="s">
        <v>93</v>
      </c>
      <c r="N414" s="57">
        <f t="shared" ca="1" si="64"/>
        <v>46267</v>
      </c>
      <c r="O414" s="32" t="s">
        <v>201</v>
      </c>
      <c r="S414" s="4">
        <v>150</v>
      </c>
      <c r="T414" s="66">
        <f t="shared" si="65"/>
        <v>-45.900000000000006</v>
      </c>
      <c r="U414" s="46">
        <f t="shared" si="61"/>
        <v>104.1</v>
      </c>
      <c r="V414" s="27">
        <v>0</v>
      </c>
      <c r="W414" s="4">
        <v>2</v>
      </c>
      <c r="X414" s="67">
        <f t="shared" si="62"/>
        <v>104.1</v>
      </c>
      <c r="Y414" s="32" t="e">
        <f>IF(+VLOOKUP(I414,P.Referencia!E:S,3,FALSE)&lt;=L414,"Champion","Gerente")</f>
        <v>#N/A</v>
      </c>
      <c r="Z414" s="39" t="e">
        <f>VLOOKUP(I414,P.Referencia!E:S,3,0)</f>
        <v>#N/A</v>
      </c>
      <c r="AA414" s="40" t="e">
        <f t="shared" si="66"/>
        <v>#N/A</v>
      </c>
      <c r="AB414" s="41" t="e">
        <f t="shared" si="67"/>
        <v>#N/A</v>
      </c>
      <c r="AC414" s="41" t="e">
        <f t="shared" si="68"/>
        <v>#N/A</v>
      </c>
    </row>
    <row r="415" spans="1:29" hidden="1" x14ac:dyDescent="0.25">
      <c r="A415" s="43">
        <v>414</v>
      </c>
      <c r="B415" t="s">
        <v>377</v>
      </c>
      <c r="C415" s="131" t="str">
        <f t="shared" si="63"/>
        <v>LlaveD81366827157100002552</v>
      </c>
      <c r="D415" s="33" t="str">
        <f>VLOOKUP(E415,'NO MODIFICAR'!J:K,2,0)</f>
        <v>D813</v>
      </c>
      <c r="E415" s="26" t="s">
        <v>6</v>
      </c>
      <c r="F415" s="33" t="str">
        <f>VLOOKUP(D415,'NO MODIFICAR'!F:H,3,0)</f>
        <v xml:space="preserve">CENTRO </v>
      </c>
      <c r="G415" s="92">
        <v>66827157</v>
      </c>
      <c r="H415" s="93" t="s">
        <v>366</v>
      </c>
      <c r="I415" s="94">
        <v>10000255</v>
      </c>
      <c r="J415" s="56" t="str">
        <f>VLOOKUP(I415,'Materiales,canteras'!C:D,2,0)</f>
        <v>Arena Triturada Andesita Malla</v>
      </c>
      <c r="K415" s="33">
        <f>VLOOKUP(I415,'Materiales,canteras'!C:E,3,0)</f>
        <v>1.5349999999999999</v>
      </c>
      <c r="L415" s="105">
        <v>104.1</v>
      </c>
      <c r="M415" s="28" t="s">
        <v>93</v>
      </c>
      <c r="N415" s="57">
        <f t="shared" ca="1" si="64"/>
        <v>46267</v>
      </c>
      <c r="O415" s="32" t="s">
        <v>201</v>
      </c>
      <c r="S415" s="4">
        <v>150</v>
      </c>
      <c r="T415" s="66">
        <f t="shared" si="65"/>
        <v>-45.900000000000006</v>
      </c>
      <c r="U415" s="46">
        <f t="shared" si="61"/>
        <v>104.1</v>
      </c>
      <c r="V415" s="27">
        <v>0</v>
      </c>
      <c r="W415" s="4">
        <v>2</v>
      </c>
      <c r="X415" s="67">
        <f t="shared" si="62"/>
        <v>104.1</v>
      </c>
      <c r="Y415" s="32" t="e">
        <f>IF(+VLOOKUP(I415,P.Referencia!E:S,3,FALSE)&lt;=L415,"Champion","Gerente")</f>
        <v>#N/A</v>
      </c>
      <c r="Z415" s="39" t="e">
        <f>VLOOKUP(I415,P.Referencia!E:S,3,0)</f>
        <v>#N/A</v>
      </c>
      <c r="AA415" s="40" t="e">
        <f t="shared" si="66"/>
        <v>#N/A</v>
      </c>
      <c r="AB415" s="41" t="e">
        <f t="shared" si="67"/>
        <v>#N/A</v>
      </c>
      <c r="AC415" s="41" t="e">
        <f t="shared" si="68"/>
        <v>#N/A</v>
      </c>
    </row>
    <row r="416" spans="1:29" hidden="1" x14ac:dyDescent="0.25">
      <c r="A416" s="43">
        <v>415</v>
      </c>
      <c r="B416" t="s">
        <v>377</v>
      </c>
      <c r="C416" s="131" t="str">
        <f t="shared" si="63"/>
        <v>LlaveD82467166043100231082</v>
      </c>
      <c r="D416" s="33" t="s">
        <v>27</v>
      </c>
      <c r="E416" s="26" t="s">
        <v>28</v>
      </c>
      <c r="F416" s="33" t="s">
        <v>362</v>
      </c>
      <c r="G416" s="92">
        <v>67166043</v>
      </c>
      <c r="H416" s="93" t="s">
        <v>367</v>
      </c>
      <c r="I416" s="94">
        <v>10023108</v>
      </c>
      <c r="J416" s="56" t="str">
        <f>VLOOKUP(I416,'Materiales,canteras'!C:D,2,0)</f>
        <v>Base H Triturada Basalto  1 1/2" a Finos</v>
      </c>
      <c r="K416" s="33">
        <f>VLOOKUP(I416,'Materiales,canteras'!C:E,3,0)</f>
        <v>1.9690000000000001</v>
      </c>
      <c r="L416" s="105">
        <v>170</v>
      </c>
      <c r="M416" s="28" t="s">
        <v>93</v>
      </c>
      <c r="N416" s="57">
        <f t="shared" ca="1" si="64"/>
        <v>46267</v>
      </c>
      <c r="O416" s="32" t="s">
        <v>201</v>
      </c>
      <c r="R416">
        <f>1.5/100</f>
        <v>1.4999999999999999E-2</v>
      </c>
      <c r="S416" s="4">
        <v>175</v>
      </c>
      <c r="T416" s="66">
        <f t="shared" si="65"/>
        <v>-2.375</v>
      </c>
      <c r="U416" s="46">
        <f t="shared" si="61"/>
        <v>170</v>
      </c>
      <c r="V416" s="27">
        <v>0</v>
      </c>
      <c r="W416" s="4">
        <v>2</v>
      </c>
      <c r="X416" s="67">
        <f t="shared" si="62"/>
        <v>170</v>
      </c>
      <c r="Y416" s="32" t="e">
        <f>IF(+VLOOKUP(I416,P.Referencia!E:S,3,FALSE)&lt;=L416,"Champion","Gerente")</f>
        <v>#N/A</v>
      </c>
      <c r="Z416" s="39" t="e">
        <f>VLOOKUP(I416,P.Referencia!E:S,3,0)</f>
        <v>#N/A</v>
      </c>
      <c r="AA416" s="40" t="e">
        <f t="shared" si="66"/>
        <v>#N/A</v>
      </c>
      <c r="AB416" s="41" t="e">
        <f t="shared" si="67"/>
        <v>#N/A</v>
      </c>
      <c r="AC416" s="41" t="e">
        <f t="shared" si="68"/>
        <v>#N/A</v>
      </c>
    </row>
    <row r="417" spans="1:29" hidden="1" x14ac:dyDescent="0.25">
      <c r="A417" s="43">
        <v>416</v>
      </c>
      <c r="B417" t="s">
        <v>377</v>
      </c>
      <c r="C417" s="131" t="str">
        <f t="shared" si="63"/>
        <v>LlaveD81666858665100002602</v>
      </c>
      <c r="D417" s="33" t="s">
        <v>14</v>
      </c>
      <c r="E417" s="26" t="s">
        <v>15</v>
      </c>
      <c r="F417" s="33" t="s">
        <v>362</v>
      </c>
      <c r="G417" s="92">
        <v>66858665</v>
      </c>
      <c r="H417" s="93" t="s">
        <v>368</v>
      </c>
      <c r="I417" s="94">
        <v>10000260</v>
      </c>
      <c r="J417" s="56" t="str">
        <f>VLOOKUP(I417,'Materiales,canteras'!C:D,2,0)</f>
        <v>Arena Triturada Caliza Malla 5</v>
      </c>
      <c r="K417" s="33">
        <f>VLOOKUP(I417,'Materiales,canteras'!C:E,3,0)</f>
        <v>1.72</v>
      </c>
      <c r="L417" s="105">
        <v>370</v>
      </c>
      <c r="M417" s="28" t="s">
        <v>93</v>
      </c>
      <c r="N417" s="57">
        <f t="shared" ca="1" si="64"/>
        <v>46267</v>
      </c>
      <c r="O417" s="32" t="s">
        <v>201</v>
      </c>
      <c r="S417" s="4">
        <v>430</v>
      </c>
      <c r="T417" s="66">
        <f t="shared" si="65"/>
        <v>-60</v>
      </c>
      <c r="U417" s="46">
        <f t="shared" si="61"/>
        <v>370</v>
      </c>
      <c r="V417" s="27">
        <v>0</v>
      </c>
      <c r="W417" s="4">
        <v>2</v>
      </c>
      <c r="X417" s="67">
        <f t="shared" si="62"/>
        <v>370</v>
      </c>
      <c r="Y417" s="32" t="e">
        <f>IF(+VLOOKUP(I417,P.Referencia!E:S,3,FALSE)&lt;=L417,"Champion","Gerente")</f>
        <v>#N/A</v>
      </c>
      <c r="Z417" s="39" t="e">
        <f>VLOOKUP(I417,P.Referencia!E:S,3,0)</f>
        <v>#N/A</v>
      </c>
      <c r="AA417" s="40" t="e">
        <f t="shared" si="66"/>
        <v>#N/A</v>
      </c>
      <c r="AB417" s="41" t="e">
        <f t="shared" si="67"/>
        <v>#N/A</v>
      </c>
      <c r="AC417" s="41" t="e">
        <f t="shared" si="68"/>
        <v>#N/A</v>
      </c>
    </row>
    <row r="418" spans="1:29" hidden="1" x14ac:dyDescent="0.25">
      <c r="A418" s="43">
        <v>417</v>
      </c>
      <c r="B418" t="s">
        <v>377</v>
      </c>
      <c r="C418" s="131" t="str">
        <f t="shared" si="63"/>
        <v>LlaveDU0767354070100001952</v>
      </c>
      <c r="D418" s="33" t="str">
        <f>VLOOKUP(E418,'NO MODIFICAR'!J:K,2,0)</f>
        <v>DU07</v>
      </c>
      <c r="E418" s="26" t="s">
        <v>87</v>
      </c>
      <c r="F418" s="33" t="str">
        <f>VLOOKUP(D418,'NO MODIFICAR'!F:H,3,0)</f>
        <v>SURESTE</v>
      </c>
      <c r="G418" s="92">
        <v>67354070</v>
      </c>
      <c r="H418" s="93" t="s">
        <v>370</v>
      </c>
      <c r="I418" s="94">
        <v>10000195</v>
      </c>
      <c r="J418" s="56" t="str">
        <f>VLOOKUP(I418,'Materiales,canteras'!C:D,2,0)</f>
        <v>GRAVA TRITURADA CALIZA 20 MM - 3/4"–CAPA</v>
      </c>
      <c r="K418" s="33">
        <f>VLOOKUP(I418,'Materiales,canteras'!C:E,3,0)</f>
        <v>1.2010000000000001</v>
      </c>
      <c r="L418" s="105">
        <v>283.09741881765194</v>
      </c>
      <c r="M418" s="28" t="s">
        <v>93</v>
      </c>
      <c r="N418" s="57">
        <f t="shared" ca="1" si="64"/>
        <v>46267</v>
      </c>
      <c r="O418" s="32" t="s">
        <v>201</v>
      </c>
      <c r="S418" s="4">
        <v>320</v>
      </c>
      <c r="T418" s="66">
        <f t="shared" ref="T418:T449" si="70">L418-(S418-(S418*R418))</f>
        <v>-36.902581182348058</v>
      </c>
      <c r="U418" s="46">
        <f t="shared" si="61"/>
        <v>283.09741881765194</v>
      </c>
      <c r="V418" s="27">
        <v>0</v>
      </c>
      <c r="W418" s="4">
        <v>2</v>
      </c>
      <c r="X418" s="67">
        <f t="shared" si="62"/>
        <v>283.09741881765194</v>
      </c>
      <c r="Y418" s="32" t="e">
        <f>IF(+VLOOKUP(I418,P.Referencia!E:S,3,FALSE)&lt;=L418,"Champion","Gerente")</f>
        <v>#N/A</v>
      </c>
      <c r="Z418" s="39" t="e">
        <f>VLOOKUP(I418,P.Referencia!E:S,3,0)</f>
        <v>#N/A</v>
      </c>
      <c r="AA418" s="40" t="e">
        <f t="shared" si="66"/>
        <v>#N/A</v>
      </c>
      <c r="AB418" s="41" t="e">
        <f t="shared" si="67"/>
        <v>#N/A</v>
      </c>
      <c r="AC418" s="41" t="e">
        <f t="shared" si="68"/>
        <v>#N/A</v>
      </c>
    </row>
    <row r="419" spans="1:29" hidden="1" x14ac:dyDescent="0.25">
      <c r="A419" s="43">
        <v>418</v>
      </c>
      <c r="B419" t="s">
        <v>377</v>
      </c>
      <c r="C419" s="131" t="str">
        <f t="shared" si="63"/>
        <v>LlaveDU0767354070100001102</v>
      </c>
      <c r="D419" s="33" t="str">
        <f>VLOOKUP(E419,'NO MODIFICAR'!J:K,2,0)</f>
        <v>DU07</v>
      </c>
      <c r="E419" s="26" t="s">
        <v>87</v>
      </c>
      <c r="F419" s="33" t="str">
        <f>VLOOKUP(D419,'NO MODIFICAR'!F:H,3,0)</f>
        <v>SURESTE</v>
      </c>
      <c r="G419" s="92">
        <v>67354070</v>
      </c>
      <c r="H419" s="93" t="s">
        <v>370</v>
      </c>
      <c r="I419" s="94">
        <v>10000110</v>
      </c>
      <c r="J419" s="56" t="str">
        <f>VLOOKUP(I419,'Materiales,canteras'!C:D,2,0)</f>
        <v>GRAVA TRITURADA CALIZA 20 MM “3/4"–INTEG</v>
      </c>
      <c r="K419" s="33">
        <f>VLOOKUP(I419,'Materiales,canteras'!C:E,3,0)</f>
        <v>1.2010000000000001</v>
      </c>
      <c r="L419" s="105">
        <v>274.77102414654451</v>
      </c>
      <c r="M419" s="28" t="s">
        <v>93</v>
      </c>
      <c r="N419" s="57">
        <f t="shared" ca="1" si="64"/>
        <v>46267</v>
      </c>
      <c r="O419" s="32" t="s">
        <v>201</v>
      </c>
      <c r="S419" s="4">
        <v>390</v>
      </c>
      <c r="T419" s="66">
        <f t="shared" si="70"/>
        <v>-115.22897585345549</v>
      </c>
      <c r="U419" s="46">
        <f t="shared" si="61"/>
        <v>274.77102414654451</v>
      </c>
      <c r="V419" s="27">
        <v>0</v>
      </c>
      <c r="W419" s="4">
        <v>2</v>
      </c>
      <c r="X419" s="67">
        <f t="shared" si="62"/>
        <v>274.77102414654451</v>
      </c>
      <c r="Y419" s="32" t="e">
        <f>IF(+VLOOKUP(I419,P.Referencia!E:S,3,FALSE)&lt;=L419,"Champion","Gerente")</f>
        <v>#N/A</v>
      </c>
      <c r="Z419" s="39" t="e">
        <f>VLOOKUP(I419,P.Referencia!E:S,3,0)</f>
        <v>#N/A</v>
      </c>
      <c r="AA419" s="40" t="e">
        <f t="shared" si="66"/>
        <v>#N/A</v>
      </c>
      <c r="AB419" s="41" t="e">
        <f t="shared" si="67"/>
        <v>#N/A</v>
      </c>
      <c r="AC419" s="41" t="e">
        <f t="shared" si="68"/>
        <v>#N/A</v>
      </c>
    </row>
    <row r="420" spans="1:29" hidden="1" x14ac:dyDescent="0.25">
      <c r="A420" s="43">
        <v>419</v>
      </c>
      <c r="B420" t="s">
        <v>377</v>
      </c>
      <c r="C420" s="131" t="str">
        <f t="shared" si="63"/>
        <v>LlaveDU0767354070100001152</v>
      </c>
      <c r="D420" s="33" t="str">
        <f>VLOOKUP(E420,'NO MODIFICAR'!J:K,2,0)</f>
        <v>DU07</v>
      </c>
      <c r="E420" s="26" t="s">
        <v>87</v>
      </c>
      <c r="F420" s="33" t="str">
        <f>VLOOKUP(D420,'NO MODIFICAR'!F:H,3,0)</f>
        <v>SURESTE</v>
      </c>
      <c r="G420" s="92">
        <v>67354070</v>
      </c>
      <c r="H420" s="93" t="s">
        <v>370</v>
      </c>
      <c r="I420" s="94">
        <v>10000115</v>
      </c>
      <c r="J420" s="56" t="str">
        <f>VLOOKUP(I420,'Materiales,canteras'!C:D,2,0)</f>
        <v>Grava Triturada Caliza 10 mm -</v>
      </c>
      <c r="K420" s="33">
        <f>VLOOKUP(I420,'Materiales,canteras'!C:E,3,0)</f>
        <v>1.1559999999999999</v>
      </c>
      <c r="L420" s="105">
        <v>326.98961937716263</v>
      </c>
      <c r="M420" s="28" t="s">
        <v>93</v>
      </c>
      <c r="N420" s="57">
        <f t="shared" ca="1" si="64"/>
        <v>46267</v>
      </c>
      <c r="O420" s="32" t="s">
        <v>201</v>
      </c>
      <c r="S420" s="4">
        <v>320</v>
      </c>
      <c r="T420" s="66">
        <f t="shared" si="70"/>
        <v>6.9896193771626258</v>
      </c>
      <c r="U420" s="46">
        <f t="shared" si="61"/>
        <v>326.98961937716263</v>
      </c>
      <c r="V420" s="27">
        <v>0</v>
      </c>
      <c r="W420" s="4">
        <v>2</v>
      </c>
      <c r="X420" s="67">
        <f t="shared" si="62"/>
        <v>326.98961937716263</v>
      </c>
      <c r="Y420" s="32" t="e">
        <f>IF(+VLOOKUP(I420,P.Referencia!E:S,3,FALSE)&lt;=L420,"Champion","Gerente")</f>
        <v>#N/A</v>
      </c>
      <c r="Z420" s="39" t="e">
        <f>VLOOKUP(I420,P.Referencia!E:S,3,0)</f>
        <v>#N/A</v>
      </c>
      <c r="AA420" s="40" t="e">
        <f t="shared" si="66"/>
        <v>#N/A</v>
      </c>
      <c r="AB420" s="41" t="e">
        <f t="shared" si="67"/>
        <v>#N/A</v>
      </c>
      <c r="AC420" s="41" t="e">
        <f t="shared" si="68"/>
        <v>#N/A</v>
      </c>
    </row>
    <row r="421" spans="1:29" hidden="1" x14ac:dyDescent="0.25">
      <c r="A421" s="43">
        <v>420</v>
      </c>
      <c r="B421" t="s">
        <v>377</v>
      </c>
      <c r="C421" s="131" t="str">
        <f t="shared" si="63"/>
        <v>LlaveDU0766936812100001102</v>
      </c>
      <c r="D421" s="33" t="str">
        <f>VLOOKUP(E421,'NO MODIFICAR'!J:K,2,0)</f>
        <v>DU07</v>
      </c>
      <c r="E421" s="26" t="s">
        <v>87</v>
      </c>
      <c r="F421" s="33" t="str">
        <f>VLOOKUP(D421,'NO MODIFICAR'!F:H,3,0)</f>
        <v>SURESTE</v>
      </c>
      <c r="G421" s="92">
        <v>66936812</v>
      </c>
      <c r="H421" s="93" t="s">
        <v>372</v>
      </c>
      <c r="I421" s="94">
        <v>10000110</v>
      </c>
      <c r="J421" s="56" t="str">
        <f>VLOOKUP(I421,'Materiales,canteras'!C:D,2,0)</f>
        <v>GRAVA TRITURADA CALIZA 20 MM “3/4"–INTEG</v>
      </c>
      <c r="K421" s="33">
        <f>VLOOKUP(I421,'Materiales,canteras'!C:E,3,0)</f>
        <v>1.2010000000000001</v>
      </c>
      <c r="L421" s="105">
        <v>274.77102414654451</v>
      </c>
      <c r="M421" s="28" t="s">
        <v>93</v>
      </c>
      <c r="N421" s="57">
        <f t="shared" ca="1" si="64"/>
        <v>46267</v>
      </c>
      <c r="O421" s="32" t="s">
        <v>201</v>
      </c>
      <c r="S421" s="4">
        <v>390</v>
      </c>
      <c r="T421" s="66">
        <f t="shared" si="70"/>
        <v>-115.22897585345549</v>
      </c>
      <c r="U421" s="46">
        <f t="shared" si="61"/>
        <v>274.77102414654451</v>
      </c>
      <c r="V421" s="27">
        <v>0</v>
      </c>
      <c r="W421" s="4">
        <v>2</v>
      </c>
      <c r="X421" s="67">
        <f t="shared" si="62"/>
        <v>274.77102414654451</v>
      </c>
      <c r="Y421" s="32" t="e">
        <f>IF(+VLOOKUP(I421,P.Referencia!E:S,3,FALSE)&lt;=L421,"Champion","Gerente")</f>
        <v>#N/A</v>
      </c>
      <c r="Z421" s="39" t="e">
        <f>VLOOKUP(I421,P.Referencia!E:S,3,0)</f>
        <v>#N/A</v>
      </c>
      <c r="AA421" s="40" t="e">
        <f t="shared" si="66"/>
        <v>#N/A</v>
      </c>
      <c r="AB421" s="41" t="e">
        <f t="shared" si="67"/>
        <v>#N/A</v>
      </c>
      <c r="AC421" s="41" t="e">
        <f t="shared" si="68"/>
        <v>#N/A</v>
      </c>
    </row>
    <row r="422" spans="1:29" hidden="1" x14ac:dyDescent="0.25">
      <c r="A422" s="43">
        <v>421</v>
      </c>
      <c r="B422" t="s">
        <v>377</v>
      </c>
      <c r="C422" s="131" t="str">
        <f t="shared" si="63"/>
        <v>LlaveD86166936788100002312</v>
      </c>
      <c r="D422" s="33" t="str">
        <f>VLOOKUP(E422,'NO MODIFICAR'!J:K,2,0)</f>
        <v>D861</v>
      </c>
      <c r="E422" s="26" t="s">
        <v>44</v>
      </c>
      <c r="F422" s="33" t="str">
        <f>VLOOKUP(D422,'NO MODIFICAR'!F:H,3,0)</f>
        <v xml:space="preserve">CENTRO </v>
      </c>
      <c r="G422" s="92">
        <v>66936788</v>
      </c>
      <c r="H422" s="93" t="s">
        <v>303</v>
      </c>
      <c r="I422" s="94">
        <v>10000231</v>
      </c>
      <c r="J422" s="56" t="str">
        <f>VLOOKUP(I422,'Materiales,canteras'!C:D,2,0)</f>
        <v>Grava Triturada Basalto 20 mm</v>
      </c>
      <c r="K422" s="33">
        <f>VLOOKUP(I422,'Materiales,canteras'!C:E,3,0)</f>
        <v>1.5649999999999999</v>
      </c>
      <c r="L422" s="105">
        <v>200</v>
      </c>
      <c r="M422" s="28" t="s">
        <v>93</v>
      </c>
      <c r="N422" s="57">
        <f t="shared" ca="1" si="64"/>
        <v>46267</v>
      </c>
      <c r="O422" s="32" t="s">
        <v>201</v>
      </c>
      <c r="S422" s="4">
        <v>280</v>
      </c>
      <c r="T422" s="66">
        <f t="shared" si="70"/>
        <v>-80</v>
      </c>
      <c r="U422" s="46">
        <f t="shared" si="61"/>
        <v>200</v>
      </c>
      <c r="V422" s="27">
        <v>0</v>
      </c>
      <c r="W422" s="4">
        <v>2</v>
      </c>
      <c r="X422" s="67">
        <f t="shared" si="62"/>
        <v>200</v>
      </c>
      <c r="Y422" s="32" t="e">
        <f>IF(+VLOOKUP(I422,P.Referencia!E:S,3,FALSE)&lt;=L422,"Champion","Gerente")</f>
        <v>#N/A</v>
      </c>
      <c r="Z422" s="39" t="e">
        <f>VLOOKUP(I422,P.Referencia!E:S,3,0)</f>
        <v>#N/A</v>
      </c>
      <c r="AA422" s="40" t="e">
        <f t="shared" si="66"/>
        <v>#N/A</v>
      </c>
      <c r="AB422" s="41" t="e">
        <f t="shared" si="67"/>
        <v>#N/A</v>
      </c>
      <c r="AC422" s="41" t="e">
        <f t="shared" si="68"/>
        <v>#N/A</v>
      </c>
    </row>
    <row r="423" spans="1:29" hidden="1" x14ac:dyDescent="0.25">
      <c r="A423" s="43">
        <v>422</v>
      </c>
      <c r="B423" t="s">
        <v>377</v>
      </c>
      <c r="C423" s="131" t="str">
        <f t="shared" si="63"/>
        <v>LlaveD86166913897100002312</v>
      </c>
      <c r="D423" s="33" t="str">
        <f>VLOOKUP(E423,'NO MODIFICAR'!J:K,2,0)</f>
        <v>D861</v>
      </c>
      <c r="E423" s="26" t="s">
        <v>44</v>
      </c>
      <c r="F423" s="33" t="str">
        <f>VLOOKUP(D423,'NO MODIFICAR'!F:H,3,0)</f>
        <v xml:space="preserve">CENTRO </v>
      </c>
      <c r="G423" s="92">
        <v>66913897</v>
      </c>
      <c r="H423" s="93" t="s">
        <v>304</v>
      </c>
      <c r="I423" s="94">
        <v>10000231</v>
      </c>
      <c r="J423" s="56" t="str">
        <f>VLOOKUP(I423,'Materiales,canteras'!C:D,2,0)</f>
        <v>Grava Triturada Basalto 20 mm</v>
      </c>
      <c r="K423" s="33">
        <f>VLOOKUP(I423,'Materiales,canteras'!C:E,3,0)</f>
        <v>1.5649999999999999</v>
      </c>
      <c r="L423" s="105">
        <v>200</v>
      </c>
      <c r="M423" s="28" t="s">
        <v>93</v>
      </c>
      <c r="N423" s="57">
        <f t="shared" ca="1" si="64"/>
        <v>46267</v>
      </c>
      <c r="O423" s="32" t="s">
        <v>201</v>
      </c>
      <c r="S423" s="4">
        <v>280</v>
      </c>
      <c r="T423" s="66">
        <f t="shared" si="70"/>
        <v>-80</v>
      </c>
      <c r="U423" s="46">
        <f t="shared" si="61"/>
        <v>200</v>
      </c>
      <c r="V423" s="27">
        <v>0</v>
      </c>
      <c r="W423" s="4">
        <v>2</v>
      </c>
      <c r="X423" s="67">
        <f t="shared" si="62"/>
        <v>200</v>
      </c>
      <c r="Y423" s="32" t="e">
        <f>IF(+VLOOKUP(I423,P.Referencia!E:S,3,FALSE)&lt;=L423,"Champion","Gerente")</f>
        <v>#N/A</v>
      </c>
      <c r="Z423" s="39" t="e">
        <f>VLOOKUP(I423,P.Referencia!E:S,3,0)</f>
        <v>#N/A</v>
      </c>
      <c r="AA423" s="40" t="e">
        <f t="shared" si="66"/>
        <v>#N/A</v>
      </c>
      <c r="AB423" s="41" t="e">
        <f t="shared" si="67"/>
        <v>#N/A</v>
      </c>
      <c r="AC423" s="41" t="e">
        <f t="shared" si="68"/>
        <v>#N/A</v>
      </c>
    </row>
    <row r="424" spans="1:29" hidden="1" x14ac:dyDescent="0.25">
      <c r="A424" s="43">
        <v>423</v>
      </c>
      <c r="B424" t="s">
        <v>377</v>
      </c>
      <c r="C424" s="131" t="str">
        <f t="shared" si="63"/>
        <v>LlaveD86166913819100002312</v>
      </c>
      <c r="D424" s="33" t="str">
        <f>VLOOKUP(E424,'NO MODIFICAR'!J:K,2,0)</f>
        <v>D861</v>
      </c>
      <c r="E424" s="26" t="s">
        <v>44</v>
      </c>
      <c r="F424" s="33" t="str">
        <f>VLOOKUP(D424,'NO MODIFICAR'!F:H,3,0)</f>
        <v xml:space="preserve">CENTRO </v>
      </c>
      <c r="G424" s="92">
        <v>66913819</v>
      </c>
      <c r="H424" s="93" t="s">
        <v>305</v>
      </c>
      <c r="I424" s="94">
        <v>10000231</v>
      </c>
      <c r="J424" s="56" t="str">
        <f>VLOOKUP(I424,'Materiales,canteras'!C:D,2,0)</f>
        <v>Grava Triturada Basalto 20 mm</v>
      </c>
      <c r="K424" s="33">
        <f>VLOOKUP(I424,'Materiales,canteras'!C:E,3,0)</f>
        <v>1.5649999999999999</v>
      </c>
      <c r="L424" s="105">
        <v>200</v>
      </c>
      <c r="M424" s="28" t="s">
        <v>93</v>
      </c>
      <c r="N424" s="57">
        <f t="shared" ca="1" si="64"/>
        <v>46267</v>
      </c>
      <c r="O424" s="32" t="s">
        <v>201</v>
      </c>
      <c r="S424" s="4">
        <v>280</v>
      </c>
      <c r="T424" s="66">
        <f t="shared" si="70"/>
        <v>-80</v>
      </c>
      <c r="U424" s="46">
        <f t="shared" si="61"/>
        <v>200</v>
      </c>
      <c r="V424" s="27">
        <v>0</v>
      </c>
      <c r="W424" s="4">
        <v>2</v>
      </c>
      <c r="X424" s="67">
        <f t="shared" si="62"/>
        <v>200</v>
      </c>
      <c r="Y424" s="32" t="e">
        <f>IF(+VLOOKUP(I424,P.Referencia!E:S,3,FALSE)&lt;=L424,"Champion","Gerente")</f>
        <v>#N/A</v>
      </c>
      <c r="Z424" s="39" t="e">
        <f>VLOOKUP(I424,P.Referencia!E:S,3,0)</f>
        <v>#N/A</v>
      </c>
      <c r="AA424" s="40" t="e">
        <f t="shared" si="66"/>
        <v>#N/A</v>
      </c>
      <c r="AB424" s="41" t="e">
        <f t="shared" si="67"/>
        <v>#N/A</v>
      </c>
      <c r="AC424" s="41" t="e">
        <f t="shared" si="68"/>
        <v>#N/A</v>
      </c>
    </row>
    <row r="425" spans="1:29" hidden="1" x14ac:dyDescent="0.25">
      <c r="A425" s="43">
        <v>424</v>
      </c>
      <c r="B425" t="s">
        <v>377</v>
      </c>
      <c r="C425" s="131" t="str">
        <f t="shared" si="63"/>
        <v>LlaveD86166913897100002312</v>
      </c>
      <c r="D425" s="33" t="str">
        <f>VLOOKUP(E425,'NO MODIFICAR'!J:K,2,0)</f>
        <v>D861</v>
      </c>
      <c r="E425" s="26" t="s">
        <v>44</v>
      </c>
      <c r="F425" s="33" t="str">
        <f>VLOOKUP(D425,'NO MODIFICAR'!F:H,3,0)</f>
        <v xml:space="preserve">CENTRO </v>
      </c>
      <c r="G425" s="92">
        <v>66913897</v>
      </c>
      <c r="H425" s="93" t="s">
        <v>306</v>
      </c>
      <c r="I425" s="94">
        <v>10000231</v>
      </c>
      <c r="J425" s="56" t="str">
        <f>VLOOKUP(I425,'Materiales,canteras'!C:D,2,0)</f>
        <v>Grava Triturada Basalto 20 mm</v>
      </c>
      <c r="K425" s="33">
        <f>VLOOKUP(I425,'Materiales,canteras'!C:E,3,0)</f>
        <v>1.5649999999999999</v>
      </c>
      <c r="L425" s="105">
        <v>200</v>
      </c>
      <c r="M425" s="28" t="s">
        <v>93</v>
      </c>
      <c r="N425" s="57">
        <f t="shared" ca="1" si="64"/>
        <v>46267</v>
      </c>
      <c r="O425" s="32" t="s">
        <v>201</v>
      </c>
      <c r="S425" s="4">
        <v>280</v>
      </c>
      <c r="T425" s="66">
        <f t="shared" si="70"/>
        <v>-80</v>
      </c>
      <c r="U425" s="46">
        <f t="shared" si="61"/>
        <v>200</v>
      </c>
      <c r="V425" s="27">
        <v>0</v>
      </c>
      <c r="W425" s="4">
        <v>2</v>
      </c>
      <c r="X425" s="67">
        <f t="shared" si="62"/>
        <v>200</v>
      </c>
      <c r="Y425" s="32" t="e">
        <f>IF(+VLOOKUP(I425,P.Referencia!E:S,3,FALSE)&lt;=L425,"Champion","Gerente")</f>
        <v>#N/A</v>
      </c>
      <c r="Z425" s="39" t="e">
        <f>VLOOKUP(I425,P.Referencia!E:S,3,0)</f>
        <v>#N/A</v>
      </c>
      <c r="AA425" s="40" t="e">
        <f t="shared" si="66"/>
        <v>#N/A</v>
      </c>
      <c r="AB425" s="41" t="e">
        <f t="shared" si="67"/>
        <v>#N/A</v>
      </c>
      <c r="AC425" s="41" t="e">
        <f t="shared" si="68"/>
        <v>#N/A</v>
      </c>
    </row>
    <row r="426" spans="1:29" hidden="1" x14ac:dyDescent="0.25">
      <c r="A426" s="43">
        <v>425</v>
      </c>
      <c r="B426" t="s">
        <v>377</v>
      </c>
      <c r="C426" s="131" t="str">
        <f t="shared" si="63"/>
        <v>LlaveD86166936788100002312</v>
      </c>
      <c r="D426" s="33" t="str">
        <f>VLOOKUP(E426,'NO MODIFICAR'!J:K,2,0)</f>
        <v>D861</v>
      </c>
      <c r="E426" s="26" t="s">
        <v>44</v>
      </c>
      <c r="F426" s="33" t="str">
        <f>VLOOKUP(D426,'NO MODIFICAR'!F:H,3,0)</f>
        <v xml:space="preserve">CENTRO </v>
      </c>
      <c r="G426" s="92">
        <v>66936788</v>
      </c>
      <c r="H426" s="93" t="s">
        <v>307</v>
      </c>
      <c r="I426" s="94">
        <v>10000231</v>
      </c>
      <c r="J426" s="56" t="str">
        <f>VLOOKUP(I426,'Materiales,canteras'!C:D,2,0)</f>
        <v>Grava Triturada Basalto 20 mm</v>
      </c>
      <c r="K426" s="33">
        <f>VLOOKUP(I426,'Materiales,canteras'!C:E,3,0)</f>
        <v>1.5649999999999999</v>
      </c>
      <c r="L426" s="105">
        <v>200</v>
      </c>
      <c r="M426" s="28" t="s">
        <v>93</v>
      </c>
      <c r="N426" s="57">
        <f t="shared" ca="1" si="64"/>
        <v>46267</v>
      </c>
      <c r="O426" s="32" t="s">
        <v>201</v>
      </c>
      <c r="S426" s="4">
        <v>280</v>
      </c>
      <c r="T426" s="66">
        <f t="shared" si="70"/>
        <v>-80</v>
      </c>
      <c r="U426" s="46">
        <f t="shared" si="61"/>
        <v>200</v>
      </c>
      <c r="V426" s="27">
        <v>0</v>
      </c>
      <c r="W426" s="4">
        <v>2</v>
      </c>
      <c r="X426" s="67">
        <f t="shared" si="62"/>
        <v>200</v>
      </c>
      <c r="Y426" s="32" t="e">
        <f>IF(+VLOOKUP(I426,P.Referencia!E:S,3,FALSE)&lt;=L426,"Champion","Gerente")</f>
        <v>#N/A</v>
      </c>
      <c r="Z426" s="39" t="e">
        <f>VLOOKUP(I426,P.Referencia!E:S,3,0)</f>
        <v>#N/A</v>
      </c>
      <c r="AA426" s="40" t="e">
        <f t="shared" si="66"/>
        <v>#N/A</v>
      </c>
      <c r="AB426" s="41" t="e">
        <f t="shared" si="67"/>
        <v>#N/A</v>
      </c>
      <c r="AC426" s="41" t="e">
        <f t="shared" si="68"/>
        <v>#N/A</v>
      </c>
    </row>
    <row r="427" spans="1:29" hidden="1" x14ac:dyDescent="0.25">
      <c r="A427" s="43">
        <v>426</v>
      </c>
      <c r="B427" t="s">
        <v>377</v>
      </c>
      <c r="C427" s="131" t="str">
        <f t="shared" si="63"/>
        <v>LlaveD86166932813100002312</v>
      </c>
      <c r="D427" s="33" t="str">
        <f>VLOOKUP(E427,'NO MODIFICAR'!J:K,2,0)</f>
        <v>D861</v>
      </c>
      <c r="E427" s="26" t="s">
        <v>44</v>
      </c>
      <c r="F427" s="33" t="str">
        <f>VLOOKUP(D427,'NO MODIFICAR'!F:H,3,0)</f>
        <v xml:space="preserve">CENTRO </v>
      </c>
      <c r="G427" s="92">
        <v>66932813</v>
      </c>
      <c r="H427" s="93" t="s">
        <v>308</v>
      </c>
      <c r="I427" s="94">
        <v>10000231</v>
      </c>
      <c r="J427" s="56" t="str">
        <f>VLOOKUP(I427,'Materiales,canteras'!C:D,2,0)</f>
        <v>Grava Triturada Basalto 20 mm</v>
      </c>
      <c r="K427" s="33">
        <f>VLOOKUP(I427,'Materiales,canteras'!C:E,3,0)</f>
        <v>1.5649999999999999</v>
      </c>
      <c r="L427" s="105">
        <v>200</v>
      </c>
      <c r="M427" s="28" t="s">
        <v>93</v>
      </c>
      <c r="N427" s="57">
        <f t="shared" ca="1" si="64"/>
        <v>46267</v>
      </c>
      <c r="O427" s="32" t="s">
        <v>201</v>
      </c>
      <c r="S427" s="4">
        <v>280</v>
      </c>
      <c r="T427" s="66">
        <f t="shared" si="70"/>
        <v>-80</v>
      </c>
      <c r="U427" s="46">
        <f t="shared" si="61"/>
        <v>200</v>
      </c>
      <c r="V427" s="27">
        <v>0</v>
      </c>
      <c r="W427" s="4">
        <v>2</v>
      </c>
      <c r="X427" s="67">
        <f t="shared" si="62"/>
        <v>200</v>
      </c>
      <c r="Y427" s="32" t="e">
        <f>IF(+VLOOKUP(I427,P.Referencia!E:S,3,FALSE)&lt;=L427,"Champion","Gerente")</f>
        <v>#N/A</v>
      </c>
      <c r="Z427" s="39" t="e">
        <f>VLOOKUP(I427,P.Referencia!E:S,3,0)</f>
        <v>#N/A</v>
      </c>
      <c r="AA427" s="40" t="e">
        <f t="shared" si="66"/>
        <v>#N/A</v>
      </c>
      <c r="AB427" s="41" t="e">
        <f t="shared" si="67"/>
        <v>#N/A</v>
      </c>
      <c r="AC427" s="41" t="e">
        <f t="shared" si="68"/>
        <v>#N/A</v>
      </c>
    </row>
    <row r="428" spans="1:29" hidden="1" x14ac:dyDescent="0.25">
      <c r="A428" s="43">
        <v>427</v>
      </c>
      <c r="B428" t="s">
        <v>377</v>
      </c>
      <c r="C428" s="131" t="str">
        <f t="shared" si="63"/>
        <v>LlaveD81667289571100002621</v>
      </c>
      <c r="D428" s="33" t="str">
        <f>VLOOKUP(E428,'NO MODIFICAR'!J:K,2,0)</f>
        <v>D816</v>
      </c>
      <c r="E428" s="26" t="s">
        <v>15</v>
      </c>
      <c r="F428" s="33" t="str">
        <f>VLOOKUP(D428,'NO MODIFICAR'!F:H,3,0)</f>
        <v>NORESTE</v>
      </c>
      <c r="G428" s="92">
        <v>67289571</v>
      </c>
      <c r="H428" s="93" t="s">
        <v>383</v>
      </c>
      <c r="I428" s="29">
        <v>10000262</v>
      </c>
      <c r="J428" s="56" t="str">
        <f>VLOOKUP(I428,'Materiales,canteras'!C:D,2,0)</f>
        <v>Base H Triturada Caliza 1 1/2"</v>
      </c>
      <c r="K428" s="33">
        <f>VLOOKUP(I428,'Materiales,canteras'!C:E,3,0)</f>
        <v>1.821</v>
      </c>
      <c r="L428" s="27">
        <v>238.6</v>
      </c>
      <c r="M428" s="28" t="s">
        <v>93</v>
      </c>
      <c r="N428" s="57">
        <f t="shared" ca="1" si="64"/>
        <v>46267</v>
      </c>
      <c r="O428" s="32" t="s">
        <v>201</v>
      </c>
      <c r="R428">
        <f t="shared" ref="R428:R435" si="71">5/100</f>
        <v>0.05</v>
      </c>
      <c r="S428" s="4">
        <v>310</v>
      </c>
      <c r="T428" s="66">
        <f t="shared" si="70"/>
        <v>-55.900000000000006</v>
      </c>
      <c r="U428" s="46">
        <f t="shared" si="61"/>
        <v>238.6</v>
      </c>
      <c r="V428" s="27">
        <v>86.4</v>
      </c>
      <c r="W428" s="4">
        <v>1</v>
      </c>
      <c r="X428" s="67">
        <f t="shared" si="62"/>
        <v>325</v>
      </c>
      <c r="Y428" s="32" t="e">
        <f>IF(+VLOOKUP(I428,P.Referencia!E:S,3,FALSE)&lt;=L428,"Champion","Gerente")</f>
        <v>#N/A</v>
      </c>
      <c r="Z428" s="39" t="e">
        <f>VLOOKUP(I428,P.Referencia!E:S,3,0)</f>
        <v>#N/A</v>
      </c>
      <c r="AA428" s="40" t="e">
        <f t="shared" si="66"/>
        <v>#N/A</v>
      </c>
      <c r="AB428" s="41" t="e">
        <f t="shared" si="67"/>
        <v>#N/A</v>
      </c>
      <c r="AC428" s="41" t="e">
        <f t="shared" si="68"/>
        <v>#N/A</v>
      </c>
    </row>
    <row r="429" spans="1:29" hidden="1" x14ac:dyDescent="0.25">
      <c r="A429" s="43">
        <v>428</v>
      </c>
      <c r="B429" t="s">
        <v>377</v>
      </c>
      <c r="C429" s="131" t="str">
        <f t="shared" si="63"/>
        <v>LlaveD86467244456100010732</v>
      </c>
      <c r="D429" s="33" t="str">
        <f>VLOOKUP(E429,'NO MODIFICAR'!J:K,2,0)</f>
        <v>D864</v>
      </c>
      <c r="E429" s="26" t="s">
        <v>55</v>
      </c>
      <c r="F429" s="33" t="str">
        <f>VLOOKUP(D429,'NO MODIFICAR'!F:H,3,0)</f>
        <v xml:space="preserve">CENTRO </v>
      </c>
      <c r="G429" s="92">
        <v>67244456</v>
      </c>
      <c r="H429" s="93" t="s">
        <v>385</v>
      </c>
      <c r="I429" s="29">
        <v>10001073</v>
      </c>
      <c r="J429" s="56" t="str">
        <f>VLOOKUP(I429,'Materiales,canteras'!C:D,2,0)</f>
        <v>Arena Triturada Caliza Malla 4</v>
      </c>
      <c r="K429" s="33">
        <f>VLOOKUP(I429,'Materiales,canteras'!C:E,3,0)</f>
        <v>1.56</v>
      </c>
      <c r="L429" s="27">
        <v>107</v>
      </c>
      <c r="M429" s="28" t="s">
        <v>93</v>
      </c>
      <c r="N429" s="57">
        <f t="shared" ca="1" si="64"/>
        <v>46267</v>
      </c>
      <c r="O429" s="32" t="s">
        <v>201</v>
      </c>
      <c r="R429">
        <f t="shared" si="71"/>
        <v>0.05</v>
      </c>
      <c r="S429" s="4">
        <v>150</v>
      </c>
      <c r="T429" s="66">
        <f t="shared" si="70"/>
        <v>-35.5</v>
      </c>
      <c r="U429" s="46">
        <f t="shared" ref="U429:U492" si="72">L429</f>
        <v>107</v>
      </c>
      <c r="V429" s="27">
        <v>0</v>
      </c>
      <c r="W429" s="4">
        <v>2</v>
      </c>
      <c r="X429" s="67">
        <f t="shared" si="62"/>
        <v>107</v>
      </c>
      <c r="Y429" s="32" t="e">
        <f>IF(+VLOOKUP(I429,P.Referencia!E:S,3,FALSE)&lt;=L429,"Champion","Gerente")</f>
        <v>#N/A</v>
      </c>
      <c r="Z429" s="39" t="e">
        <f>VLOOKUP(I429,P.Referencia!E:S,3,0)</f>
        <v>#N/A</v>
      </c>
      <c r="AA429" s="40" t="e">
        <f t="shared" si="66"/>
        <v>#N/A</v>
      </c>
      <c r="AB429" s="41" t="e">
        <f t="shared" si="67"/>
        <v>#N/A</v>
      </c>
      <c r="AC429" s="41" t="e">
        <f t="shared" si="68"/>
        <v>#N/A</v>
      </c>
    </row>
    <row r="430" spans="1:29" hidden="1" x14ac:dyDescent="0.25">
      <c r="A430" s="43">
        <v>429</v>
      </c>
      <c r="B430" t="s">
        <v>377</v>
      </c>
      <c r="C430" s="131" t="str">
        <f t="shared" si="63"/>
        <v>LlaveD86467244456100002402</v>
      </c>
      <c r="D430" s="33" t="str">
        <f>VLOOKUP(E430,'NO MODIFICAR'!J:K,2,0)</f>
        <v>D864</v>
      </c>
      <c r="E430" s="26" t="s">
        <v>55</v>
      </c>
      <c r="F430" s="33" t="str">
        <f>VLOOKUP(D430,'NO MODIFICAR'!F:H,3,0)</f>
        <v xml:space="preserve">CENTRO </v>
      </c>
      <c r="G430" s="92">
        <v>67244456</v>
      </c>
      <c r="H430" s="93" t="s">
        <v>385</v>
      </c>
      <c r="I430" s="29">
        <v>10000240</v>
      </c>
      <c r="J430" s="56" t="str">
        <f>VLOOKUP(I430,'Materiales,canteras'!C:D,2,0)</f>
        <v>Grava Triturada Caliza 20 mm -</v>
      </c>
      <c r="K430" s="33">
        <f>VLOOKUP(I430,'Materiales,canteras'!C:E,3,0)</f>
        <v>1.462</v>
      </c>
      <c r="L430" s="27">
        <v>128.4</v>
      </c>
      <c r="M430" s="28" t="s">
        <v>93</v>
      </c>
      <c r="N430" s="57">
        <f t="shared" ca="1" si="64"/>
        <v>46267</v>
      </c>
      <c r="O430" s="32" t="s">
        <v>201</v>
      </c>
      <c r="R430">
        <f t="shared" si="71"/>
        <v>0.05</v>
      </c>
      <c r="S430" s="4">
        <v>280</v>
      </c>
      <c r="T430" s="66">
        <f t="shared" si="70"/>
        <v>-137.6</v>
      </c>
      <c r="U430" s="46">
        <f t="shared" si="72"/>
        <v>128.4</v>
      </c>
      <c r="V430" s="27">
        <v>0</v>
      </c>
      <c r="W430" s="4">
        <v>2</v>
      </c>
      <c r="X430" s="67">
        <f t="shared" si="62"/>
        <v>128.4</v>
      </c>
      <c r="Y430" s="32" t="e">
        <f>IF(+VLOOKUP(I430,P.Referencia!E:S,3,FALSE)&lt;=L430,"Champion","Gerente")</f>
        <v>#N/A</v>
      </c>
      <c r="Z430" s="39" t="e">
        <f>VLOOKUP(I430,P.Referencia!E:S,3,0)</f>
        <v>#N/A</v>
      </c>
      <c r="AA430" s="40" t="e">
        <f t="shared" si="66"/>
        <v>#N/A</v>
      </c>
      <c r="AB430" s="41" t="e">
        <f t="shared" si="67"/>
        <v>#N/A</v>
      </c>
      <c r="AC430" s="41" t="e">
        <f t="shared" si="68"/>
        <v>#N/A</v>
      </c>
    </row>
    <row r="431" spans="1:29" hidden="1" x14ac:dyDescent="0.25">
      <c r="A431" s="43">
        <v>430</v>
      </c>
      <c r="B431" t="s">
        <v>377</v>
      </c>
      <c r="C431" s="131" t="str">
        <f t="shared" si="63"/>
        <v>LlaveD86467244456100002362</v>
      </c>
      <c r="D431" s="33" t="str">
        <f>VLOOKUP(E431,'NO MODIFICAR'!J:K,2,0)</f>
        <v>D864</v>
      </c>
      <c r="E431" s="26" t="s">
        <v>55</v>
      </c>
      <c r="F431" s="33" t="str">
        <f>VLOOKUP(D431,'NO MODIFICAR'!F:H,3,0)</f>
        <v xml:space="preserve">CENTRO </v>
      </c>
      <c r="G431" s="92">
        <v>67244456</v>
      </c>
      <c r="H431" s="93" t="s">
        <v>385</v>
      </c>
      <c r="I431" s="29">
        <v>10000236</v>
      </c>
      <c r="J431" s="56" t="str">
        <f>VLOOKUP(I431,'Materiales,canteras'!C:D,2,0)</f>
        <v>Grava Triturada Caliza 10 mm -</v>
      </c>
      <c r="K431" s="33">
        <f>VLOOKUP(I431,'Materiales,canteras'!C:E,3,0)</f>
        <v>1.41</v>
      </c>
      <c r="L431" s="27">
        <v>144.44999999999999</v>
      </c>
      <c r="M431" s="28" t="s">
        <v>93</v>
      </c>
      <c r="N431" s="57">
        <f t="shared" ca="1" si="64"/>
        <v>46267</v>
      </c>
      <c r="O431" s="32" t="s">
        <v>201</v>
      </c>
      <c r="R431">
        <f t="shared" si="71"/>
        <v>0.05</v>
      </c>
      <c r="S431" s="4">
        <v>240</v>
      </c>
      <c r="T431" s="66">
        <f t="shared" si="70"/>
        <v>-83.550000000000011</v>
      </c>
      <c r="U431" s="46">
        <f t="shared" si="72"/>
        <v>144.44999999999999</v>
      </c>
      <c r="V431" s="27">
        <v>0</v>
      </c>
      <c r="W431" s="4">
        <v>2</v>
      </c>
      <c r="X431" s="67">
        <f t="shared" si="62"/>
        <v>144.44999999999999</v>
      </c>
      <c r="Y431" s="32" t="e">
        <f>IF(+VLOOKUP(I431,P.Referencia!E:S,3,FALSE)&lt;=L431,"Champion","Gerente")</f>
        <v>#N/A</v>
      </c>
      <c r="Z431" s="39" t="e">
        <f>VLOOKUP(I431,P.Referencia!E:S,3,0)</f>
        <v>#N/A</v>
      </c>
      <c r="AA431" s="40" t="e">
        <f t="shared" si="66"/>
        <v>#N/A</v>
      </c>
      <c r="AB431" s="41" t="e">
        <f t="shared" si="67"/>
        <v>#N/A</v>
      </c>
      <c r="AC431" s="41" t="e">
        <f t="shared" si="68"/>
        <v>#N/A</v>
      </c>
    </row>
    <row r="432" spans="1:29" hidden="1" x14ac:dyDescent="0.25">
      <c r="A432" s="43">
        <v>431</v>
      </c>
      <c r="B432" t="s">
        <v>389</v>
      </c>
      <c r="C432" s="131" t="str">
        <f t="shared" si="63"/>
        <v>LlaveD82467144310100002872</v>
      </c>
      <c r="D432" s="33" t="str">
        <f>VLOOKUP(E432,'NO MODIFICAR'!J:K,2,0)</f>
        <v>D824</v>
      </c>
      <c r="E432" s="26" t="s">
        <v>28</v>
      </c>
      <c r="F432" s="33" t="str">
        <f>VLOOKUP(D432,'NO MODIFICAR'!F:H,3,0)</f>
        <v>NORESTE</v>
      </c>
      <c r="G432" s="92">
        <v>67144310</v>
      </c>
      <c r="H432" s="93" t="s">
        <v>390</v>
      </c>
      <c r="I432" s="29">
        <v>10000287</v>
      </c>
      <c r="J432" s="56" t="str">
        <f>VLOOKUP(I432,'Materiales,canteras'!C:D,2,0)</f>
        <v>Grava Triturada Basalto  40 mm</v>
      </c>
      <c r="K432" s="33">
        <f>VLOOKUP(I432,'Materiales,canteras'!C:E,3,0)</f>
        <v>1.44</v>
      </c>
      <c r="L432" s="27">
        <v>175</v>
      </c>
      <c r="M432" s="28" t="s">
        <v>93</v>
      </c>
      <c r="N432" s="57">
        <f t="shared" ca="1" si="64"/>
        <v>46267</v>
      </c>
      <c r="O432" s="32" t="s">
        <v>201</v>
      </c>
      <c r="R432">
        <f t="shared" si="71"/>
        <v>0.05</v>
      </c>
      <c r="S432" s="4">
        <v>185</v>
      </c>
      <c r="T432" s="66">
        <f t="shared" si="70"/>
        <v>-0.75</v>
      </c>
      <c r="U432" s="46">
        <f t="shared" si="72"/>
        <v>175</v>
      </c>
      <c r="V432" s="27">
        <v>0</v>
      </c>
      <c r="W432" s="4">
        <v>2</v>
      </c>
      <c r="X432" s="67">
        <f t="shared" si="62"/>
        <v>175</v>
      </c>
      <c r="Y432" s="32" t="e">
        <f>IF(+VLOOKUP(I432,P.Referencia!E:S,3,FALSE)&lt;=L432,"Champion","Gerente")</f>
        <v>#N/A</v>
      </c>
      <c r="Z432" s="39" t="e">
        <f>VLOOKUP(I432,P.Referencia!E:S,3,0)</f>
        <v>#N/A</v>
      </c>
      <c r="AA432" s="40" t="e">
        <f t="shared" si="66"/>
        <v>#N/A</v>
      </c>
      <c r="AB432" s="41" t="e">
        <f t="shared" si="67"/>
        <v>#N/A</v>
      </c>
      <c r="AC432" s="41" t="e">
        <f t="shared" si="68"/>
        <v>#N/A</v>
      </c>
    </row>
    <row r="433" spans="1:30" hidden="1" x14ac:dyDescent="0.25">
      <c r="A433" s="43">
        <v>432</v>
      </c>
      <c r="B433" t="s">
        <v>389</v>
      </c>
      <c r="C433" s="131" t="str">
        <f t="shared" si="63"/>
        <v>LlaveD82467144310100002842</v>
      </c>
      <c r="D433" s="33" t="str">
        <f>VLOOKUP(E433,'NO MODIFICAR'!J:K,2,0)</f>
        <v>D824</v>
      </c>
      <c r="E433" s="26" t="s">
        <v>28</v>
      </c>
      <c r="F433" s="33" t="str">
        <f>VLOOKUP(D433,'NO MODIFICAR'!F:H,3,0)</f>
        <v>NORESTE</v>
      </c>
      <c r="G433" s="92">
        <v>67144310</v>
      </c>
      <c r="H433" s="93" t="s">
        <v>390</v>
      </c>
      <c r="I433" s="29">
        <v>10000284</v>
      </c>
      <c r="J433" s="56" t="str">
        <f>VLOOKUP(I433,'Materiales,canteras'!C:D,2,0)</f>
        <v>Grava Triturada Basalto  20 mm</v>
      </c>
      <c r="K433" s="33">
        <f>VLOOKUP(I433,'Materiales,canteras'!C:E,3,0)</f>
        <v>1.429</v>
      </c>
      <c r="L433" s="27">
        <v>175</v>
      </c>
      <c r="M433" s="28" t="s">
        <v>93</v>
      </c>
      <c r="N433" s="57">
        <f t="shared" ca="1" si="64"/>
        <v>46267</v>
      </c>
      <c r="O433" s="32" t="s">
        <v>201</v>
      </c>
      <c r="R433">
        <f t="shared" si="71"/>
        <v>0.05</v>
      </c>
      <c r="S433" s="4">
        <v>185</v>
      </c>
      <c r="T433" s="66">
        <f t="shared" si="70"/>
        <v>-0.75</v>
      </c>
      <c r="U433" s="46">
        <f t="shared" si="72"/>
        <v>175</v>
      </c>
      <c r="V433" s="27">
        <v>0</v>
      </c>
      <c r="W433" s="4">
        <v>2</v>
      </c>
      <c r="X433" s="67">
        <f t="shared" si="62"/>
        <v>175</v>
      </c>
      <c r="Y433" s="32" t="e">
        <f>IF(+VLOOKUP(I433,P.Referencia!E:S,3,FALSE)&lt;=L433,"Champion","Gerente")</f>
        <v>#N/A</v>
      </c>
      <c r="Z433" s="39" t="e">
        <f>VLOOKUP(I433,P.Referencia!E:S,3,0)</f>
        <v>#N/A</v>
      </c>
      <c r="AA433" s="40" t="e">
        <f t="shared" si="66"/>
        <v>#N/A</v>
      </c>
      <c r="AB433" s="41" t="e">
        <f t="shared" si="67"/>
        <v>#N/A</v>
      </c>
      <c r="AC433" s="41" t="e">
        <f t="shared" si="68"/>
        <v>#N/A</v>
      </c>
    </row>
    <row r="434" spans="1:30" hidden="1" x14ac:dyDescent="0.25">
      <c r="A434" s="43">
        <v>433</v>
      </c>
      <c r="B434" t="s">
        <v>389</v>
      </c>
      <c r="C434" s="131" t="str">
        <f t="shared" si="63"/>
        <v>LlaveD82467144310100002852</v>
      </c>
      <c r="D434" s="33" t="str">
        <f>VLOOKUP(E434,'NO MODIFICAR'!J:K,2,0)</f>
        <v>D824</v>
      </c>
      <c r="E434" s="26" t="s">
        <v>28</v>
      </c>
      <c r="F434" s="33" t="str">
        <f>VLOOKUP(D434,'NO MODIFICAR'!F:H,3,0)</f>
        <v>NORESTE</v>
      </c>
      <c r="G434" s="92">
        <v>67144310</v>
      </c>
      <c r="H434" s="93" t="s">
        <v>390</v>
      </c>
      <c r="I434" s="29">
        <v>10000285</v>
      </c>
      <c r="J434" s="56" t="str">
        <f>VLOOKUP(I434,'Materiales,canteras'!C:D,2,0)</f>
        <v>Grava Triturada Basalto  10 mm</v>
      </c>
      <c r="K434" s="33">
        <f>VLOOKUP(I434,'Materiales,canteras'!C:E,3,0)</f>
        <v>1.46</v>
      </c>
      <c r="L434" s="27">
        <v>175</v>
      </c>
      <c r="M434" s="28" t="s">
        <v>93</v>
      </c>
      <c r="N434" s="57">
        <f t="shared" ca="1" si="64"/>
        <v>46267</v>
      </c>
      <c r="O434" s="32" t="s">
        <v>201</v>
      </c>
      <c r="R434">
        <f t="shared" si="71"/>
        <v>0.05</v>
      </c>
      <c r="S434" s="4">
        <v>190</v>
      </c>
      <c r="T434" s="66">
        <f t="shared" si="70"/>
        <v>-5.5</v>
      </c>
      <c r="U434" s="46">
        <f t="shared" si="72"/>
        <v>175</v>
      </c>
      <c r="V434" s="27">
        <v>0</v>
      </c>
      <c r="W434" s="4">
        <v>2</v>
      </c>
      <c r="X434" s="67">
        <f t="shared" si="62"/>
        <v>175</v>
      </c>
      <c r="Y434" s="32" t="e">
        <f>IF(+VLOOKUP(I434,P.Referencia!E:S,3,FALSE)&lt;=L434,"Champion","Gerente")</f>
        <v>#N/A</v>
      </c>
      <c r="Z434" s="39" t="e">
        <f>VLOOKUP(I434,P.Referencia!E:S,3,0)</f>
        <v>#N/A</v>
      </c>
      <c r="AA434" s="40" t="e">
        <f t="shared" si="66"/>
        <v>#N/A</v>
      </c>
      <c r="AB434" s="41" t="e">
        <f t="shared" si="67"/>
        <v>#N/A</v>
      </c>
      <c r="AC434" s="41" t="e">
        <f t="shared" si="68"/>
        <v>#N/A</v>
      </c>
    </row>
    <row r="435" spans="1:30" hidden="1" x14ac:dyDescent="0.25">
      <c r="A435" s="43">
        <v>434</v>
      </c>
      <c r="B435" t="s">
        <v>389</v>
      </c>
      <c r="C435" s="131" t="str">
        <f t="shared" si="63"/>
        <v>LlaveD82467144310100002342</v>
      </c>
      <c r="D435" s="33" t="str">
        <f>VLOOKUP(E435,'NO MODIFICAR'!J:K,2,0)</f>
        <v>D824</v>
      </c>
      <c r="E435" s="26" t="s">
        <v>28</v>
      </c>
      <c r="F435" s="33" t="str">
        <f>VLOOKUP(D435,'NO MODIFICAR'!F:H,3,0)</f>
        <v>NORESTE</v>
      </c>
      <c r="G435" s="92">
        <v>67144310</v>
      </c>
      <c r="H435" s="93" t="s">
        <v>390</v>
      </c>
      <c r="I435" s="29">
        <v>10000234</v>
      </c>
      <c r="J435" s="56" t="str">
        <f>VLOOKUP(I435,'Materiales,canteras'!C:D,2,0)</f>
        <v>Arena Triturada Basalto  Malla</v>
      </c>
      <c r="K435" s="33">
        <f>VLOOKUP(I435,'Materiales,canteras'!C:E,3,0)</f>
        <v>1.7789999999999999</v>
      </c>
      <c r="L435" s="27">
        <v>160</v>
      </c>
      <c r="M435" s="28" t="s">
        <v>93</v>
      </c>
      <c r="N435" s="57">
        <f t="shared" ca="1" si="64"/>
        <v>46267</v>
      </c>
      <c r="O435" s="32" t="s">
        <v>201</v>
      </c>
      <c r="R435">
        <f t="shared" si="71"/>
        <v>0.05</v>
      </c>
      <c r="S435" s="4">
        <v>175</v>
      </c>
      <c r="T435" s="66">
        <f t="shared" si="70"/>
        <v>-6.25</v>
      </c>
      <c r="U435" s="46">
        <f t="shared" si="72"/>
        <v>160</v>
      </c>
      <c r="V435" s="27">
        <v>0</v>
      </c>
      <c r="W435" s="4">
        <v>2</v>
      </c>
      <c r="X435" s="67">
        <f t="shared" si="62"/>
        <v>160</v>
      </c>
      <c r="Y435" s="32" t="e">
        <f>IF(+VLOOKUP(I435,P.Referencia!E:S,3,FALSE)&lt;=L435,"Champion","Gerente")</f>
        <v>#N/A</v>
      </c>
      <c r="Z435" s="39" t="e">
        <f>VLOOKUP(I435,P.Referencia!E:S,3,0)</f>
        <v>#N/A</v>
      </c>
      <c r="AA435" s="40" t="e">
        <f t="shared" si="66"/>
        <v>#N/A</v>
      </c>
      <c r="AB435" s="41" t="e">
        <f t="shared" si="67"/>
        <v>#N/A</v>
      </c>
      <c r="AC435" s="41" t="e">
        <f t="shared" si="68"/>
        <v>#N/A</v>
      </c>
    </row>
    <row r="436" spans="1:30" s="176" customFormat="1" hidden="1" x14ac:dyDescent="0.25">
      <c r="A436" s="71">
        <v>435</v>
      </c>
      <c r="B436" s="176" t="s">
        <v>389</v>
      </c>
      <c r="C436" s="177" t="str">
        <f t="shared" si="63"/>
        <v>LlaveD82467144310100231082</v>
      </c>
      <c r="D436" s="33" t="str">
        <f>VLOOKUP(E436,'NO MODIFICAR'!J:K,2,0)</f>
        <v>D824</v>
      </c>
      <c r="E436" s="26" t="s">
        <v>28</v>
      </c>
      <c r="F436" s="72" t="str">
        <f>VLOOKUP(D436,'NO MODIFICAR'!F:H,3,0)</f>
        <v>NORESTE</v>
      </c>
      <c r="G436" s="159">
        <v>67144310</v>
      </c>
      <c r="H436" s="163" t="s">
        <v>390</v>
      </c>
      <c r="I436" s="178">
        <v>10023108</v>
      </c>
      <c r="J436" s="165" t="str">
        <f>VLOOKUP(I436,'Materiales,canteras'!C:D,2,0)</f>
        <v>Base H Triturada Basalto  1 1/2" a Finos</v>
      </c>
      <c r="K436" s="72">
        <f>VLOOKUP(I436,'Materiales,canteras'!C:E,3,0)</f>
        <v>1.9690000000000001</v>
      </c>
      <c r="L436" s="90">
        <v>160</v>
      </c>
      <c r="M436" s="100" t="s">
        <v>93</v>
      </c>
      <c r="N436" s="73">
        <f t="shared" ca="1" si="64"/>
        <v>46267</v>
      </c>
      <c r="O436" s="71" t="s">
        <v>201</v>
      </c>
      <c r="S436" s="91"/>
      <c r="T436" s="75">
        <f t="shared" si="70"/>
        <v>160</v>
      </c>
      <c r="U436" s="167">
        <f t="shared" si="72"/>
        <v>160</v>
      </c>
      <c r="V436" s="90">
        <v>0</v>
      </c>
      <c r="W436" s="91">
        <v>2</v>
      </c>
      <c r="X436" s="76">
        <f t="shared" si="62"/>
        <v>160</v>
      </c>
      <c r="Y436" s="71" t="e">
        <f>IF(+VLOOKUP(I436,P.Referencia!E:S,3,FALSE)&lt;=L436,"Champion","Gerente")</f>
        <v>#N/A</v>
      </c>
      <c r="Z436" s="77" t="e">
        <f>VLOOKUP(I436,P.Referencia!E:S,3,0)</f>
        <v>#N/A</v>
      </c>
      <c r="AA436" s="78" t="e">
        <f t="shared" si="66"/>
        <v>#N/A</v>
      </c>
      <c r="AB436" s="79" t="e">
        <f t="shared" si="67"/>
        <v>#N/A</v>
      </c>
      <c r="AC436" s="79" t="e">
        <f t="shared" si="68"/>
        <v>#N/A</v>
      </c>
      <c r="AD436" s="176" t="s">
        <v>399</v>
      </c>
    </row>
    <row r="437" spans="1:30" hidden="1" x14ac:dyDescent="0.25">
      <c r="A437" s="43">
        <v>436</v>
      </c>
      <c r="B437" t="s">
        <v>389</v>
      </c>
      <c r="C437" s="131" t="str">
        <f t="shared" si="63"/>
        <v>LlaveD82467144310100010772</v>
      </c>
      <c r="D437" s="33" t="str">
        <f>VLOOKUP(E437,'NO MODIFICAR'!J:K,2,0)</f>
        <v>D824</v>
      </c>
      <c r="E437" s="26" t="s">
        <v>28</v>
      </c>
      <c r="F437" s="33" t="str">
        <f>VLOOKUP(D437,'NO MODIFICAR'!F:H,3,0)</f>
        <v>NORESTE</v>
      </c>
      <c r="G437" s="92">
        <v>67144310</v>
      </c>
      <c r="H437" s="93" t="s">
        <v>390</v>
      </c>
      <c r="I437" s="29">
        <v>10001077</v>
      </c>
      <c r="J437" s="56" t="str">
        <f>VLOOKUP(I437,'Materiales,canteras'!C:D,2,0)</f>
        <v>Crudo Basalto</v>
      </c>
      <c r="K437" s="33">
        <f>VLOOKUP(I437,'Materiales,canteras'!C:E,3,0)</f>
        <v>1.35</v>
      </c>
      <c r="L437" s="27">
        <v>110</v>
      </c>
      <c r="M437" s="28" t="s">
        <v>93</v>
      </c>
      <c r="N437" s="57">
        <f t="shared" ca="1" si="64"/>
        <v>46267</v>
      </c>
      <c r="O437" s="32" t="s">
        <v>201</v>
      </c>
      <c r="R437">
        <f>5/100</f>
        <v>0.05</v>
      </c>
      <c r="S437" s="4">
        <v>120</v>
      </c>
      <c r="T437" s="66">
        <f t="shared" si="70"/>
        <v>-4</v>
      </c>
      <c r="U437" s="46">
        <f t="shared" si="72"/>
        <v>110</v>
      </c>
      <c r="V437" s="27">
        <v>0</v>
      </c>
      <c r="W437" s="4">
        <v>2</v>
      </c>
      <c r="X437" s="67">
        <f t="shared" si="62"/>
        <v>110</v>
      </c>
      <c r="Y437" s="32" t="e">
        <f>IF(+VLOOKUP(I437,P.Referencia!E:S,3,FALSE)&lt;=L437,"Champion","Gerente")</f>
        <v>#N/A</v>
      </c>
      <c r="Z437" s="39" t="e">
        <f>VLOOKUP(I437,P.Referencia!E:S,3,0)</f>
        <v>#N/A</v>
      </c>
      <c r="AA437" s="40" t="e">
        <f t="shared" si="66"/>
        <v>#N/A</v>
      </c>
      <c r="AB437" s="41" t="e">
        <f t="shared" si="67"/>
        <v>#N/A</v>
      </c>
      <c r="AC437" s="41" t="e">
        <f t="shared" si="68"/>
        <v>#N/A</v>
      </c>
    </row>
    <row r="438" spans="1:30" s="176" customFormat="1" hidden="1" x14ac:dyDescent="0.25">
      <c r="A438" s="71">
        <v>437</v>
      </c>
      <c r="B438" s="176" t="s">
        <v>389</v>
      </c>
      <c r="C438" s="177" t="str">
        <f t="shared" si="63"/>
        <v>LlaveD82467144310101916472</v>
      </c>
      <c r="D438" s="33" t="str">
        <f>VLOOKUP(E438,'NO MODIFICAR'!J:K,2,0)</f>
        <v>D824</v>
      </c>
      <c r="E438" s="26" t="s">
        <v>28</v>
      </c>
      <c r="F438" s="72" t="str">
        <f>VLOOKUP(D438,'NO MODIFICAR'!F:H,3,0)</f>
        <v>NORESTE</v>
      </c>
      <c r="G438" s="159">
        <v>67144310</v>
      </c>
      <c r="H438" s="163" t="s">
        <v>390</v>
      </c>
      <c r="I438" s="178">
        <v>10191647</v>
      </c>
      <c r="J438" s="165" t="str">
        <f>VLOOKUP(I438,'Materiales,canteras'!C:D,2,0)</f>
        <v>BALASTO 6# A 3#</v>
      </c>
      <c r="K438" s="72">
        <f>VLOOKUP(I438,'Materiales,canteras'!C:E,3,0)</f>
        <v>1.4410000000000001</v>
      </c>
      <c r="L438" s="90">
        <v>135</v>
      </c>
      <c r="M438" s="100" t="s">
        <v>93</v>
      </c>
      <c r="N438" s="73">
        <f t="shared" ca="1" si="64"/>
        <v>46267</v>
      </c>
      <c r="O438" s="71" t="s">
        <v>201</v>
      </c>
      <c r="S438" s="91"/>
      <c r="T438" s="75">
        <f t="shared" si="70"/>
        <v>135</v>
      </c>
      <c r="U438" s="167">
        <f t="shared" si="72"/>
        <v>135</v>
      </c>
      <c r="V438" s="90">
        <v>0</v>
      </c>
      <c r="W438" s="91">
        <v>2</v>
      </c>
      <c r="X438" s="76">
        <f t="shared" si="62"/>
        <v>135</v>
      </c>
      <c r="Y438" s="71" t="e">
        <f>IF(+VLOOKUP(I438,P.Referencia!E:S,3,FALSE)&lt;=L438,"Champion","Gerente")</f>
        <v>#N/A</v>
      </c>
      <c r="Z438" s="77" t="e">
        <f>VLOOKUP(I438,P.Referencia!E:S,3,0)</f>
        <v>#N/A</v>
      </c>
      <c r="AA438" s="78" t="e">
        <f t="shared" si="66"/>
        <v>#N/A</v>
      </c>
      <c r="AB438" s="79" t="e">
        <f t="shared" si="67"/>
        <v>#N/A</v>
      </c>
      <c r="AC438" s="79" t="e">
        <f t="shared" si="68"/>
        <v>#N/A</v>
      </c>
      <c r="AD438" s="176" t="s">
        <v>399</v>
      </c>
    </row>
    <row r="439" spans="1:30" hidden="1" x14ac:dyDescent="0.25">
      <c r="A439" s="43">
        <v>438</v>
      </c>
      <c r="B439" t="s">
        <v>389</v>
      </c>
      <c r="C439" s="131" t="str">
        <f t="shared" si="63"/>
        <v>LlaveD82467144310100002892</v>
      </c>
      <c r="D439" s="33" t="str">
        <f>VLOOKUP(E439,'NO MODIFICAR'!J:K,2,0)</f>
        <v>D824</v>
      </c>
      <c r="E439" s="26" t="s">
        <v>28</v>
      </c>
      <c r="F439" s="33" t="str">
        <f>VLOOKUP(D439,'NO MODIFICAR'!F:H,3,0)</f>
        <v>NORESTE</v>
      </c>
      <c r="G439" s="92">
        <v>67144310</v>
      </c>
      <c r="H439" s="93" t="s">
        <v>390</v>
      </c>
      <c r="I439" s="29">
        <v>10000289</v>
      </c>
      <c r="J439" s="56" t="str">
        <f>VLOOKUP(I439,'Materiales,canteras'!C:D,2,0)</f>
        <v>Desperdicio Triturado Basalto</v>
      </c>
      <c r="K439" s="33">
        <f>VLOOKUP(I439,'Materiales,canteras'!C:E,3,0)</f>
        <v>1.55</v>
      </c>
      <c r="L439" s="27">
        <v>50</v>
      </c>
      <c r="M439" s="28" t="s">
        <v>93</v>
      </c>
      <c r="N439" s="57">
        <f t="shared" ca="1" si="64"/>
        <v>46267</v>
      </c>
      <c r="O439" s="32" t="s">
        <v>201</v>
      </c>
      <c r="R439">
        <f>5/100</f>
        <v>0.05</v>
      </c>
      <c r="S439" s="4">
        <v>150</v>
      </c>
      <c r="T439" s="66">
        <f t="shared" si="70"/>
        <v>-92.5</v>
      </c>
      <c r="U439" s="46">
        <f t="shared" si="72"/>
        <v>50</v>
      </c>
      <c r="V439" s="27">
        <v>0</v>
      </c>
      <c r="W439" s="4">
        <v>2</v>
      </c>
      <c r="X439" s="67">
        <f t="shared" si="62"/>
        <v>50</v>
      </c>
      <c r="Y439" s="32" t="e">
        <f>IF(+VLOOKUP(I439,P.Referencia!E:S,3,FALSE)&lt;=L439,"Champion","Gerente")</f>
        <v>#N/A</v>
      </c>
      <c r="Z439" s="39" t="e">
        <f>VLOOKUP(I439,P.Referencia!E:S,3,0)</f>
        <v>#N/A</v>
      </c>
      <c r="AA439" s="40" t="e">
        <f t="shared" si="66"/>
        <v>#N/A</v>
      </c>
      <c r="AB439" s="41" t="e">
        <f t="shared" si="67"/>
        <v>#N/A</v>
      </c>
      <c r="AC439" s="41" t="e">
        <f t="shared" si="68"/>
        <v>#N/A</v>
      </c>
    </row>
    <row r="440" spans="1:30" hidden="1" x14ac:dyDescent="0.25">
      <c r="A440" s="43">
        <v>439</v>
      </c>
      <c r="B440" t="s">
        <v>389</v>
      </c>
      <c r="C440" s="131" t="str">
        <f t="shared" si="63"/>
        <v>LlaveD86466440645100002692</v>
      </c>
      <c r="D440" s="33" t="str">
        <f>VLOOKUP(E440,'NO MODIFICAR'!J:K,2,0)</f>
        <v>D864</v>
      </c>
      <c r="E440" s="26" t="s">
        <v>55</v>
      </c>
      <c r="F440" s="33" t="str">
        <f>VLOOKUP(D440,'NO MODIFICAR'!F:H,3,0)</f>
        <v xml:space="preserve">CENTRO </v>
      </c>
      <c r="G440" s="92">
        <v>66440645</v>
      </c>
      <c r="H440" s="93" t="s">
        <v>163</v>
      </c>
      <c r="I440" s="29">
        <v>10000269</v>
      </c>
      <c r="J440" s="56" t="str">
        <f>VLOOKUP(I440,'Materiales,canteras'!C:D,2,0)</f>
        <v>Grava Triturada Caliza 13 mm -</v>
      </c>
      <c r="K440" s="33">
        <f>VLOOKUP(I440,'Materiales,canteras'!C:E,3,0)</f>
        <v>1.423</v>
      </c>
      <c r="L440" s="27">
        <v>138</v>
      </c>
      <c r="M440" s="28" t="s">
        <v>93</v>
      </c>
      <c r="N440" s="57">
        <f t="shared" ca="1" si="64"/>
        <v>46267</v>
      </c>
      <c r="O440" s="32" t="s">
        <v>201</v>
      </c>
      <c r="R440">
        <v>0</v>
      </c>
      <c r="S440" s="4">
        <v>250</v>
      </c>
      <c r="T440" s="66">
        <f t="shared" si="70"/>
        <v>-112</v>
      </c>
      <c r="U440" s="46">
        <f t="shared" si="72"/>
        <v>138</v>
      </c>
      <c r="V440" s="27">
        <v>0</v>
      </c>
      <c r="W440" s="4">
        <v>2</v>
      </c>
      <c r="X440" s="67">
        <f t="shared" si="62"/>
        <v>138</v>
      </c>
      <c r="Y440" s="32" t="e">
        <f>IF(+VLOOKUP(I440,P.Referencia!E:S,3,FALSE)&lt;=L440,"Champion","Gerente")</f>
        <v>#N/A</v>
      </c>
      <c r="Z440" s="39" t="e">
        <f>VLOOKUP(I440,P.Referencia!E:S,3,0)</f>
        <v>#N/A</v>
      </c>
      <c r="AA440" s="40" t="e">
        <f t="shared" si="66"/>
        <v>#N/A</v>
      </c>
      <c r="AB440" s="41" t="e">
        <f t="shared" si="67"/>
        <v>#N/A</v>
      </c>
      <c r="AC440" s="41" t="e">
        <f t="shared" si="68"/>
        <v>#N/A</v>
      </c>
    </row>
    <row r="441" spans="1:30" hidden="1" x14ac:dyDescent="0.25">
      <c r="A441" s="43">
        <v>440</v>
      </c>
      <c r="B441" t="s">
        <v>389</v>
      </c>
      <c r="C441" s="131" t="str">
        <f t="shared" si="63"/>
        <v>LlaveD86166815113100014502</v>
      </c>
      <c r="D441" s="33" t="str">
        <f>VLOOKUP(E441,'NO MODIFICAR'!J:K,2,0)</f>
        <v>D861</v>
      </c>
      <c r="E441" s="26" t="s">
        <v>44</v>
      </c>
      <c r="F441" s="33" t="str">
        <f>VLOOKUP(D441,'NO MODIFICAR'!F:H,3,0)</f>
        <v xml:space="preserve">CENTRO </v>
      </c>
      <c r="G441" s="92">
        <v>66815113</v>
      </c>
      <c r="H441" s="93" t="s">
        <v>392</v>
      </c>
      <c r="I441" s="29">
        <v>10001450</v>
      </c>
      <c r="J441" s="56" t="str">
        <f>VLOOKUP(I441,'Materiales,canteras'!C:D,2,0)</f>
        <v>Base Hidraúlica Basalto de 1 /1/2</v>
      </c>
      <c r="K441" s="33">
        <f>VLOOKUP(I441,'Materiales,canteras'!C:E,3,0)</f>
        <v>1.7490000000000001</v>
      </c>
      <c r="L441" s="27">
        <v>195</v>
      </c>
      <c r="M441" s="28" t="s">
        <v>93</v>
      </c>
      <c r="N441" s="57">
        <f t="shared" ca="1" si="64"/>
        <v>46267</v>
      </c>
      <c r="O441" s="32" t="s">
        <v>201</v>
      </c>
      <c r="R441">
        <f>5/100</f>
        <v>0.05</v>
      </c>
      <c r="S441" s="4">
        <v>260</v>
      </c>
      <c r="T441" s="66">
        <f t="shared" si="70"/>
        <v>-52</v>
      </c>
      <c r="U441" s="46">
        <f t="shared" si="72"/>
        <v>195</v>
      </c>
      <c r="V441" s="257">
        <v>0</v>
      </c>
      <c r="W441" s="4">
        <v>2</v>
      </c>
      <c r="X441" s="67">
        <f t="shared" si="62"/>
        <v>195</v>
      </c>
      <c r="Y441" s="32" t="e">
        <f>IF(+VLOOKUP(I441,P.Referencia!E:S,3,FALSE)&lt;=L441,"Champion","Gerente")</f>
        <v>#N/A</v>
      </c>
      <c r="Z441" s="39" t="e">
        <f>VLOOKUP(I441,P.Referencia!E:S,3,0)</f>
        <v>#N/A</v>
      </c>
      <c r="AA441" s="40" t="e">
        <f t="shared" si="66"/>
        <v>#N/A</v>
      </c>
      <c r="AB441" s="41" t="e">
        <f t="shared" si="67"/>
        <v>#N/A</v>
      </c>
      <c r="AC441" s="41" t="e">
        <f t="shared" si="68"/>
        <v>#N/A</v>
      </c>
      <c r="AD441" t="s">
        <v>393</v>
      </c>
    </row>
    <row r="442" spans="1:30" hidden="1" x14ac:dyDescent="0.25">
      <c r="A442" s="43">
        <v>441</v>
      </c>
      <c r="B442" t="s">
        <v>389</v>
      </c>
      <c r="C442" s="131" t="str">
        <f t="shared" si="63"/>
        <v>LlaveD86167356679100014501</v>
      </c>
      <c r="D442" s="33" t="str">
        <f>VLOOKUP(E442,'NO MODIFICAR'!J:K,2,0)</f>
        <v>D861</v>
      </c>
      <c r="E442" s="26" t="s">
        <v>44</v>
      </c>
      <c r="F442" s="33" t="str">
        <f>VLOOKUP(D442,'NO MODIFICAR'!F:H,3,0)</f>
        <v xml:space="preserve">CENTRO </v>
      </c>
      <c r="G442" s="92">
        <v>67356679</v>
      </c>
      <c r="H442" s="93" t="s">
        <v>392</v>
      </c>
      <c r="I442" s="29">
        <v>10001450</v>
      </c>
      <c r="J442" s="56" t="str">
        <f>VLOOKUP(I442,'Materiales,canteras'!C:D,2,0)</f>
        <v>Base Hidraúlica Basalto de 1 /1/2</v>
      </c>
      <c r="K442" s="33">
        <f>VLOOKUP(I442,'Materiales,canteras'!C:E,3,0)</f>
        <v>1.7490000000000001</v>
      </c>
      <c r="L442" s="27">
        <v>0</v>
      </c>
      <c r="M442" s="28" t="s">
        <v>93</v>
      </c>
      <c r="N442" s="57">
        <f t="shared" ca="1" si="64"/>
        <v>46267</v>
      </c>
      <c r="O442" s="32" t="s">
        <v>201</v>
      </c>
      <c r="T442" s="66">
        <f t="shared" si="70"/>
        <v>0</v>
      </c>
      <c r="U442" s="46">
        <f t="shared" si="72"/>
        <v>0</v>
      </c>
      <c r="V442" s="257">
        <v>73.75</v>
      </c>
      <c r="W442" s="4">
        <v>1</v>
      </c>
      <c r="X442" s="67">
        <f t="shared" si="62"/>
        <v>73.75</v>
      </c>
      <c r="Y442" s="32" t="e">
        <f>IF(+VLOOKUP(I442,P.Referencia!E:S,3,FALSE)&lt;=L442,"Champion","Gerente")</f>
        <v>#N/A</v>
      </c>
      <c r="Z442" s="39" t="e">
        <f>VLOOKUP(I442,P.Referencia!E:S,3,0)</f>
        <v>#N/A</v>
      </c>
      <c r="AA442" s="40" t="e">
        <f t="shared" si="66"/>
        <v>#N/A</v>
      </c>
      <c r="AB442" s="41" t="e">
        <f t="shared" si="67"/>
        <v>#N/A</v>
      </c>
      <c r="AC442" s="41" t="e">
        <f t="shared" si="68"/>
        <v>#N/A</v>
      </c>
      <c r="AD442" t="s">
        <v>394</v>
      </c>
    </row>
    <row r="443" spans="1:30" hidden="1" x14ac:dyDescent="0.25">
      <c r="A443" s="43">
        <v>442</v>
      </c>
      <c r="B443" t="s">
        <v>389</v>
      </c>
      <c r="C443" s="131" t="str">
        <f t="shared" si="63"/>
        <v>LlaveD917 67355314102637012</v>
      </c>
      <c r="D443" s="33" t="str">
        <f>VLOOKUP(E443,'NO MODIFICAR'!J:K,2,0)</f>
        <v xml:space="preserve">D917 </v>
      </c>
      <c r="E443" s="3" t="s">
        <v>84</v>
      </c>
      <c r="F443" s="148" t="s">
        <v>362</v>
      </c>
      <c r="G443" s="92">
        <v>67355314</v>
      </c>
      <c r="H443" s="93" t="s">
        <v>395</v>
      </c>
      <c r="I443" s="29">
        <v>10263701</v>
      </c>
      <c r="J443" s="56" t="str">
        <f>VLOOKUP(I443,'Materiales,canteras'!C:D,2,0)</f>
        <v>GRAVA TRITURADA CALIZA 20MM</v>
      </c>
      <c r="K443" s="33">
        <f>VLOOKUP(I443,'Materiales,canteras'!C:E,3,0)</f>
        <v>1.363</v>
      </c>
      <c r="L443" s="27">
        <v>137.93103448275863</v>
      </c>
      <c r="M443" s="28" t="s">
        <v>93</v>
      </c>
      <c r="N443" s="57">
        <f t="shared" ca="1" si="64"/>
        <v>46267</v>
      </c>
      <c r="O443" s="32" t="s">
        <v>201</v>
      </c>
      <c r="P443" s="10"/>
      <c r="S443" s="4">
        <v>78</v>
      </c>
      <c r="T443" s="66">
        <f t="shared" si="70"/>
        <v>59.931034482758633</v>
      </c>
      <c r="U443" s="46">
        <f t="shared" si="72"/>
        <v>137.93103448275863</v>
      </c>
      <c r="V443" s="27">
        <v>0</v>
      </c>
      <c r="W443" s="4">
        <v>2</v>
      </c>
      <c r="X443" s="67">
        <f t="shared" si="62"/>
        <v>137.93103448275863</v>
      </c>
      <c r="Y443" s="32" t="e">
        <f>IF(+VLOOKUP(I443,P.Referencia!E:S,3,FALSE)&lt;=L443,"Champion","Gerente")</f>
        <v>#N/A</v>
      </c>
      <c r="Z443" s="39" t="e">
        <f>VLOOKUP(I443,P.Referencia!E:S,3,0)</f>
        <v>#N/A</v>
      </c>
      <c r="AA443" s="40" t="e">
        <f t="shared" si="66"/>
        <v>#N/A</v>
      </c>
      <c r="AB443" s="41" t="e">
        <f t="shared" si="67"/>
        <v>#N/A</v>
      </c>
      <c r="AC443" s="41" t="e">
        <f t="shared" si="68"/>
        <v>#N/A</v>
      </c>
    </row>
    <row r="444" spans="1:30" hidden="1" x14ac:dyDescent="0.25">
      <c r="A444" s="43">
        <v>443</v>
      </c>
      <c r="B444" t="s">
        <v>389</v>
      </c>
      <c r="C444" s="131" t="str">
        <f t="shared" si="63"/>
        <v>LlaveD917 67355314102486592</v>
      </c>
      <c r="D444" s="33" t="str">
        <f>VLOOKUP(E444,'NO MODIFICAR'!J:K,2,0)</f>
        <v xml:space="preserve">D917 </v>
      </c>
      <c r="E444" s="3" t="s">
        <v>84</v>
      </c>
      <c r="F444" s="148" t="s">
        <v>362</v>
      </c>
      <c r="G444" s="92">
        <v>67355314</v>
      </c>
      <c r="H444" s="93" t="s">
        <v>395</v>
      </c>
      <c r="I444" s="29">
        <v>10248659</v>
      </c>
      <c r="J444" s="56" t="str">
        <f>VLOOKUP(I444,'Materiales,canteras'!C:D,2,0)</f>
        <v>ARENA NO. 4</v>
      </c>
      <c r="K444" s="33">
        <f>VLOOKUP(I444,'Materiales,canteras'!C:E,3,0)</f>
        <v>1.673</v>
      </c>
      <c r="L444" s="27">
        <v>138.07531380753139</v>
      </c>
      <c r="M444" s="28" t="s">
        <v>93</v>
      </c>
      <c r="N444" s="57">
        <f t="shared" ca="1" si="64"/>
        <v>46267</v>
      </c>
      <c r="O444" s="32" t="s">
        <v>201</v>
      </c>
      <c r="P444" s="10"/>
      <c r="S444" s="4">
        <v>90</v>
      </c>
      <c r="T444" s="66">
        <f t="shared" si="70"/>
        <v>48.075313807531387</v>
      </c>
      <c r="U444" s="46">
        <f t="shared" si="72"/>
        <v>138.07531380753139</v>
      </c>
      <c r="V444" s="27">
        <v>0</v>
      </c>
      <c r="W444" s="4">
        <v>2</v>
      </c>
      <c r="X444" s="67">
        <f t="shared" ref="X444:X507" si="73">U444+V444</f>
        <v>138.07531380753139</v>
      </c>
      <c r="Y444" s="32" t="e">
        <f>IF(+VLOOKUP(I444,P.Referencia!E:S,3,FALSE)&lt;=L444,"Champion","Gerente")</f>
        <v>#N/A</v>
      </c>
      <c r="Z444" s="39" t="e">
        <f>VLOOKUP(I444,P.Referencia!E:S,3,0)</f>
        <v>#N/A</v>
      </c>
      <c r="AA444" s="40" t="e">
        <f t="shared" si="66"/>
        <v>#N/A</v>
      </c>
      <c r="AB444" s="41" t="e">
        <f t="shared" si="67"/>
        <v>#N/A</v>
      </c>
      <c r="AC444" s="41" t="e">
        <f t="shared" si="68"/>
        <v>#N/A</v>
      </c>
    </row>
    <row r="445" spans="1:30" hidden="1" x14ac:dyDescent="0.25">
      <c r="A445" s="43">
        <v>444</v>
      </c>
      <c r="B445" t="s">
        <v>389</v>
      </c>
      <c r="C445" s="131" t="str">
        <f t="shared" si="63"/>
        <v>LlaveD917 67355548102637012</v>
      </c>
      <c r="D445" s="33" t="str">
        <f>VLOOKUP(E445,'NO MODIFICAR'!J:K,2,0)</f>
        <v xml:space="preserve">D917 </v>
      </c>
      <c r="E445" s="3" t="s">
        <v>84</v>
      </c>
      <c r="F445" s="148" t="s">
        <v>362</v>
      </c>
      <c r="G445" s="92">
        <v>67355548</v>
      </c>
      <c r="H445" s="93" t="s">
        <v>396</v>
      </c>
      <c r="I445" s="29">
        <v>10263701</v>
      </c>
      <c r="J445" s="56" t="str">
        <f>VLOOKUP(I445,'Materiales,canteras'!C:D,2,0)</f>
        <v>GRAVA TRITURADA CALIZA 20MM</v>
      </c>
      <c r="K445" s="33">
        <f>VLOOKUP(I445,'Materiales,canteras'!C:E,3,0)</f>
        <v>1.363</v>
      </c>
      <c r="L445" s="27">
        <v>137.93103448275863</v>
      </c>
      <c r="M445" s="28" t="s">
        <v>93</v>
      </c>
      <c r="N445" s="57">
        <f t="shared" ca="1" si="64"/>
        <v>46267</v>
      </c>
      <c r="O445" s="32" t="s">
        <v>201</v>
      </c>
      <c r="P445" s="10"/>
      <c r="S445" s="4">
        <v>78</v>
      </c>
      <c r="T445" s="66">
        <f t="shared" si="70"/>
        <v>59.931034482758633</v>
      </c>
      <c r="U445" s="46">
        <f t="shared" si="72"/>
        <v>137.93103448275863</v>
      </c>
      <c r="V445" s="27">
        <v>0</v>
      </c>
      <c r="W445" s="4">
        <v>2</v>
      </c>
      <c r="X445" s="67">
        <f t="shared" si="73"/>
        <v>137.93103448275863</v>
      </c>
      <c r="Y445" s="32" t="e">
        <f>IF(+VLOOKUP(I445,P.Referencia!E:S,3,FALSE)&lt;=L445,"Champion","Gerente")</f>
        <v>#N/A</v>
      </c>
      <c r="Z445" s="39" t="e">
        <f>VLOOKUP(I445,P.Referencia!E:S,3,0)</f>
        <v>#N/A</v>
      </c>
      <c r="AA445" s="40" t="e">
        <f t="shared" si="66"/>
        <v>#N/A</v>
      </c>
      <c r="AB445" s="41" t="e">
        <f t="shared" si="67"/>
        <v>#N/A</v>
      </c>
      <c r="AC445" s="41" t="e">
        <f t="shared" si="68"/>
        <v>#N/A</v>
      </c>
    </row>
    <row r="446" spans="1:30" hidden="1" x14ac:dyDescent="0.25">
      <c r="A446" s="43">
        <v>445</v>
      </c>
      <c r="B446" t="s">
        <v>389</v>
      </c>
      <c r="C446" s="131" t="str">
        <f t="shared" si="63"/>
        <v>LlaveD917 67355548102486592</v>
      </c>
      <c r="D446" s="33" t="str">
        <f>VLOOKUP(E446,'NO MODIFICAR'!J:K,2,0)</f>
        <v xml:space="preserve">D917 </v>
      </c>
      <c r="E446" s="3" t="s">
        <v>84</v>
      </c>
      <c r="F446" s="148" t="s">
        <v>362</v>
      </c>
      <c r="G446" s="92">
        <v>67355548</v>
      </c>
      <c r="H446" s="93" t="s">
        <v>396</v>
      </c>
      <c r="I446" s="29">
        <v>10248659</v>
      </c>
      <c r="J446" s="56" t="str">
        <f>VLOOKUP(I446,'Materiales,canteras'!C:D,2,0)</f>
        <v>ARENA NO. 4</v>
      </c>
      <c r="K446" s="33">
        <f>VLOOKUP(I446,'Materiales,canteras'!C:E,3,0)</f>
        <v>1.673</v>
      </c>
      <c r="L446" s="27">
        <v>138.07531380753139</v>
      </c>
      <c r="M446" s="28" t="s">
        <v>93</v>
      </c>
      <c r="N446" s="57">
        <f t="shared" ca="1" si="64"/>
        <v>46267</v>
      </c>
      <c r="O446" s="32" t="s">
        <v>201</v>
      </c>
      <c r="P446" s="10"/>
      <c r="S446" s="4">
        <v>90</v>
      </c>
      <c r="T446" s="66">
        <f t="shared" si="70"/>
        <v>48.075313807531387</v>
      </c>
      <c r="U446" s="46">
        <f t="shared" si="72"/>
        <v>138.07531380753139</v>
      </c>
      <c r="V446" s="27">
        <v>0</v>
      </c>
      <c r="W446" s="4">
        <v>2</v>
      </c>
      <c r="X446" s="67">
        <f t="shared" si="73"/>
        <v>138.07531380753139</v>
      </c>
      <c r="Y446" s="32" t="e">
        <f>IF(+VLOOKUP(I446,P.Referencia!E:S,3,FALSE)&lt;=L446,"Champion","Gerente")</f>
        <v>#N/A</v>
      </c>
      <c r="Z446" s="39" t="e">
        <f>VLOOKUP(I446,P.Referencia!E:S,3,0)</f>
        <v>#N/A</v>
      </c>
      <c r="AA446" s="40" t="e">
        <f t="shared" si="66"/>
        <v>#N/A</v>
      </c>
      <c r="AB446" s="41" t="e">
        <f t="shared" si="67"/>
        <v>#N/A</v>
      </c>
      <c r="AC446" s="41" t="e">
        <f t="shared" si="68"/>
        <v>#N/A</v>
      </c>
    </row>
    <row r="447" spans="1:30" x14ac:dyDescent="0.25">
      <c r="A447" s="43">
        <v>446</v>
      </c>
      <c r="B447" t="s">
        <v>389</v>
      </c>
      <c r="C447" s="131" t="str">
        <f t="shared" si="63"/>
        <v>LlaveD86667055080100002932</v>
      </c>
      <c r="D447" s="33" t="str">
        <f>VLOOKUP(E447,'NO MODIFICAR'!J:K,2,0)</f>
        <v>D866</v>
      </c>
      <c r="E447" s="26" t="s">
        <v>62</v>
      </c>
      <c r="F447" s="33" t="str">
        <f>VLOOKUP(D447,'NO MODIFICAR'!F:H,3,0)</f>
        <v>NORESTE</v>
      </c>
      <c r="G447" s="92">
        <v>67055080</v>
      </c>
      <c r="H447" s="93" t="s">
        <v>397</v>
      </c>
      <c r="I447" s="29">
        <v>10000293</v>
      </c>
      <c r="J447" s="56" t="str">
        <f>VLOOKUP(I447,'Materiales,canteras'!C:D,2,0)</f>
        <v>Grava Triturada Basalto 10mm -</v>
      </c>
      <c r="K447" s="33">
        <f>VLOOKUP(I447,'Materiales,canteras'!C:E,3,0)</f>
        <v>1.5549999999999999</v>
      </c>
      <c r="L447" s="27">
        <v>260</v>
      </c>
      <c r="M447" s="28" t="s">
        <v>93</v>
      </c>
      <c r="N447" s="57">
        <f t="shared" ca="1" si="64"/>
        <v>46267</v>
      </c>
      <c r="O447" s="32" t="s">
        <v>201</v>
      </c>
      <c r="P447" s="10"/>
      <c r="R447">
        <f>1.5/100</f>
        <v>1.4999999999999999E-2</v>
      </c>
      <c r="S447" s="4">
        <v>290</v>
      </c>
      <c r="T447" s="66">
        <f t="shared" si="70"/>
        <v>-25.649999999999977</v>
      </c>
      <c r="U447" s="46">
        <f t="shared" si="72"/>
        <v>260</v>
      </c>
      <c r="V447" s="27">
        <v>0</v>
      </c>
      <c r="W447" s="4">
        <v>2</v>
      </c>
      <c r="X447" s="67">
        <f t="shared" si="73"/>
        <v>260</v>
      </c>
      <c r="Y447" s="32" t="e">
        <f>IF(+VLOOKUP(I447,P.Referencia!E:S,3,FALSE)&lt;=L447,"Champion","Gerente")</f>
        <v>#N/A</v>
      </c>
      <c r="Z447" s="39" t="e">
        <f>VLOOKUP(I447,P.Referencia!E:S,3,0)</f>
        <v>#N/A</v>
      </c>
      <c r="AA447" s="40" t="e">
        <f t="shared" si="66"/>
        <v>#N/A</v>
      </c>
      <c r="AB447" s="41" t="e">
        <f t="shared" si="67"/>
        <v>#N/A</v>
      </c>
      <c r="AC447" s="41" t="e">
        <f t="shared" si="68"/>
        <v>#N/A</v>
      </c>
    </row>
    <row r="448" spans="1:30" hidden="1" x14ac:dyDescent="0.25">
      <c r="A448" s="43">
        <v>447</v>
      </c>
      <c r="B448" t="s">
        <v>389</v>
      </c>
      <c r="C448" s="131" t="str">
        <f t="shared" si="63"/>
        <v>LlaveD85265907983100389421</v>
      </c>
      <c r="D448" s="33" t="str">
        <f>VLOOKUP(E448,'NO MODIFICAR'!J:K,2,0)</f>
        <v>D852</v>
      </c>
      <c r="E448" s="26" t="s">
        <v>36</v>
      </c>
      <c r="F448" s="33" t="str">
        <f>VLOOKUP(D448,'NO MODIFICAR'!F:H,3,0)</f>
        <v>NORESTE</v>
      </c>
      <c r="G448" s="92">
        <v>65907983</v>
      </c>
      <c r="H448" s="93" t="s">
        <v>398</v>
      </c>
      <c r="I448" s="29">
        <v>10038942</v>
      </c>
      <c r="J448" s="56" t="str">
        <f>VLOOKUP(I448,'Materiales,canteras'!C:D,2,0)</f>
        <v>Arena Triturada Caliza Malla 8</v>
      </c>
      <c r="K448" s="33">
        <f>VLOOKUP(I448,'Materiales,canteras'!C:E,3,0)</f>
        <v>1.629</v>
      </c>
      <c r="L448" s="27">
        <v>130</v>
      </c>
      <c r="M448" s="28" t="s">
        <v>93</v>
      </c>
      <c r="N448" s="57">
        <f t="shared" ca="1" si="64"/>
        <v>46267</v>
      </c>
      <c r="O448" s="32" t="s">
        <v>201</v>
      </c>
      <c r="P448" s="10"/>
      <c r="R448">
        <f>1/100</f>
        <v>0.01</v>
      </c>
      <c r="S448" s="4">
        <v>145</v>
      </c>
      <c r="T448" s="66">
        <f t="shared" si="70"/>
        <v>-13.550000000000011</v>
      </c>
      <c r="U448" s="46">
        <f t="shared" si="72"/>
        <v>130</v>
      </c>
      <c r="V448" s="27">
        <v>86</v>
      </c>
      <c r="W448" s="4">
        <v>1</v>
      </c>
      <c r="X448" s="67">
        <f t="shared" si="73"/>
        <v>216</v>
      </c>
      <c r="Y448" s="32" t="e">
        <f>IF(+VLOOKUP(I448,P.Referencia!E:S,3,FALSE)&lt;=L448,"Champion","Gerente")</f>
        <v>#N/A</v>
      </c>
      <c r="Z448" s="39" t="e">
        <f>VLOOKUP(I448,P.Referencia!E:S,3,0)</f>
        <v>#N/A</v>
      </c>
      <c r="AA448" s="40" t="e">
        <f t="shared" si="66"/>
        <v>#N/A</v>
      </c>
      <c r="AB448" s="41" t="e">
        <f t="shared" si="67"/>
        <v>#N/A</v>
      </c>
      <c r="AC448" s="41" t="e">
        <f t="shared" si="68"/>
        <v>#N/A</v>
      </c>
    </row>
    <row r="449" spans="1:30" s="176" customFormat="1" hidden="1" x14ac:dyDescent="0.25">
      <c r="A449" s="43">
        <v>448</v>
      </c>
      <c r="B449" s="176" t="s">
        <v>389</v>
      </c>
      <c r="C449" s="177" t="str">
        <f t="shared" si="63"/>
        <v>LlaveD86167328141100003112</v>
      </c>
      <c r="D449" s="72" t="str">
        <f>VLOOKUP(E449,'NO MODIFICAR'!J:K,2,0)</f>
        <v>D861</v>
      </c>
      <c r="E449" s="102" t="s">
        <v>44</v>
      </c>
      <c r="F449" s="72" t="str">
        <f>VLOOKUP(D449,'NO MODIFICAR'!F:H,3,0)</f>
        <v xml:space="preserve">CENTRO </v>
      </c>
      <c r="G449" s="159">
        <v>67328141</v>
      </c>
      <c r="H449" s="163" t="s">
        <v>262</v>
      </c>
      <c r="I449" s="178">
        <v>10000311</v>
      </c>
      <c r="J449" s="165" t="str">
        <f>VLOOKUP(I449,'Materiales,canteras'!C:D,2,0)</f>
        <v>Arena Triturada Basalto  Malla</v>
      </c>
      <c r="K449" s="72">
        <f>VLOOKUP(I449,'Materiales,canteras'!C:E,3,0)</f>
        <v>1.651</v>
      </c>
      <c r="L449" s="90">
        <v>198</v>
      </c>
      <c r="M449" s="100" t="s">
        <v>93</v>
      </c>
      <c r="N449" s="73">
        <f t="shared" ca="1" si="64"/>
        <v>46267</v>
      </c>
      <c r="O449" s="71" t="s">
        <v>201</v>
      </c>
      <c r="P449" s="179"/>
      <c r="S449" s="91">
        <v>260</v>
      </c>
      <c r="T449" s="75">
        <f t="shared" si="70"/>
        <v>-62</v>
      </c>
      <c r="U449" s="167">
        <f t="shared" si="72"/>
        <v>198</v>
      </c>
      <c r="V449" s="90">
        <v>0</v>
      </c>
      <c r="W449" s="91">
        <v>2</v>
      </c>
      <c r="X449" s="76">
        <f t="shared" si="73"/>
        <v>198</v>
      </c>
      <c r="Y449" s="71" t="e">
        <f>IF(+VLOOKUP(I449,P.Referencia!E:S,3,FALSE)&lt;=L449,"Champion","Gerente")</f>
        <v>#N/A</v>
      </c>
      <c r="Z449" s="77" t="e">
        <f>VLOOKUP(I449,P.Referencia!E:S,3,0)</f>
        <v>#N/A</v>
      </c>
      <c r="AA449" s="78" t="e">
        <f t="shared" si="66"/>
        <v>#N/A</v>
      </c>
      <c r="AB449" s="79" t="e">
        <f t="shared" si="67"/>
        <v>#N/A</v>
      </c>
      <c r="AC449" s="79" t="e">
        <f t="shared" si="68"/>
        <v>#N/A</v>
      </c>
      <c r="AD449" s="176" t="s">
        <v>400</v>
      </c>
    </row>
    <row r="450" spans="1:30" s="176" customFormat="1" hidden="1" x14ac:dyDescent="0.25">
      <c r="A450" s="43">
        <v>449</v>
      </c>
      <c r="B450" s="176" t="s">
        <v>389</v>
      </c>
      <c r="C450" s="177" t="str">
        <f t="shared" ref="C450:C513" si="74">_xlfn.CONCAT($C$1,D450,G450,I450,W450)</f>
        <v>LlaveD86167328141100002292</v>
      </c>
      <c r="D450" s="72" t="str">
        <f>VLOOKUP(E450,'NO MODIFICAR'!J:K,2,0)</f>
        <v>D861</v>
      </c>
      <c r="E450" s="102" t="s">
        <v>44</v>
      </c>
      <c r="F450" s="72" t="str">
        <f>VLOOKUP(D450,'NO MODIFICAR'!F:H,3,0)</f>
        <v xml:space="preserve">CENTRO </v>
      </c>
      <c r="G450" s="159">
        <v>67328141</v>
      </c>
      <c r="H450" s="163" t="s">
        <v>262</v>
      </c>
      <c r="I450" s="178">
        <v>10000229</v>
      </c>
      <c r="J450" s="165" t="str">
        <f>VLOOKUP(I450,'Materiales,canteras'!C:D,2,0)</f>
        <v>Grava Triturada Basalto  10 mm</v>
      </c>
      <c r="K450" s="72">
        <f>VLOOKUP(I450,'Materiales,canteras'!C:E,3,0)</f>
        <v>1.522</v>
      </c>
      <c r="L450" s="90">
        <v>205</v>
      </c>
      <c r="M450" s="100" t="s">
        <v>93</v>
      </c>
      <c r="N450" s="73">
        <f t="shared" ref="N450:N513" ca="1" si="75">TODAY()</f>
        <v>46267</v>
      </c>
      <c r="O450" s="71" t="s">
        <v>201</v>
      </c>
      <c r="P450" s="179"/>
      <c r="S450" s="91">
        <v>320</v>
      </c>
      <c r="T450" s="75">
        <f t="shared" ref="T450:T470" si="76">L450-(S450-(S450*R450))</f>
        <v>-115</v>
      </c>
      <c r="U450" s="167">
        <f t="shared" si="72"/>
        <v>205</v>
      </c>
      <c r="V450" s="90">
        <v>0</v>
      </c>
      <c r="W450" s="91">
        <v>2</v>
      </c>
      <c r="X450" s="76">
        <f t="shared" si="73"/>
        <v>205</v>
      </c>
      <c r="Y450" s="71" t="e">
        <f>IF(+VLOOKUP(I450,P.Referencia!E:S,3,FALSE)&lt;=L450,"Champion","Gerente")</f>
        <v>#N/A</v>
      </c>
      <c r="Z450" s="77" t="e">
        <f>VLOOKUP(I450,P.Referencia!E:S,3,0)</f>
        <v>#N/A</v>
      </c>
      <c r="AA450" s="78" t="e">
        <f t="shared" ref="AA450:AA513" si="77">(Z450-U450)/U450</f>
        <v>#N/A</v>
      </c>
      <c r="AB450" s="79" t="e">
        <f t="shared" ref="AB450:AB513" si="78">U450*AA450</f>
        <v>#N/A</v>
      </c>
      <c r="AC450" s="79" t="e">
        <f t="shared" ref="AC450:AC513" si="79">U450+AB450</f>
        <v>#N/A</v>
      </c>
      <c r="AD450" s="176" t="s">
        <v>400</v>
      </c>
    </row>
    <row r="451" spans="1:30" s="176" customFormat="1" hidden="1" x14ac:dyDescent="0.25">
      <c r="A451" s="43">
        <v>450</v>
      </c>
      <c r="B451" s="176" t="s">
        <v>389</v>
      </c>
      <c r="C451" s="177" t="str">
        <f t="shared" si="74"/>
        <v>LlaveD86167328141100031532</v>
      </c>
      <c r="D451" s="72" t="str">
        <f>VLOOKUP(E451,'NO MODIFICAR'!J:K,2,0)</f>
        <v>D861</v>
      </c>
      <c r="E451" s="102" t="s">
        <v>44</v>
      </c>
      <c r="F451" s="72" t="str">
        <f>VLOOKUP(D451,'NO MODIFICAR'!F:H,3,0)</f>
        <v xml:space="preserve">CENTRO </v>
      </c>
      <c r="G451" s="159">
        <v>67328141</v>
      </c>
      <c r="H451" s="163" t="s">
        <v>262</v>
      </c>
      <c r="I451" s="178">
        <v>10003153</v>
      </c>
      <c r="J451" s="165" t="str">
        <f>VLOOKUP(I451,'Materiales,canteras'!C:D,2,0)</f>
        <v>Grava Triturada Basalto 13 mm</v>
      </c>
      <c r="K451" s="72">
        <f>VLOOKUP(I451,'Materiales,canteras'!C:E,3,0)</f>
        <v>1.546</v>
      </c>
      <c r="L451" s="90">
        <v>205</v>
      </c>
      <c r="M451" s="100" t="s">
        <v>93</v>
      </c>
      <c r="N451" s="73">
        <f t="shared" ca="1" si="75"/>
        <v>46267</v>
      </c>
      <c r="O451" s="71" t="s">
        <v>201</v>
      </c>
      <c r="P451" s="179"/>
      <c r="S451" s="91">
        <v>270</v>
      </c>
      <c r="T451" s="75">
        <f t="shared" si="76"/>
        <v>-65</v>
      </c>
      <c r="U451" s="167">
        <f t="shared" si="72"/>
        <v>205</v>
      </c>
      <c r="V451" s="90">
        <v>0</v>
      </c>
      <c r="W451" s="91">
        <v>2</v>
      </c>
      <c r="X451" s="76">
        <f t="shared" si="73"/>
        <v>205</v>
      </c>
      <c r="Y451" s="71" t="e">
        <f>IF(+VLOOKUP(I451,P.Referencia!E:S,3,FALSE)&lt;=L451,"Champion","Gerente")</f>
        <v>#N/A</v>
      </c>
      <c r="Z451" s="77" t="e">
        <f>VLOOKUP(I451,P.Referencia!E:S,3,0)</f>
        <v>#N/A</v>
      </c>
      <c r="AA451" s="78" t="e">
        <f t="shared" si="77"/>
        <v>#N/A</v>
      </c>
      <c r="AB451" s="79" t="e">
        <f t="shared" si="78"/>
        <v>#N/A</v>
      </c>
      <c r="AC451" s="79" t="e">
        <f t="shared" si="79"/>
        <v>#N/A</v>
      </c>
      <c r="AD451" s="176" t="s">
        <v>400</v>
      </c>
    </row>
    <row r="452" spans="1:30" s="176" customFormat="1" hidden="1" x14ac:dyDescent="0.25">
      <c r="A452" s="43">
        <v>451</v>
      </c>
      <c r="B452" s="176" t="s">
        <v>389</v>
      </c>
      <c r="C452" s="177" t="str">
        <f t="shared" si="74"/>
        <v>LlaveD86167328141100002312</v>
      </c>
      <c r="D452" s="72" t="str">
        <f>VLOOKUP(E452,'NO MODIFICAR'!J:K,2,0)</f>
        <v>D861</v>
      </c>
      <c r="E452" s="102" t="s">
        <v>44</v>
      </c>
      <c r="F452" s="72" t="str">
        <f>VLOOKUP(D452,'NO MODIFICAR'!F:H,3,0)</f>
        <v xml:space="preserve">CENTRO </v>
      </c>
      <c r="G452" s="159">
        <v>67328141</v>
      </c>
      <c r="H452" s="163" t="s">
        <v>262</v>
      </c>
      <c r="I452" s="178">
        <v>10000231</v>
      </c>
      <c r="J452" s="165" t="str">
        <f>VLOOKUP(I452,'Materiales,canteras'!C:D,2,0)</f>
        <v>Grava Triturada Basalto 20 mm</v>
      </c>
      <c r="K452" s="72">
        <f>VLOOKUP(I452,'Materiales,canteras'!C:E,3,0)</f>
        <v>1.5649999999999999</v>
      </c>
      <c r="L452" s="90">
        <v>198</v>
      </c>
      <c r="M452" s="100" t="s">
        <v>93</v>
      </c>
      <c r="N452" s="73">
        <f t="shared" ca="1" si="75"/>
        <v>46267</v>
      </c>
      <c r="O452" s="71" t="s">
        <v>201</v>
      </c>
      <c r="P452" s="179"/>
      <c r="S452" s="91">
        <v>280</v>
      </c>
      <c r="T452" s="75">
        <f t="shared" si="76"/>
        <v>-82</v>
      </c>
      <c r="U452" s="167">
        <f t="shared" si="72"/>
        <v>198</v>
      </c>
      <c r="V452" s="90">
        <v>0</v>
      </c>
      <c r="W452" s="91">
        <v>2</v>
      </c>
      <c r="X452" s="76">
        <f t="shared" si="73"/>
        <v>198</v>
      </c>
      <c r="Y452" s="71" t="e">
        <f>IF(+VLOOKUP(I452,P.Referencia!E:S,3,FALSE)&lt;=L452,"Champion","Gerente")</f>
        <v>#N/A</v>
      </c>
      <c r="Z452" s="77" t="e">
        <f>VLOOKUP(I452,P.Referencia!E:S,3,0)</f>
        <v>#N/A</v>
      </c>
      <c r="AA452" s="78" t="e">
        <f t="shared" si="77"/>
        <v>#N/A</v>
      </c>
      <c r="AB452" s="79" t="e">
        <f t="shared" si="78"/>
        <v>#N/A</v>
      </c>
      <c r="AC452" s="79" t="e">
        <f t="shared" si="79"/>
        <v>#N/A</v>
      </c>
      <c r="AD452" s="176" t="s">
        <v>400</v>
      </c>
    </row>
    <row r="453" spans="1:30" s="176" customFormat="1" hidden="1" x14ac:dyDescent="0.25">
      <c r="A453" s="43">
        <v>452</v>
      </c>
      <c r="B453" s="176" t="s">
        <v>389</v>
      </c>
      <c r="C453" s="177" t="str">
        <f t="shared" si="74"/>
        <v>LlaveD86167328141100014502</v>
      </c>
      <c r="D453" s="72" t="str">
        <f>VLOOKUP(E453,'NO MODIFICAR'!J:K,2,0)</f>
        <v>D861</v>
      </c>
      <c r="E453" s="102" t="s">
        <v>44</v>
      </c>
      <c r="F453" s="72" t="str">
        <f>VLOOKUP(D453,'NO MODIFICAR'!F:H,3,0)</f>
        <v xml:space="preserve">CENTRO </v>
      </c>
      <c r="G453" s="159">
        <v>67328141</v>
      </c>
      <c r="H453" s="163" t="s">
        <v>262</v>
      </c>
      <c r="I453" s="178">
        <v>10001450</v>
      </c>
      <c r="J453" s="165" t="str">
        <f>VLOOKUP(I453,'Materiales,canteras'!C:D,2,0)</f>
        <v>Base Hidraúlica Basalto de 1 /1/2</v>
      </c>
      <c r="K453" s="72">
        <f>VLOOKUP(I453,'Materiales,canteras'!C:E,3,0)</f>
        <v>1.7490000000000001</v>
      </c>
      <c r="L453" s="90">
        <v>195</v>
      </c>
      <c r="M453" s="100" t="s">
        <v>93</v>
      </c>
      <c r="N453" s="73">
        <f t="shared" ca="1" si="75"/>
        <v>46267</v>
      </c>
      <c r="O453" s="71" t="s">
        <v>201</v>
      </c>
      <c r="P453" s="179"/>
      <c r="S453" s="91">
        <v>260</v>
      </c>
      <c r="T453" s="75">
        <f t="shared" si="76"/>
        <v>-65</v>
      </c>
      <c r="U453" s="167">
        <f t="shared" si="72"/>
        <v>195</v>
      </c>
      <c r="V453" s="90">
        <v>0</v>
      </c>
      <c r="W453" s="91">
        <v>2</v>
      </c>
      <c r="X453" s="76">
        <f t="shared" si="73"/>
        <v>195</v>
      </c>
      <c r="Y453" s="71" t="e">
        <f>IF(+VLOOKUP(I453,P.Referencia!E:S,3,FALSE)&lt;=L453,"Champion","Gerente")</f>
        <v>#N/A</v>
      </c>
      <c r="Z453" s="77" t="e">
        <f>VLOOKUP(I453,P.Referencia!E:S,3,0)</f>
        <v>#N/A</v>
      </c>
      <c r="AA453" s="78" t="e">
        <f t="shared" si="77"/>
        <v>#N/A</v>
      </c>
      <c r="AB453" s="79" t="e">
        <f t="shared" si="78"/>
        <v>#N/A</v>
      </c>
      <c r="AC453" s="79" t="e">
        <f t="shared" si="79"/>
        <v>#N/A</v>
      </c>
      <c r="AD453" s="176" t="s">
        <v>400</v>
      </c>
    </row>
    <row r="454" spans="1:30" s="176" customFormat="1" hidden="1" x14ac:dyDescent="0.25">
      <c r="A454" s="43">
        <v>453</v>
      </c>
      <c r="B454" s="176" t="s">
        <v>389</v>
      </c>
      <c r="C454" s="177" t="str">
        <f t="shared" si="74"/>
        <v>LlaveD86167328141100668612</v>
      </c>
      <c r="D454" s="72" t="str">
        <f>VLOOKUP(E454,'NO MODIFICAR'!J:K,2,0)</f>
        <v>D861</v>
      </c>
      <c r="E454" s="102" t="s">
        <v>44</v>
      </c>
      <c r="F454" s="72" t="str">
        <f>VLOOKUP(D454,'NO MODIFICAR'!F:H,3,0)</f>
        <v xml:space="preserve">CENTRO </v>
      </c>
      <c r="G454" s="159">
        <v>67328141</v>
      </c>
      <c r="H454" s="163" t="s">
        <v>262</v>
      </c>
      <c r="I454" s="178">
        <v>10066861</v>
      </c>
      <c r="J454" s="165" t="str">
        <f>VLOOKUP(I454,'Materiales,canteras'!C:D,2,0)</f>
        <v>GRAVA TRITURADA BASALTO DE 40</v>
      </c>
      <c r="K454" s="72">
        <f>VLOOKUP(I454,'Materiales,canteras'!C:E,3,0)</f>
        <v>1.464</v>
      </c>
      <c r="L454" s="90">
        <v>198</v>
      </c>
      <c r="M454" s="100" t="s">
        <v>93</v>
      </c>
      <c r="N454" s="73">
        <f t="shared" ca="1" si="75"/>
        <v>46267</v>
      </c>
      <c r="O454" s="71" t="s">
        <v>201</v>
      </c>
      <c r="P454" s="179"/>
      <c r="S454" s="91">
        <v>200</v>
      </c>
      <c r="T454" s="75">
        <f t="shared" si="76"/>
        <v>-2</v>
      </c>
      <c r="U454" s="167">
        <f t="shared" si="72"/>
        <v>198</v>
      </c>
      <c r="V454" s="90">
        <v>0</v>
      </c>
      <c r="W454" s="91">
        <v>2</v>
      </c>
      <c r="X454" s="76">
        <f t="shared" si="73"/>
        <v>198</v>
      </c>
      <c r="Y454" s="71" t="e">
        <f>IF(+VLOOKUP(I454,P.Referencia!E:S,3,FALSE)&lt;=L454,"Champion","Gerente")</f>
        <v>#N/A</v>
      </c>
      <c r="Z454" s="77" t="e">
        <f>VLOOKUP(I454,P.Referencia!E:S,3,0)</f>
        <v>#N/A</v>
      </c>
      <c r="AA454" s="78" t="e">
        <f t="shared" si="77"/>
        <v>#N/A</v>
      </c>
      <c r="AB454" s="79" t="e">
        <f t="shared" si="78"/>
        <v>#N/A</v>
      </c>
      <c r="AC454" s="79" t="e">
        <f t="shared" si="79"/>
        <v>#N/A</v>
      </c>
      <c r="AD454" s="176" t="s">
        <v>400</v>
      </c>
    </row>
    <row r="455" spans="1:30" s="176" customFormat="1" hidden="1" x14ac:dyDescent="0.25">
      <c r="A455" s="43">
        <v>454</v>
      </c>
      <c r="B455" s="176" t="s">
        <v>389</v>
      </c>
      <c r="C455" s="177" t="str">
        <f t="shared" si="74"/>
        <v>LlaveD86167328141100002332</v>
      </c>
      <c r="D455" s="72" t="str">
        <f>VLOOKUP(E455,'NO MODIFICAR'!J:K,2,0)</f>
        <v>D861</v>
      </c>
      <c r="E455" s="102" t="s">
        <v>44</v>
      </c>
      <c r="F455" s="72" t="str">
        <f>VLOOKUP(D455,'NO MODIFICAR'!F:H,3,0)</f>
        <v xml:space="preserve">CENTRO </v>
      </c>
      <c r="G455" s="159">
        <v>67328141</v>
      </c>
      <c r="H455" s="163" t="s">
        <v>262</v>
      </c>
      <c r="I455" s="178">
        <v>10000233</v>
      </c>
      <c r="J455" s="165" t="str">
        <f>VLOOKUP(I455,'Materiales,canteras'!C:D,2,0)</f>
        <v>Grava Triturada Basalto  40 mm</v>
      </c>
      <c r="K455" s="72">
        <f>VLOOKUP(I455,'Materiales,canteras'!C:E,3,0)</f>
        <v>1.456</v>
      </c>
      <c r="L455" s="90">
        <v>198</v>
      </c>
      <c r="M455" s="100" t="s">
        <v>93</v>
      </c>
      <c r="N455" s="73">
        <f t="shared" ca="1" si="75"/>
        <v>46267</v>
      </c>
      <c r="O455" s="71" t="s">
        <v>201</v>
      </c>
      <c r="P455" s="179"/>
      <c r="S455" s="91">
        <v>282</v>
      </c>
      <c r="T455" s="75">
        <f t="shared" si="76"/>
        <v>-84</v>
      </c>
      <c r="U455" s="167">
        <f t="shared" si="72"/>
        <v>198</v>
      </c>
      <c r="V455" s="90">
        <v>0</v>
      </c>
      <c r="W455" s="91">
        <v>2</v>
      </c>
      <c r="X455" s="76">
        <f t="shared" si="73"/>
        <v>198</v>
      </c>
      <c r="Y455" s="71" t="e">
        <f>IF(+VLOOKUP(I455,P.Referencia!E:S,3,FALSE)&lt;=L455,"Champion","Gerente")</f>
        <v>#N/A</v>
      </c>
      <c r="Z455" s="77" t="e">
        <f>VLOOKUP(I455,P.Referencia!E:S,3,0)</f>
        <v>#N/A</v>
      </c>
      <c r="AA455" s="78" t="e">
        <f t="shared" si="77"/>
        <v>#N/A</v>
      </c>
      <c r="AB455" s="79" t="e">
        <f t="shared" si="78"/>
        <v>#N/A</v>
      </c>
      <c r="AC455" s="79" t="e">
        <f t="shared" si="79"/>
        <v>#N/A</v>
      </c>
      <c r="AD455" s="176" t="s">
        <v>400</v>
      </c>
    </row>
    <row r="456" spans="1:30" s="180" customFormat="1" hidden="1" x14ac:dyDescent="0.25">
      <c r="A456" s="43">
        <v>455</v>
      </c>
      <c r="B456" s="180" t="s">
        <v>389</v>
      </c>
      <c r="C456" s="181" t="str">
        <f t="shared" si="74"/>
        <v>LlaveDU076735733110000195</v>
      </c>
      <c r="D456" s="44" t="str">
        <f>VLOOKUP(E456,'NO MODIFICAR'!J:K,2,0)</f>
        <v>DU07</v>
      </c>
      <c r="E456" s="98" t="s">
        <v>87</v>
      </c>
      <c r="F456" s="44" t="str">
        <f>VLOOKUP(D456,'NO MODIFICAR'!F:H,3,0)</f>
        <v>SURESTE</v>
      </c>
      <c r="G456" s="182">
        <v>67357331</v>
      </c>
      <c r="H456" s="183" t="s">
        <v>401</v>
      </c>
      <c r="I456" s="95">
        <v>10000195</v>
      </c>
      <c r="J456" s="45" t="str">
        <f>VLOOKUP(I456,'Materiales,canteras'!C:D,2,0)</f>
        <v>GRAVA TRITURADA CALIZA 20 MM - 3/4"–CAPA</v>
      </c>
      <c r="K456" s="44">
        <f>VLOOKUP(I456,'Materiales,canteras'!C:E,3,0)</f>
        <v>1.2010000000000001</v>
      </c>
      <c r="L456" s="184">
        <v>283.09741881765194</v>
      </c>
      <c r="M456" s="96" t="s">
        <v>93</v>
      </c>
      <c r="N456" s="47">
        <f t="shared" ca="1" si="75"/>
        <v>46267</v>
      </c>
      <c r="O456" s="43" t="s">
        <v>201</v>
      </c>
      <c r="S456" s="89">
        <v>320</v>
      </c>
      <c r="T456" s="69">
        <f t="shared" si="76"/>
        <v>-36.902581182348058</v>
      </c>
      <c r="U456" s="46">
        <f t="shared" si="72"/>
        <v>283.09741881765194</v>
      </c>
      <c r="V456" s="185"/>
      <c r="W456" s="89"/>
      <c r="X456" s="70">
        <f t="shared" si="73"/>
        <v>283.09741881765194</v>
      </c>
      <c r="Y456" s="43" t="e">
        <f>IF(+VLOOKUP(I456,P.Referencia!E:S,3,FALSE)&lt;=L456,"Champion","Gerente")</f>
        <v>#N/A</v>
      </c>
      <c r="Z456" s="50" t="e">
        <f>VLOOKUP(I456,P.Referencia!E:S,3,0)</f>
        <v>#N/A</v>
      </c>
      <c r="AA456" s="52" t="e">
        <f t="shared" si="77"/>
        <v>#N/A</v>
      </c>
      <c r="AB456" s="53" t="e">
        <f t="shared" si="78"/>
        <v>#N/A</v>
      </c>
      <c r="AC456" s="53" t="e">
        <f t="shared" si="79"/>
        <v>#N/A</v>
      </c>
    </row>
    <row r="457" spans="1:30" s="180" customFormat="1" hidden="1" x14ac:dyDescent="0.25">
      <c r="A457" s="43">
        <v>456</v>
      </c>
      <c r="B457" s="180" t="s">
        <v>389</v>
      </c>
      <c r="C457" s="181" t="str">
        <f t="shared" si="74"/>
        <v>LlaveDU076735733110000110</v>
      </c>
      <c r="D457" s="44" t="str">
        <f>VLOOKUP(E457,'NO MODIFICAR'!J:K,2,0)</f>
        <v>DU07</v>
      </c>
      <c r="E457" s="98" t="s">
        <v>87</v>
      </c>
      <c r="F457" s="44" t="str">
        <f>VLOOKUP(D457,'NO MODIFICAR'!F:H,3,0)</f>
        <v>SURESTE</v>
      </c>
      <c r="G457" s="182">
        <v>67357331</v>
      </c>
      <c r="H457" s="183" t="s">
        <v>401</v>
      </c>
      <c r="I457" s="95">
        <v>10000110</v>
      </c>
      <c r="J457" s="45" t="str">
        <f>VLOOKUP(I457,'Materiales,canteras'!C:D,2,0)</f>
        <v>GRAVA TRITURADA CALIZA 20 MM “3/4"–INTEG</v>
      </c>
      <c r="K457" s="44">
        <f>VLOOKUP(I457,'Materiales,canteras'!C:E,3,0)</f>
        <v>1.2010000000000001</v>
      </c>
      <c r="L457" s="184">
        <v>283.09741881765194</v>
      </c>
      <c r="M457" s="96" t="s">
        <v>93</v>
      </c>
      <c r="N457" s="47">
        <f t="shared" ca="1" si="75"/>
        <v>46267</v>
      </c>
      <c r="O457" s="43" t="s">
        <v>201</v>
      </c>
      <c r="S457" s="89">
        <v>390</v>
      </c>
      <c r="T457" s="69">
        <f t="shared" si="76"/>
        <v>-106.90258118234806</v>
      </c>
      <c r="U457" s="46">
        <f t="shared" si="72"/>
        <v>283.09741881765194</v>
      </c>
      <c r="V457" s="185"/>
      <c r="W457" s="89"/>
      <c r="X457" s="70">
        <f t="shared" si="73"/>
        <v>283.09741881765194</v>
      </c>
      <c r="Y457" s="43" t="e">
        <f>IF(+VLOOKUP(I457,P.Referencia!E:S,3,FALSE)&lt;=L457,"Champion","Gerente")</f>
        <v>#N/A</v>
      </c>
      <c r="Z457" s="50" t="e">
        <f>VLOOKUP(I457,P.Referencia!E:S,3,0)</f>
        <v>#N/A</v>
      </c>
      <c r="AA457" s="52" t="e">
        <f t="shared" si="77"/>
        <v>#N/A</v>
      </c>
      <c r="AB457" s="53" t="e">
        <f t="shared" si="78"/>
        <v>#N/A</v>
      </c>
      <c r="AC457" s="53" t="e">
        <f t="shared" si="79"/>
        <v>#N/A</v>
      </c>
    </row>
    <row r="458" spans="1:30" s="180" customFormat="1" hidden="1" x14ac:dyDescent="0.25">
      <c r="A458" s="43">
        <v>457</v>
      </c>
      <c r="B458" s="180" t="s">
        <v>389</v>
      </c>
      <c r="C458" s="181" t="str">
        <f t="shared" si="74"/>
        <v>LlaveDU076735733110000115</v>
      </c>
      <c r="D458" s="44" t="str">
        <f>VLOOKUP(E458,'NO MODIFICAR'!J:K,2,0)</f>
        <v>DU07</v>
      </c>
      <c r="E458" s="98" t="s">
        <v>87</v>
      </c>
      <c r="F458" s="44" t="str">
        <f>VLOOKUP(D458,'NO MODIFICAR'!F:H,3,0)</f>
        <v>SURESTE</v>
      </c>
      <c r="G458" s="182">
        <v>67357331</v>
      </c>
      <c r="H458" s="183" t="s">
        <v>401</v>
      </c>
      <c r="I458" s="95">
        <v>10000115</v>
      </c>
      <c r="J458" s="45" t="str">
        <f>VLOOKUP(I458,'Materiales,canteras'!C:D,2,0)</f>
        <v>Grava Triturada Caliza 10 mm -</v>
      </c>
      <c r="K458" s="44">
        <f>VLOOKUP(I458,'Materiales,canteras'!C:E,3,0)</f>
        <v>1.1559999999999999</v>
      </c>
      <c r="L458" s="184">
        <v>324.39446366782011</v>
      </c>
      <c r="M458" s="96" t="s">
        <v>93</v>
      </c>
      <c r="N458" s="47">
        <f t="shared" ca="1" si="75"/>
        <v>46267</v>
      </c>
      <c r="O458" s="43" t="s">
        <v>201</v>
      </c>
      <c r="S458" s="89">
        <v>320</v>
      </c>
      <c r="T458" s="69">
        <f t="shared" si="76"/>
        <v>4.394463667820105</v>
      </c>
      <c r="U458" s="46">
        <f t="shared" si="72"/>
        <v>324.39446366782011</v>
      </c>
      <c r="V458" s="185"/>
      <c r="W458" s="89"/>
      <c r="X458" s="70">
        <f t="shared" si="73"/>
        <v>324.39446366782011</v>
      </c>
      <c r="Y458" s="43" t="e">
        <f>IF(+VLOOKUP(I458,P.Referencia!E:S,3,FALSE)&lt;=L458,"Champion","Gerente")</f>
        <v>#N/A</v>
      </c>
      <c r="Z458" s="50" t="e">
        <f>VLOOKUP(I458,P.Referencia!E:S,3,0)</f>
        <v>#N/A</v>
      </c>
      <c r="AA458" s="52" t="e">
        <f t="shared" si="77"/>
        <v>#N/A</v>
      </c>
      <c r="AB458" s="53" t="e">
        <f t="shared" si="78"/>
        <v>#N/A</v>
      </c>
      <c r="AC458" s="53" t="e">
        <f t="shared" si="79"/>
        <v>#N/A</v>
      </c>
    </row>
    <row r="459" spans="1:30" s="176" customFormat="1" hidden="1" x14ac:dyDescent="0.25">
      <c r="A459" s="43">
        <v>458</v>
      </c>
      <c r="B459" s="176" t="s">
        <v>389</v>
      </c>
      <c r="C459" s="177" t="str">
        <f t="shared" si="74"/>
        <v>LlaveD86167357397100003112</v>
      </c>
      <c r="D459" s="72" t="str">
        <f>VLOOKUP(E459,'NO MODIFICAR'!J:K,2,0)</f>
        <v>D861</v>
      </c>
      <c r="E459" s="102" t="s">
        <v>44</v>
      </c>
      <c r="F459" s="72" t="str">
        <f>VLOOKUP(D459,'NO MODIFICAR'!F:H,3,0)</f>
        <v xml:space="preserve">CENTRO </v>
      </c>
      <c r="G459" s="159">
        <v>67357397</v>
      </c>
      <c r="H459" s="163" t="s">
        <v>403</v>
      </c>
      <c r="I459" s="178">
        <v>10000311</v>
      </c>
      <c r="J459" s="165" t="str">
        <f>VLOOKUP(I459,'Materiales,canteras'!C:D,2,0)</f>
        <v>Arena Triturada Basalto  Malla</v>
      </c>
      <c r="K459" s="72">
        <f>VLOOKUP(I459,'Materiales,canteras'!C:E,3,0)</f>
        <v>1.651</v>
      </c>
      <c r="L459" s="90">
        <v>198</v>
      </c>
      <c r="M459" s="100" t="s">
        <v>93</v>
      </c>
      <c r="N459" s="73">
        <f t="shared" ca="1" si="75"/>
        <v>46267</v>
      </c>
      <c r="O459" s="71" t="s">
        <v>201</v>
      </c>
      <c r="P459" s="179"/>
      <c r="R459" s="176">
        <f t="shared" ref="R459:R467" si="80">1.5/100</f>
        <v>1.4999999999999999E-2</v>
      </c>
      <c r="S459" s="91">
        <v>260</v>
      </c>
      <c r="T459" s="75">
        <f t="shared" si="76"/>
        <v>-58.100000000000023</v>
      </c>
      <c r="U459" s="167">
        <f t="shared" si="72"/>
        <v>198</v>
      </c>
      <c r="V459" s="90">
        <v>0</v>
      </c>
      <c r="W459" s="91">
        <v>2</v>
      </c>
      <c r="X459" s="76">
        <f t="shared" si="73"/>
        <v>198</v>
      </c>
      <c r="Y459" s="71" t="e">
        <f>IF(+VLOOKUP(I459,P.Referencia!E:S,3,FALSE)&lt;=L459,"Champion","Gerente")</f>
        <v>#N/A</v>
      </c>
      <c r="Z459" s="77" t="e">
        <f>VLOOKUP(I459,P.Referencia!E:S,3,0)</f>
        <v>#N/A</v>
      </c>
      <c r="AA459" s="78" t="e">
        <f t="shared" si="77"/>
        <v>#N/A</v>
      </c>
      <c r="AB459" s="79" t="e">
        <f t="shared" si="78"/>
        <v>#N/A</v>
      </c>
      <c r="AC459" s="79" t="e">
        <f t="shared" si="79"/>
        <v>#N/A</v>
      </c>
      <c r="AD459" s="176" t="s">
        <v>400</v>
      </c>
    </row>
    <row r="460" spans="1:30" s="176" customFormat="1" hidden="1" x14ac:dyDescent="0.25">
      <c r="A460" s="43">
        <v>459</v>
      </c>
      <c r="B460" s="176" t="s">
        <v>389</v>
      </c>
      <c r="C460" s="177" t="str">
        <f t="shared" si="74"/>
        <v>LlaveD86167357397100002292</v>
      </c>
      <c r="D460" s="72" t="str">
        <f>VLOOKUP(E460,'NO MODIFICAR'!J:K,2,0)</f>
        <v>D861</v>
      </c>
      <c r="E460" s="102" t="s">
        <v>44</v>
      </c>
      <c r="F460" s="72" t="str">
        <f>VLOOKUP(D460,'NO MODIFICAR'!F:H,3,0)</f>
        <v xml:space="preserve">CENTRO </v>
      </c>
      <c r="G460" s="159">
        <v>67357397</v>
      </c>
      <c r="H460" s="163" t="s">
        <v>403</v>
      </c>
      <c r="I460" s="178">
        <v>10000229</v>
      </c>
      <c r="J460" s="165" t="str">
        <f>VLOOKUP(I460,'Materiales,canteras'!C:D,2,0)</f>
        <v>Grava Triturada Basalto  10 mm</v>
      </c>
      <c r="K460" s="72">
        <f>VLOOKUP(I460,'Materiales,canteras'!C:E,3,0)</f>
        <v>1.522</v>
      </c>
      <c r="L460" s="90">
        <v>205</v>
      </c>
      <c r="M460" s="100" t="s">
        <v>93</v>
      </c>
      <c r="N460" s="73">
        <f t="shared" ca="1" si="75"/>
        <v>46267</v>
      </c>
      <c r="O460" s="71" t="s">
        <v>201</v>
      </c>
      <c r="P460" s="179"/>
      <c r="R460" s="176">
        <f t="shared" si="80"/>
        <v>1.4999999999999999E-2</v>
      </c>
      <c r="S460" s="91">
        <v>320</v>
      </c>
      <c r="T460" s="75">
        <f t="shared" si="76"/>
        <v>-110.19999999999999</v>
      </c>
      <c r="U460" s="167">
        <f t="shared" si="72"/>
        <v>205</v>
      </c>
      <c r="V460" s="90">
        <v>0</v>
      </c>
      <c r="W460" s="91">
        <v>2</v>
      </c>
      <c r="X460" s="76">
        <f t="shared" si="73"/>
        <v>205</v>
      </c>
      <c r="Y460" s="71" t="e">
        <f>IF(+VLOOKUP(I460,P.Referencia!E:S,3,FALSE)&lt;=L460,"Champion","Gerente")</f>
        <v>#N/A</v>
      </c>
      <c r="Z460" s="77" t="e">
        <f>VLOOKUP(I460,P.Referencia!E:S,3,0)</f>
        <v>#N/A</v>
      </c>
      <c r="AA460" s="78" t="e">
        <f t="shared" si="77"/>
        <v>#N/A</v>
      </c>
      <c r="AB460" s="79" t="e">
        <f t="shared" si="78"/>
        <v>#N/A</v>
      </c>
      <c r="AC460" s="79" t="e">
        <f t="shared" si="79"/>
        <v>#N/A</v>
      </c>
      <c r="AD460" s="176" t="s">
        <v>400</v>
      </c>
    </row>
    <row r="461" spans="1:30" s="176" customFormat="1" hidden="1" x14ac:dyDescent="0.25">
      <c r="A461" s="43">
        <v>460</v>
      </c>
      <c r="B461" s="176" t="s">
        <v>389</v>
      </c>
      <c r="C461" s="177" t="str">
        <f t="shared" si="74"/>
        <v>LlaveD86167357397100031532</v>
      </c>
      <c r="D461" s="72" t="str">
        <f>VLOOKUP(E461,'NO MODIFICAR'!J:K,2,0)</f>
        <v>D861</v>
      </c>
      <c r="E461" s="102" t="s">
        <v>44</v>
      </c>
      <c r="F461" s="72" t="str">
        <f>VLOOKUP(D461,'NO MODIFICAR'!F:H,3,0)</f>
        <v xml:space="preserve">CENTRO </v>
      </c>
      <c r="G461" s="159">
        <v>67357397</v>
      </c>
      <c r="H461" s="163" t="s">
        <v>403</v>
      </c>
      <c r="I461" s="178">
        <v>10003153</v>
      </c>
      <c r="J461" s="165" t="str">
        <f>VLOOKUP(I461,'Materiales,canteras'!C:D,2,0)</f>
        <v>Grava Triturada Basalto 13 mm</v>
      </c>
      <c r="K461" s="72">
        <f>VLOOKUP(I461,'Materiales,canteras'!C:E,3,0)</f>
        <v>1.546</v>
      </c>
      <c r="L461" s="90">
        <v>205</v>
      </c>
      <c r="M461" s="100" t="s">
        <v>93</v>
      </c>
      <c r="N461" s="73">
        <f t="shared" ca="1" si="75"/>
        <v>46267</v>
      </c>
      <c r="O461" s="71" t="s">
        <v>201</v>
      </c>
      <c r="P461" s="179"/>
      <c r="R461" s="176">
        <f t="shared" si="80"/>
        <v>1.4999999999999999E-2</v>
      </c>
      <c r="S461" s="91">
        <v>270</v>
      </c>
      <c r="T461" s="75">
        <f t="shared" si="76"/>
        <v>-60.949999999999989</v>
      </c>
      <c r="U461" s="167">
        <f t="shared" si="72"/>
        <v>205</v>
      </c>
      <c r="V461" s="90">
        <v>0</v>
      </c>
      <c r="W461" s="91">
        <v>2</v>
      </c>
      <c r="X461" s="76">
        <f t="shared" si="73"/>
        <v>205</v>
      </c>
      <c r="Y461" s="71" t="e">
        <f>IF(+VLOOKUP(I461,P.Referencia!E:S,3,FALSE)&lt;=L461,"Champion","Gerente")</f>
        <v>#N/A</v>
      </c>
      <c r="Z461" s="77" t="e">
        <f>VLOOKUP(I461,P.Referencia!E:S,3,0)</f>
        <v>#N/A</v>
      </c>
      <c r="AA461" s="78" t="e">
        <f t="shared" si="77"/>
        <v>#N/A</v>
      </c>
      <c r="AB461" s="79" t="e">
        <f t="shared" si="78"/>
        <v>#N/A</v>
      </c>
      <c r="AC461" s="79" t="e">
        <f t="shared" si="79"/>
        <v>#N/A</v>
      </c>
      <c r="AD461" s="176" t="s">
        <v>400</v>
      </c>
    </row>
    <row r="462" spans="1:30" s="176" customFormat="1" hidden="1" x14ac:dyDescent="0.25">
      <c r="A462" s="43">
        <v>461</v>
      </c>
      <c r="B462" s="176" t="s">
        <v>389</v>
      </c>
      <c r="C462" s="177" t="str">
        <f t="shared" si="74"/>
        <v>LlaveD86167357397100002312</v>
      </c>
      <c r="D462" s="72" t="str">
        <f>VLOOKUP(E462,'NO MODIFICAR'!J:K,2,0)</f>
        <v>D861</v>
      </c>
      <c r="E462" s="102" t="s">
        <v>44</v>
      </c>
      <c r="F462" s="72" t="str">
        <f>VLOOKUP(D462,'NO MODIFICAR'!F:H,3,0)</f>
        <v xml:space="preserve">CENTRO </v>
      </c>
      <c r="G462" s="159">
        <v>67357397</v>
      </c>
      <c r="H462" s="163" t="s">
        <v>403</v>
      </c>
      <c r="I462" s="178">
        <v>10000231</v>
      </c>
      <c r="J462" s="165" t="str">
        <f>VLOOKUP(I462,'Materiales,canteras'!C:D,2,0)</f>
        <v>Grava Triturada Basalto 20 mm</v>
      </c>
      <c r="K462" s="72">
        <f>VLOOKUP(I462,'Materiales,canteras'!C:E,3,0)</f>
        <v>1.5649999999999999</v>
      </c>
      <c r="L462" s="90">
        <v>198</v>
      </c>
      <c r="M462" s="100" t="s">
        <v>93</v>
      </c>
      <c r="N462" s="73">
        <f t="shared" ca="1" si="75"/>
        <v>46267</v>
      </c>
      <c r="O462" s="71" t="s">
        <v>201</v>
      </c>
      <c r="P462" s="179"/>
      <c r="R462" s="176">
        <f t="shared" si="80"/>
        <v>1.4999999999999999E-2</v>
      </c>
      <c r="S462" s="91">
        <v>280</v>
      </c>
      <c r="T462" s="75">
        <f t="shared" si="76"/>
        <v>-77.800000000000011</v>
      </c>
      <c r="U462" s="167">
        <f t="shared" si="72"/>
        <v>198</v>
      </c>
      <c r="V462" s="90">
        <v>0</v>
      </c>
      <c r="W462" s="91">
        <v>2</v>
      </c>
      <c r="X462" s="76">
        <f t="shared" si="73"/>
        <v>198</v>
      </c>
      <c r="Y462" s="71" t="e">
        <f>IF(+VLOOKUP(I462,P.Referencia!E:S,3,FALSE)&lt;=L462,"Champion","Gerente")</f>
        <v>#N/A</v>
      </c>
      <c r="Z462" s="77" t="e">
        <f>VLOOKUP(I462,P.Referencia!E:S,3,0)</f>
        <v>#N/A</v>
      </c>
      <c r="AA462" s="78" t="e">
        <f t="shared" si="77"/>
        <v>#N/A</v>
      </c>
      <c r="AB462" s="79" t="e">
        <f t="shared" si="78"/>
        <v>#N/A</v>
      </c>
      <c r="AC462" s="79" t="e">
        <f t="shared" si="79"/>
        <v>#N/A</v>
      </c>
      <c r="AD462" s="176" t="s">
        <v>400</v>
      </c>
    </row>
    <row r="463" spans="1:30" s="176" customFormat="1" hidden="1" x14ac:dyDescent="0.25">
      <c r="A463" s="43">
        <v>462</v>
      </c>
      <c r="B463" s="176" t="s">
        <v>389</v>
      </c>
      <c r="C463" s="177" t="str">
        <f t="shared" si="74"/>
        <v>LlaveD86167357397100014502</v>
      </c>
      <c r="D463" s="72" t="str">
        <f>VLOOKUP(E463,'NO MODIFICAR'!J:K,2,0)</f>
        <v>D861</v>
      </c>
      <c r="E463" s="102" t="s">
        <v>44</v>
      </c>
      <c r="F463" s="72" t="str">
        <f>VLOOKUP(D463,'NO MODIFICAR'!F:H,3,0)</f>
        <v xml:space="preserve">CENTRO </v>
      </c>
      <c r="G463" s="159">
        <v>67357397</v>
      </c>
      <c r="H463" s="163" t="s">
        <v>403</v>
      </c>
      <c r="I463" s="178">
        <v>10001450</v>
      </c>
      <c r="J463" s="165" t="str">
        <f>VLOOKUP(I463,'Materiales,canteras'!C:D,2,0)</f>
        <v>Base Hidraúlica Basalto de 1 /1/2</v>
      </c>
      <c r="K463" s="72">
        <f>VLOOKUP(I463,'Materiales,canteras'!C:E,3,0)</f>
        <v>1.7490000000000001</v>
      </c>
      <c r="L463" s="90">
        <v>195</v>
      </c>
      <c r="M463" s="100" t="s">
        <v>93</v>
      </c>
      <c r="N463" s="73">
        <f t="shared" ca="1" si="75"/>
        <v>46267</v>
      </c>
      <c r="O463" s="71" t="s">
        <v>201</v>
      </c>
      <c r="P463" s="179"/>
      <c r="R463" s="176">
        <f t="shared" si="80"/>
        <v>1.4999999999999999E-2</v>
      </c>
      <c r="S463" s="91">
        <v>260</v>
      </c>
      <c r="T463" s="75">
        <f t="shared" si="76"/>
        <v>-61.100000000000023</v>
      </c>
      <c r="U463" s="167">
        <f t="shared" si="72"/>
        <v>195</v>
      </c>
      <c r="V463" s="90">
        <v>0</v>
      </c>
      <c r="W463" s="91">
        <v>2</v>
      </c>
      <c r="X463" s="76">
        <f t="shared" si="73"/>
        <v>195</v>
      </c>
      <c r="Y463" s="71" t="e">
        <f>IF(+VLOOKUP(I463,P.Referencia!E:S,3,FALSE)&lt;=L463,"Champion","Gerente")</f>
        <v>#N/A</v>
      </c>
      <c r="Z463" s="77" t="e">
        <f>VLOOKUP(I463,P.Referencia!E:S,3,0)</f>
        <v>#N/A</v>
      </c>
      <c r="AA463" s="78" t="e">
        <f t="shared" si="77"/>
        <v>#N/A</v>
      </c>
      <c r="AB463" s="79" t="e">
        <f t="shared" si="78"/>
        <v>#N/A</v>
      </c>
      <c r="AC463" s="79" t="e">
        <f t="shared" si="79"/>
        <v>#N/A</v>
      </c>
      <c r="AD463" s="176" t="s">
        <v>400</v>
      </c>
    </row>
    <row r="464" spans="1:30" s="176" customFormat="1" hidden="1" x14ac:dyDescent="0.25">
      <c r="A464" s="43">
        <v>463</v>
      </c>
      <c r="B464" s="176" t="s">
        <v>389</v>
      </c>
      <c r="C464" s="177" t="str">
        <f t="shared" si="74"/>
        <v>LlaveD86167357397100668612</v>
      </c>
      <c r="D464" s="72" t="str">
        <f>VLOOKUP(E464,'NO MODIFICAR'!J:K,2,0)</f>
        <v>D861</v>
      </c>
      <c r="E464" s="102" t="s">
        <v>44</v>
      </c>
      <c r="F464" s="72" t="str">
        <f>VLOOKUP(D464,'NO MODIFICAR'!F:H,3,0)</f>
        <v xml:space="preserve">CENTRO </v>
      </c>
      <c r="G464" s="159">
        <v>67357397</v>
      </c>
      <c r="H464" s="163" t="s">
        <v>403</v>
      </c>
      <c r="I464" s="178">
        <v>10066861</v>
      </c>
      <c r="J464" s="165" t="str">
        <f>VLOOKUP(I464,'Materiales,canteras'!C:D,2,0)</f>
        <v>GRAVA TRITURADA BASALTO DE 40</v>
      </c>
      <c r="K464" s="72">
        <f>VLOOKUP(I464,'Materiales,canteras'!C:E,3,0)</f>
        <v>1.464</v>
      </c>
      <c r="L464" s="90">
        <v>198</v>
      </c>
      <c r="M464" s="100" t="s">
        <v>93</v>
      </c>
      <c r="N464" s="73">
        <f t="shared" ca="1" si="75"/>
        <v>46267</v>
      </c>
      <c r="O464" s="71" t="s">
        <v>201</v>
      </c>
      <c r="P464" s="179"/>
      <c r="R464" s="176">
        <f t="shared" si="80"/>
        <v>1.4999999999999999E-2</v>
      </c>
      <c r="S464" s="91">
        <v>200</v>
      </c>
      <c r="T464" s="75">
        <f t="shared" si="76"/>
        <v>1</v>
      </c>
      <c r="U464" s="167">
        <f t="shared" si="72"/>
        <v>198</v>
      </c>
      <c r="V464" s="90">
        <v>0</v>
      </c>
      <c r="W464" s="91">
        <v>2</v>
      </c>
      <c r="X464" s="76">
        <f t="shared" si="73"/>
        <v>198</v>
      </c>
      <c r="Y464" s="71" t="e">
        <f>IF(+VLOOKUP(I464,P.Referencia!E:S,3,FALSE)&lt;=L464,"Champion","Gerente")</f>
        <v>#N/A</v>
      </c>
      <c r="Z464" s="77" t="e">
        <f>VLOOKUP(I464,P.Referencia!E:S,3,0)</f>
        <v>#N/A</v>
      </c>
      <c r="AA464" s="78" t="e">
        <f t="shared" si="77"/>
        <v>#N/A</v>
      </c>
      <c r="AB464" s="79" t="e">
        <f t="shared" si="78"/>
        <v>#N/A</v>
      </c>
      <c r="AC464" s="79" t="e">
        <f t="shared" si="79"/>
        <v>#N/A</v>
      </c>
      <c r="AD464" s="176" t="s">
        <v>400</v>
      </c>
    </row>
    <row r="465" spans="1:30" s="176" customFormat="1" hidden="1" x14ac:dyDescent="0.25">
      <c r="A465" s="43">
        <v>464</v>
      </c>
      <c r="B465" s="176" t="s">
        <v>389</v>
      </c>
      <c r="C465" s="177" t="str">
        <f t="shared" si="74"/>
        <v>LlaveD86167357397100002332</v>
      </c>
      <c r="D465" s="72" t="str">
        <f>VLOOKUP(E465,'NO MODIFICAR'!J:K,2,0)</f>
        <v>D861</v>
      </c>
      <c r="E465" s="102" t="s">
        <v>44</v>
      </c>
      <c r="F465" s="72" t="str">
        <f>VLOOKUP(D465,'NO MODIFICAR'!F:H,3,0)</f>
        <v xml:space="preserve">CENTRO </v>
      </c>
      <c r="G465" s="159">
        <v>67357397</v>
      </c>
      <c r="H465" s="163" t="s">
        <v>403</v>
      </c>
      <c r="I465" s="178">
        <v>10000233</v>
      </c>
      <c r="J465" s="165" t="str">
        <f>VLOOKUP(I465,'Materiales,canteras'!C:D,2,0)</f>
        <v>Grava Triturada Basalto  40 mm</v>
      </c>
      <c r="K465" s="72">
        <f>VLOOKUP(I465,'Materiales,canteras'!C:E,3,0)</f>
        <v>1.456</v>
      </c>
      <c r="L465" s="90">
        <v>198</v>
      </c>
      <c r="M465" s="100" t="s">
        <v>93</v>
      </c>
      <c r="N465" s="73">
        <f t="shared" ca="1" si="75"/>
        <v>46267</v>
      </c>
      <c r="O465" s="71" t="s">
        <v>201</v>
      </c>
      <c r="P465" s="179"/>
      <c r="R465" s="176">
        <f t="shared" si="80"/>
        <v>1.4999999999999999E-2</v>
      </c>
      <c r="S465" s="91">
        <v>282</v>
      </c>
      <c r="T465" s="75">
        <f t="shared" si="76"/>
        <v>-79.769999999999982</v>
      </c>
      <c r="U465" s="167">
        <f t="shared" si="72"/>
        <v>198</v>
      </c>
      <c r="V465" s="90">
        <v>0</v>
      </c>
      <c r="W465" s="91">
        <v>2</v>
      </c>
      <c r="X465" s="76">
        <f t="shared" si="73"/>
        <v>198</v>
      </c>
      <c r="Y465" s="71" t="e">
        <f>IF(+VLOOKUP(I465,P.Referencia!E:S,3,FALSE)&lt;=L465,"Champion","Gerente")</f>
        <v>#N/A</v>
      </c>
      <c r="Z465" s="77" t="e">
        <f>VLOOKUP(I465,P.Referencia!E:S,3,0)</f>
        <v>#N/A</v>
      </c>
      <c r="AA465" s="78" t="e">
        <f t="shared" si="77"/>
        <v>#N/A</v>
      </c>
      <c r="AB465" s="79" t="e">
        <f t="shared" si="78"/>
        <v>#N/A</v>
      </c>
      <c r="AC465" s="79" t="e">
        <f t="shared" si="79"/>
        <v>#N/A</v>
      </c>
      <c r="AD465" s="176" t="s">
        <v>400</v>
      </c>
    </row>
    <row r="466" spans="1:30" s="180" customFormat="1" hidden="1" x14ac:dyDescent="0.25">
      <c r="A466" s="43">
        <v>465</v>
      </c>
      <c r="B466" s="180" t="s">
        <v>389</v>
      </c>
      <c r="C466" s="181" t="str">
        <f t="shared" si="74"/>
        <v>LlaveD81667357212100002411</v>
      </c>
      <c r="D466" s="44" t="str">
        <f>VLOOKUP(E466,'NO MODIFICAR'!J:K,2,0)</f>
        <v>D816</v>
      </c>
      <c r="E466" s="98" t="s">
        <v>15</v>
      </c>
      <c r="F466" s="44" t="str">
        <f>VLOOKUP(D466,'NO MODIFICAR'!F:H,3,0)</f>
        <v>NORESTE</v>
      </c>
      <c r="G466" s="182">
        <v>67357212</v>
      </c>
      <c r="H466" s="183" t="s">
        <v>404</v>
      </c>
      <c r="I466" s="95">
        <v>10000241</v>
      </c>
      <c r="J466" s="45" t="str">
        <f>VLOOKUP(I466,'Materiales,canteras'!C:D,2,0)</f>
        <v>Grava Triturada Caliza 20 mm -</v>
      </c>
      <c r="K466" s="44">
        <f>VLOOKUP(I466,'Materiales,canteras'!C:E,3,0)</f>
        <v>1.43</v>
      </c>
      <c r="L466" s="184">
        <v>319.95</v>
      </c>
      <c r="M466" s="96" t="s">
        <v>93</v>
      </c>
      <c r="N466" s="47">
        <f t="shared" ca="1" si="75"/>
        <v>46267</v>
      </c>
      <c r="O466" s="43" t="s">
        <v>201</v>
      </c>
      <c r="R466" s="180">
        <f t="shared" si="80"/>
        <v>1.4999999999999999E-2</v>
      </c>
      <c r="S466" s="89">
        <v>360</v>
      </c>
      <c r="T466" s="69">
        <f t="shared" si="76"/>
        <v>-34.650000000000034</v>
      </c>
      <c r="U466" s="46">
        <f t="shared" si="72"/>
        <v>319.95</v>
      </c>
      <c r="V466" s="185">
        <v>170.05</v>
      </c>
      <c r="W466" s="89">
        <v>1</v>
      </c>
      <c r="X466" s="70">
        <f t="shared" si="73"/>
        <v>490</v>
      </c>
      <c r="Y466" s="43" t="e">
        <f>IF(+VLOOKUP(I466,P.Referencia!E:S,3,FALSE)&lt;=L466,"Champion","Gerente")</f>
        <v>#N/A</v>
      </c>
      <c r="Z466" s="50" t="e">
        <f>VLOOKUP(I466,P.Referencia!E:S,3,0)</f>
        <v>#N/A</v>
      </c>
      <c r="AA466" s="52" t="e">
        <f t="shared" si="77"/>
        <v>#N/A</v>
      </c>
      <c r="AB466" s="53" t="e">
        <f t="shared" si="78"/>
        <v>#N/A</v>
      </c>
      <c r="AC466" s="53" t="e">
        <f t="shared" si="79"/>
        <v>#N/A</v>
      </c>
    </row>
    <row r="467" spans="1:30" s="180" customFormat="1" hidden="1" x14ac:dyDescent="0.25">
      <c r="A467" s="43">
        <v>466</v>
      </c>
      <c r="B467" s="180" t="s">
        <v>389</v>
      </c>
      <c r="C467" s="181" t="str">
        <f t="shared" si="74"/>
        <v>LlaveD81667357212100001241</v>
      </c>
      <c r="D467" s="44" t="str">
        <f>VLOOKUP(E467,'NO MODIFICAR'!J:K,2,0)</f>
        <v>D816</v>
      </c>
      <c r="E467" s="98" t="s">
        <v>15</v>
      </c>
      <c r="F467" s="44" t="str">
        <f>VLOOKUP(D467,'NO MODIFICAR'!F:H,3,0)</f>
        <v>NORESTE</v>
      </c>
      <c r="G467" s="182">
        <v>67357212</v>
      </c>
      <c r="H467" s="183" t="s">
        <v>404</v>
      </c>
      <c r="I467" s="95">
        <v>10000124</v>
      </c>
      <c r="J467" s="45" t="str">
        <f>VLOOKUP(I467,'Materiales,canteras'!C:D,2,0)</f>
        <v>Arena Triturada Caliza Malla 4</v>
      </c>
      <c r="K467" s="44">
        <f>VLOOKUP(I467,'Materiales,canteras'!C:E,3,0)</f>
        <v>1.7390000000000001</v>
      </c>
      <c r="L467" s="184">
        <v>319.95</v>
      </c>
      <c r="M467" s="96" t="s">
        <v>93</v>
      </c>
      <c r="N467" s="47">
        <f t="shared" ca="1" si="75"/>
        <v>46267</v>
      </c>
      <c r="O467" s="43" t="s">
        <v>201</v>
      </c>
      <c r="R467" s="180">
        <f t="shared" si="80"/>
        <v>1.4999999999999999E-2</v>
      </c>
      <c r="S467" s="89">
        <v>430</v>
      </c>
      <c r="T467" s="69">
        <f t="shared" si="76"/>
        <v>-103.60000000000002</v>
      </c>
      <c r="U467" s="46">
        <f t="shared" si="72"/>
        <v>319.95</v>
      </c>
      <c r="V467" s="185">
        <v>170.05</v>
      </c>
      <c r="W467" s="89">
        <v>1</v>
      </c>
      <c r="X467" s="70">
        <f t="shared" si="73"/>
        <v>490</v>
      </c>
      <c r="Y467" s="43" t="e">
        <f>IF(+VLOOKUP(I467,P.Referencia!E:S,3,FALSE)&lt;=L467,"Champion","Gerente")</f>
        <v>#N/A</v>
      </c>
      <c r="Z467" s="50" t="e">
        <f>VLOOKUP(I467,P.Referencia!E:S,3,0)</f>
        <v>#N/A</v>
      </c>
      <c r="AA467" s="52" t="e">
        <f t="shared" si="77"/>
        <v>#N/A</v>
      </c>
      <c r="AB467" s="53" t="e">
        <f t="shared" si="78"/>
        <v>#N/A</v>
      </c>
      <c r="AC467" s="53" t="e">
        <f t="shared" si="79"/>
        <v>#N/A</v>
      </c>
    </row>
    <row r="468" spans="1:30" hidden="1" x14ac:dyDescent="0.25">
      <c r="A468" s="43">
        <v>467</v>
      </c>
      <c r="B468" s="180" t="s">
        <v>389</v>
      </c>
      <c r="C468" s="131" t="str">
        <f t="shared" si="74"/>
        <v>LlaveD86465232687100010731</v>
      </c>
      <c r="D468" s="33" t="str">
        <f>VLOOKUP(E468,'NO MODIFICAR'!J:K,2,0)</f>
        <v>D864</v>
      </c>
      <c r="E468" s="26" t="s">
        <v>55</v>
      </c>
      <c r="F468" s="33" t="str">
        <f>VLOOKUP(D468,'NO MODIFICAR'!F:H,3,0)</f>
        <v xml:space="preserve">CENTRO </v>
      </c>
      <c r="G468" s="26">
        <v>65232687</v>
      </c>
      <c r="H468" s="26" t="s">
        <v>405</v>
      </c>
      <c r="I468" s="26">
        <v>10001073</v>
      </c>
      <c r="J468" s="56" t="str">
        <f>VLOOKUP(I468,'Materiales,canteras'!C:D,2,0)</f>
        <v>Arena Triturada Caliza Malla 4</v>
      </c>
      <c r="K468" s="33">
        <f>VLOOKUP(I468,'Materiales,canteras'!C:E,3,0)</f>
        <v>1.56</v>
      </c>
      <c r="L468" s="27">
        <v>85</v>
      </c>
      <c r="M468" s="28" t="s">
        <v>93</v>
      </c>
      <c r="N468" s="57">
        <f t="shared" ca="1" si="75"/>
        <v>46267</v>
      </c>
      <c r="O468" s="43" t="s">
        <v>201</v>
      </c>
      <c r="R468" s="176">
        <f>2/100</f>
        <v>0.02</v>
      </c>
      <c r="S468" s="4">
        <v>150</v>
      </c>
      <c r="T468" s="75">
        <f t="shared" si="76"/>
        <v>-62</v>
      </c>
      <c r="U468" s="46">
        <f t="shared" si="72"/>
        <v>85</v>
      </c>
      <c r="V468" s="27">
        <v>0</v>
      </c>
      <c r="W468" s="4">
        <v>1</v>
      </c>
      <c r="X468" s="67">
        <f t="shared" si="73"/>
        <v>85</v>
      </c>
      <c r="Y468" s="32" t="e">
        <f>IF(+VLOOKUP(I468,P.Referencia!E:S,3,FALSE)&lt;=L468,"Champion","Gerente")</f>
        <v>#N/A</v>
      </c>
      <c r="Z468" s="39" t="e">
        <f>VLOOKUP(I468,P.Referencia!E:S,3,0)</f>
        <v>#N/A</v>
      </c>
      <c r="AA468" s="40" t="e">
        <f t="shared" si="77"/>
        <v>#N/A</v>
      </c>
      <c r="AB468" s="41" t="e">
        <f t="shared" si="78"/>
        <v>#N/A</v>
      </c>
      <c r="AC468" s="41" t="e">
        <f t="shared" si="79"/>
        <v>#N/A</v>
      </c>
    </row>
    <row r="469" spans="1:30" hidden="1" x14ac:dyDescent="0.25">
      <c r="A469" s="43">
        <v>468</v>
      </c>
      <c r="B469" s="180" t="s">
        <v>389</v>
      </c>
      <c r="C469" s="131" t="str">
        <f t="shared" si="74"/>
        <v>LlaveDU0767357507100001031</v>
      </c>
      <c r="D469" s="33" t="str">
        <f>VLOOKUP(E469,'NO MODIFICAR'!J:K,2,0)</f>
        <v>DU07</v>
      </c>
      <c r="E469" s="98" t="s">
        <v>87</v>
      </c>
      <c r="F469" s="33" t="str">
        <f>VLOOKUP(D469,'NO MODIFICAR'!F:H,3,0)</f>
        <v>SURESTE</v>
      </c>
      <c r="G469" s="92">
        <v>67357507</v>
      </c>
      <c r="H469" s="93" t="s">
        <v>406</v>
      </c>
      <c r="I469" s="94">
        <v>10000103</v>
      </c>
      <c r="J469" s="56" t="str">
        <f>VLOOKUP(I469,'Materiales,canteras'!C:D,2,0)</f>
        <v>Base H Triturada Caliza 1 1/2" a Finos</v>
      </c>
      <c r="K469" s="33">
        <f>VLOOKUP(I469,'Materiales,canteras'!C:E,3,0)</f>
        <v>1.462</v>
      </c>
      <c r="L469" s="105">
        <v>114.89</v>
      </c>
      <c r="M469" s="28" t="s">
        <v>93</v>
      </c>
      <c r="N469" s="57">
        <f t="shared" ca="1" si="75"/>
        <v>46267</v>
      </c>
      <c r="O469" s="43" t="s">
        <v>201</v>
      </c>
      <c r="S469" s="4">
        <v>150</v>
      </c>
      <c r="T469" s="75">
        <f t="shared" si="76"/>
        <v>-35.11</v>
      </c>
      <c r="U469" s="46">
        <f t="shared" si="72"/>
        <v>114.89</v>
      </c>
      <c r="V469" s="82">
        <v>86.87</v>
      </c>
      <c r="W469" s="4">
        <v>1</v>
      </c>
      <c r="X469" s="67">
        <f t="shared" si="73"/>
        <v>201.76</v>
      </c>
      <c r="Y469" s="32" t="e">
        <f>IF(+VLOOKUP(I469,P.Referencia!E:S,3,FALSE)&lt;=L469,"Champion","Gerente")</f>
        <v>#N/A</v>
      </c>
      <c r="Z469" s="39" t="e">
        <f>VLOOKUP(I469,P.Referencia!E:S,3,0)</f>
        <v>#N/A</v>
      </c>
      <c r="AA469" s="40" t="e">
        <f t="shared" si="77"/>
        <v>#N/A</v>
      </c>
      <c r="AB469" s="41" t="e">
        <f t="shared" si="78"/>
        <v>#N/A</v>
      </c>
      <c r="AC469" s="41" t="e">
        <f t="shared" si="79"/>
        <v>#N/A</v>
      </c>
    </row>
    <row r="470" spans="1:30" hidden="1" x14ac:dyDescent="0.25">
      <c r="A470" s="43">
        <v>469</v>
      </c>
      <c r="B470" s="180" t="s">
        <v>389</v>
      </c>
      <c r="C470" s="131" t="str">
        <f t="shared" si="74"/>
        <v>LlaveDU0767357507102641031</v>
      </c>
      <c r="D470" s="33" t="str">
        <f>VLOOKUP(E470,'NO MODIFICAR'!J:K,2,0)</f>
        <v>DU07</v>
      </c>
      <c r="E470" s="98" t="s">
        <v>87</v>
      </c>
      <c r="F470" s="33" t="str">
        <f>VLOOKUP(D470,'NO MODIFICAR'!F:H,3,0)</f>
        <v>SURESTE</v>
      </c>
      <c r="G470" s="92">
        <v>67357507</v>
      </c>
      <c r="H470" s="93" t="s">
        <v>406</v>
      </c>
      <c r="I470" s="94">
        <v>10264103</v>
      </c>
      <c r="J470" s="56" t="str">
        <f>VLOOKUP(I470,'Materiales,canteras'!C:D,2,0)</f>
        <v>MOV BASE H TRITURADA CALIZA 1 1/2</v>
      </c>
      <c r="K470" s="33">
        <f>VLOOKUP(I470,'Materiales,canteras'!C:E,3,0)</f>
        <v>1.462</v>
      </c>
      <c r="L470" s="105">
        <v>114.89</v>
      </c>
      <c r="M470" s="28" t="s">
        <v>93</v>
      </c>
      <c r="N470" s="57">
        <f t="shared" ca="1" si="75"/>
        <v>46267</v>
      </c>
      <c r="O470" s="43" t="s">
        <v>201</v>
      </c>
      <c r="S470" s="4">
        <v>390</v>
      </c>
      <c r="T470" s="75">
        <f t="shared" si="76"/>
        <v>-275.11</v>
      </c>
      <c r="U470" s="46">
        <f t="shared" si="72"/>
        <v>114.89</v>
      </c>
      <c r="V470" s="82">
        <v>86.87</v>
      </c>
      <c r="W470" s="4">
        <v>1</v>
      </c>
      <c r="X470" s="67">
        <f t="shared" si="73"/>
        <v>201.76</v>
      </c>
      <c r="Y470" s="32" t="e">
        <f>IF(+VLOOKUP(I470,P.Referencia!E:S,3,FALSE)&lt;=L470,"Champion","Gerente")</f>
        <v>#N/A</v>
      </c>
      <c r="Z470" s="39" t="e">
        <f>VLOOKUP(I470,P.Referencia!E:S,3,0)</f>
        <v>#N/A</v>
      </c>
      <c r="AA470" s="40" t="e">
        <f t="shared" si="77"/>
        <v>#N/A</v>
      </c>
      <c r="AB470" s="41" t="e">
        <f t="shared" si="78"/>
        <v>#N/A</v>
      </c>
      <c r="AC470" s="41" t="e">
        <f t="shared" si="79"/>
        <v>#N/A</v>
      </c>
    </row>
    <row r="471" spans="1:30" hidden="1" x14ac:dyDescent="0.25">
      <c r="A471" s="43">
        <v>470</v>
      </c>
      <c r="B471" s="180" t="s">
        <v>389</v>
      </c>
      <c r="C471" s="131" t="str">
        <f t="shared" si="74"/>
        <v>LlaveD81666178714100001241</v>
      </c>
      <c r="D471" s="33" t="str">
        <f>VLOOKUP(E471,'NO MODIFICAR'!J:K,2,0)</f>
        <v>D816</v>
      </c>
      <c r="E471" s="98" t="s">
        <v>15</v>
      </c>
      <c r="F471" s="33" t="str">
        <f>VLOOKUP(D471,'NO MODIFICAR'!F:H,3,0)</f>
        <v>NORESTE</v>
      </c>
      <c r="G471" s="92">
        <v>66178714</v>
      </c>
      <c r="H471" s="93" t="s">
        <v>407</v>
      </c>
      <c r="I471" s="94">
        <v>10000124</v>
      </c>
      <c r="J471" s="56" t="str">
        <f>VLOOKUP(I471,'Materiales,canteras'!C:D,2,0)</f>
        <v>Arena Triturada Caliza Malla 4</v>
      </c>
      <c r="K471" s="33">
        <f>VLOOKUP(I471,'Materiales,canteras'!C:E,3,0)</f>
        <v>1.7390000000000001</v>
      </c>
      <c r="L471" s="105">
        <v>290</v>
      </c>
      <c r="M471" s="28" t="s">
        <v>93</v>
      </c>
      <c r="N471" s="57">
        <f t="shared" ca="1" si="75"/>
        <v>46267</v>
      </c>
      <c r="O471" s="43" t="s">
        <v>201</v>
      </c>
      <c r="Q471">
        <v>21.5</v>
      </c>
      <c r="R471">
        <v>6.13</v>
      </c>
      <c r="S471" s="4">
        <v>430</v>
      </c>
      <c r="T471" s="66">
        <f>L471-((S471-Q471)-(R471))</f>
        <v>-112.37</v>
      </c>
      <c r="U471" s="46">
        <f t="shared" si="72"/>
        <v>290</v>
      </c>
      <c r="V471" s="82">
        <v>32.24</v>
      </c>
      <c r="W471" s="4">
        <v>1</v>
      </c>
      <c r="X471" s="67">
        <f t="shared" si="73"/>
        <v>322.24</v>
      </c>
      <c r="Y471" s="32" t="e">
        <f>IF(+VLOOKUP(I471,P.Referencia!E:S,3,FALSE)&lt;=L471,"Champion","Gerente")</f>
        <v>#N/A</v>
      </c>
      <c r="Z471" s="39" t="e">
        <f>VLOOKUP(I471,P.Referencia!E:S,3,0)</f>
        <v>#N/A</v>
      </c>
      <c r="AA471" s="40" t="e">
        <f t="shared" si="77"/>
        <v>#N/A</v>
      </c>
      <c r="AB471" s="41" t="e">
        <f t="shared" si="78"/>
        <v>#N/A</v>
      </c>
      <c r="AC471" s="41" t="e">
        <f t="shared" si="79"/>
        <v>#N/A</v>
      </c>
    </row>
    <row r="472" spans="1:30" hidden="1" x14ac:dyDescent="0.25">
      <c r="A472" s="43">
        <v>471</v>
      </c>
      <c r="B472" s="180" t="s">
        <v>389</v>
      </c>
      <c r="C472" s="131" t="str">
        <f t="shared" si="74"/>
        <v>LlaveD81666178714100002601</v>
      </c>
      <c r="D472" s="33" t="str">
        <f>VLOOKUP(E472,'NO MODIFICAR'!J:K,2,0)</f>
        <v>D816</v>
      </c>
      <c r="E472" s="98" t="s">
        <v>15</v>
      </c>
      <c r="F472" s="33" t="str">
        <f>VLOOKUP(D472,'NO MODIFICAR'!F:H,3,0)</f>
        <v>NORESTE</v>
      </c>
      <c r="G472" s="92">
        <v>66178714</v>
      </c>
      <c r="H472" s="93" t="s">
        <v>407</v>
      </c>
      <c r="I472" s="94">
        <v>10000260</v>
      </c>
      <c r="J472" s="56" t="str">
        <f>VLOOKUP(I472,'Materiales,canteras'!C:D,2,0)</f>
        <v>Arena Triturada Caliza Malla 5</v>
      </c>
      <c r="K472" s="33">
        <f>VLOOKUP(I472,'Materiales,canteras'!C:E,3,0)</f>
        <v>1.72</v>
      </c>
      <c r="L472" s="105">
        <v>385</v>
      </c>
      <c r="M472" s="28" t="s">
        <v>93</v>
      </c>
      <c r="N472" s="57">
        <f t="shared" ca="1" si="75"/>
        <v>46267</v>
      </c>
      <c r="O472" s="43" t="s">
        <v>201</v>
      </c>
      <c r="Q472">
        <v>21.5</v>
      </c>
      <c r="R472">
        <v>6.13</v>
      </c>
      <c r="S472" s="4">
        <v>430</v>
      </c>
      <c r="T472" s="66">
        <f>L472-((S472-Q472)-(R472))</f>
        <v>-17.370000000000005</v>
      </c>
      <c r="U472" s="46">
        <f t="shared" si="72"/>
        <v>385</v>
      </c>
      <c r="V472" s="82">
        <v>32.24</v>
      </c>
      <c r="W472" s="4">
        <v>1</v>
      </c>
      <c r="X472" s="67">
        <f t="shared" si="73"/>
        <v>417.24</v>
      </c>
      <c r="Y472" s="32" t="e">
        <f>IF(+VLOOKUP(I472,P.Referencia!E:S,3,FALSE)&lt;=L472,"Champion","Gerente")</f>
        <v>#N/A</v>
      </c>
      <c r="Z472" s="39" t="e">
        <f>VLOOKUP(I472,P.Referencia!E:S,3,0)</f>
        <v>#N/A</v>
      </c>
      <c r="AA472" s="40" t="e">
        <f t="shared" si="77"/>
        <v>#N/A</v>
      </c>
      <c r="AB472" s="41" t="e">
        <f t="shared" si="78"/>
        <v>#N/A</v>
      </c>
      <c r="AC472" s="41" t="e">
        <f t="shared" si="79"/>
        <v>#N/A</v>
      </c>
    </row>
    <row r="473" spans="1:30" hidden="1" x14ac:dyDescent="0.25">
      <c r="A473" s="43">
        <v>472</v>
      </c>
      <c r="B473" s="180" t="s">
        <v>389</v>
      </c>
      <c r="C473" s="131" t="str">
        <f t="shared" si="74"/>
        <v>LlaveD81666178714100002371</v>
      </c>
      <c r="D473" s="33" t="str">
        <f>VLOOKUP(E473,'NO MODIFICAR'!J:K,2,0)</f>
        <v>D816</v>
      </c>
      <c r="E473" s="98" t="s">
        <v>15</v>
      </c>
      <c r="F473" s="33" t="str">
        <f>VLOOKUP(D473,'NO MODIFICAR'!F:H,3,0)</f>
        <v>NORESTE</v>
      </c>
      <c r="G473" s="92">
        <v>66178714</v>
      </c>
      <c r="H473" s="93" t="s">
        <v>407</v>
      </c>
      <c r="I473" s="94">
        <v>10000237</v>
      </c>
      <c r="J473" s="56" t="str">
        <f>VLOOKUP(I473,'Materiales,canteras'!C:D,2,0)</f>
        <v>Grava Triturada Caliza 10 mm -</v>
      </c>
      <c r="K473" s="33">
        <f>VLOOKUP(I473,'Materiales,canteras'!C:E,3,0)</f>
        <v>1.5620000000000001</v>
      </c>
      <c r="L473" s="105">
        <v>336.87</v>
      </c>
      <c r="M473" s="28" t="s">
        <v>93</v>
      </c>
      <c r="N473" s="57">
        <f t="shared" ca="1" si="75"/>
        <v>46267</v>
      </c>
      <c r="O473" s="43" t="s">
        <v>201</v>
      </c>
      <c r="Q473">
        <v>18</v>
      </c>
      <c r="R473">
        <v>5.13</v>
      </c>
      <c r="S473" s="4">
        <v>360</v>
      </c>
      <c r="T473" s="66">
        <f>L473-((S473-Q473)-(R473))</f>
        <v>0</v>
      </c>
      <c r="U473" s="46">
        <f t="shared" si="72"/>
        <v>336.87</v>
      </c>
      <c r="V473" s="82">
        <v>32.24</v>
      </c>
      <c r="W473" s="4">
        <v>1</v>
      </c>
      <c r="X473" s="67">
        <f t="shared" si="73"/>
        <v>369.11</v>
      </c>
      <c r="Y473" s="32" t="e">
        <f>IF(+VLOOKUP(I473,P.Referencia!E:S,3,FALSE)&lt;=L473,"Champion","Gerente")</f>
        <v>#N/A</v>
      </c>
      <c r="Z473" s="39" t="e">
        <f>VLOOKUP(I473,P.Referencia!E:S,3,0)</f>
        <v>#N/A</v>
      </c>
      <c r="AA473" s="40" t="e">
        <f t="shared" si="77"/>
        <v>#N/A</v>
      </c>
      <c r="AB473" s="41" t="e">
        <f t="shared" si="78"/>
        <v>#N/A</v>
      </c>
      <c r="AC473" s="41" t="e">
        <f t="shared" si="79"/>
        <v>#N/A</v>
      </c>
    </row>
    <row r="474" spans="1:30" hidden="1" x14ac:dyDescent="0.25">
      <c r="A474" s="43">
        <v>473</v>
      </c>
      <c r="B474" s="180" t="s">
        <v>389</v>
      </c>
      <c r="C474" s="131" t="str">
        <f t="shared" si="74"/>
        <v>LlaveD81667337511100001241</v>
      </c>
      <c r="D474" s="33" t="str">
        <f>VLOOKUP(E474,'NO MODIFICAR'!J:K,2,0)</f>
        <v>D816</v>
      </c>
      <c r="E474" s="98" t="s">
        <v>15</v>
      </c>
      <c r="F474" s="33" t="str">
        <f>VLOOKUP(D474,'NO MODIFICAR'!F:H,3,0)</f>
        <v>NORESTE</v>
      </c>
      <c r="G474" s="92">
        <v>67337511</v>
      </c>
      <c r="H474" s="93" t="s">
        <v>408</v>
      </c>
      <c r="I474" s="94">
        <v>10000124</v>
      </c>
      <c r="J474" s="56" t="str">
        <f>VLOOKUP(I474,'Materiales,canteras'!C:D,2,0)</f>
        <v>Arena Triturada Caliza Malla 4</v>
      </c>
      <c r="K474" s="33">
        <f>VLOOKUP(I474,'Materiales,canteras'!C:E,3,0)</f>
        <v>1.7390000000000001</v>
      </c>
      <c r="L474" s="105">
        <v>294.38</v>
      </c>
      <c r="M474" s="28" t="s">
        <v>93</v>
      </c>
      <c r="N474" s="57">
        <f t="shared" ca="1" si="75"/>
        <v>46267</v>
      </c>
      <c r="O474" s="43" t="s">
        <v>201</v>
      </c>
      <c r="R474">
        <f>4/100</f>
        <v>0.04</v>
      </c>
      <c r="S474" s="4">
        <v>430</v>
      </c>
      <c r="T474" s="69">
        <f t="shared" ref="T474:T502" si="81">L474-(S474-(S474*R474))</f>
        <v>-118.42000000000002</v>
      </c>
      <c r="U474" s="46">
        <f t="shared" si="72"/>
        <v>294.38</v>
      </c>
      <c r="V474" s="82">
        <v>118.66</v>
      </c>
      <c r="W474" s="4">
        <v>1</v>
      </c>
      <c r="X474" s="67">
        <f t="shared" si="73"/>
        <v>413.03999999999996</v>
      </c>
      <c r="Y474" s="32" t="e">
        <f>IF(+VLOOKUP(I474,P.Referencia!E:S,3,FALSE)&lt;=L474,"Champion","Gerente")</f>
        <v>#N/A</v>
      </c>
      <c r="Z474" s="39" t="e">
        <f>VLOOKUP(I474,P.Referencia!E:S,3,0)</f>
        <v>#N/A</v>
      </c>
      <c r="AA474" s="40" t="e">
        <f t="shared" si="77"/>
        <v>#N/A</v>
      </c>
      <c r="AB474" s="41" t="e">
        <f t="shared" si="78"/>
        <v>#N/A</v>
      </c>
      <c r="AC474" s="41" t="e">
        <f t="shared" si="79"/>
        <v>#N/A</v>
      </c>
    </row>
    <row r="475" spans="1:30" hidden="1" x14ac:dyDescent="0.25">
      <c r="A475" s="43">
        <v>474</v>
      </c>
      <c r="B475" s="180" t="s">
        <v>389</v>
      </c>
      <c r="C475" s="131" t="str">
        <f t="shared" si="74"/>
        <v>LlaveD81667357762100002621</v>
      </c>
      <c r="D475" s="33" t="str">
        <f>VLOOKUP(E475,'NO MODIFICAR'!J:K,2,0)</f>
        <v>D816</v>
      </c>
      <c r="E475" s="98" t="s">
        <v>15</v>
      </c>
      <c r="F475" s="33" t="str">
        <f>VLOOKUP(D475,'NO MODIFICAR'!F:H,3,0)</f>
        <v>NORESTE</v>
      </c>
      <c r="G475" s="92">
        <v>67357762</v>
      </c>
      <c r="H475" s="93" t="s">
        <v>409</v>
      </c>
      <c r="I475" s="94">
        <v>10000262</v>
      </c>
      <c r="J475" s="56" t="str">
        <f>VLOOKUP(I475,'Materiales,canteras'!C:D,2,0)</f>
        <v>Base H Triturada Caliza 1 1/2"</v>
      </c>
      <c r="K475" s="33">
        <f>VLOOKUP(I475,'Materiales,canteras'!C:E,3,0)</f>
        <v>1.821</v>
      </c>
      <c r="L475" s="105">
        <v>270.48</v>
      </c>
      <c r="M475" s="28" t="s">
        <v>93</v>
      </c>
      <c r="N475" s="57">
        <f t="shared" ca="1" si="75"/>
        <v>46267</v>
      </c>
      <c r="O475" s="43" t="s">
        <v>201</v>
      </c>
      <c r="R475">
        <f>4/100</f>
        <v>0.04</v>
      </c>
      <c r="S475" s="4">
        <v>310</v>
      </c>
      <c r="T475" s="69">
        <f t="shared" si="81"/>
        <v>-27.120000000000005</v>
      </c>
      <c r="U475" s="46">
        <f t="shared" si="72"/>
        <v>270.48</v>
      </c>
      <c r="V475" s="82">
        <v>89.52</v>
      </c>
      <c r="W475" s="4">
        <v>1</v>
      </c>
      <c r="X475" s="67">
        <f t="shared" si="73"/>
        <v>360</v>
      </c>
      <c r="Y475" s="32" t="e">
        <f>IF(+VLOOKUP(I475,P.Referencia!E:S,3,FALSE)&lt;=L475,"Champion","Gerente")</f>
        <v>#N/A</v>
      </c>
      <c r="Z475" s="39" t="e">
        <f>VLOOKUP(I475,P.Referencia!E:S,3,0)</f>
        <v>#N/A</v>
      </c>
      <c r="AA475" s="40" t="e">
        <f t="shared" si="77"/>
        <v>#N/A</v>
      </c>
      <c r="AB475" s="41" t="e">
        <f t="shared" si="78"/>
        <v>#N/A</v>
      </c>
      <c r="AC475" s="41" t="e">
        <f t="shared" si="79"/>
        <v>#N/A</v>
      </c>
    </row>
    <row r="476" spans="1:30" hidden="1" x14ac:dyDescent="0.25">
      <c r="A476" s="43">
        <v>475</v>
      </c>
      <c r="B476" s="180" t="s">
        <v>389</v>
      </c>
      <c r="C476" s="131" t="str">
        <f t="shared" si="74"/>
        <v>LlaveD81667357762100364881</v>
      </c>
      <c r="D476" s="33" t="str">
        <f>VLOOKUP(E476,'NO MODIFICAR'!J:K,2,0)</f>
        <v>D816</v>
      </c>
      <c r="E476" s="98" t="s">
        <v>15</v>
      </c>
      <c r="F476" s="33" t="str">
        <f>VLOOKUP(D476,'NO MODIFICAR'!F:H,3,0)</f>
        <v>NORESTE</v>
      </c>
      <c r="G476" s="92">
        <v>67357762</v>
      </c>
      <c r="H476" s="93" t="s">
        <v>409</v>
      </c>
      <c r="I476" s="94">
        <v>10036488</v>
      </c>
      <c r="J476" s="56" t="str">
        <f>VLOOKUP(I476,'Materiales,canteras'!C:D,2,0)</f>
        <v>Base H Trit Caliza 3/4" a Fino</v>
      </c>
      <c r="K476" s="33">
        <f>VLOOKUP(I476,'Materiales,canteras'!C:E,3,0)</f>
        <v>1.78</v>
      </c>
      <c r="L476" s="105">
        <v>270.48</v>
      </c>
      <c r="M476" s="28" t="s">
        <v>93</v>
      </c>
      <c r="N476" s="57">
        <f t="shared" ca="1" si="75"/>
        <v>46267</v>
      </c>
      <c r="O476" s="43" t="s">
        <v>201</v>
      </c>
      <c r="R476">
        <f>4/100</f>
        <v>0.04</v>
      </c>
      <c r="S476" s="4">
        <v>310</v>
      </c>
      <c r="T476" s="69">
        <f t="shared" si="81"/>
        <v>-27.120000000000005</v>
      </c>
      <c r="U476" s="46">
        <f t="shared" si="72"/>
        <v>270.48</v>
      </c>
      <c r="V476" s="82">
        <v>89.52</v>
      </c>
      <c r="W476" s="4">
        <v>1</v>
      </c>
      <c r="X476" s="67">
        <f t="shared" si="73"/>
        <v>360</v>
      </c>
      <c r="Y476" s="32" t="e">
        <f>IF(+VLOOKUP(I476,P.Referencia!E:S,3,FALSE)&lt;=L476,"Champion","Gerente")</f>
        <v>#N/A</v>
      </c>
      <c r="Z476" s="39" t="e">
        <f>VLOOKUP(I476,P.Referencia!E:S,3,0)</f>
        <v>#N/A</v>
      </c>
      <c r="AA476" s="40" t="e">
        <f t="shared" si="77"/>
        <v>#N/A</v>
      </c>
      <c r="AB476" s="41" t="e">
        <f t="shared" si="78"/>
        <v>#N/A</v>
      </c>
      <c r="AC476" s="41" t="e">
        <f t="shared" si="79"/>
        <v>#N/A</v>
      </c>
    </row>
    <row r="477" spans="1:30" hidden="1" x14ac:dyDescent="0.25">
      <c r="A477" s="43">
        <v>476</v>
      </c>
      <c r="B477" s="180" t="s">
        <v>389</v>
      </c>
      <c r="C477" s="131" t="str">
        <f t="shared" si="74"/>
        <v>LlaveD81667357762100002481</v>
      </c>
      <c r="D477" s="33" t="str">
        <f>VLOOKUP(E477,'NO MODIFICAR'!J:K,2,0)</f>
        <v>D816</v>
      </c>
      <c r="E477" s="98" t="s">
        <v>15</v>
      </c>
      <c r="F477" s="33" t="str">
        <f>VLOOKUP(D477,'NO MODIFICAR'!F:H,3,0)</f>
        <v>NORESTE</v>
      </c>
      <c r="G477" s="92">
        <v>67357762</v>
      </c>
      <c r="H477" s="93" t="s">
        <v>409</v>
      </c>
      <c r="I477" s="94">
        <v>10000248</v>
      </c>
      <c r="J477" s="56" t="str">
        <f>VLOOKUP(I477,'Materiales,canteras'!C:D,2,0)</f>
        <v>Sub-base Triturado Caliza 1 1/2" a Finos</v>
      </c>
      <c r="K477" s="33">
        <f>VLOOKUP(I477,'Materiales,canteras'!C:E,3,0)</f>
        <v>1.821</v>
      </c>
      <c r="L477" s="105">
        <v>265.48</v>
      </c>
      <c r="M477" s="28" t="s">
        <v>93</v>
      </c>
      <c r="N477" s="57">
        <f t="shared" ca="1" si="75"/>
        <v>46267</v>
      </c>
      <c r="O477" s="43" t="s">
        <v>201</v>
      </c>
      <c r="R477">
        <f>4/100</f>
        <v>0.04</v>
      </c>
      <c r="S477" s="4">
        <v>280</v>
      </c>
      <c r="T477" s="69">
        <f t="shared" si="81"/>
        <v>-3.3199999999999932</v>
      </c>
      <c r="U477" s="46">
        <f t="shared" si="72"/>
        <v>265.48</v>
      </c>
      <c r="V477" s="82">
        <v>89.52</v>
      </c>
      <c r="W477" s="4">
        <v>1</v>
      </c>
      <c r="X477" s="67">
        <f t="shared" si="73"/>
        <v>355</v>
      </c>
      <c r="Y477" s="32" t="e">
        <f>IF(+VLOOKUP(I477,P.Referencia!E:S,3,FALSE)&lt;=L477,"Champion","Gerente")</f>
        <v>#N/A</v>
      </c>
      <c r="Z477" s="39" t="e">
        <f>VLOOKUP(I477,P.Referencia!E:S,3,0)</f>
        <v>#N/A</v>
      </c>
      <c r="AA477" s="40" t="e">
        <f t="shared" si="77"/>
        <v>#N/A</v>
      </c>
      <c r="AB477" s="41" t="e">
        <f t="shared" si="78"/>
        <v>#N/A</v>
      </c>
      <c r="AC477" s="41" t="e">
        <f t="shared" si="79"/>
        <v>#N/A</v>
      </c>
    </row>
    <row r="478" spans="1:30" hidden="1" x14ac:dyDescent="0.25">
      <c r="A478" s="43">
        <v>477</v>
      </c>
      <c r="B478" s="180" t="s">
        <v>389</v>
      </c>
      <c r="C478" s="131" t="str">
        <f t="shared" si="74"/>
        <v>LlaveD81665004458100002601</v>
      </c>
      <c r="D478" s="33" t="str">
        <f>VLOOKUP(E478,'NO MODIFICAR'!J:K,2,0)</f>
        <v>D816</v>
      </c>
      <c r="E478" s="98" t="s">
        <v>15</v>
      </c>
      <c r="F478" s="33" t="str">
        <f>VLOOKUP(D478,'NO MODIFICAR'!F:H,3,0)</f>
        <v>NORESTE</v>
      </c>
      <c r="G478" s="92">
        <v>65004458</v>
      </c>
      <c r="H478" s="93" t="s">
        <v>411</v>
      </c>
      <c r="I478" s="94">
        <v>10000260</v>
      </c>
      <c r="J478" s="56" t="str">
        <f>VLOOKUP(I478,'Materiales,canteras'!C:D,2,0)</f>
        <v>Arena Triturada Caliza Malla 5</v>
      </c>
      <c r="K478" s="33">
        <f>VLOOKUP(I478,'Materiales,canteras'!C:E,3,0)</f>
        <v>1.72</v>
      </c>
      <c r="L478" s="105">
        <v>370</v>
      </c>
      <c r="M478" s="28" t="s">
        <v>93</v>
      </c>
      <c r="N478" s="57">
        <f t="shared" ca="1" si="75"/>
        <v>46267</v>
      </c>
      <c r="O478" s="43" t="s">
        <v>201</v>
      </c>
      <c r="R478">
        <f>7/100</f>
        <v>7.0000000000000007E-2</v>
      </c>
      <c r="S478" s="4">
        <v>430</v>
      </c>
      <c r="T478" s="69">
        <f t="shared" si="81"/>
        <v>-29.899999999999977</v>
      </c>
      <c r="U478" s="46">
        <f t="shared" si="72"/>
        <v>370</v>
      </c>
      <c r="V478" s="82">
        <v>126.92</v>
      </c>
      <c r="W478" s="4">
        <v>1</v>
      </c>
      <c r="X478" s="67">
        <f t="shared" si="73"/>
        <v>496.92</v>
      </c>
      <c r="Y478" s="32" t="e">
        <f>IF(+VLOOKUP(I478,P.Referencia!E:S,3,FALSE)&lt;=L478,"Champion","Gerente")</f>
        <v>#N/A</v>
      </c>
      <c r="Z478" s="39" t="e">
        <f>VLOOKUP(I478,P.Referencia!E:S,3,0)</f>
        <v>#N/A</v>
      </c>
      <c r="AA478" s="40" t="e">
        <f t="shared" si="77"/>
        <v>#N/A</v>
      </c>
      <c r="AB478" s="41" t="e">
        <f t="shared" si="78"/>
        <v>#N/A</v>
      </c>
      <c r="AC478" s="41" t="e">
        <f t="shared" si="79"/>
        <v>#N/A</v>
      </c>
    </row>
    <row r="479" spans="1:30" hidden="1" x14ac:dyDescent="0.25">
      <c r="A479" s="43">
        <v>478</v>
      </c>
      <c r="B479" s="180" t="s">
        <v>389</v>
      </c>
      <c r="C479" s="131" t="str">
        <f t="shared" si="74"/>
        <v>LlaveD81665004458100001241</v>
      </c>
      <c r="D479" s="33" t="str">
        <f>VLOOKUP(E479,'NO MODIFICAR'!J:K,2,0)</f>
        <v>D816</v>
      </c>
      <c r="E479" s="98" t="s">
        <v>15</v>
      </c>
      <c r="F479" s="33" t="str">
        <f>VLOOKUP(D479,'NO MODIFICAR'!F:H,3,0)</f>
        <v>NORESTE</v>
      </c>
      <c r="G479" s="92">
        <v>65004458</v>
      </c>
      <c r="H479" s="93" t="s">
        <v>411</v>
      </c>
      <c r="I479" s="94">
        <v>10000124</v>
      </c>
      <c r="J479" s="56" t="str">
        <f>VLOOKUP(I479,'Materiales,canteras'!C:D,2,0)</f>
        <v>Arena Triturada Caliza Malla 4</v>
      </c>
      <c r="K479" s="33">
        <f>VLOOKUP(I479,'Materiales,canteras'!C:E,3,0)</f>
        <v>1.7390000000000001</v>
      </c>
      <c r="L479" s="105">
        <v>265</v>
      </c>
      <c r="M479" s="28" t="s">
        <v>93</v>
      </c>
      <c r="N479" s="57">
        <f t="shared" ca="1" si="75"/>
        <v>46267</v>
      </c>
      <c r="O479" s="43" t="s">
        <v>201</v>
      </c>
      <c r="R479">
        <f>7/100</f>
        <v>7.0000000000000007E-2</v>
      </c>
      <c r="S479" s="4">
        <v>430</v>
      </c>
      <c r="T479" s="69">
        <f t="shared" si="81"/>
        <v>-134.89999999999998</v>
      </c>
      <c r="U479" s="46">
        <f t="shared" si="72"/>
        <v>265</v>
      </c>
      <c r="V479" s="82">
        <v>126.92</v>
      </c>
      <c r="W479" s="4">
        <v>1</v>
      </c>
      <c r="X479" s="67">
        <f t="shared" si="73"/>
        <v>391.92</v>
      </c>
      <c r="Y479" s="32" t="e">
        <f>IF(+VLOOKUP(I479,P.Referencia!E:S,3,FALSE)&lt;=L479,"Champion","Gerente")</f>
        <v>#N/A</v>
      </c>
      <c r="Z479" s="39" t="e">
        <f>VLOOKUP(I479,P.Referencia!E:S,3,0)</f>
        <v>#N/A</v>
      </c>
      <c r="AA479" s="40" t="e">
        <f t="shared" si="77"/>
        <v>#N/A</v>
      </c>
      <c r="AB479" s="41" t="e">
        <f t="shared" si="78"/>
        <v>#N/A</v>
      </c>
      <c r="AC479" s="41" t="e">
        <f t="shared" si="79"/>
        <v>#N/A</v>
      </c>
    </row>
    <row r="480" spans="1:30" hidden="1" x14ac:dyDescent="0.25">
      <c r="A480" s="43">
        <v>479</v>
      </c>
      <c r="B480" s="180" t="s">
        <v>389</v>
      </c>
      <c r="C480" s="131" t="str">
        <f t="shared" si="74"/>
        <v>LlaveD81665004458100002411</v>
      </c>
      <c r="D480" s="33" t="str">
        <f>VLOOKUP(E480,'NO MODIFICAR'!J:K,2,0)</f>
        <v>D816</v>
      </c>
      <c r="E480" s="98" t="s">
        <v>15</v>
      </c>
      <c r="F480" s="33" t="str">
        <f>VLOOKUP(D480,'NO MODIFICAR'!F:H,3,0)</f>
        <v>NORESTE</v>
      </c>
      <c r="G480" s="92">
        <v>65004458</v>
      </c>
      <c r="H480" s="93" t="s">
        <v>411</v>
      </c>
      <c r="I480" s="94">
        <v>10000241</v>
      </c>
      <c r="J480" s="56" t="str">
        <f>VLOOKUP(I480,'Materiales,canteras'!C:D,2,0)</f>
        <v>Grava Triturada Caliza 20 mm -</v>
      </c>
      <c r="K480" s="33">
        <f>VLOOKUP(I480,'Materiales,canteras'!C:E,3,0)</f>
        <v>1.43</v>
      </c>
      <c r="L480" s="105">
        <v>265</v>
      </c>
      <c r="M480" s="28" t="s">
        <v>93</v>
      </c>
      <c r="N480" s="57">
        <f t="shared" ca="1" si="75"/>
        <v>46267</v>
      </c>
      <c r="O480" s="43" t="s">
        <v>201</v>
      </c>
      <c r="R480">
        <f>7/100</f>
        <v>7.0000000000000007E-2</v>
      </c>
      <c r="S480" s="4">
        <v>360</v>
      </c>
      <c r="T480" s="69">
        <f t="shared" si="81"/>
        <v>-69.800000000000011</v>
      </c>
      <c r="U480" s="46">
        <f t="shared" si="72"/>
        <v>265</v>
      </c>
      <c r="V480" s="82">
        <v>126.92</v>
      </c>
      <c r="W480" s="4">
        <v>1</v>
      </c>
      <c r="X480" s="67">
        <f t="shared" si="73"/>
        <v>391.92</v>
      </c>
      <c r="Y480" s="32" t="e">
        <f>IF(+VLOOKUP(I480,P.Referencia!E:S,3,FALSE)&lt;=L480,"Champion","Gerente")</f>
        <v>#N/A</v>
      </c>
      <c r="Z480" s="39" t="e">
        <f>VLOOKUP(I480,P.Referencia!E:S,3,0)</f>
        <v>#N/A</v>
      </c>
      <c r="AA480" s="40" t="e">
        <f t="shared" si="77"/>
        <v>#N/A</v>
      </c>
      <c r="AB480" s="41" t="e">
        <f t="shared" si="78"/>
        <v>#N/A</v>
      </c>
      <c r="AC480" s="41" t="e">
        <f t="shared" si="79"/>
        <v>#N/A</v>
      </c>
    </row>
    <row r="481" spans="1:30" hidden="1" x14ac:dyDescent="0.25">
      <c r="A481" s="43">
        <v>480</v>
      </c>
      <c r="B481" s="180" t="s">
        <v>389</v>
      </c>
      <c r="C481" s="131" t="str">
        <f t="shared" si="74"/>
        <v>LlaveD86365005808100389522</v>
      </c>
      <c r="D481" s="33" t="str">
        <f>VLOOKUP(E481,'NO MODIFICAR'!J:K,2,0)</f>
        <v>D863</v>
      </c>
      <c r="E481" s="98" t="s">
        <v>53</v>
      </c>
      <c r="F481" s="33" t="str">
        <f>VLOOKUP(D481,'NO MODIFICAR'!F:H,3,0)</f>
        <v>NORESTE</v>
      </c>
      <c r="G481" s="92">
        <v>65005808</v>
      </c>
      <c r="H481" s="93" t="s">
        <v>418</v>
      </c>
      <c r="I481" s="94">
        <v>10038952</v>
      </c>
      <c r="J481" s="56" t="str">
        <f>VLOOKUP(I481,'Materiales,canteras'!C:D,2,0)</f>
        <v>Arena Triturada Caliza Malla 4</v>
      </c>
      <c r="K481" s="33">
        <f>VLOOKUP(I481,'Materiales,canteras'!C:E,3,0)</f>
        <v>1.6</v>
      </c>
      <c r="L481" s="105">
        <v>150</v>
      </c>
      <c r="M481" s="28" t="s">
        <v>93</v>
      </c>
      <c r="N481" s="57">
        <f t="shared" ca="1" si="75"/>
        <v>46267</v>
      </c>
      <c r="O481" s="43" t="s">
        <v>201</v>
      </c>
      <c r="R481">
        <f>8/100</f>
        <v>0.08</v>
      </c>
      <c r="S481" s="4">
        <v>170</v>
      </c>
      <c r="T481" s="69">
        <f t="shared" si="81"/>
        <v>-6.4000000000000057</v>
      </c>
      <c r="U481" s="46">
        <f t="shared" si="72"/>
        <v>150</v>
      </c>
      <c r="V481" s="82">
        <v>0</v>
      </c>
      <c r="W481" s="4">
        <v>2</v>
      </c>
      <c r="X481" s="67">
        <f t="shared" si="73"/>
        <v>150</v>
      </c>
      <c r="Y481" s="32" t="e">
        <f>IF(+VLOOKUP(I481,P.Referencia!E:S,3,FALSE)&lt;=L481,"Champion","Gerente")</f>
        <v>#N/A</v>
      </c>
      <c r="Z481" s="39" t="e">
        <f>VLOOKUP(I481,P.Referencia!E:S,3,0)</f>
        <v>#N/A</v>
      </c>
      <c r="AA481" s="40" t="e">
        <f t="shared" si="77"/>
        <v>#N/A</v>
      </c>
      <c r="AB481" s="41" t="e">
        <f t="shared" si="78"/>
        <v>#N/A</v>
      </c>
      <c r="AC481" s="41" t="e">
        <f t="shared" si="79"/>
        <v>#N/A</v>
      </c>
    </row>
    <row r="482" spans="1:30" hidden="1" x14ac:dyDescent="0.25">
      <c r="A482" s="43">
        <v>481</v>
      </c>
      <c r="B482" s="180" t="s">
        <v>389</v>
      </c>
      <c r="C482" s="131" t="str">
        <f t="shared" si="74"/>
        <v>LlaveD86365005808100389502</v>
      </c>
      <c r="D482" s="33" t="str">
        <f>VLOOKUP(E482,'NO MODIFICAR'!J:K,2,0)</f>
        <v>D863</v>
      </c>
      <c r="E482" s="98" t="s">
        <v>53</v>
      </c>
      <c r="F482" s="33" t="str">
        <f>VLOOKUP(D482,'NO MODIFICAR'!F:H,3,0)</f>
        <v>NORESTE</v>
      </c>
      <c r="G482" s="92">
        <v>65005808</v>
      </c>
      <c r="H482" s="93" t="s">
        <v>418</v>
      </c>
      <c r="I482" s="94">
        <v>10038950</v>
      </c>
      <c r="J482" s="56" t="str">
        <f>VLOOKUP(I482,'Materiales,canteras'!C:D,2,0)</f>
        <v>Grava Triturada Caliza 20 mm -</v>
      </c>
      <c r="K482" s="33">
        <f>VLOOKUP(I482,'Materiales,canteras'!C:E,3,0)</f>
        <v>1.474</v>
      </c>
      <c r="L482" s="105">
        <v>150</v>
      </c>
      <c r="M482" s="28" t="s">
        <v>93</v>
      </c>
      <c r="N482" s="57">
        <f t="shared" ca="1" si="75"/>
        <v>46267</v>
      </c>
      <c r="O482" s="43" t="s">
        <v>201</v>
      </c>
      <c r="R482">
        <f>8/100</f>
        <v>0.08</v>
      </c>
      <c r="S482" s="4">
        <v>185</v>
      </c>
      <c r="T482" s="69">
        <f t="shared" si="81"/>
        <v>-20.199999999999989</v>
      </c>
      <c r="U482" s="46">
        <f t="shared" si="72"/>
        <v>150</v>
      </c>
      <c r="V482" s="82">
        <v>0</v>
      </c>
      <c r="W482" s="4">
        <v>2</v>
      </c>
      <c r="X482" s="67">
        <f t="shared" si="73"/>
        <v>150</v>
      </c>
      <c r="Y482" s="32" t="e">
        <f>IF(+VLOOKUP(I482,P.Referencia!E:S,3,FALSE)&lt;=L482,"Champion","Gerente")</f>
        <v>#N/A</v>
      </c>
      <c r="Z482" s="39" t="e">
        <f>VLOOKUP(I482,P.Referencia!E:S,3,0)</f>
        <v>#N/A</v>
      </c>
      <c r="AA482" s="40" t="e">
        <f t="shared" si="77"/>
        <v>#N/A</v>
      </c>
      <c r="AB482" s="41" t="e">
        <f t="shared" si="78"/>
        <v>#N/A</v>
      </c>
      <c r="AC482" s="41" t="e">
        <f t="shared" si="79"/>
        <v>#N/A</v>
      </c>
    </row>
    <row r="483" spans="1:30" hidden="1" x14ac:dyDescent="0.25">
      <c r="A483" s="43">
        <v>482</v>
      </c>
      <c r="B483" s="180" t="s">
        <v>389</v>
      </c>
      <c r="C483" s="131" t="str">
        <f t="shared" si="74"/>
        <v>LlaveDU07D278100001011</v>
      </c>
      <c r="D483" s="33" t="str">
        <f>VLOOKUP(E483,'NO MODIFICAR'!J:K,2,0)</f>
        <v>DU07</v>
      </c>
      <c r="E483" s="98" t="s">
        <v>87</v>
      </c>
      <c r="F483" s="33" t="str">
        <f>VLOOKUP(D483,'NO MODIFICAR'!F:H,3,0)</f>
        <v>SURESTE</v>
      </c>
      <c r="G483" s="92" t="s">
        <v>419</v>
      </c>
      <c r="H483" s="93" t="s">
        <v>420</v>
      </c>
      <c r="I483" s="94">
        <v>10000101</v>
      </c>
      <c r="J483" s="56" t="str">
        <f>VLOOKUP(I483,'Materiales,canteras'!C:D,2,0)</f>
        <v>Arena Triturada Caliza Malla 4</v>
      </c>
      <c r="K483" s="33">
        <f>VLOOKUP(I483,'Materiales,canteras'!C:E,3,0)</f>
        <v>1.417</v>
      </c>
      <c r="L483" s="105">
        <v>0</v>
      </c>
      <c r="M483" s="28" t="s">
        <v>93</v>
      </c>
      <c r="N483" s="57">
        <f t="shared" ca="1" si="75"/>
        <v>46267</v>
      </c>
      <c r="O483" s="43" t="s">
        <v>201</v>
      </c>
      <c r="T483" s="69">
        <f t="shared" si="81"/>
        <v>0</v>
      </c>
      <c r="U483" s="46">
        <f t="shared" si="72"/>
        <v>0</v>
      </c>
      <c r="V483" s="82">
        <v>83.112208892025407</v>
      </c>
      <c r="W483" s="4">
        <v>1</v>
      </c>
      <c r="X483" s="67">
        <f t="shared" si="73"/>
        <v>83.112208892025407</v>
      </c>
      <c r="Y483" s="32" t="e">
        <f>IF(+VLOOKUP(I483,P.Referencia!E:S,3,FALSE)&lt;=L483,"Champion","Gerente")</f>
        <v>#N/A</v>
      </c>
      <c r="Z483" s="39" t="e">
        <f>VLOOKUP(I483,P.Referencia!E:S,3,0)</f>
        <v>#N/A</v>
      </c>
      <c r="AA483" s="40" t="e">
        <f t="shared" si="77"/>
        <v>#N/A</v>
      </c>
      <c r="AB483" s="41" t="e">
        <f t="shared" si="78"/>
        <v>#N/A</v>
      </c>
      <c r="AC483" s="41" t="e">
        <f t="shared" si="79"/>
        <v>#N/A</v>
      </c>
      <c r="AD483" t="s">
        <v>427</v>
      </c>
    </row>
    <row r="484" spans="1:30" hidden="1" x14ac:dyDescent="0.25">
      <c r="A484" s="43">
        <v>483</v>
      </c>
      <c r="B484" s="180" t="s">
        <v>389</v>
      </c>
      <c r="C484" s="131" t="str">
        <f t="shared" si="74"/>
        <v>LlaveDU07D278100001101</v>
      </c>
      <c r="D484" s="33" t="str">
        <f>VLOOKUP(E484,'NO MODIFICAR'!J:K,2,0)</f>
        <v>DU07</v>
      </c>
      <c r="E484" s="98" t="s">
        <v>87</v>
      </c>
      <c r="F484" s="33" t="str">
        <f>VLOOKUP(D484,'NO MODIFICAR'!F:H,3,0)</f>
        <v>SURESTE</v>
      </c>
      <c r="G484" s="92" t="s">
        <v>419</v>
      </c>
      <c r="H484" s="93" t="s">
        <v>420</v>
      </c>
      <c r="I484" s="94">
        <v>10000110</v>
      </c>
      <c r="J484" s="56" t="str">
        <f>VLOOKUP(I484,'Materiales,canteras'!C:D,2,0)</f>
        <v>GRAVA TRITURADA CALIZA 20 MM “3/4"–INTEG</v>
      </c>
      <c r="K484" s="33">
        <f>VLOOKUP(I484,'Materiales,canteras'!C:E,3,0)</f>
        <v>1.2010000000000001</v>
      </c>
      <c r="L484" s="105">
        <v>0</v>
      </c>
      <c r="M484" s="28" t="s">
        <v>93</v>
      </c>
      <c r="N484" s="57">
        <f t="shared" ca="1" si="75"/>
        <v>46267</v>
      </c>
      <c r="O484" s="43" t="s">
        <v>201</v>
      </c>
      <c r="T484" s="69">
        <f t="shared" si="81"/>
        <v>0</v>
      </c>
      <c r="U484" s="46">
        <f t="shared" si="72"/>
        <v>0</v>
      </c>
      <c r="V484" s="82">
        <v>98.059950041631964</v>
      </c>
      <c r="W484" s="4">
        <v>1</v>
      </c>
      <c r="X484" s="67">
        <f t="shared" si="73"/>
        <v>98.059950041631964</v>
      </c>
      <c r="Y484" s="32" t="e">
        <f>IF(+VLOOKUP(I484,P.Referencia!E:S,3,FALSE)&lt;=L484,"Champion","Gerente")</f>
        <v>#N/A</v>
      </c>
      <c r="Z484" s="39" t="e">
        <f>VLOOKUP(I484,P.Referencia!E:S,3,0)</f>
        <v>#N/A</v>
      </c>
      <c r="AA484" s="40" t="e">
        <f t="shared" si="77"/>
        <v>#N/A</v>
      </c>
      <c r="AB484" s="41" t="e">
        <f t="shared" si="78"/>
        <v>#N/A</v>
      </c>
      <c r="AC484" s="41" t="e">
        <f t="shared" si="79"/>
        <v>#N/A</v>
      </c>
      <c r="AD484" t="s">
        <v>427</v>
      </c>
    </row>
    <row r="485" spans="1:30" hidden="1" x14ac:dyDescent="0.25">
      <c r="A485" s="43">
        <v>484</v>
      </c>
      <c r="B485" s="180" t="s">
        <v>389</v>
      </c>
      <c r="C485" s="131" t="str">
        <f t="shared" si="74"/>
        <v>LlaveDU07D278100001121</v>
      </c>
      <c r="D485" s="33" t="str">
        <f>VLOOKUP(E485,'NO MODIFICAR'!J:K,2,0)</f>
        <v>DU07</v>
      </c>
      <c r="E485" s="98" t="s">
        <v>87</v>
      </c>
      <c r="F485" s="33" t="str">
        <f>VLOOKUP(D485,'NO MODIFICAR'!F:H,3,0)</f>
        <v>SURESTE</v>
      </c>
      <c r="G485" s="92" t="s">
        <v>419</v>
      </c>
      <c r="H485" s="93" t="s">
        <v>420</v>
      </c>
      <c r="I485" s="94">
        <v>10000112</v>
      </c>
      <c r="J485" s="56" t="str">
        <f>VLOOKUP(I485,'Materiales,canteras'!C:D,2,0)</f>
        <v>Grava Triturada Caliza 13 mm -</v>
      </c>
      <c r="K485" s="33">
        <f>VLOOKUP(I485,'Materiales,canteras'!C:E,3,0)</f>
        <v>1.194</v>
      </c>
      <c r="L485" s="105">
        <v>0</v>
      </c>
      <c r="M485" s="28" t="s">
        <v>93</v>
      </c>
      <c r="N485" s="57">
        <f t="shared" ca="1" si="75"/>
        <v>46267</v>
      </c>
      <c r="O485" s="43" t="s">
        <v>201</v>
      </c>
      <c r="T485" s="69">
        <f t="shared" si="81"/>
        <v>0</v>
      </c>
      <c r="U485" s="46">
        <f t="shared" si="72"/>
        <v>0</v>
      </c>
      <c r="V485" s="82">
        <v>98.63484087102178</v>
      </c>
      <c r="W485" s="4">
        <v>1</v>
      </c>
      <c r="X485" s="67">
        <f t="shared" si="73"/>
        <v>98.63484087102178</v>
      </c>
      <c r="Y485" s="32" t="e">
        <f>IF(+VLOOKUP(I485,P.Referencia!E:S,3,FALSE)&lt;=L485,"Champion","Gerente")</f>
        <v>#N/A</v>
      </c>
      <c r="Z485" s="39" t="e">
        <f>VLOOKUP(I485,P.Referencia!E:S,3,0)</f>
        <v>#N/A</v>
      </c>
      <c r="AA485" s="40" t="e">
        <f t="shared" si="77"/>
        <v>#N/A</v>
      </c>
      <c r="AB485" s="41" t="e">
        <f t="shared" si="78"/>
        <v>#N/A</v>
      </c>
      <c r="AC485" s="41" t="e">
        <f t="shared" si="79"/>
        <v>#N/A</v>
      </c>
      <c r="AD485" t="s">
        <v>427</v>
      </c>
    </row>
    <row r="486" spans="1:30" hidden="1" x14ac:dyDescent="0.25">
      <c r="A486" s="43">
        <v>485</v>
      </c>
      <c r="B486" s="180" t="s">
        <v>389</v>
      </c>
      <c r="C486" s="131" t="str">
        <f t="shared" si="74"/>
        <v>LlaveDU07D343100001011</v>
      </c>
      <c r="D486" s="33" t="str">
        <f>VLOOKUP(E486,'NO MODIFICAR'!J:K,2,0)</f>
        <v>DU07</v>
      </c>
      <c r="E486" s="98" t="s">
        <v>87</v>
      </c>
      <c r="F486" s="33" t="str">
        <f>VLOOKUP(D486,'NO MODIFICAR'!F:H,3,0)</f>
        <v>SURESTE</v>
      </c>
      <c r="G486" s="92" t="s">
        <v>421</v>
      </c>
      <c r="H486" s="93" t="s">
        <v>422</v>
      </c>
      <c r="I486" s="94">
        <v>10000101</v>
      </c>
      <c r="J486" s="56" t="str">
        <f>VLOOKUP(I486,'Materiales,canteras'!C:D,2,0)</f>
        <v>Arena Triturada Caliza Malla 4</v>
      </c>
      <c r="K486" s="33">
        <f>VLOOKUP(I486,'Materiales,canteras'!C:E,3,0)</f>
        <v>1.417</v>
      </c>
      <c r="L486" s="105">
        <v>0</v>
      </c>
      <c r="M486" s="28" t="s">
        <v>93</v>
      </c>
      <c r="N486" s="57">
        <f t="shared" ca="1" si="75"/>
        <v>46267</v>
      </c>
      <c r="O486" s="43" t="s">
        <v>201</v>
      </c>
      <c r="T486" s="69">
        <f t="shared" si="81"/>
        <v>0</v>
      </c>
      <c r="U486" s="46">
        <f t="shared" si="72"/>
        <v>0</v>
      </c>
      <c r="V486" s="82">
        <v>69.710656316160907</v>
      </c>
      <c r="W486" s="4">
        <v>1</v>
      </c>
      <c r="X486" s="67">
        <f t="shared" si="73"/>
        <v>69.710656316160907</v>
      </c>
      <c r="Y486" s="32" t="e">
        <f>IF(+VLOOKUP(I486,P.Referencia!E:S,3,FALSE)&lt;=L486,"Champion","Gerente")</f>
        <v>#N/A</v>
      </c>
      <c r="Z486" s="39" t="e">
        <f>VLOOKUP(I486,P.Referencia!E:S,3,0)</f>
        <v>#N/A</v>
      </c>
      <c r="AA486" s="40" t="e">
        <f t="shared" si="77"/>
        <v>#N/A</v>
      </c>
      <c r="AB486" s="41" t="e">
        <f t="shared" si="78"/>
        <v>#N/A</v>
      </c>
      <c r="AC486" s="41" t="e">
        <f t="shared" si="79"/>
        <v>#N/A</v>
      </c>
      <c r="AD486" t="s">
        <v>427</v>
      </c>
    </row>
    <row r="487" spans="1:30" hidden="1" x14ac:dyDescent="0.25">
      <c r="A487" s="43">
        <v>486</v>
      </c>
      <c r="B487" s="180" t="s">
        <v>389</v>
      </c>
      <c r="C487" s="131" t="str">
        <f t="shared" si="74"/>
        <v>LlaveDU07D343100001101</v>
      </c>
      <c r="D487" s="33" t="str">
        <f>VLOOKUP(E487,'NO MODIFICAR'!J:K,2,0)</f>
        <v>DU07</v>
      </c>
      <c r="E487" s="98" t="s">
        <v>87</v>
      </c>
      <c r="F487" s="33" t="str">
        <f>VLOOKUP(D487,'NO MODIFICAR'!F:H,3,0)</f>
        <v>SURESTE</v>
      </c>
      <c r="G487" s="92" t="s">
        <v>421</v>
      </c>
      <c r="H487" s="93" t="s">
        <v>422</v>
      </c>
      <c r="I487" s="94">
        <v>10000110</v>
      </c>
      <c r="J487" s="56" t="str">
        <f>VLOOKUP(I487,'Materiales,canteras'!C:D,2,0)</f>
        <v>GRAVA TRITURADA CALIZA 20 MM “3/4"–INTEG</v>
      </c>
      <c r="K487" s="33">
        <f>VLOOKUP(I487,'Materiales,canteras'!C:E,3,0)</f>
        <v>1.2010000000000001</v>
      </c>
      <c r="L487" s="105">
        <v>0</v>
      </c>
      <c r="M487" s="28" t="s">
        <v>93</v>
      </c>
      <c r="N487" s="57">
        <f t="shared" ca="1" si="75"/>
        <v>46267</v>
      </c>
      <c r="O487" s="43" t="s">
        <v>201</v>
      </c>
      <c r="T487" s="69">
        <f t="shared" si="81"/>
        <v>0</v>
      </c>
      <c r="U487" s="46">
        <f t="shared" si="72"/>
        <v>0</v>
      </c>
      <c r="V487" s="82">
        <v>82.248126561199001</v>
      </c>
      <c r="W487" s="4">
        <v>1</v>
      </c>
      <c r="X487" s="67">
        <f t="shared" si="73"/>
        <v>82.248126561199001</v>
      </c>
      <c r="Y487" s="32" t="e">
        <f>IF(+VLOOKUP(I487,P.Referencia!E:S,3,FALSE)&lt;=L487,"Champion","Gerente")</f>
        <v>#N/A</v>
      </c>
      <c r="Z487" s="39" t="e">
        <f>VLOOKUP(I487,P.Referencia!E:S,3,0)</f>
        <v>#N/A</v>
      </c>
      <c r="AA487" s="40" t="e">
        <f t="shared" si="77"/>
        <v>#N/A</v>
      </c>
      <c r="AB487" s="41" t="e">
        <f t="shared" si="78"/>
        <v>#N/A</v>
      </c>
      <c r="AC487" s="41" t="e">
        <f t="shared" si="79"/>
        <v>#N/A</v>
      </c>
      <c r="AD487" t="s">
        <v>427</v>
      </c>
    </row>
    <row r="488" spans="1:30" hidden="1" x14ac:dyDescent="0.25">
      <c r="A488" s="43">
        <v>487</v>
      </c>
      <c r="B488" s="180" t="s">
        <v>389</v>
      </c>
      <c r="C488" s="131" t="str">
        <f t="shared" si="74"/>
        <v>LlaveDU07D343100001121</v>
      </c>
      <c r="D488" s="33" t="str">
        <f>VLOOKUP(E488,'NO MODIFICAR'!J:K,2,0)</f>
        <v>DU07</v>
      </c>
      <c r="E488" s="98" t="s">
        <v>87</v>
      </c>
      <c r="F488" s="33" t="str">
        <f>VLOOKUP(D488,'NO MODIFICAR'!F:H,3,0)</f>
        <v>SURESTE</v>
      </c>
      <c r="G488" s="92" t="s">
        <v>421</v>
      </c>
      <c r="H488" s="93" t="s">
        <v>422</v>
      </c>
      <c r="I488" s="94">
        <v>10000112</v>
      </c>
      <c r="J488" s="56" t="str">
        <f>VLOOKUP(I488,'Materiales,canteras'!C:D,2,0)</f>
        <v>Grava Triturada Caliza 13 mm -</v>
      </c>
      <c r="K488" s="33">
        <f>VLOOKUP(I488,'Materiales,canteras'!C:E,3,0)</f>
        <v>1.194</v>
      </c>
      <c r="L488" s="105">
        <v>0</v>
      </c>
      <c r="M488" s="28" t="s">
        <v>93</v>
      </c>
      <c r="N488" s="57">
        <f t="shared" ca="1" si="75"/>
        <v>46267</v>
      </c>
      <c r="O488" s="43" t="s">
        <v>201</v>
      </c>
      <c r="T488" s="69">
        <f t="shared" si="81"/>
        <v>0</v>
      </c>
      <c r="U488" s="46">
        <f t="shared" si="72"/>
        <v>0</v>
      </c>
      <c r="V488" s="82">
        <v>82.730318257956455</v>
      </c>
      <c r="W488" s="4">
        <v>1</v>
      </c>
      <c r="X488" s="67">
        <f t="shared" si="73"/>
        <v>82.730318257956455</v>
      </c>
      <c r="Y488" s="32" t="e">
        <f>IF(+VLOOKUP(I488,P.Referencia!E:S,3,FALSE)&lt;=L488,"Champion","Gerente")</f>
        <v>#N/A</v>
      </c>
      <c r="Z488" s="39" t="e">
        <f>VLOOKUP(I488,P.Referencia!E:S,3,0)</f>
        <v>#N/A</v>
      </c>
      <c r="AA488" s="40" t="e">
        <f t="shared" si="77"/>
        <v>#N/A</v>
      </c>
      <c r="AB488" s="41" t="e">
        <f t="shared" si="78"/>
        <v>#N/A</v>
      </c>
      <c r="AC488" s="41" t="e">
        <f t="shared" si="79"/>
        <v>#N/A</v>
      </c>
      <c r="AD488" t="s">
        <v>427</v>
      </c>
    </row>
    <row r="489" spans="1:30" hidden="1" x14ac:dyDescent="0.25">
      <c r="A489" s="43">
        <v>488</v>
      </c>
      <c r="B489" s="180" t="s">
        <v>389</v>
      </c>
      <c r="C489" s="131" t="str">
        <f t="shared" si="74"/>
        <v>LlaveDU07D349100001011</v>
      </c>
      <c r="D489" s="33" t="str">
        <f>VLOOKUP(E489,'NO MODIFICAR'!J:K,2,0)</f>
        <v>DU07</v>
      </c>
      <c r="E489" s="98" t="s">
        <v>87</v>
      </c>
      <c r="F489" s="33" t="str">
        <f>VLOOKUP(D489,'NO MODIFICAR'!F:H,3,0)</f>
        <v>SURESTE</v>
      </c>
      <c r="G489" s="92" t="s">
        <v>423</v>
      </c>
      <c r="H489" s="93" t="s">
        <v>424</v>
      </c>
      <c r="I489" s="94">
        <v>10000101</v>
      </c>
      <c r="J489" s="56" t="str">
        <f>VLOOKUP(I489,'Materiales,canteras'!C:D,2,0)</f>
        <v>Arena Triturada Caliza Malla 4</v>
      </c>
      <c r="K489" s="33">
        <f>VLOOKUP(I489,'Materiales,canteras'!C:E,3,0)</f>
        <v>1.417</v>
      </c>
      <c r="L489" s="105">
        <v>0</v>
      </c>
      <c r="M489" s="28" t="s">
        <v>93</v>
      </c>
      <c r="N489" s="57">
        <f t="shared" ca="1" si="75"/>
        <v>46267</v>
      </c>
      <c r="O489" s="43" t="s">
        <v>201</v>
      </c>
      <c r="T489" s="69">
        <f t="shared" si="81"/>
        <v>0</v>
      </c>
      <c r="U489" s="46">
        <f t="shared" si="72"/>
        <v>0</v>
      </c>
      <c r="V489" s="82">
        <v>146.32321806633732</v>
      </c>
      <c r="W489" s="4">
        <v>1</v>
      </c>
      <c r="X489" s="67">
        <f t="shared" si="73"/>
        <v>146.32321806633732</v>
      </c>
      <c r="Y489" s="32" t="e">
        <f>IF(+VLOOKUP(I489,P.Referencia!E:S,3,FALSE)&lt;=L489,"Champion","Gerente")</f>
        <v>#N/A</v>
      </c>
      <c r="Z489" s="39" t="e">
        <f>VLOOKUP(I489,P.Referencia!E:S,3,0)</f>
        <v>#N/A</v>
      </c>
      <c r="AA489" s="40" t="e">
        <f t="shared" si="77"/>
        <v>#N/A</v>
      </c>
      <c r="AB489" s="41" t="e">
        <f t="shared" si="78"/>
        <v>#N/A</v>
      </c>
      <c r="AC489" s="41" t="e">
        <f t="shared" si="79"/>
        <v>#N/A</v>
      </c>
      <c r="AD489" t="s">
        <v>427</v>
      </c>
    </row>
    <row r="490" spans="1:30" hidden="1" x14ac:dyDescent="0.25">
      <c r="A490" s="43">
        <v>489</v>
      </c>
      <c r="B490" s="180" t="s">
        <v>389</v>
      </c>
      <c r="C490" s="131" t="str">
        <f t="shared" si="74"/>
        <v>LlaveDU07D349100001101</v>
      </c>
      <c r="D490" s="33" t="str">
        <f>VLOOKUP(E490,'NO MODIFICAR'!J:K,2,0)</f>
        <v>DU07</v>
      </c>
      <c r="E490" s="98" t="s">
        <v>87</v>
      </c>
      <c r="F490" s="33" t="str">
        <f>VLOOKUP(D490,'NO MODIFICAR'!F:H,3,0)</f>
        <v>SURESTE</v>
      </c>
      <c r="G490" s="92" t="s">
        <v>423</v>
      </c>
      <c r="H490" s="93" t="s">
        <v>424</v>
      </c>
      <c r="I490" s="94">
        <v>10000110</v>
      </c>
      <c r="J490" s="56" t="str">
        <f>VLOOKUP(I490,'Materiales,canteras'!C:D,2,0)</f>
        <v>GRAVA TRITURADA CALIZA 20 MM “3/4"–INTEG</v>
      </c>
      <c r="K490" s="33">
        <f>VLOOKUP(I490,'Materiales,canteras'!C:E,3,0)</f>
        <v>1.2010000000000001</v>
      </c>
      <c r="L490" s="105">
        <v>0</v>
      </c>
      <c r="M490" s="28" t="s">
        <v>93</v>
      </c>
      <c r="N490" s="57">
        <f t="shared" ca="1" si="75"/>
        <v>46267</v>
      </c>
      <c r="O490" s="43" t="s">
        <v>201</v>
      </c>
      <c r="T490" s="69">
        <f t="shared" si="81"/>
        <v>0</v>
      </c>
      <c r="U490" s="46">
        <f t="shared" si="72"/>
        <v>0</v>
      </c>
      <c r="V490" s="82">
        <v>172.63946711074104</v>
      </c>
      <c r="W490" s="4">
        <v>1</v>
      </c>
      <c r="X490" s="67">
        <f t="shared" si="73"/>
        <v>172.63946711074104</v>
      </c>
      <c r="Y490" s="32" t="e">
        <f>IF(+VLOOKUP(I490,P.Referencia!E:S,3,FALSE)&lt;=L490,"Champion","Gerente")</f>
        <v>#N/A</v>
      </c>
      <c r="Z490" s="39" t="e">
        <f>VLOOKUP(I490,P.Referencia!E:S,3,0)</f>
        <v>#N/A</v>
      </c>
      <c r="AA490" s="40" t="e">
        <f t="shared" si="77"/>
        <v>#N/A</v>
      </c>
      <c r="AB490" s="41" t="e">
        <f t="shared" si="78"/>
        <v>#N/A</v>
      </c>
      <c r="AC490" s="41" t="e">
        <f t="shared" si="79"/>
        <v>#N/A</v>
      </c>
      <c r="AD490" t="s">
        <v>427</v>
      </c>
    </row>
    <row r="491" spans="1:30" hidden="1" x14ac:dyDescent="0.25">
      <c r="A491" s="43">
        <v>490</v>
      </c>
      <c r="B491" s="180" t="s">
        <v>389</v>
      </c>
      <c r="C491" s="131" t="str">
        <f t="shared" si="74"/>
        <v>LlaveDU07D349100001121</v>
      </c>
      <c r="D491" s="33" t="str">
        <f>VLOOKUP(E491,'NO MODIFICAR'!J:K,2,0)</f>
        <v>DU07</v>
      </c>
      <c r="E491" s="98" t="s">
        <v>87</v>
      </c>
      <c r="F491" s="33" t="str">
        <f>VLOOKUP(D491,'NO MODIFICAR'!F:H,3,0)</f>
        <v>SURESTE</v>
      </c>
      <c r="G491" s="92" t="s">
        <v>423</v>
      </c>
      <c r="H491" s="93" t="s">
        <v>424</v>
      </c>
      <c r="I491" s="94">
        <v>10000112</v>
      </c>
      <c r="J491" s="56" t="str">
        <f>VLOOKUP(I491,'Materiales,canteras'!C:D,2,0)</f>
        <v>Grava Triturada Caliza 13 mm -</v>
      </c>
      <c r="K491" s="33">
        <f>VLOOKUP(I491,'Materiales,canteras'!C:E,3,0)</f>
        <v>1.194</v>
      </c>
      <c r="L491" s="105">
        <v>0</v>
      </c>
      <c r="M491" s="28" t="s">
        <v>93</v>
      </c>
      <c r="N491" s="57">
        <f t="shared" ca="1" si="75"/>
        <v>46267</v>
      </c>
      <c r="O491" s="43" t="s">
        <v>201</v>
      </c>
      <c r="T491" s="69">
        <f t="shared" si="81"/>
        <v>0</v>
      </c>
      <c r="U491" s="46">
        <f t="shared" si="72"/>
        <v>0</v>
      </c>
      <c r="V491" s="82">
        <v>173.65159128978226</v>
      </c>
      <c r="W491" s="4">
        <v>1</v>
      </c>
      <c r="X491" s="67">
        <f t="shared" si="73"/>
        <v>173.65159128978226</v>
      </c>
      <c r="Y491" s="32" t="e">
        <f>IF(+VLOOKUP(I491,P.Referencia!E:S,3,FALSE)&lt;=L491,"Champion","Gerente")</f>
        <v>#N/A</v>
      </c>
      <c r="Z491" s="39" t="e">
        <f>VLOOKUP(I491,P.Referencia!E:S,3,0)</f>
        <v>#N/A</v>
      </c>
      <c r="AA491" s="40" t="e">
        <f t="shared" si="77"/>
        <v>#N/A</v>
      </c>
      <c r="AB491" s="41" t="e">
        <f t="shared" si="78"/>
        <v>#N/A</v>
      </c>
      <c r="AC491" s="41" t="e">
        <f t="shared" si="79"/>
        <v>#N/A</v>
      </c>
      <c r="AD491" t="s">
        <v>427</v>
      </c>
    </row>
    <row r="492" spans="1:30" hidden="1" x14ac:dyDescent="0.25">
      <c r="A492" s="43">
        <v>491</v>
      </c>
      <c r="B492" s="180" t="s">
        <v>389</v>
      </c>
      <c r="C492" s="131" t="str">
        <f t="shared" si="74"/>
        <v>LlaveDU07D358100001011</v>
      </c>
      <c r="D492" s="33" t="str">
        <f>VLOOKUP(E492,'NO MODIFICAR'!J:K,2,0)</f>
        <v>DU07</v>
      </c>
      <c r="E492" s="98" t="s">
        <v>87</v>
      </c>
      <c r="F492" s="33" t="str">
        <f>VLOOKUP(D492,'NO MODIFICAR'!F:H,3,0)</f>
        <v>SURESTE</v>
      </c>
      <c r="G492" s="92" t="s">
        <v>425</v>
      </c>
      <c r="H492" s="93" t="s">
        <v>426</v>
      </c>
      <c r="I492" s="94">
        <v>10000101</v>
      </c>
      <c r="J492" s="56" t="str">
        <f>VLOOKUP(I492,'Materiales,canteras'!C:D,2,0)</f>
        <v>Arena Triturada Caliza Malla 4</v>
      </c>
      <c r="K492" s="33">
        <f>VLOOKUP(I492,'Materiales,canteras'!C:E,3,0)</f>
        <v>1.417</v>
      </c>
      <c r="L492" s="105">
        <v>0</v>
      </c>
      <c r="M492" s="28" t="s">
        <v>93</v>
      </c>
      <c r="N492" s="57">
        <f t="shared" ca="1" si="75"/>
        <v>46267</v>
      </c>
      <c r="O492" s="43" t="s">
        <v>201</v>
      </c>
      <c r="T492" s="69">
        <f t="shared" si="81"/>
        <v>0</v>
      </c>
      <c r="U492" s="46">
        <f t="shared" si="72"/>
        <v>0</v>
      </c>
      <c r="V492" s="82">
        <v>147.05010585744532</v>
      </c>
      <c r="W492" s="4">
        <v>1</v>
      </c>
      <c r="X492" s="67">
        <f t="shared" si="73"/>
        <v>147.05010585744532</v>
      </c>
      <c r="Y492" s="32" t="e">
        <f>IF(+VLOOKUP(I492,P.Referencia!E:S,3,FALSE)&lt;=L492,"Champion","Gerente")</f>
        <v>#N/A</v>
      </c>
      <c r="Z492" s="39" t="e">
        <f>VLOOKUP(I492,P.Referencia!E:S,3,0)</f>
        <v>#N/A</v>
      </c>
      <c r="AA492" s="40" t="e">
        <f t="shared" si="77"/>
        <v>#N/A</v>
      </c>
      <c r="AB492" s="41" t="e">
        <f t="shared" si="78"/>
        <v>#N/A</v>
      </c>
      <c r="AC492" s="41" t="e">
        <f t="shared" si="79"/>
        <v>#N/A</v>
      </c>
      <c r="AD492" t="s">
        <v>427</v>
      </c>
    </row>
    <row r="493" spans="1:30" hidden="1" x14ac:dyDescent="0.25">
      <c r="A493" s="43">
        <v>492</v>
      </c>
      <c r="B493" s="180" t="s">
        <v>389</v>
      </c>
      <c r="C493" s="131" t="str">
        <f t="shared" si="74"/>
        <v>LlaveDU07D358100001101</v>
      </c>
      <c r="D493" s="33" t="str">
        <f>VLOOKUP(E493,'NO MODIFICAR'!J:K,2,0)</f>
        <v>DU07</v>
      </c>
      <c r="E493" s="98" t="s">
        <v>87</v>
      </c>
      <c r="F493" s="33" t="str">
        <f>VLOOKUP(D493,'NO MODIFICAR'!F:H,3,0)</f>
        <v>SURESTE</v>
      </c>
      <c r="G493" s="92" t="s">
        <v>425</v>
      </c>
      <c r="H493" s="93" t="s">
        <v>426</v>
      </c>
      <c r="I493" s="94">
        <v>10000110</v>
      </c>
      <c r="J493" s="56" t="str">
        <f>VLOOKUP(I493,'Materiales,canteras'!C:D,2,0)</f>
        <v>GRAVA TRITURADA CALIZA 20 MM “3/4"–INTEG</v>
      </c>
      <c r="K493" s="33">
        <f>VLOOKUP(I493,'Materiales,canteras'!C:E,3,0)</f>
        <v>1.2010000000000001</v>
      </c>
      <c r="L493" s="105">
        <v>0</v>
      </c>
      <c r="M493" s="28" t="s">
        <v>93</v>
      </c>
      <c r="N493" s="57">
        <f t="shared" ca="1" si="75"/>
        <v>46267</v>
      </c>
      <c r="O493" s="43" t="s">
        <v>201</v>
      </c>
      <c r="T493" s="69">
        <f t="shared" si="81"/>
        <v>0</v>
      </c>
      <c r="U493" s="46">
        <f t="shared" ref="U493:U556" si="82">L493</f>
        <v>0</v>
      </c>
      <c r="V493" s="82">
        <v>173.49708576186509</v>
      </c>
      <c r="W493" s="4">
        <v>1</v>
      </c>
      <c r="X493" s="67">
        <f t="shared" si="73"/>
        <v>173.49708576186509</v>
      </c>
      <c r="Y493" s="32" t="e">
        <f>IF(+VLOOKUP(I493,P.Referencia!E:S,3,FALSE)&lt;=L493,"Champion","Gerente")</f>
        <v>#N/A</v>
      </c>
      <c r="Z493" s="39" t="e">
        <f>VLOOKUP(I493,P.Referencia!E:S,3,0)</f>
        <v>#N/A</v>
      </c>
      <c r="AA493" s="40" t="e">
        <f t="shared" si="77"/>
        <v>#N/A</v>
      </c>
      <c r="AB493" s="41" t="e">
        <f t="shared" si="78"/>
        <v>#N/A</v>
      </c>
      <c r="AC493" s="41" t="e">
        <f t="shared" si="79"/>
        <v>#N/A</v>
      </c>
      <c r="AD493" t="s">
        <v>427</v>
      </c>
    </row>
    <row r="494" spans="1:30" hidden="1" x14ac:dyDescent="0.25">
      <c r="A494" s="43">
        <v>493</v>
      </c>
      <c r="B494" s="180" t="s">
        <v>389</v>
      </c>
      <c r="C494" s="131" t="str">
        <f t="shared" si="74"/>
        <v>LlaveDU07D358100001151</v>
      </c>
      <c r="D494" s="33" t="str">
        <f>VLOOKUP(E494,'NO MODIFICAR'!J:K,2,0)</f>
        <v>DU07</v>
      </c>
      <c r="E494" s="98" t="s">
        <v>87</v>
      </c>
      <c r="F494" s="33" t="str">
        <f>VLOOKUP(D494,'NO MODIFICAR'!F:H,3,0)</f>
        <v>SURESTE</v>
      </c>
      <c r="G494" s="92" t="s">
        <v>425</v>
      </c>
      <c r="H494" s="93" t="s">
        <v>426</v>
      </c>
      <c r="I494" s="94">
        <v>10000115</v>
      </c>
      <c r="J494" s="56" t="str">
        <f>VLOOKUP(I494,'Materiales,canteras'!C:D,2,0)</f>
        <v>Grava Triturada Caliza 10 mm -</v>
      </c>
      <c r="K494" s="33">
        <f>VLOOKUP(I494,'Materiales,canteras'!C:E,3,0)</f>
        <v>1.1559999999999999</v>
      </c>
      <c r="L494" s="105">
        <v>0</v>
      </c>
      <c r="M494" s="28" t="s">
        <v>93</v>
      </c>
      <c r="N494" s="57">
        <f t="shared" ca="1" si="75"/>
        <v>46267</v>
      </c>
      <c r="O494" s="43" t="s">
        <v>201</v>
      </c>
      <c r="T494" s="69">
        <f t="shared" si="81"/>
        <v>0</v>
      </c>
      <c r="U494" s="46">
        <f t="shared" si="82"/>
        <v>0</v>
      </c>
      <c r="V494" s="82">
        <v>180.25086505190313</v>
      </c>
      <c r="W494" s="4">
        <v>1</v>
      </c>
      <c r="X494" s="67">
        <f t="shared" si="73"/>
        <v>180.25086505190313</v>
      </c>
      <c r="Y494" s="32" t="e">
        <f>IF(+VLOOKUP(I494,P.Referencia!E:S,3,FALSE)&lt;=L494,"Champion","Gerente")</f>
        <v>#N/A</v>
      </c>
      <c r="Z494" s="39" t="e">
        <f>VLOOKUP(I494,P.Referencia!E:S,3,0)</f>
        <v>#N/A</v>
      </c>
      <c r="AA494" s="40" t="e">
        <f t="shared" si="77"/>
        <v>#N/A</v>
      </c>
      <c r="AB494" s="41" t="e">
        <f t="shared" si="78"/>
        <v>#N/A</v>
      </c>
      <c r="AC494" s="41" t="e">
        <f t="shared" si="79"/>
        <v>#N/A</v>
      </c>
      <c r="AD494" t="s">
        <v>427</v>
      </c>
    </row>
    <row r="495" spans="1:30" hidden="1" x14ac:dyDescent="0.25">
      <c r="A495" s="43">
        <v>494</v>
      </c>
      <c r="B495" s="180" t="s">
        <v>389</v>
      </c>
      <c r="C495" s="131" t="str">
        <f t="shared" si="74"/>
        <v>LlaveDU07D358100003551</v>
      </c>
      <c r="D495" s="33" t="str">
        <f>VLOOKUP(E495,'NO MODIFICAR'!J:K,2,0)</f>
        <v>DU07</v>
      </c>
      <c r="E495" s="98" t="s">
        <v>87</v>
      </c>
      <c r="F495" s="33" t="str">
        <f>VLOOKUP(D495,'NO MODIFICAR'!F:H,3,0)</f>
        <v>SURESTE</v>
      </c>
      <c r="G495" s="92" t="s">
        <v>425</v>
      </c>
      <c r="H495" s="93" t="s">
        <v>426</v>
      </c>
      <c r="I495" s="94">
        <v>10000355</v>
      </c>
      <c r="J495" s="56" t="str">
        <f>VLOOKUP(I495,'Materiales,canteras'!C:D,2,0)</f>
        <v>Grava Triturada Caliza 13 mm - 1/2"</v>
      </c>
      <c r="K495" s="33">
        <f>VLOOKUP(I495,'Materiales,canteras'!C:E,3,0)</f>
        <v>1.194</v>
      </c>
      <c r="L495" s="105">
        <v>0</v>
      </c>
      <c r="M495" s="28" t="s">
        <v>93</v>
      </c>
      <c r="N495" s="57">
        <f t="shared" ca="1" si="75"/>
        <v>46267</v>
      </c>
      <c r="O495" s="43" t="s">
        <v>201</v>
      </c>
      <c r="T495" s="69">
        <f t="shared" si="81"/>
        <v>0</v>
      </c>
      <c r="U495" s="46">
        <f t="shared" si="82"/>
        <v>0</v>
      </c>
      <c r="V495" s="82">
        <v>174.51423785594642</v>
      </c>
      <c r="W495" s="4">
        <v>1</v>
      </c>
      <c r="X495" s="67">
        <f t="shared" si="73"/>
        <v>174.51423785594642</v>
      </c>
      <c r="Y495" s="32" t="e">
        <f>IF(+VLOOKUP(I495,P.Referencia!E:S,3,FALSE)&lt;=L495,"Champion","Gerente")</f>
        <v>#N/A</v>
      </c>
      <c r="Z495" s="39" t="e">
        <f>VLOOKUP(I495,P.Referencia!E:S,3,0)</f>
        <v>#N/A</v>
      </c>
      <c r="AA495" s="40" t="e">
        <f t="shared" si="77"/>
        <v>#N/A</v>
      </c>
      <c r="AB495" s="41" t="e">
        <f t="shared" si="78"/>
        <v>#N/A</v>
      </c>
      <c r="AC495" s="41" t="e">
        <f t="shared" si="79"/>
        <v>#N/A</v>
      </c>
      <c r="AD495" t="s">
        <v>427</v>
      </c>
    </row>
    <row r="496" spans="1:30" hidden="1" x14ac:dyDescent="0.25">
      <c r="A496" s="43">
        <v>495</v>
      </c>
      <c r="B496" s="180" t="s">
        <v>389</v>
      </c>
      <c r="C496" s="131" t="str">
        <f t="shared" si="74"/>
        <v>LlaveD81667358405100002622</v>
      </c>
      <c r="D496" s="33" t="str">
        <f>VLOOKUP(E496,'NO MODIFICAR'!J:K,2,0)</f>
        <v>D816</v>
      </c>
      <c r="E496" s="98" t="s">
        <v>15</v>
      </c>
      <c r="F496" s="33" t="str">
        <f>VLOOKUP(D496,'NO MODIFICAR'!F:H,3,0)</f>
        <v>NORESTE</v>
      </c>
      <c r="G496" s="92">
        <v>67358405</v>
      </c>
      <c r="H496" s="93" t="s">
        <v>428</v>
      </c>
      <c r="I496" s="94">
        <v>10000262</v>
      </c>
      <c r="J496" s="56" t="str">
        <f>VLOOKUP(I496,'Materiales,canteras'!C:D,2,0)</f>
        <v>Base H Triturada Caliza 1 1/2"</v>
      </c>
      <c r="K496" s="33">
        <f>VLOOKUP(I496,'Materiales,canteras'!C:E,3,0)</f>
        <v>1.821</v>
      </c>
      <c r="L496" s="105">
        <v>280</v>
      </c>
      <c r="M496" s="28" t="s">
        <v>93</v>
      </c>
      <c r="N496" s="57">
        <f t="shared" ca="1" si="75"/>
        <v>46267</v>
      </c>
      <c r="O496" s="43" t="s">
        <v>201</v>
      </c>
      <c r="R496">
        <f>1.5/100</f>
        <v>1.4999999999999999E-2</v>
      </c>
      <c r="S496" s="4">
        <v>310</v>
      </c>
      <c r="T496" s="69">
        <f t="shared" si="81"/>
        <v>-25.350000000000023</v>
      </c>
      <c r="U496" s="46">
        <f t="shared" si="82"/>
        <v>280</v>
      </c>
      <c r="V496" s="82">
        <v>0</v>
      </c>
      <c r="W496" s="4">
        <v>2</v>
      </c>
      <c r="X496" s="67">
        <f t="shared" si="73"/>
        <v>280</v>
      </c>
      <c r="Y496" s="32" t="e">
        <f>IF(+VLOOKUP(I496,P.Referencia!E:S,3,FALSE)&lt;=L496,"Champion","Gerente")</f>
        <v>#N/A</v>
      </c>
      <c r="Z496" s="39" t="e">
        <f>VLOOKUP(I496,P.Referencia!E:S,3,0)</f>
        <v>#N/A</v>
      </c>
      <c r="AA496" s="40" t="e">
        <f t="shared" si="77"/>
        <v>#N/A</v>
      </c>
      <c r="AB496" s="41" t="e">
        <f t="shared" si="78"/>
        <v>#N/A</v>
      </c>
      <c r="AC496" s="41" t="e">
        <f t="shared" si="79"/>
        <v>#N/A</v>
      </c>
    </row>
    <row r="497" spans="1:29" hidden="1" x14ac:dyDescent="0.25">
      <c r="A497" s="43">
        <v>496</v>
      </c>
      <c r="B497" s="180" t="s">
        <v>389</v>
      </c>
      <c r="C497" s="131" t="str">
        <f t="shared" si="74"/>
        <v>LlaveD81667358405100364882</v>
      </c>
      <c r="D497" s="33" t="str">
        <f>VLOOKUP(E497,'NO MODIFICAR'!J:K,2,0)</f>
        <v>D816</v>
      </c>
      <c r="E497" s="98" t="s">
        <v>15</v>
      </c>
      <c r="F497" s="33" t="str">
        <f>VLOOKUP(D497,'NO MODIFICAR'!F:H,3,0)</f>
        <v>NORESTE</v>
      </c>
      <c r="G497" s="92">
        <v>67358405</v>
      </c>
      <c r="H497" s="93" t="s">
        <v>428</v>
      </c>
      <c r="I497" s="94">
        <v>10036488</v>
      </c>
      <c r="J497" s="56" t="str">
        <f>VLOOKUP(I497,'Materiales,canteras'!C:D,2,0)</f>
        <v>Base H Trit Caliza 3/4" a Fino</v>
      </c>
      <c r="K497" s="33">
        <f>VLOOKUP(I497,'Materiales,canteras'!C:E,3,0)</f>
        <v>1.78</v>
      </c>
      <c r="L497" s="105">
        <v>280</v>
      </c>
      <c r="M497" s="28" t="s">
        <v>93</v>
      </c>
      <c r="N497" s="57">
        <f t="shared" ca="1" si="75"/>
        <v>46267</v>
      </c>
      <c r="O497" s="43" t="s">
        <v>201</v>
      </c>
      <c r="R497">
        <f>1.5/100</f>
        <v>1.4999999999999999E-2</v>
      </c>
      <c r="S497" s="4">
        <v>310</v>
      </c>
      <c r="T497" s="69">
        <f t="shared" si="81"/>
        <v>-25.350000000000023</v>
      </c>
      <c r="U497" s="46">
        <f t="shared" si="82"/>
        <v>280</v>
      </c>
      <c r="V497" s="82">
        <v>0</v>
      </c>
      <c r="W497" s="4">
        <v>2</v>
      </c>
      <c r="X497" s="67">
        <f t="shared" si="73"/>
        <v>280</v>
      </c>
      <c r="Y497" s="32" t="e">
        <f>IF(+VLOOKUP(I497,P.Referencia!E:S,3,FALSE)&lt;=L497,"Champion","Gerente")</f>
        <v>#N/A</v>
      </c>
      <c r="Z497" s="39" t="e">
        <f>VLOOKUP(I497,P.Referencia!E:S,3,0)</f>
        <v>#N/A</v>
      </c>
      <c r="AA497" s="40" t="e">
        <f t="shared" si="77"/>
        <v>#N/A</v>
      </c>
      <c r="AB497" s="41" t="e">
        <f t="shared" si="78"/>
        <v>#N/A</v>
      </c>
      <c r="AC497" s="41" t="e">
        <f t="shared" si="79"/>
        <v>#N/A</v>
      </c>
    </row>
    <row r="498" spans="1:29" hidden="1" x14ac:dyDescent="0.25">
      <c r="A498" s="43">
        <v>497</v>
      </c>
      <c r="B498" s="180" t="s">
        <v>389</v>
      </c>
      <c r="C498" s="131" t="str">
        <f t="shared" si="74"/>
        <v>LlaveD864D300100010732</v>
      </c>
      <c r="D498" s="33" t="str">
        <f>VLOOKUP(E498,'NO MODIFICAR'!J:K,2,0)</f>
        <v>D864</v>
      </c>
      <c r="E498" s="98" t="s">
        <v>55</v>
      </c>
      <c r="F498" s="33" t="str">
        <f>VLOOKUP(D498,'NO MODIFICAR'!F:H,3,0)</f>
        <v xml:space="preserve">CENTRO </v>
      </c>
      <c r="G498" s="92" t="s">
        <v>433</v>
      </c>
      <c r="H498" s="93" t="s">
        <v>434</v>
      </c>
      <c r="I498" s="94">
        <v>10001073</v>
      </c>
      <c r="J498" s="56" t="str">
        <f>VLOOKUP(I498,'Materiales,canteras'!C:D,2,0)</f>
        <v>Arena Triturada Caliza Malla 4</v>
      </c>
      <c r="K498" s="33">
        <f>VLOOKUP(I498,'Materiales,canteras'!C:E,3,0)</f>
        <v>1.56</v>
      </c>
      <c r="L498" s="105"/>
      <c r="M498" s="28" t="s">
        <v>93</v>
      </c>
      <c r="N498" s="57">
        <f t="shared" ca="1" si="75"/>
        <v>46267</v>
      </c>
      <c r="O498" s="43" t="s">
        <v>201</v>
      </c>
      <c r="T498" s="69">
        <f t="shared" si="81"/>
        <v>0</v>
      </c>
      <c r="U498" s="46">
        <f t="shared" si="82"/>
        <v>0</v>
      </c>
      <c r="V498" s="82">
        <v>209.43</v>
      </c>
      <c r="W498" s="4">
        <v>2</v>
      </c>
      <c r="X498" s="67">
        <f t="shared" si="73"/>
        <v>209.43</v>
      </c>
      <c r="Y498" s="32" t="e">
        <f>IF(+VLOOKUP(I498,P.Referencia!E:S,3,FALSE)&lt;=L498,"Champion","Gerente")</f>
        <v>#N/A</v>
      </c>
      <c r="Z498" s="39" t="e">
        <f>VLOOKUP(I498,P.Referencia!E:S,3,0)</f>
        <v>#N/A</v>
      </c>
      <c r="AA498" s="40" t="e">
        <f t="shared" si="77"/>
        <v>#N/A</v>
      </c>
      <c r="AB498" s="41" t="e">
        <f t="shared" si="78"/>
        <v>#N/A</v>
      </c>
      <c r="AC498" s="41" t="e">
        <f t="shared" si="79"/>
        <v>#N/A</v>
      </c>
    </row>
    <row r="499" spans="1:29" hidden="1" x14ac:dyDescent="0.25">
      <c r="A499" s="43">
        <v>498</v>
      </c>
      <c r="B499" s="180" t="s">
        <v>389</v>
      </c>
      <c r="C499" s="131" t="str">
        <f t="shared" si="74"/>
        <v>LlaveD864D300100002362</v>
      </c>
      <c r="D499" s="33" t="str">
        <f>VLOOKUP(E499,'NO MODIFICAR'!J:K,2,0)</f>
        <v>D864</v>
      </c>
      <c r="E499" s="98" t="s">
        <v>55</v>
      </c>
      <c r="F499" s="33" t="str">
        <f>VLOOKUP(D499,'NO MODIFICAR'!F:H,3,0)</f>
        <v xml:space="preserve">CENTRO </v>
      </c>
      <c r="G499" s="92" t="s">
        <v>433</v>
      </c>
      <c r="H499" s="93" t="s">
        <v>434</v>
      </c>
      <c r="I499" s="94">
        <v>10000236</v>
      </c>
      <c r="J499" s="56" t="str">
        <f>VLOOKUP(I499,'Materiales,canteras'!C:D,2,0)</f>
        <v>Grava Triturada Caliza 10 mm -</v>
      </c>
      <c r="K499" s="33">
        <f>VLOOKUP(I499,'Materiales,canteras'!C:E,3,0)</f>
        <v>1.41</v>
      </c>
      <c r="L499" s="105"/>
      <c r="M499" s="28" t="s">
        <v>93</v>
      </c>
      <c r="N499" s="57">
        <f t="shared" ca="1" si="75"/>
        <v>46267</v>
      </c>
      <c r="O499" s="43" t="s">
        <v>201</v>
      </c>
      <c r="T499" s="69">
        <f t="shared" si="81"/>
        <v>0</v>
      </c>
      <c r="U499" s="46">
        <f t="shared" si="82"/>
        <v>0</v>
      </c>
      <c r="V499" s="82">
        <v>209.43</v>
      </c>
      <c r="W499" s="4">
        <v>2</v>
      </c>
      <c r="X499" s="67">
        <f t="shared" si="73"/>
        <v>209.43</v>
      </c>
      <c r="Y499" s="32" t="e">
        <f>IF(+VLOOKUP(I499,P.Referencia!E:S,3,FALSE)&lt;=L499,"Champion","Gerente")</f>
        <v>#N/A</v>
      </c>
      <c r="Z499" s="39" t="e">
        <f>VLOOKUP(I499,P.Referencia!E:S,3,0)</f>
        <v>#N/A</v>
      </c>
      <c r="AA499" s="40" t="e">
        <f t="shared" si="77"/>
        <v>#N/A</v>
      </c>
      <c r="AB499" s="41" t="e">
        <f t="shared" si="78"/>
        <v>#N/A</v>
      </c>
      <c r="AC499" s="41" t="e">
        <f t="shared" si="79"/>
        <v>#N/A</v>
      </c>
    </row>
    <row r="500" spans="1:29" hidden="1" x14ac:dyDescent="0.25">
      <c r="A500" s="43">
        <v>499</v>
      </c>
      <c r="B500" s="180" t="s">
        <v>389</v>
      </c>
      <c r="C500" s="131" t="str">
        <f t="shared" si="74"/>
        <v>LlaveD864D300100002402</v>
      </c>
      <c r="D500" s="33" t="str">
        <f>VLOOKUP(E500,'NO MODIFICAR'!J:K,2,0)</f>
        <v>D864</v>
      </c>
      <c r="E500" s="98" t="s">
        <v>55</v>
      </c>
      <c r="F500" s="33" t="str">
        <f>VLOOKUP(D500,'NO MODIFICAR'!F:H,3,0)</f>
        <v xml:space="preserve">CENTRO </v>
      </c>
      <c r="G500" s="92" t="s">
        <v>433</v>
      </c>
      <c r="H500" s="93" t="s">
        <v>434</v>
      </c>
      <c r="I500" s="94">
        <v>10000240</v>
      </c>
      <c r="J500" s="56" t="str">
        <f>VLOOKUP(I500,'Materiales,canteras'!C:D,2,0)</f>
        <v>Grava Triturada Caliza 20 mm -</v>
      </c>
      <c r="K500" s="33">
        <f>VLOOKUP(I500,'Materiales,canteras'!C:E,3,0)</f>
        <v>1.462</v>
      </c>
      <c r="L500" s="105"/>
      <c r="M500" s="28" t="s">
        <v>93</v>
      </c>
      <c r="N500" s="57">
        <f t="shared" ca="1" si="75"/>
        <v>46267</v>
      </c>
      <c r="O500" s="43" t="s">
        <v>201</v>
      </c>
      <c r="T500" s="69">
        <f t="shared" si="81"/>
        <v>0</v>
      </c>
      <c r="U500" s="46">
        <f t="shared" si="82"/>
        <v>0</v>
      </c>
      <c r="V500" s="82">
        <v>209.43</v>
      </c>
      <c r="W500" s="4">
        <v>2</v>
      </c>
      <c r="X500" s="67">
        <f t="shared" si="73"/>
        <v>209.43</v>
      </c>
      <c r="Y500" s="32" t="e">
        <f>IF(+VLOOKUP(I500,P.Referencia!E:S,3,FALSE)&lt;=L500,"Champion","Gerente")</f>
        <v>#N/A</v>
      </c>
      <c r="Z500" s="39" t="e">
        <f>VLOOKUP(I500,P.Referencia!E:S,3,0)</f>
        <v>#N/A</v>
      </c>
      <c r="AA500" s="40" t="e">
        <f t="shared" si="77"/>
        <v>#N/A</v>
      </c>
      <c r="AB500" s="41" t="e">
        <f t="shared" si="78"/>
        <v>#N/A</v>
      </c>
      <c r="AC500" s="41" t="e">
        <f t="shared" si="79"/>
        <v>#N/A</v>
      </c>
    </row>
    <row r="501" spans="1:29" hidden="1" x14ac:dyDescent="0.25">
      <c r="A501" s="43">
        <v>500</v>
      </c>
      <c r="B501" s="180" t="s">
        <v>389</v>
      </c>
      <c r="C501" s="131" t="str">
        <f t="shared" si="74"/>
        <v>LlaveD864D300100010742</v>
      </c>
      <c r="D501" s="33" t="str">
        <f>VLOOKUP(E501,'NO MODIFICAR'!J:K,2,0)</f>
        <v>D864</v>
      </c>
      <c r="E501" s="98" t="s">
        <v>55</v>
      </c>
      <c r="F501" s="33" t="str">
        <f>VLOOKUP(D501,'NO MODIFICAR'!F:H,3,0)</f>
        <v xml:space="preserve">CENTRO </v>
      </c>
      <c r="G501" s="92" t="s">
        <v>433</v>
      </c>
      <c r="H501" s="93" t="s">
        <v>434</v>
      </c>
      <c r="I501" s="94">
        <v>10001074</v>
      </c>
      <c r="J501" s="56" t="str">
        <f>VLOOKUP(I501,'Materiales,canteras'!C:D,2,0)</f>
        <v>Grava Triturada Caliza 40 mm -</v>
      </c>
      <c r="K501" s="33">
        <f>VLOOKUP(I501,'Materiales,canteras'!C:E,3,0)</f>
        <v>1.4</v>
      </c>
      <c r="L501" s="105"/>
      <c r="M501" s="28" t="s">
        <v>93</v>
      </c>
      <c r="N501" s="57">
        <f t="shared" ca="1" si="75"/>
        <v>46267</v>
      </c>
      <c r="O501" s="43" t="s">
        <v>201</v>
      </c>
      <c r="T501" s="69">
        <f t="shared" si="81"/>
        <v>0</v>
      </c>
      <c r="U501" s="46">
        <f t="shared" si="82"/>
        <v>0</v>
      </c>
      <c r="V501" s="82">
        <v>209.43</v>
      </c>
      <c r="W501" s="4">
        <v>2</v>
      </c>
      <c r="X501" s="67">
        <f t="shared" si="73"/>
        <v>209.43</v>
      </c>
      <c r="Y501" s="32" t="e">
        <f>IF(+VLOOKUP(I501,P.Referencia!E:S,3,FALSE)&lt;=L501,"Champion","Gerente")</f>
        <v>#N/A</v>
      </c>
      <c r="Z501" s="39" t="e">
        <f>VLOOKUP(I501,P.Referencia!E:S,3,0)</f>
        <v>#N/A</v>
      </c>
      <c r="AA501" s="40" t="e">
        <f t="shared" si="77"/>
        <v>#N/A</v>
      </c>
      <c r="AB501" s="41" t="e">
        <f t="shared" si="78"/>
        <v>#N/A</v>
      </c>
      <c r="AC501" s="41" t="e">
        <f t="shared" si="79"/>
        <v>#N/A</v>
      </c>
    </row>
    <row r="502" spans="1:29" hidden="1" x14ac:dyDescent="0.25">
      <c r="A502" s="43">
        <v>501</v>
      </c>
      <c r="B502" s="180" t="s">
        <v>389</v>
      </c>
      <c r="C502" s="131" t="str">
        <f t="shared" si="74"/>
        <v>LlaveD864D300100002692</v>
      </c>
      <c r="D502" s="33" t="str">
        <f>VLOOKUP(E502,'NO MODIFICAR'!J:K,2,0)</f>
        <v>D864</v>
      </c>
      <c r="E502" s="98" t="s">
        <v>55</v>
      </c>
      <c r="F502" s="33" t="str">
        <f>VLOOKUP(D502,'NO MODIFICAR'!F:H,3,0)</f>
        <v xml:space="preserve">CENTRO </v>
      </c>
      <c r="G502" s="92" t="s">
        <v>433</v>
      </c>
      <c r="H502" s="93" t="s">
        <v>434</v>
      </c>
      <c r="I502" s="94">
        <v>10000269</v>
      </c>
      <c r="J502" s="56" t="str">
        <f>VLOOKUP(I502,'Materiales,canteras'!C:D,2,0)</f>
        <v>Grava Triturada Caliza 13 mm -</v>
      </c>
      <c r="K502" s="33">
        <f>VLOOKUP(I502,'Materiales,canteras'!C:E,3,0)</f>
        <v>1.423</v>
      </c>
      <c r="L502" s="105"/>
      <c r="M502" s="28" t="s">
        <v>93</v>
      </c>
      <c r="N502" s="57">
        <f t="shared" ca="1" si="75"/>
        <v>46267</v>
      </c>
      <c r="O502" s="43" t="s">
        <v>201</v>
      </c>
      <c r="T502" s="69">
        <f t="shared" si="81"/>
        <v>0</v>
      </c>
      <c r="U502" s="46">
        <f t="shared" si="82"/>
        <v>0</v>
      </c>
      <c r="V502" s="82">
        <v>209.43</v>
      </c>
      <c r="W502" s="4">
        <v>2</v>
      </c>
      <c r="X502" s="67">
        <f t="shared" si="73"/>
        <v>209.43</v>
      </c>
      <c r="Y502" s="32" t="e">
        <f>IF(+VLOOKUP(I502,P.Referencia!E:S,3,FALSE)&lt;=L502,"Champion","Gerente")</f>
        <v>#N/A</v>
      </c>
      <c r="Z502" s="39" t="e">
        <f>VLOOKUP(I502,P.Referencia!E:S,3,0)</f>
        <v>#N/A</v>
      </c>
      <c r="AA502" s="40" t="e">
        <f t="shared" si="77"/>
        <v>#N/A</v>
      </c>
      <c r="AB502" s="41" t="e">
        <f t="shared" si="78"/>
        <v>#N/A</v>
      </c>
      <c r="AC502" s="41" t="e">
        <f t="shared" si="79"/>
        <v>#N/A</v>
      </c>
    </row>
    <row r="503" spans="1:29" hidden="1" x14ac:dyDescent="0.25">
      <c r="A503" s="43">
        <v>502</v>
      </c>
      <c r="B503" s="180" t="s">
        <v>389</v>
      </c>
      <c r="C503" s="131" t="str">
        <f t="shared" si="74"/>
        <v>LlaveD82467359064100002872</v>
      </c>
      <c r="D503" s="33" t="str">
        <f>VLOOKUP(E503,'NO MODIFICAR'!J:K,2,0)</f>
        <v>D824</v>
      </c>
      <c r="E503" s="26" t="s">
        <v>28</v>
      </c>
      <c r="F503" s="33" t="str">
        <f>VLOOKUP(D503,'NO MODIFICAR'!F:H,3,0)</f>
        <v>NORESTE</v>
      </c>
      <c r="G503" s="92">
        <v>67359064</v>
      </c>
      <c r="H503" s="93" t="s">
        <v>438</v>
      </c>
      <c r="I503" s="94">
        <v>10000287</v>
      </c>
      <c r="J503" s="56" t="str">
        <f>VLOOKUP(I503,'Materiales,canteras'!C:D,2,0)</f>
        <v>Grava Triturada Basalto  40 mm</v>
      </c>
      <c r="K503" s="33">
        <f>VLOOKUP(I503,'Materiales,canteras'!C:E,3,0)</f>
        <v>1.44</v>
      </c>
      <c r="L503" s="105">
        <v>180</v>
      </c>
      <c r="M503" s="28" t="s">
        <v>93</v>
      </c>
      <c r="N503" s="57">
        <f t="shared" ca="1" si="75"/>
        <v>46267</v>
      </c>
      <c r="O503" s="43" t="s">
        <v>201</v>
      </c>
      <c r="P503">
        <v>9.25</v>
      </c>
      <c r="Q503">
        <v>1.76</v>
      </c>
      <c r="R503">
        <v>2.61</v>
      </c>
      <c r="S503" s="4">
        <v>185</v>
      </c>
      <c r="T503" s="66">
        <f t="shared" ref="T503:T510" si="83">L503-((S503-P503)-(Q503)-(R503))</f>
        <v>8.6200000000000045</v>
      </c>
      <c r="U503" s="46">
        <f t="shared" si="82"/>
        <v>180</v>
      </c>
      <c r="V503" s="82">
        <v>0</v>
      </c>
      <c r="W503" s="4">
        <v>2</v>
      </c>
      <c r="X503" s="67">
        <f t="shared" si="73"/>
        <v>180</v>
      </c>
      <c r="Y503" s="32" t="e">
        <f>IF(+VLOOKUP(I503,P.Referencia!E:S,3,FALSE)&lt;=L503,"Champion","Gerente")</f>
        <v>#N/A</v>
      </c>
      <c r="Z503" s="39" t="e">
        <f>VLOOKUP(I503,P.Referencia!E:S,3,0)</f>
        <v>#N/A</v>
      </c>
      <c r="AA503" s="40" t="e">
        <f t="shared" si="77"/>
        <v>#N/A</v>
      </c>
      <c r="AB503" s="41" t="e">
        <f t="shared" si="78"/>
        <v>#N/A</v>
      </c>
      <c r="AC503" s="41" t="e">
        <f t="shared" si="79"/>
        <v>#N/A</v>
      </c>
    </row>
    <row r="504" spans="1:29" hidden="1" x14ac:dyDescent="0.25">
      <c r="A504" s="43">
        <v>503</v>
      </c>
      <c r="B504" s="180" t="s">
        <v>389</v>
      </c>
      <c r="C504" s="131" t="str">
        <f t="shared" si="74"/>
        <v>LlaveD82467359064100002842</v>
      </c>
      <c r="D504" s="33" t="str">
        <f>VLOOKUP(E504,'NO MODIFICAR'!J:K,2,0)</f>
        <v>D824</v>
      </c>
      <c r="E504" s="26" t="s">
        <v>28</v>
      </c>
      <c r="F504" s="33" t="str">
        <f>VLOOKUP(D504,'NO MODIFICAR'!F:H,3,0)</f>
        <v>NORESTE</v>
      </c>
      <c r="G504" s="92">
        <v>67359064</v>
      </c>
      <c r="H504" s="93" t="s">
        <v>438</v>
      </c>
      <c r="I504" s="94">
        <v>10000284</v>
      </c>
      <c r="J504" s="56" t="str">
        <f>VLOOKUP(I504,'Materiales,canteras'!C:D,2,0)</f>
        <v>Grava Triturada Basalto  20 mm</v>
      </c>
      <c r="K504" s="33">
        <f>VLOOKUP(I504,'Materiales,canteras'!C:E,3,0)</f>
        <v>1.429</v>
      </c>
      <c r="L504" s="105">
        <v>180</v>
      </c>
      <c r="M504" s="28" t="s">
        <v>93</v>
      </c>
      <c r="N504" s="57">
        <f t="shared" ca="1" si="75"/>
        <v>46267</v>
      </c>
      <c r="O504" s="43" t="s">
        <v>201</v>
      </c>
      <c r="P504">
        <v>9.25</v>
      </c>
      <c r="Q504">
        <v>1.76</v>
      </c>
      <c r="R504">
        <v>2.61</v>
      </c>
      <c r="S504" s="4">
        <v>185</v>
      </c>
      <c r="T504" s="66">
        <f t="shared" si="83"/>
        <v>8.6200000000000045</v>
      </c>
      <c r="U504" s="46">
        <f t="shared" si="82"/>
        <v>180</v>
      </c>
      <c r="V504" s="82">
        <v>0</v>
      </c>
      <c r="W504" s="4">
        <v>2</v>
      </c>
      <c r="X504" s="67">
        <f t="shared" si="73"/>
        <v>180</v>
      </c>
      <c r="Y504" s="32" t="e">
        <f>IF(+VLOOKUP(I504,P.Referencia!E:S,3,FALSE)&lt;=L504,"Champion","Gerente")</f>
        <v>#N/A</v>
      </c>
      <c r="Z504" s="39" t="e">
        <f>VLOOKUP(I504,P.Referencia!E:S,3,0)</f>
        <v>#N/A</v>
      </c>
      <c r="AA504" s="40" t="e">
        <f t="shared" si="77"/>
        <v>#N/A</v>
      </c>
      <c r="AB504" s="41" t="e">
        <f t="shared" si="78"/>
        <v>#N/A</v>
      </c>
      <c r="AC504" s="41" t="e">
        <f t="shared" si="79"/>
        <v>#N/A</v>
      </c>
    </row>
    <row r="505" spans="1:29" hidden="1" x14ac:dyDescent="0.25">
      <c r="A505" s="43">
        <v>504</v>
      </c>
      <c r="B505" s="180" t="s">
        <v>389</v>
      </c>
      <c r="C505" s="131" t="str">
        <f t="shared" si="74"/>
        <v>LlaveD82467359064100002852</v>
      </c>
      <c r="D505" s="33" t="str">
        <f>VLOOKUP(E505,'NO MODIFICAR'!J:K,2,0)</f>
        <v>D824</v>
      </c>
      <c r="E505" s="26" t="s">
        <v>28</v>
      </c>
      <c r="F505" s="33" t="str">
        <f>VLOOKUP(D505,'NO MODIFICAR'!F:H,3,0)</f>
        <v>NORESTE</v>
      </c>
      <c r="G505" s="92">
        <v>67359064</v>
      </c>
      <c r="H505" s="93" t="s">
        <v>438</v>
      </c>
      <c r="I505" s="94">
        <v>10000285</v>
      </c>
      <c r="J505" s="56" t="str">
        <f>VLOOKUP(I505,'Materiales,canteras'!C:D,2,0)</f>
        <v>Grava Triturada Basalto  10 mm</v>
      </c>
      <c r="K505" s="33">
        <f>VLOOKUP(I505,'Materiales,canteras'!C:E,3,0)</f>
        <v>1.46</v>
      </c>
      <c r="L505" s="105">
        <v>180</v>
      </c>
      <c r="M505" s="28" t="s">
        <v>93</v>
      </c>
      <c r="N505" s="57">
        <f t="shared" ca="1" si="75"/>
        <v>46267</v>
      </c>
      <c r="O505" s="43" t="s">
        <v>201</v>
      </c>
      <c r="P505">
        <v>9.5</v>
      </c>
      <c r="Q505">
        <v>1.81</v>
      </c>
      <c r="R505">
        <v>2.68</v>
      </c>
      <c r="S505" s="4">
        <v>190</v>
      </c>
      <c r="T505" s="66">
        <f t="shared" si="83"/>
        <v>3.9900000000000091</v>
      </c>
      <c r="U505" s="46">
        <f t="shared" si="82"/>
        <v>180</v>
      </c>
      <c r="V505" s="82">
        <v>0</v>
      </c>
      <c r="W505" s="4">
        <v>2</v>
      </c>
      <c r="X505" s="67">
        <f t="shared" si="73"/>
        <v>180</v>
      </c>
      <c r="Y505" s="32" t="e">
        <f>IF(+VLOOKUP(I505,P.Referencia!E:S,3,FALSE)&lt;=L505,"Champion","Gerente")</f>
        <v>#N/A</v>
      </c>
      <c r="Z505" s="39" t="e">
        <f>VLOOKUP(I505,P.Referencia!E:S,3,0)</f>
        <v>#N/A</v>
      </c>
      <c r="AA505" s="40" t="e">
        <f t="shared" si="77"/>
        <v>#N/A</v>
      </c>
      <c r="AB505" s="41" t="e">
        <f t="shared" si="78"/>
        <v>#N/A</v>
      </c>
      <c r="AC505" s="41" t="e">
        <f t="shared" si="79"/>
        <v>#N/A</v>
      </c>
    </row>
    <row r="506" spans="1:29" hidden="1" x14ac:dyDescent="0.25">
      <c r="A506" s="43">
        <v>505</v>
      </c>
      <c r="B506" s="180" t="s">
        <v>389</v>
      </c>
      <c r="C506" s="131" t="str">
        <f t="shared" si="74"/>
        <v>LlaveD82467359064100002342</v>
      </c>
      <c r="D506" s="33" t="str">
        <f>VLOOKUP(E506,'NO MODIFICAR'!J:K,2,0)</f>
        <v>D824</v>
      </c>
      <c r="E506" s="26" t="s">
        <v>28</v>
      </c>
      <c r="F506" s="33" t="str">
        <f>VLOOKUP(D506,'NO MODIFICAR'!F:H,3,0)</f>
        <v>NORESTE</v>
      </c>
      <c r="G506" s="92">
        <v>67359064</v>
      </c>
      <c r="H506" s="93" t="s">
        <v>438</v>
      </c>
      <c r="I506" s="94">
        <v>10000234</v>
      </c>
      <c r="J506" s="56" t="str">
        <f>VLOOKUP(I506,'Materiales,canteras'!C:D,2,0)</f>
        <v>Arena Triturada Basalto  Malla</v>
      </c>
      <c r="K506" s="33">
        <f>VLOOKUP(I506,'Materiales,canteras'!C:E,3,0)</f>
        <v>1.7789999999999999</v>
      </c>
      <c r="L506" s="105">
        <v>170</v>
      </c>
      <c r="M506" s="28" t="s">
        <v>93</v>
      </c>
      <c r="N506" s="57">
        <f t="shared" ca="1" si="75"/>
        <v>46267</v>
      </c>
      <c r="O506" s="43" t="s">
        <v>201</v>
      </c>
      <c r="P506">
        <v>8.75</v>
      </c>
      <c r="Q506">
        <v>1.66</v>
      </c>
      <c r="R506">
        <v>2.4700000000000002</v>
      </c>
      <c r="S506" s="4">
        <v>175</v>
      </c>
      <c r="T506" s="66">
        <f t="shared" si="83"/>
        <v>7.8799999999999955</v>
      </c>
      <c r="U506" s="46">
        <f t="shared" si="82"/>
        <v>170</v>
      </c>
      <c r="V506" s="82">
        <v>0</v>
      </c>
      <c r="W506" s="4">
        <v>2</v>
      </c>
      <c r="X506" s="67">
        <f t="shared" si="73"/>
        <v>170</v>
      </c>
      <c r="Y506" s="32" t="e">
        <f>IF(+VLOOKUP(I506,P.Referencia!E:S,3,FALSE)&lt;=L506,"Champion","Gerente")</f>
        <v>#N/A</v>
      </c>
      <c r="Z506" s="39" t="e">
        <f>VLOOKUP(I506,P.Referencia!E:S,3,0)</f>
        <v>#N/A</v>
      </c>
      <c r="AA506" s="40" t="e">
        <f t="shared" si="77"/>
        <v>#N/A</v>
      </c>
      <c r="AB506" s="41" t="e">
        <f t="shared" si="78"/>
        <v>#N/A</v>
      </c>
      <c r="AC506" s="41" t="e">
        <f t="shared" si="79"/>
        <v>#N/A</v>
      </c>
    </row>
    <row r="507" spans="1:29" hidden="1" x14ac:dyDescent="0.25">
      <c r="A507" s="43">
        <v>506</v>
      </c>
      <c r="B507" s="180" t="s">
        <v>389</v>
      </c>
      <c r="C507" s="131" t="str">
        <f t="shared" si="74"/>
        <v>LlaveD82467359064100231082</v>
      </c>
      <c r="D507" s="33" t="str">
        <f>VLOOKUP(E507,'NO MODIFICAR'!J:K,2,0)</f>
        <v>D824</v>
      </c>
      <c r="E507" s="26" t="s">
        <v>28</v>
      </c>
      <c r="F507" s="33" t="str">
        <f>VLOOKUP(D507,'NO MODIFICAR'!F:H,3,0)</f>
        <v>NORESTE</v>
      </c>
      <c r="G507" s="92">
        <v>67359064</v>
      </c>
      <c r="H507" s="93" t="s">
        <v>438</v>
      </c>
      <c r="I507" s="94">
        <v>10023108</v>
      </c>
      <c r="J507" s="56" t="str">
        <f>VLOOKUP(I507,'Materiales,canteras'!C:D,2,0)</f>
        <v>Base H Triturada Basalto  1 1/2" a Finos</v>
      </c>
      <c r="K507" s="33">
        <f>VLOOKUP(I507,'Materiales,canteras'!C:E,3,0)</f>
        <v>1.9690000000000001</v>
      </c>
      <c r="L507" s="105">
        <v>175</v>
      </c>
      <c r="M507" s="28" t="s">
        <v>93</v>
      </c>
      <c r="N507" s="57">
        <f t="shared" ca="1" si="75"/>
        <v>46267</v>
      </c>
      <c r="O507" s="43" t="s">
        <v>201</v>
      </c>
      <c r="P507">
        <v>8.75</v>
      </c>
      <c r="Q507">
        <v>1.66</v>
      </c>
      <c r="R507">
        <v>2.4700000000000002</v>
      </c>
      <c r="S507" s="4">
        <v>175</v>
      </c>
      <c r="T507" s="66">
        <f t="shared" si="83"/>
        <v>12.879999999999995</v>
      </c>
      <c r="U507" s="46">
        <f t="shared" si="82"/>
        <v>175</v>
      </c>
      <c r="V507" s="82">
        <v>0</v>
      </c>
      <c r="W507" s="4">
        <v>2</v>
      </c>
      <c r="X507" s="67">
        <f t="shared" si="73"/>
        <v>175</v>
      </c>
      <c r="Y507" s="32" t="e">
        <f>IF(+VLOOKUP(I507,P.Referencia!E:S,3,FALSE)&lt;=L507,"Champion","Gerente")</f>
        <v>#N/A</v>
      </c>
      <c r="Z507" s="39" t="e">
        <f>VLOOKUP(I507,P.Referencia!E:S,3,0)</f>
        <v>#N/A</v>
      </c>
      <c r="AA507" s="40" t="e">
        <f t="shared" si="77"/>
        <v>#N/A</v>
      </c>
      <c r="AB507" s="41" t="e">
        <f t="shared" si="78"/>
        <v>#N/A</v>
      </c>
      <c r="AC507" s="41" t="e">
        <f t="shared" si="79"/>
        <v>#N/A</v>
      </c>
    </row>
    <row r="508" spans="1:29" hidden="1" x14ac:dyDescent="0.25">
      <c r="A508" s="43">
        <v>507</v>
      </c>
      <c r="B508" s="180" t="s">
        <v>389</v>
      </c>
      <c r="C508" s="131" t="str">
        <f t="shared" si="74"/>
        <v>LlaveD82467359064100010772</v>
      </c>
      <c r="D508" s="33" t="str">
        <f>VLOOKUP(E508,'NO MODIFICAR'!J:K,2,0)</f>
        <v>D824</v>
      </c>
      <c r="E508" s="26" t="s">
        <v>28</v>
      </c>
      <c r="F508" s="33" t="str">
        <f>VLOOKUP(D508,'NO MODIFICAR'!F:H,3,0)</f>
        <v>NORESTE</v>
      </c>
      <c r="G508" s="92">
        <v>67359064</v>
      </c>
      <c r="H508" s="93" t="s">
        <v>438</v>
      </c>
      <c r="I508" s="94">
        <v>10001077</v>
      </c>
      <c r="J508" s="56" t="str">
        <f>VLOOKUP(I508,'Materiales,canteras'!C:D,2,0)</f>
        <v>Crudo Basalto</v>
      </c>
      <c r="K508" s="33">
        <f>VLOOKUP(I508,'Materiales,canteras'!C:E,3,0)</f>
        <v>1.35</v>
      </c>
      <c r="L508" s="105">
        <v>120</v>
      </c>
      <c r="M508" s="28" t="s">
        <v>93</v>
      </c>
      <c r="N508" s="57">
        <f t="shared" ca="1" si="75"/>
        <v>46267</v>
      </c>
      <c r="O508" s="43" t="s">
        <v>201</v>
      </c>
      <c r="P508">
        <v>6</v>
      </c>
      <c r="Q508">
        <v>1.1399999999999999</v>
      </c>
      <c r="R508">
        <v>1.69</v>
      </c>
      <c r="S508" s="4">
        <v>120</v>
      </c>
      <c r="T508" s="66">
        <f t="shared" si="83"/>
        <v>8.8299999999999983</v>
      </c>
      <c r="U508" s="46">
        <f t="shared" si="82"/>
        <v>120</v>
      </c>
      <c r="V508" s="82">
        <v>0</v>
      </c>
      <c r="W508" s="4">
        <v>2</v>
      </c>
      <c r="X508" s="67">
        <f t="shared" ref="X508:X575" si="84">U508+V508</f>
        <v>120</v>
      </c>
      <c r="Y508" s="32" t="e">
        <f>IF(+VLOOKUP(I508,P.Referencia!E:S,3,FALSE)&lt;=L508,"Champion","Gerente")</f>
        <v>#N/A</v>
      </c>
      <c r="Z508" s="39" t="e">
        <f>VLOOKUP(I508,P.Referencia!E:S,3,0)</f>
        <v>#N/A</v>
      </c>
      <c r="AA508" s="40" t="e">
        <f t="shared" si="77"/>
        <v>#N/A</v>
      </c>
      <c r="AB508" s="41" t="e">
        <f t="shared" si="78"/>
        <v>#N/A</v>
      </c>
      <c r="AC508" s="41" t="e">
        <f t="shared" si="79"/>
        <v>#N/A</v>
      </c>
    </row>
    <row r="509" spans="1:29" hidden="1" x14ac:dyDescent="0.25">
      <c r="A509" s="43">
        <v>508</v>
      </c>
      <c r="B509" s="180" t="s">
        <v>389</v>
      </c>
      <c r="C509" s="131" t="str">
        <f t="shared" si="74"/>
        <v>LlaveD82467359064101916472</v>
      </c>
      <c r="D509" s="33" t="str">
        <f>VLOOKUP(E509,'NO MODIFICAR'!J:K,2,0)</f>
        <v>D824</v>
      </c>
      <c r="E509" s="26" t="s">
        <v>28</v>
      </c>
      <c r="F509" s="33" t="str">
        <f>VLOOKUP(D509,'NO MODIFICAR'!F:H,3,0)</f>
        <v>NORESTE</v>
      </c>
      <c r="G509" s="92">
        <v>67359064</v>
      </c>
      <c r="H509" s="93" t="s">
        <v>438</v>
      </c>
      <c r="I509" s="94">
        <v>10191647</v>
      </c>
      <c r="J509" s="56" t="str">
        <f>VLOOKUP(I509,'Materiales,canteras'!C:D,2,0)</f>
        <v>BALASTO 6# A 3#</v>
      </c>
      <c r="K509" s="33">
        <f>VLOOKUP(I509,'Materiales,canteras'!C:E,3,0)</f>
        <v>1.4410000000000001</v>
      </c>
      <c r="L509" s="105">
        <v>140</v>
      </c>
      <c r="M509" s="28" t="s">
        <v>93</v>
      </c>
      <c r="N509" s="57">
        <f t="shared" ca="1" si="75"/>
        <v>46267</v>
      </c>
      <c r="O509" s="43" t="s">
        <v>201</v>
      </c>
      <c r="P509">
        <v>7.5</v>
      </c>
      <c r="Q509">
        <v>1.43</v>
      </c>
      <c r="R509">
        <v>2.12</v>
      </c>
      <c r="S509" s="4">
        <v>150</v>
      </c>
      <c r="T509" s="66">
        <f t="shared" si="83"/>
        <v>1.0500000000000114</v>
      </c>
      <c r="U509" s="46">
        <f t="shared" si="82"/>
        <v>140</v>
      </c>
      <c r="V509" s="82">
        <v>0</v>
      </c>
      <c r="W509" s="4">
        <v>2</v>
      </c>
      <c r="X509" s="67">
        <f t="shared" si="84"/>
        <v>140</v>
      </c>
      <c r="Y509" s="32" t="e">
        <f>IF(+VLOOKUP(I509,P.Referencia!E:S,3,FALSE)&lt;=L509,"Champion","Gerente")</f>
        <v>#N/A</v>
      </c>
      <c r="Z509" s="39" t="e">
        <f>VLOOKUP(I509,P.Referencia!E:S,3,0)</f>
        <v>#N/A</v>
      </c>
      <c r="AA509" s="40" t="e">
        <f t="shared" si="77"/>
        <v>#N/A</v>
      </c>
      <c r="AB509" s="41" t="e">
        <f t="shared" si="78"/>
        <v>#N/A</v>
      </c>
      <c r="AC509" s="41" t="e">
        <f t="shared" si="79"/>
        <v>#N/A</v>
      </c>
    </row>
    <row r="510" spans="1:29" hidden="1" x14ac:dyDescent="0.25">
      <c r="A510" s="43">
        <v>509</v>
      </c>
      <c r="B510" s="180" t="s">
        <v>389</v>
      </c>
      <c r="C510" s="131" t="str">
        <f t="shared" si="74"/>
        <v>LlaveD82467359064100002892</v>
      </c>
      <c r="D510" s="33" t="str">
        <f>VLOOKUP(E510,'NO MODIFICAR'!J:K,2,0)</f>
        <v>D824</v>
      </c>
      <c r="E510" s="26" t="s">
        <v>28</v>
      </c>
      <c r="F510" s="33" t="str">
        <f>VLOOKUP(D510,'NO MODIFICAR'!F:H,3,0)</f>
        <v>NORESTE</v>
      </c>
      <c r="G510" s="92">
        <v>67359064</v>
      </c>
      <c r="H510" s="93" t="s">
        <v>438</v>
      </c>
      <c r="I510" s="94">
        <v>10000289</v>
      </c>
      <c r="J510" s="56" t="str">
        <f>VLOOKUP(I510,'Materiales,canteras'!C:D,2,0)</f>
        <v>Desperdicio Triturado Basalto</v>
      </c>
      <c r="K510" s="33">
        <f>VLOOKUP(I510,'Materiales,canteras'!C:E,3,0)</f>
        <v>1.55</v>
      </c>
      <c r="L510" s="105">
        <v>55</v>
      </c>
      <c r="M510" s="28" t="s">
        <v>93</v>
      </c>
      <c r="N510" s="57">
        <f t="shared" ca="1" si="75"/>
        <v>46267</v>
      </c>
      <c r="O510" s="43" t="s">
        <v>201</v>
      </c>
      <c r="P510">
        <v>3</v>
      </c>
      <c r="Q510">
        <v>0.56999999999999995</v>
      </c>
      <c r="R510">
        <v>0.85</v>
      </c>
      <c r="S510" s="4">
        <v>60</v>
      </c>
      <c r="T510" s="66">
        <f t="shared" si="83"/>
        <v>-0.57999999999999829</v>
      </c>
      <c r="U510" s="46">
        <f t="shared" si="82"/>
        <v>55</v>
      </c>
      <c r="V510" s="82">
        <v>0</v>
      </c>
      <c r="W510" s="4">
        <v>2</v>
      </c>
      <c r="X510" s="67">
        <f t="shared" si="84"/>
        <v>55</v>
      </c>
      <c r="Y510" s="32" t="e">
        <f>IF(+VLOOKUP(I510,P.Referencia!E:S,3,FALSE)&lt;=L510,"Champion","Gerente")</f>
        <v>#N/A</v>
      </c>
      <c r="Z510" s="39" t="e">
        <f>VLOOKUP(I510,P.Referencia!E:S,3,0)</f>
        <v>#N/A</v>
      </c>
      <c r="AA510" s="40" t="e">
        <f t="shared" si="77"/>
        <v>#N/A</v>
      </c>
      <c r="AB510" s="41" t="e">
        <f t="shared" si="78"/>
        <v>#N/A</v>
      </c>
      <c r="AC510" s="41" t="e">
        <f t="shared" si="79"/>
        <v>#N/A</v>
      </c>
    </row>
    <row r="511" spans="1:29" hidden="1" x14ac:dyDescent="0.25">
      <c r="A511" s="43">
        <v>510</v>
      </c>
      <c r="B511" s="180" t="s">
        <v>389</v>
      </c>
      <c r="C511" s="131" t="str">
        <f t="shared" si="74"/>
        <v>LlaveDU07EQ86100001011</v>
      </c>
      <c r="D511" s="33" t="str">
        <f>VLOOKUP(E511,'NO MODIFICAR'!J:K,2,0)</f>
        <v>DU07</v>
      </c>
      <c r="E511" s="98" t="s">
        <v>87</v>
      </c>
      <c r="F511" s="33" t="str">
        <f>VLOOKUP(D511,'NO MODIFICAR'!F:H,3,0)</f>
        <v>SURESTE</v>
      </c>
      <c r="G511" s="92" t="s">
        <v>280</v>
      </c>
      <c r="H511" s="93" t="s">
        <v>281</v>
      </c>
      <c r="I511" s="94">
        <v>10000101</v>
      </c>
      <c r="J511" s="56" t="str">
        <f>VLOOKUP(I511,'Materiales,canteras'!C:D,2,0)</f>
        <v>Arena Triturada Caliza Malla 4</v>
      </c>
      <c r="K511" s="33">
        <f>VLOOKUP(I511,'Materiales,canteras'!C:E,3,0)</f>
        <v>1.417</v>
      </c>
      <c r="L511" s="105">
        <v>289.34368383909668</v>
      </c>
      <c r="M511" s="28" t="s">
        <v>93</v>
      </c>
      <c r="N511" s="57">
        <f t="shared" ca="1" si="75"/>
        <v>46267</v>
      </c>
      <c r="O511" s="43" t="s">
        <v>201</v>
      </c>
      <c r="T511" s="75">
        <f t="shared" ref="T511:T535" si="85">L511-(S511-(S511*R511))</f>
        <v>289.34368383909668</v>
      </c>
      <c r="U511" s="46">
        <f t="shared" si="82"/>
        <v>289.34368383909668</v>
      </c>
      <c r="V511" s="27">
        <v>111.15031757233592</v>
      </c>
      <c r="W511" s="4">
        <v>1</v>
      </c>
      <c r="X511" s="67">
        <f t="shared" si="84"/>
        <v>400.49400141143258</v>
      </c>
      <c r="Y511" s="32" t="e">
        <f>IF(+VLOOKUP(I511,P.Referencia!E:S,3,FALSE)&lt;=L511,"Champion","Gerente")</f>
        <v>#N/A</v>
      </c>
      <c r="Z511" s="39" t="e">
        <f>VLOOKUP(I511,P.Referencia!E:S,3,0)</f>
        <v>#N/A</v>
      </c>
      <c r="AA511" s="40" t="e">
        <f t="shared" si="77"/>
        <v>#N/A</v>
      </c>
      <c r="AB511" s="41" t="e">
        <f t="shared" si="78"/>
        <v>#N/A</v>
      </c>
      <c r="AC511" s="41" t="e">
        <f t="shared" si="79"/>
        <v>#N/A</v>
      </c>
    </row>
    <row r="512" spans="1:29" hidden="1" x14ac:dyDescent="0.25">
      <c r="A512" s="43">
        <v>511</v>
      </c>
      <c r="B512" s="180" t="s">
        <v>389</v>
      </c>
      <c r="C512" s="131" t="str">
        <f t="shared" si="74"/>
        <v>LlaveDU07EQ86100005791</v>
      </c>
      <c r="D512" s="33" t="str">
        <f>VLOOKUP(E512,'NO MODIFICAR'!J:K,2,0)</f>
        <v>DU07</v>
      </c>
      <c r="E512" s="98" t="s">
        <v>87</v>
      </c>
      <c r="F512" s="33" t="str">
        <f>VLOOKUP(D512,'NO MODIFICAR'!F:H,3,0)</f>
        <v>SURESTE</v>
      </c>
      <c r="G512" s="92" t="s">
        <v>280</v>
      </c>
      <c r="H512" s="93" t="s">
        <v>281</v>
      </c>
      <c r="I512" s="94">
        <v>10000579</v>
      </c>
      <c r="J512" s="56" t="str">
        <f>VLOOKUP(I512,'Materiales,canteras'!C:D,2,0)</f>
        <v>Grava Triturada Caliza 40 mm - 1 1/2"</v>
      </c>
      <c r="K512" s="33">
        <f>VLOOKUP(I512,'Materiales,canteras'!C:E,3,0)</f>
        <v>1.387</v>
      </c>
      <c r="L512" s="105">
        <v>227.10886806056237</v>
      </c>
      <c r="M512" s="28" t="s">
        <v>93</v>
      </c>
      <c r="N512" s="57">
        <f t="shared" ca="1" si="75"/>
        <v>46267</v>
      </c>
      <c r="O512" s="43" t="s">
        <v>201</v>
      </c>
      <c r="T512" s="75">
        <f t="shared" si="85"/>
        <v>227.10886806056237</v>
      </c>
      <c r="U512" s="46">
        <f t="shared" si="82"/>
        <v>227.10886806056237</v>
      </c>
      <c r="V512" s="27">
        <v>113.55443403028119</v>
      </c>
      <c r="W512" s="4">
        <v>1</v>
      </c>
      <c r="X512" s="67">
        <f t="shared" si="84"/>
        <v>340.66330209084356</v>
      </c>
      <c r="Y512" s="32" t="e">
        <f>IF(+VLOOKUP(I512,P.Referencia!E:S,3,FALSE)&lt;=L512,"Champion","Gerente")</f>
        <v>#N/A</v>
      </c>
      <c r="Z512" s="39" t="e">
        <f>VLOOKUP(I512,P.Referencia!E:S,3,0)</f>
        <v>#N/A</v>
      </c>
      <c r="AA512" s="40" t="e">
        <f t="shared" si="77"/>
        <v>#N/A</v>
      </c>
      <c r="AB512" s="41" t="e">
        <f t="shared" si="78"/>
        <v>#N/A</v>
      </c>
      <c r="AC512" s="41" t="e">
        <f t="shared" si="79"/>
        <v>#N/A</v>
      </c>
    </row>
    <row r="513" spans="1:29" s="4" customFormat="1" hidden="1" x14ac:dyDescent="0.25">
      <c r="A513" s="24">
        <v>512</v>
      </c>
      <c r="B513" s="89" t="s">
        <v>389</v>
      </c>
      <c r="C513" s="4" t="str">
        <f t="shared" si="74"/>
        <v>LlaveD81666547825100002601</v>
      </c>
      <c r="D513" s="25" t="str">
        <f>VLOOKUP(E513,'NO MODIFICAR'!J:K,2,0)</f>
        <v>D816</v>
      </c>
      <c r="E513" s="98" t="s">
        <v>15</v>
      </c>
      <c r="F513" s="25" t="str">
        <f>VLOOKUP(D513,'NO MODIFICAR'!F:H,3,0)</f>
        <v>NORESTE</v>
      </c>
      <c r="G513" s="28">
        <v>66547825</v>
      </c>
      <c r="H513" s="4" t="s">
        <v>439</v>
      </c>
      <c r="I513" s="191">
        <v>10000260</v>
      </c>
      <c r="J513" s="192" t="str">
        <f>VLOOKUP(I513,'Materiales,canteras'!C:D,2,0)</f>
        <v>Arena Triturada Caliza Malla 5</v>
      </c>
      <c r="K513" s="25">
        <f>VLOOKUP(I513,'Materiales,canteras'!C:E,3,0)</f>
        <v>1.72</v>
      </c>
      <c r="L513" s="199">
        <v>387.87</v>
      </c>
      <c r="M513" s="28" t="s">
        <v>93</v>
      </c>
      <c r="N513" s="193">
        <f t="shared" ca="1" si="75"/>
        <v>46267</v>
      </c>
      <c r="O513" s="24" t="s">
        <v>201</v>
      </c>
      <c r="T513" s="194">
        <f t="shared" si="85"/>
        <v>387.87</v>
      </c>
      <c r="U513" s="88">
        <f t="shared" si="82"/>
        <v>387.87</v>
      </c>
      <c r="V513" s="258">
        <v>145.30000000000001</v>
      </c>
      <c r="W513" s="4">
        <v>1</v>
      </c>
      <c r="X513" s="195">
        <f t="shared" si="84"/>
        <v>533.17000000000007</v>
      </c>
      <c r="Y513" s="29" t="e">
        <f>IF(+VLOOKUP(I513,P.Referencia!E:S,3,FALSE)&lt;=L513,"Champion","Gerente")</f>
        <v>#N/A</v>
      </c>
      <c r="Z513" s="30" t="e">
        <f>VLOOKUP(I513,P.Referencia!E:S,3,0)</f>
        <v>#N/A</v>
      </c>
      <c r="AA513" s="196" t="e">
        <f t="shared" si="77"/>
        <v>#N/A</v>
      </c>
      <c r="AB513" s="197" t="e">
        <f t="shared" si="78"/>
        <v>#N/A</v>
      </c>
      <c r="AC513" s="197" t="e">
        <f t="shared" si="79"/>
        <v>#N/A</v>
      </c>
    </row>
    <row r="514" spans="1:29" s="4" customFormat="1" hidden="1" x14ac:dyDescent="0.25">
      <c r="A514" s="24">
        <v>513</v>
      </c>
      <c r="B514" s="89" t="s">
        <v>389</v>
      </c>
      <c r="C514" s="4" t="str">
        <f t="shared" ref="C514:C576" si="86">_xlfn.CONCAT($C$1,D514,G514,I514,W514)</f>
        <v>LlaveD81666547825100001241</v>
      </c>
      <c r="D514" s="25" t="str">
        <f>VLOOKUP(E514,'NO MODIFICAR'!J:K,2,0)</f>
        <v>D816</v>
      </c>
      <c r="E514" s="98" t="s">
        <v>15</v>
      </c>
      <c r="F514" s="25" t="str">
        <f>VLOOKUP(D514,'NO MODIFICAR'!F:H,3,0)</f>
        <v>NORESTE</v>
      </c>
      <c r="G514" s="28">
        <v>66547825</v>
      </c>
      <c r="H514" s="4" t="s">
        <v>439</v>
      </c>
      <c r="I514" s="29">
        <v>10000124</v>
      </c>
      <c r="J514" s="192" t="str">
        <f>VLOOKUP(I514,'Materiales,canteras'!C:D,2,0)</f>
        <v>Arena Triturada Caliza Malla 4</v>
      </c>
      <c r="K514" s="25">
        <f>VLOOKUP(I514,'Materiales,canteras'!C:E,3,0)</f>
        <v>1.7390000000000001</v>
      </c>
      <c r="L514" s="198">
        <v>387.87</v>
      </c>
      <c r="M514" s="28" t="s">
        <v>93</v>
      </c>
      <c r="N514" s="193">
        <f t="shared" ref="N514:N576" ca="1" si="87">TODAY()</f>
        <v>46267</v>
      </c>
      <c r="O514" s="24" t="s">
        <v>201</v>
      </c>
      <c r="T514" s="194">
        <f t="shared" si="85"/>
        <v>387.87</v>
      </c>
      <c r="U514" s="88">
        <f t="shared" si="82"/>
        <v>387.87</v>
      </c>
      <c r="V514" s="258">
        <v>145.30000000000001</v>
      </c>
      <c r="W514" s="4">
        <v>1</v>
      </c>
      <c r="X514" s="195">
        <f t="shared" si="84"/>
        <v>533.17000000000007</v>
      </c>
      <c r="Y514" s="29" t="e">
        <f>IF(+VLOOKUP(I514,P.Referencia!E:S,3,FALSE)&lt;=L514,"Champion","Gerente")</f>
        <v>#N/A</v>
      </c>
      <c r="Z514" s="30" t="e">
        <f>VLOOKUP(I514,P.Referencia!E:S,3,0)</f>
        <v>#N/A</v>
      </c>
      <c r="AA514" s="196" t="e">
        <f t="shared" ref="AA514:AA575" si="88">(Z514-U514)/U514</f>
        <v>#N/A</v>
      </c>
      <c r="AB514" s="197" t="e">
        <f t="shared" ref="AB514:AB575" si="89">U514*AA514</f>
        <v>#N/A</v>
      </c>
      <c r="AC514" s="197" t="e">
        <f t="shared" ref="AC514:AC575" si="90">U514+AB514</f>
        <v>#N/A</v>
      </c>
    </row>
    <row r="515" spans="1:29" s="4" customFormat="1" hidden="1" x14ac:dyDescent="0.25">
      <c r="A515" s="24">
        <v>514</v>
      </c>
      <c r="B515" s="89" t="s">
        <v>441</v>
      </c>
      <c r="C515" s="4" t="str">
        <f t="shared" si="86"/>
        <v>LlaveD82467360626100231082</v>
      </c>
      <c r="D515" s="25" t="str">
        <f>VLOOKUP(E515,'NO MODIFICAR'!J:K,2,0)</f>
        <v>D824</v>
      </c>
      <c r="E515" s="98" t="s">
        <v>28</v>
      </c>
      <c r="F515" s="25" t="str">
        <f>VLOOKUP(D515,'NO MODIFICAR'!F:H,3,0)</f>
        <v>NORESTE</v>
      </c>
      <c r="G515" s="28">
        <v>67360626</v>
      </c>
      <c r="H515" s="4" t="s">
        <v>440</v>
      </c>
      <c r="I515" s="29">
        <v>10023108</v>
      </c>
      <c r="J515" s="192" t="str">
        <f>VLOOKUP(I515,'Materiales,canteras'!C:D,2,0)</f>
        <v>Base H Triturada Basalto  1 1/2" a Finos</v>
      </c>
      <c r="K515" s="25">
        <f>VLOOKUP(I515,'Materiales,canteras'!C:E,3,0)</f>
        <v>1.9690000000000001</v>
      </c>
      <c r="L515" s="198">
        <v>180</v>
      </c>
      <c r="M515" s="28" t="s">
        <v>93</v>
      </c>
      <c r="N515" s="193">
        <f t="shared" ca="1" si="87"/>
        <v>46267</v>
      </c>
      <c r="O515" s="24" t="s">
        <v>201</v>
      </c>
      <c r="T515" s="194">
        <f t="shared" si="85"/>
        <v>180</v>
      </c>
      <c r="U515" s="88">
        <f t="shared" si="82"/>
        <v>180</v>
      </c>
      <c r="V515" s="258">
        <v>0</v>
      </c>
      <c r="W515" s="4">
        <v>2</v>
      </c>
      <c r="X515" s="195">
        <f t="shared" si="84"/>
        <v>180</v>
      </c>
      <c r="Y515" s="29" t="e">
        <f>IF(+VLOOKUP(I515,P.Referencia!E:S,3,FALSE)&lt;=L515,"Champion","Gerente")</f>
        <v>#N/A</v>
      </c>
      <c r="Z515" s="30" t="e">
        <f>VLOOKUP(I515,P.Referencia!E:S,3,0)</f>
        <v>#N/A</v>
      </c>
      <c r="AA515" s="196" t="e">
        <f t="shared" si="88"/>
        <v>#N/A</v>
      </c>
      <c r="AB515" s="197" t="e">
        <f t="shared" si="89"/>
        <v>#N/A</v>
      </c>
      <c r="AC515" s="197" t="e">
        <f t="shared" si="90"/>
        <v>#N/A</v>
      </c>
    </row>
    <row r="516" spans="1:29" hidden="1" x14ac:dyDescent="0.25">
      <c r="A516" s="24">
        <v>515</v>
      </c>
      <c r="B516" s="89" t="s">
        <v>441</v>
      </c>
      <c r="C516" s="4" t="str">
        <f t="shared" si="86"/>
        <v>LlaveD86167328141100003112</v>
      </c>
      <c r="D516" s="25" t="str">
        <f>VLOOKUP(E516,'NO MODIFICAR'!J:K,2,0)</f>
        <v>D861</v>
      </c>
      <c r="E516" s="102" t="s">
        <v>44</v>
      </c>
      <c r="F516" s="33" t="str">
        <f>VLOOKUP(D516,'NO MODIFICAR'!F:H,3,0)</f>
        <v xml:space="preserve">CENTRO </v>
      </c>
      <c r="G516" s="28">
        <v>67328141</v>
      </c>
      <c r="H516" s="4" t="s">
        <v>442</v>
      </c>
      <c r="I516" s="4">
        <v>10000311</v>
      </c>
      <c r="J516" s="4" t="str">
        <f>VLOOKUP(I516,'Materiales,canteras'!C:D,2,0)</f>
        <v>Arena Triturada Basalto  Malla</v>
      </c>
      <c r="K516" s="25">
        <f>VLOOKUP(I516,'Materiales,canteras'!C:E,3,0)</f>
        <v>1.651</v>
      </c>
      <c r="L516" s="198">
        <v>198</v>
      </c>
      <c r="M516" s="28" t="s">
        <v>93</v>
      </c>
      <c r="N516" s="57">
        <f t="shared" ca="1" si="87"/>
        <v>46267</v>
      </c>
      <c r="O516" s="43" t="s">
        <v>201</v>
      </c>
      <c r="S516" s="4">
        <v>286</v>
      </c>
      <c r="T516" s="75">
        <f t="shared" si="85"/>
        <v>-88</v>
      </c>
      <c r="U516" s="46">
        <f t="shared" si="82"/>
        <v>198</v>
      </c>
      <c r="V516" s="27">
        <v>0</v>
      </c>
      <c r="W516" s="4">
        <v>2</v>
      </c>
      <c r="X516" s="195">
        <f t="shared" si="84"/>
        <v>198</v>
      </c>
      <c r="Y516" s="29" t="e">
        <f>IF(+VLOOKUP(I516,P.Referencia!E:S,3,FALSE)&lt;=L516,"Champion","Gerente")</f>
        <v>#N/A</v>
      </c>
      <c r="Z516" s="39" t="e">
        <f>VLOOKUP(I516,P.Referencia!E:S,3,0)</f>
        <v>#N/A</v>
      </c>
      <c r="AA516" s="40" t="e">
        <f t="shared" si="88"/>
        <v>#N/A</v>
      </c>
      <c r="AB516" s="41" t="e">
        <f t="shared" si="89"/>
        <v>#N/A</v>
      </c>
      <c r="AC516" s="41" t="e">
        <f t="shared" si="90"/>
        <v>#N/A</v>
      </c>
    </row>
    <row r="517" spans="1:29" hidden="1" x14ac:dyDescent="0.25">
      <c r="A517" s="24">
        <v>516</v>
      </c>
      <c r="B517" s="89" t="s">
        <v>444</v>
      </c>
      <c r="C517" s="4" t="str">
        <f t="shared" si="86"/>
        <v>LlaveD86167328141100002292</v>
      </c>
      <c r="D517" s="25" t="str">
        <f>VLOOKUP(E517,'NO MODIFICAR'!J:K,2,0)</f>
        <v>D861</v>
      </c>
      <c r="E517" s="102" t="s">
        <v>44</v>
      </c>
      <c r="F517" s="33" t="str">
        <f>VLOOKUP(D517,'NO MODIFICAR'!F:H,3,0)</f>
        <v xml:space="preserve">CENTRO </v>
      </c>
      <c r="G517" s="28">
        <v>67328141</v>
      </c>
      <c r="H517" s="4" t="s">
        <v>442</v>
      </c>
      <c r="I517" s="4">
        <v>10000229</v>
      </c>
      <c r="J517" s="4" t="str">
        <f>VLOOKUP(I517,'Materiales,canteras'!C:D,2,0)</f>
        <v>Grava Triturada Basalto  10 mm</v>
      </c>
      <c r="K517" s="25">
        <f>VLOOKUP(I517,'Materiales,canteras'!C:E,3,0)</f>
        <v>1.522</v>
      </c>
      <c r="L517" s="198">
        <v>205</v>
      </c>
      <c r="M517" s="28" t="s">
        <v>93</v>
      </c>
      <c r="N517" s="57">
        <f t="shared" ca="1" si="87"/>
        <v>46267</v>
      </c>
      <c r="O517" s="43" t="s">
        <v>201</v>
      </c>
      <c r="S517" s="4">
        <v>352</v>
      </c>
      <c r="T517" s="75">
        <f t="shared" si="85"/>
        <v>-147</v>
      </c>
      <c r="U517" s="46">
        <f t="shared" si="82"/>
        <v>205</v>
      </c>
      <c r="V517" s="27">
        <v>0</v>
      </c>
      <c r="W517" s="4">
        <v>2</v>
      </c>
      <c r="X517" s="195">
        <f t="shared" si="84"/>
        <v>205</v>
      </c>
      <c r="Y517" s="29" t="e">
        <f>IF(+VLOOKUP(I517,P.Referencia!E:S,3,FALSE)&lt;=L517,"Champion","Gerente")</f>
        <v>#N/A</v>
      </c>
      <c r="Z517" s="39" t="e">
        <f>VLOOKUP(I517,P.Referencia!E:S,3,0)</f>
        <v>#N/A</v>
      </c>
      <c r="AA517" s="40" t="e">
        <f t="shared" si="88"/>
        <v>#N/A</v>
      </c>
      <c r="AB517" s="41" t="e">
        <f t="shared" si="89"/>
        <v>#N/A</v>
      </c>
      <c r="AC517" s="41" t="e">
        <f t="shared" si="90"/>
        <v>#N/A</v>
      </c>
    </row>
    <row r="518" spans="1:29" hidden="1" x14ac:dyDescent="0.25">
      <c r="A518" s="24">
        <v>517</v>
      </c>
      <c r="B518" s="89" t="s">
        <v>444</v>
      </c>
      <c r="C518" s="4" t="str">
        <f t="shared" si="86"/>
        <v>LlaveD86167328141100031532</v>
      </c>
      <c r="D518" s="25" t="str">
        <f>VLOOKUP(E518,'NO MODIFICAR'!J:K,2,0)</f>
        <v>D861</v>
      </c>
      <c r="E518" s="102" t="s">
        <v>44</v>
      </c>
      <c r="F518" s="33" t="str">
        <f>VLOOKUP(D518,'NO MODIFICAR'!F:H,3,0)</f>
        <v xml:space="preserve">CENTRO </v>
      </c>
      <c r="G518" s="28">
        <v>67328141</v>
      </c>
      <c r="H518" s="4" t="s">
        <v>442</v>
      </c>
      <c r="I518" s="4">
        <v>10003153</v>
      </c>
      <c r="J518" s="4" t="str">
        <f>VLOOKUP(I518,'Materiales,canteras'!C:D,2,0)</f>
        <v>Grava Triturada Basalto 13 mm</v>
      </c>
      <c r="K518" s="25">
        <f>VLOOKUP(I518,'Materiales,canteras'!C:E,3,0)</f>
        <v>1.546</v>
      </c>
      <c r="L518" s="198">
        <v>205</v>
      </c>
      <c r="M518" s="28" t="s">
        <v>93</v>
      </c>
      <c r="N518" s="57">
        <f t="shared" ca="1" si="87"/>
        <v>46267</v>
      </c>
      <c r="O518" s="43" t="s">
        <v>201</v>
      </c>
      <c r="S518" s="4">
        <v>297</v>
      </c>
      <c r="T518" s="75">
        <f t="shared" si="85"/>
        <v>-92</v>
      </c>
      <c r="U518" s="46">
        <f t="shared" si="82"/>
        <v>205</v>
      </c>
      <c r="V518" s="27">
        <v>0</v>
      </c>
      <c r="W518" s="4">
        <v>2</v>
      </c>
      <c r="X518" s="195">
        <f t="shared" si="84"/>
        <v>205</v>
      </c>
      <c r="Y518" s="29" t="e">
        <f>IF(+VLOOKUP(I518,P.Referencia!E:S,3,FALSE)&lt;=L518,"Champion","Gerente")</f>
        <v>#N/A</v>
      </c>
      <c r="Z518" s="39" t="e">
        <f>VLOOKUP(I518,P.Referencia!E:S,3,0)</f>
        <v>#N/A</v>
      </c>
      <c r="AA518" s="40" t="e">
        <f t="shared" si="88"/>
        <v>#N/A</v>
      </c>
      <c r="AB518" s="41" t="e">
        <f t="shared" si="89"/>
        <v>#N/A</v>
      </c>
      <c r="AC518" s="41" t="e">
        <f t="shared" si="90"/>
        <v>#N/A</v>
      </c>
    </row>
    <row r="519" spans="1:29" hidden="1" x14ac:dyDescent="0.25">
      <c r="A519" s="24">
        <v>518</v>
      </c>
      <c r="B519" s="89" t="s">
        <v>444</v>
      </c>
      <c r="C519" s="4" t="str">
        <f t="shared" si="86"/>
        <v>LlaveD86167328141100002312</v>
      </c>
      <c r="D519" s="25" t="str">
        <f>VLOOKUP(E519,'NO MODIFICAR'!J:K,2,0)</f>
        <v>D861</v>
      </c>
      <c r="E519" s="102" t="s">
        <v>44</v>
      </c>
      <c r="F519" s="33" t="str">
        <f>VLOOKUP(D519,'NO MODIFICAR'!F:H,3,0)</f>
        <v xml:space="preserve">CENTRO </v>
      </c>
      <c r="G519" s="28">
        <v>67328141</v>
      </c>
      <c r="H519" s="4" t="s">
        <v>442</v>
      </c>
      <c r="I519" s="4">
        <v>10000231</v>
      </c>
      <c r="J519" s="4" t="str">
        <f>VLOOKUP(I519,'Materiales,canteras'!C:D,2,0)</f>
        <v>Grava Triturada Basalto 20 mm</v>
      </c>
      <c r="K519" s="25">
        <f>VLOOKUP(I519,'Materiales,canteras'!C:E,3,0)</f>
        <v>1.5649999999999999</v>
      </c>
      <c r="L519" s="198">
        <v>198</v>
      </c>
      <c r="M519" s="28" t="s">
        <v>93</v>
      </c>
      <c r="N519" s="57">
        <f t="shared" ca="1" si="87"/>
        <v>46267</v>
      </c>
      <c r="O519" s="43" t="s">
        <v>201</v>
      </c>
      <c r="S519" s="4">
        <v>308</v>
      </c>
      <c r="T519" s="75">
        <f t="shared" si="85"/>
        <v>-110</v>
      </c>
      <c r="U519" s="46">
        <f t="shared" si="82"/>
        <v>198</v>
      </c>
      <c r="V519" s="27">
        <v>0</v>
      </c>
      <c r="W519" s="4">
        <v>2</v>
      </c>
      <c r="X519" s="195">
        <f t="shared" si="84"/>
        <v>198</v>
      </c>
      <c r="Y519" s="29" t="e">
        <f>IF(+VLOOKUP(I519,P.Referencia!E:S,3,FALSE)&lt;=L519,"Champion","Gerente")</f>
        <v>#N/A</v>
      </c>
      <c r="Z519" s="39" t="e">
        <f>VLOOKUP(I519,P.Referencia!E:S,3,0)</f>
        <v>#N/A</v>
      </c>
      <c r="AA519" s="40" t="e">
        <f t="shared" si="88"/>
        <v>#N/A</v>
      </c>
      <c r="AB519" s="41" t="e">
        <f t="shared" si="89"/>
        <v>#N/A</v>
      </c>
      <c r="AC519" s="41" t="e">
        <f t="shared" si="90"/>
        <v>#N/A</v>
      </c>
    </row>
    <row r="520" spans="1:29" hidden="1" x14ac:dyDescent="0.25">
      <c r="A520" s="24">
        <v>519</v>
      </c>
      <c r="B520" s="89" t="s">
        <v>444</v>
      </c>
      <c r="C520" s="4" t="str">
        <f t="shared" si="86"/>
        <v>LlaveD86167328141100014502</v>
      </c>
      <c r="D520" s="25" t="str">
        <f>VLOOKUP(E520,'NO MODIFICAR'!J:K,2,0)</f>
        <v>D861</v>
      </c>
      <c r="E520" s="102" t="s">
        <v>44</v>
      </c>
      <c r="F520" s="33" t="str">
        <f>VLOOKUP(D520,'NO MODIFICAR'!F:H,3,0)</f>
        <v xml:space="preserve">CENTRO </v>
      </c>
      <c r="G520" s="28">
        <v>67328141</v>
      </c>
      <c r="H520" s="4" t="s">
        <v>442</v>
      </c>
      <c r="I520" s="4">
        <v>10001450</v>
      </c>
      <c r="J520" s="4" t="str">
        <f>VLOOKUP(I520,'Materiales,canteras'!C:D,2,0)</f>
        <v>Base Hidraúlica Basalto de 1 /1/2</v>
      </c>
      <c r="K520" s="25">
        <f>VLOOKUP(I520,'Materiales,canteras'!C:E,3,0)</f>
        <v>1.7490000000000001</v>
      </c>
      <c r="L520" s="198">
        <v>195</v>
      </c>
      <c r="M520" s="28" t="s">
        <v>93</v>
      </c>
      <c r="N520" s="57">
        <f t="shared" ca="1" si="87"/>
        <v>46267</v>
      </c>
      <c r="O520" s="43" t="s">
        <v>201</v>
      </c>
      <c r="S520" s="4">
        <v>286</v>
      </c>
      <c r="T520" s="75">
        <f t="shared" si="85"/>
        <v>-91</v>
      </c>
      <c r="U520" s="46">
        <f t="shared" si="82"/>
        <v>195</v>
      </c>
      <c r="V520" s="27">
        <v>0</v>
      </c>
      <c r="W520" s="4">
        <v>2</v>
      </c>
      <c r="X520" s="195">
        <f t="shared" si="84"/>
        <v>195</v>
      </c>
      <c r="Y520" s="29" t="e">
        <f>IF(+VLOOKUP(I520,P.Referencia!E:S,3,FALSE)&lt;=L520,"Champion","Gerente")</f>
        <v>#N/A</v>
      </c>
      <c r="Z520" s="39" t="e">
        <f>VLOOKUP(I520,P.Referencia!E:S,3,0)</f>
        <v>#N/A</v>
      </c>
      <c r="AA520" s="40" t="e">
        <f t="shared" si="88"/>
        <v>#N/A</v>
      </c>
      <c r="AB520" s="41" t="e">
        <f t="shared" si="89"/>
        <v>#N/A</v>
      </c>
      <c r="AC520" s="41" t="e">
        <f t="shared" si="90"/>
        <v>#N/A</v>
      </c>
    </row>
    <row r="521" spans="1:29" hidden="1" x14ac:dyDescent="0.25">
      <c r="A521" s="24">
        <v>520</v>
      </c>
      <c r="B521" s="89" t="s">
        <v>444</v>
      </c>
      <c r="C521" s="4" t="str">
        <f t="shared" si="86"/>
        <v>LlaveD86167328141100668612</v>
      </c>
      <c r="D521" s="25" t="str">
        <f>VLOOKUP(E521,'NO MODIFICAR'!J:K,2,0)</f>
        <v>D861</v>
      </c>
      <c r="E521" s="102" t="s">
        <v>44</v>
      </c>
      <c r="F521" s="33" t="str">
        <f>VLOOKUP(D521,'NO MODIFICAR'!F:H,3,0)</f>
        <v xml:space="preserve">CENTRO </v>
      </c>
      <c r="G521" s="28">
        <v>67328141</v>
      </c>
      <c r="H521" s="4" t="s">
        <v>442</v>
      </c>
      <c r="I521" s="4">
        <v>10066861</v>
      </c>
      <c r="J521" s="4" t="str">
        <f>VLOOKUP(I521,'Materiales,canteras'!C:D,2,0)</f>
        <v>GRAVA TRITURADA BASALTO DE 40</v>
      </c>
      <c r="K521" s="25">
        <f>VLOOKUP(I521,'Materiales,canteras'!C:E,3,0)</f>
        <v>1.464</v>
      </c>
      <c r="L521" s="198">
        <v>198</v>
      </c>
      <c r="M521" s="28" t="s">
        <v>93</v>
      </c>
      <c r="N521" s="57">
        <f t="shared" ca="1" si="87"/>
        <v>46267</v>
      </c>
      <c r="O521" s="43" t="s">
        <v>201</v>
      </c>
      <c r="S521" s="4">
        <v>220</v>
      </c>
      <c r="T521" s="75">
        <f t="shared" si="85"/>
        <v>-22</v>
      </c>
      <c r="U521" s="46">
        <f t="shared" si="82"/>
        <v>198</v>
      </c>
      <c r="V521" s="27">
        <v>0</v>
      </c>
      <c r="W521" s="4">
        <v>2</v>
      </c>
      <c r="X521" s="195">
        <f t="shared" si="84"/>
        <v>198</v>
      </c>
      <c r="Y521" s="29" t="e">
        <f>IF(+VLOOKUP(I521,P.Referencia!E:S,3,FALSE)&lt;=L521,"Champion","Gerente")</f>
        <v>#N/A</v>
      </c>
      <c r="Z521" s="39" t="e">
        <f>VLOOKUP(I521,P.Referencia!E:S,3,0)</f>
        <v>#N/A</v>
      </c>
      <c r="AA521" s="40" t="e">
        <f t="shared" si="88"/>
        <v>#N/A</v>
      </c>
      <c r="AB521" s="41" t="e">
        <f t="shared" si="89"/>
        <v>#N/A</v>
      </c>
      <c r="AC521" s="41" t="e">
        <f t="shared" si="90"/>
        <v>#N/A</v>
      </c>
    </row>
    <row r="522" spans="1:29" hidden="1" x14ac:dyDescent="0.25">
      <c r="A522" s="24">
        <v>521</v>
      </c>
      <c r="B522" s="89" t="s">
        <v>444</v>
      </c>
      <c r="C522" s="4" t="str">
        <f t="shared" si="86"/>
        <v>LlaveD86167328141100002332</v>
      </c>
      <c r="D522" s="25" t="str">
        <f>VLOOKUP(E522,'NO MODIFICAR'!J:K,2,0)</f>
        <v>D861</v>
      </c>
      <c r="E522" s="102" t="s">
        <v>44</v>
      </c>
      <c r="F522" s="33" t="str">
        <f>VLOOKUP(D522,'NO MODIFICAR'!F:H,3,0)</f>
        <v xml:space="preserve">CENTRO </v>
      </c>
      <c r="G522" s="28">
        <v>67328141</v>
      </c>
      <c r="H522" s="4" t="s">
        <v>442</v>
      </c>
      <c r="I522" s="4">
        <v>10000233</v>
      </c>
      <c r="J522" s="4" t="str">
        <f>VLOOKUP(I522,'Materiales,canteras'!C:D,2,0)</f>
        <v>Grava Triturada Basalto  40 mm</v>
      </c>
      <c r="K522" s="25">
        <f>VLOOKUP(I522,'Materiales,canteras'!C:E,3,0)</f>
        <v>1.456</v>
      </c>
      <c r="L522" s="198">
        <v>198</v>
      </c>
      <c r="M522" s="28" t="s">
        <v>93</v>
      </c>
      <c r="N522" s="57">
        <f t="shared" ca="1" si="87"/>
        <v>46267</v>
      </c>
      <c r="O522" s="43" t="s">
        <v>201</v>
      </c>
      <c r="S522" s="4">
        <v>310</v>
      </c>
      <c r="T522" s="75">
        <f t="shared" si="85"/>
        <v>-112</v>
      </c>
      <c r="U522" s="46">
        <f t="shared" si="82"/>
        <v>198</v>
      </c>
      <c r="V522" s="27">
        <v>0</v>
      </c>
      <c r="W522" s="4">
        <v>2</v>
      </c>
      <c r="X522" s="195">
        <f t="shared" si="84"/>
        <v>198</v>
      </c>
      <c r="Y522" s="29" t="e">
        <f>IF(+VLOOKUP(I522,P.Referencia!E:S,3,FALSE)&lt;=L522,"Champion","Gerente")</f>
        <v>#N/A</v>
      </c>
      <c r="Z522" s="39" t="e">
        <f>VLOOKUP(I522,P.Referencia!E:S,3,0)</f>
        <v>#N/A</v>
      </c>
      <c r="AA522" s="40" t="e">
        <f t="shared" si="88"/>
        <v>#N/A</v>
      </c>
      <c r="AB522" s="41" t="e">
        <f t="shared" si="89"/>
        <v>#N/A</v>
      </c>
      <c r="AC522" s="41" t="e">
        <f t="shared" si="90"/>
        <v>#N/A</v>
      </c>
    </row>
    <row r="523" spans="1:29" hidden="1" x14ac:dyDescent="0.25">
      <c r="A523" s="24">
        <v>522</v>
      </c>
      <c r="B523" s="89" t="s">
        <v>444</v>
      </c>
      <c r="C523" s="4" t="str">
        <f t="shared" si="86"/>
        <v>LlaveD86167328141100002902</v>
      </c>
      <c r="D523" s="25" t="str">
        <f>VLOOKUP(E523,'NO MODIFICAR'!J:K,2,0)</f>
        <v>D861</v>
      </c>
      <c r="E523" s="102" t="s">
        <v>44</v>
      </c>
      <c r="F523" s="33" t="str">
        <f>VLOOKUP(D523,'NO MODIFICAR'!F:H,3,0)</f>
        <v xml:space="preserve">CENTRO </v>
      </c>
      <c r="G523" s="28">
        <v>67328141</v>
      </c>
      <c r="H523" s="4" t="s">
        <v>442</v>
      </c>
      <c r="I523" s="4">
        <v>10000290</v>
      </c>
      <c r="J523" s="4" t="str">
        <f>VLOOKUP(I523,'Materiales,canteras'!C:D,2,0)</f>
        <v>Polvos Triturado Basalto 3/4"</v>
      </c>
      <c r="K523" s="25">
        <f>VLOOKUP(I523,'Materiales,canteras'!C:E,3,0)</f>
        <v>1.3720000000000001</v>
      </c>
      <c r="L523" s="198">
        <v>18</v>
      </c>
      <c r="M523" s="28" t="s">
        <v>93</v>
      </c>
      <c r="N523" s="57">
        <f t="shared" ca="1" si="87"/>
        <v>46267</v>
      </c>
      <c r="O523" s="43" t="s">
        <v>201</v>
      </c>
      <c r="S523" s="4">
        <v>28</v>
      </c>
      <c r="T523" s="75">
        <f t="shared" si="85"/>
        <v>-10</v>
      </c>
      <c r="U523" s="46">
        <f t="shared" si="82"/>
        <v>18</v>
      </c>
      <c r="V523" s="27">
        <v>0</v>
      </c>
      <c r="W523" s="4">
        <v>2</v>
      </c>
      <c r="X523" s="195">
        <f t="shared" si="84"/>
        <v>18</v>
      </c>
      <c r="Y523" s="29" t="e">
        <f>IF(+VLOOKUP(I523,P.Referencia!E:S,3,FALSE)&lt;=L523,"Champion","Gerente")</f>
        <v>#N/A</v>
      </c>
      <c r="Z523" s="39" t="e">
        <f>VLOOKUP(I523,P.Referencia!E:S,3,0)</f>
        <v>#N/A</v>
      </c>
      <c r="AA523" s="40" t="e">
        <f t="shared" si="88"/>
        <v>#N/A</v>
      </c>
      <c r="AB523" s="41" t="e">
        <f t="shared" si="89"/>
        <v>#N/A</v>
      </c>
      <c r="AC523" s="41" t="e">
        <f t="shared" si="90"/>
        <v>#N/A</v>
      </c>
    </row>
    <row r="524" spans="1:29" hidden="1" x14ac:dyDescent="0.25">
      <c r="A524" s="24">
        <v>523</v>
      </c>
      <c r="B524" s="89" t="s">
        <v>444</v>
      </c>
      <c r="C524" s="4" t="str">
        <f t="shared" si="86"/>
        <v>LlaveD86167357397100003112</v>
      </c>
      <c r="D524" s="25" t="str">
        <f>VLOOKUP(E524,'NO MODIFICAR'!J:K,2,0)</f>
        <v>D861</v>
      </c>
      <c r="E524" s="102" t="s">
        <v>44</v>
      </c>
      <c r="F524" s="33" t="str">
        <f>VLOOKUP(D524,'NO MODIFICAR'!F:H,3,0)</f>
        <v xml:space="preserve">CENTRO </v>
      </c>
      <c r="G524" s="28">
        <v>67357397</v>
      </c>
      <c r="H524" s="4" t="s">
        <v>443</v>
      </c>
      <c r="I524" s="4">
        <v>10000311</v>
      </c>
      <c r="J524" s="4" t="str">
        <f>VLOOKUP(I524,'Materiales,canteras'!C:D,2,0)</f>
        <v>Arena Triturada Basalto  Malla</v>
      </c>
      <c r="K524" s="25">
        <f>VLOOKUP(I524,'Materiales,canteras'!C:E,3,0)</f>
        <v>1.651</v>
      </c>
      <c r="L524" s="198">
        <v>198</v>
      </c>
      <c r="M524" s="28" t="s">
        <v>93</v>
      </c>
      <c r="N524" s="57">
        <f t="shared" ca="1" si="87"/>
        <v>46267</v>
      </c>
      <c r="O524" s="43" t="s">
        <v>201</v>
      </c>
      <c r="R524">
        <f t="shared" ref="R524:R531" si="91">1.5/100</f>
        <v>1.4999999999999999E-2</v>
      </c>
      <c r="S524" s="4">
        <v>286</v>
      </c>
      <c r="T524" s="75">
        <f t="shared" si="85"/>
        <v>-83.70999999999998</v>
      </c>
      <c r="U524" s="46">
        <f t="shared" si="82"/>
        <v>198</v>
      </c>
      <c r="V524" s="27">
        <v>0</v>
      </c>
      <c r="W524" s="4">
        <v>2</v>
      </c>
      <c r="X524" s="195">
        <f t="shared" si="84"/>
        <v>198</v>
      </c>
      <c r="Y524" s="29" t="e">
        <f>IF(+VLOOKUP(I524,P.Referencia!E:S,3,FALSE)&lt;=L524,"Champion","Gerente")</f>
        <v>#N/A</v>
      </c>
      <c r="Z524" s="39" t="e">
        <f>VLOOKUP(I524,P.Referencia!E:S,3,0)</f>
        <v>#N/A</v>
      </c>
      <c r="AA524" s="40" t="e">
        <f t="shared" si="88"/>
        <v>#N/A</v>
      </c>
      <c r="AB524" s="41" t="e">
        <f t="shared" si="89"/>
        <v>#N/A</v>
      </c>
      <c r="AC524" s="41" t="e">
        <f t="shared" si="90"/>
        <v>#N/A</v>
      </c>
    </row>
    <row r="525" spans="1:29" hidden="1" x14ac:dyDescent="0.25">
      <c r="A525" s="24">
        <v>524</v>
      </c>
      <c r="B525" s="89" t="s">
        <v>444</v>
      </c>
      <c r="C525" s="4" t="str">
        <f t="shared" si="86"/>
        <v>LlaveD86167357397100002292</v>
      </c>
      <c r="D525" s="25" t="str">
        <f>VLOOKUP(E525,'NO MODIFICAR'!J:K,2,0)</f>
        <v>D861</v>
      </c>
      <c r="E525" s="102" t="s">
        <v>44</v>
      </c>
      <c r="F525" s="33" t="str">
        <f>VLOOKUP(D525,'NO MODIFICAR'!F:H,3,0)</f>
        <v xml:space="preserve">CENTRO </v>
      </c>
      <c r="G525" s="28">
        <v>67357397</v>
      </c>
      <c r="H525" s="4" t="s">
        <v>443</v>
      </c>
      <c r="I525" s="4">
        <v>10000229</v>
      </c>
      <c r="J525" s="4" t="str">
        <f>VLOOKUP(I525,'Materiales,canteras'!C:D,2,0)</f>
        <v>Grava Triturada Basalto  10 mm</v>
      </c>
      <c r="K525" s="25">
        <f>VLOOKUP(I525,'Materiales,canteras'!C:E,3,0)</f>
        <v>1.522</v>
      </c>
      <c r="L525" s="198">
        <v>205</v>
      </c>
      <c r="M525" s="28" t="s">
        <v>93</v>
      </c>
      <c r="N525" s="57">
        <f t="shared" ca="1" si="87"/>
        <v>46267</v>
      </c>
      <c r="O525" s="43" t="s">
        <v>201</v>
      </c>
      <c r="R525">
        <f t="shared" si="91"/>
        <v>1.4999999999999999E-2</v>
      </c>
      <c r="S525" s="4">
        <v>352</v>
      </c>
      <c r="T525" s="75">
        <f t="shared" si="85"/>
        <v>-141.72000000000003</v>
      </c>
      <c r="U525" s="46">
        <f t="shared" si="82"/>
        <v>205</v>
      </c>
      <c r="V525" s="27">
        <v>0</v>
      </c>
      <c r="W525" s="4">
        <v>2</v>
      </c>
      <c r="X525" s="195">
        <f t="shared" si="84"/>
        <v>205</v>
      </c>
      <c r="Y525" s="29" t="e">
        <f>IF(+VLOOKUP(I525,P.Referencia!E:S,3,FALSE)&lt;=L525,"Champion","Gerente")</f>
        <v>#N/A</v>
      </c>
      <c r="Z525" s="39" t="e">
        <f>VLOOKUP(I525,P.Referencia!E:S,3,0)</f>
        <v>#N/A</v>
      </c>
      <c r="AA525" s="40" t="e">
        <f t="shared" si="88"/>
        <v>#N/A</v>
      </c>
      <c r="AB525" s="41" t="e">
        <f t="shared" si="89"/>
        <v>#N/A</v>
      </c>
      <c r="AC525" s="41" t="e">
        <f t="shared" si="90"/>
        <v>#N/A</v>
      </c>
    </row>
    <row r="526" spans="1:29" hidden="1" x14ac:dyDescent="0.25">
      <c r="A526" s="24">
        <v>525</v>
      </c>
      <c r="B526" s="89" t="s">
        <v>444</v>
      </c>
      <c r="C526" s="4" t="str">
        <f t="shared" si="86"/>
        <v>LlaveD86167357397100031532</v>
      </c>
      <c r="D526" s="25" t="str">
        <f>VLOOKUP(E526,'NO MODIFICAR'!J:K,2,0)</f>
        <v>D861</v>
      </c>
      <c r="E526" s="102" t="s">
        <v>44</v>
      </c>
      <c r="F526" s="33" t="str">
        <f>VLOOKUP(D526,'NO MODIFICAR'!F:H,3,0)</f>
        <v xml:space="preserve">CENTRO </v>
      </c>
      <c r="G526" s="28">
        <v>67357397</v>
      </c>
      <c r="H526" s="4" t="s">
        <v>443</v>
      </c>
      <c r="I526" s="4">
        <v>10003153</v>
      </c>
      <c r="J526" s="4" t="str">
        <f>VLOOKUP(I526,'Materiales,canteras'!C:D,2,0)</f>
        <v>Grava Triturada Basalto 13 mm</v>
      </c>
      <c r="K526" s="25">
        <f>VLOOKUP(I526,'Materiales,canteras'!C:E,3,0)</f>
        <v>1.546</v>
      </c>
      <c r="L526" s="198">
        <v>205</v>
      </c>
      <c r="M526" s="28" t="s">
        <v>93</v>
      </c>
      <c r="N526" s="57">
        <f t="shared" ca="1" si="87"/>
        <v>46267</v>
      </c>
      <c r="O526" s="43" t="s">
        <v>201</v>
      </c>
      <c r="R526">
        <f t="shared" si="91"/>
        <v>1.4999999999999999E-2</v>
      </c>
      <c r="S526" s="4">
        <v>297</v>
      </c>
      <c r="T526" s="75">
        <f t="shared" si="85"/>
        <v>-87.545000000000016</v>
      </c>
      <c r="U526" s="46">
        <f t="shared" si="82"/>
        <v>205</v>
      </c>
      <c r="V526" s="27">
        <v>0</v>
      </c>
      <c r="W526" s="4">
        <v>2</v>
      </c>
      <c r="X526" s="195">
        <f t="shared" si="84"/>
        <v>205</v>
      </c>
      <c r="Y526" s="29" t="e">
        <f>IF(+VLOOKUP(I526,P.Referencia!E:S,3,FALSE)&lt;=L526,"Champion","Gerente")</f>
        <v>#N/A</v>
      </c>
      <c r="Z526" s="39" t="e">
        <f>VLOOKUP(I526,P.Referencia!E:S,3,0)</f>
        <v>#N/A</v>
      </c>
      <c r="AA526" s="40" t="e">
        <f t="shared" si="88"/>
        <v>#N/A</v>
      </c>
      <c r="AB526" s="41" t="e">
        <f t="shared" si="89"/>
        <v>#N/A</v>
      </c>
      <c r="AC526" s="41" t="e">
        <f t="shared" si="90"/>
        <v>#N/A</v>
      </c>
    </row>
    <row r="527" spans="1:29" hidden="1" x14ac:dyDescent="0.25">
      <c r="A527" s="24">
        <v>526</v>
      </c>
      <c r="B527" s="89" t="s">
        <v>444</v>
      </c>
      <c r="C527" s="4" t="str">
        <f t="shared" si="86"/>
        <v>LlaveD86167357397100002312</v>
      </c>
      <c r="D527" s="25" t="str">
        <f>VLOOKUP(E527,'NO MODIFICAR'!J:K,2,0)</f>
        <v>D861</v>
      </c>
      <c r="E527" s="102" t="s">
        <v>44</v>
      </c>
      <c r="F527" s="33" t="str">
        <f>VLOOKUP(D527,'NO MODIFICAR'!F:H,3,0)</f>
        <v xml:space="preserve">CENTRO </v>
      </c>
      <c r="G527" s="28">
        <v>67357397</v>
      </c>
      <c r="H527" s="4" t="s">
        <v>443</v>
      </c>
      <c r="I527" s="4">
        <v>10000231</v>
      </c>
      <c r="J527" s="4" t="str">
        <f>VLOOKUP(I527,'Materiales,canteras'!C:D,2,0)</f>
        <v>Grava Triturada Basalto 20 mm</v>
      </c>
      <c r="K527" s="25">
        <f>VLOOKUP(I527,'Materiales,canteras'!C:E,3,0)</f>
        <v>1.5649999999999999</v>
      </c>
      <c r="L527" s="198">
        <v>198</v>
      </c>
      <c r="M527" s="28" t="s">
        <v>93</v>
      </c>
      <c r="N527" s="57">
        <f t="shared" ca="1" si="87"/>
        <v>46267</v>
      </c>
      <c r="O527" s="43" t="s">
        <v>201</v>
      </c>
      <c r="R527">
        <f t="shared" si="91"/>
        <v>1.4999999999999999E-2</v>
      </c>
      <c r="S527" s="4">
        <v>308</v>
      </c>
      <c r="T527" s="75">
        <f t="shared" si="85"/>
        <v>-105.38</v>
      </c>
      <c r="U527" s="46">
        <f t="shared" si="82"/>
        <v>198</v>
      </c>
      <c r="V527" s="27">
        <v>0</v>
      </c>
      <c r="W527" s="4">
        <v>2</v>
      </c>
      <c r="X527" s="195">
        <f t="shared" si="84"/>
        <v>198</v>
      </c>
      <c r="Y527" s="29" t="e">
        <f>IF(+VLOOKUP(I527,P.Referencia!E:S,3,FALSE)&lt;=L527,"Champion","Gerente")</f>
        <v>#N/A</v>
      </c>
      <c r="Z527" s="39" t="e">
        <f>VLOOKUP(I527,P.Referencia!E:S,3,0)</f>
        <v>#N/A</v>
      </c>
      <c r="AA527" s="40" t="e">
        <f t="shared" si="88"/>
        <v>#N/A</v>
      </c>
      <c r="AB527" s="41" t="e">
        <f t="shared" si="89"/>
        <v>#N/A</v>
      </c>
      <c r="AC527" s="41" t="e">
        <f t="shared" si="90"/>
        <v>#N/A</v>
      </c>
    </row>
    <row r="528" spans="1:29" hidden="1" x14ac:dyDescent="0.25">
      <c r="A528" s="24">
        <v>527</v>
      </c>
      <c r="B528" s="89" t="s">
        <v>444</v>
      </c>
      <c r="C528" s="4" t="str">
        <f t="shared" si="86"/>
        <v>LlaveD86167357397100014502</v>
      </c>
      <c r="D528" s="25" t="str">
        <f>VLOOKUP(E528,'NO MODIFICAR'!J:K,2,0)</f>
        <v>D861</v>
      </c>
      <c r="E528" s="102" t="s">
        <v>44</v>
      </c>
      <c r="F528" s="33" t="str">
        <f>VLOOKUP(D528,'NO MODIFICAR'!F:H,3,0)</f>
        <v xml:space="preserve">CENTRO </v>
      </c>
      <c r="G528" s="28">
        <v>67357397</v>
      </c>
      <c r="H528" s="4" t="s">
        <v>443</v>
      </c>
      <c r="I528" s="4">
        <v>10001450</v>
      </c>
      <c r="J528" s="4" t="str">
        <f>VLOOKUP(I528,'Materiales,canteras'!C:D,2,0)</f>
        <v>Base Hidraúlica Basalto de 1 /1/2</v>
      </c>
      <c r="K528" s="25">
        <f>VLOOKUP(I528,'Materiales,canteras'!C:E,3,0)</f>
        <v>1.7490000000000001</v>
      </c>
      <c r="L528" s="198">
        <v>195</v>
      </c>
      <c r="M528" s="28" t="s">
        <v>93</v>
      </c>
      <c r="N528" s="57">
        <f t="shared" ca="1" si="87"/>
        <v>46267</v>
      </c>
      <c r="O528" s="43" t="s">
        <v>201</v>
      </c>
      <c r="R528">
        <f t="shared" si="91"/>
        <v>1.4999999999999999E-2</v>
      </c>
      <c r="S528" s="4">
        <v>286</v>
      </c>
      <c r="T528" s="75">
        <f t="shared" si="85"/>
        <v>-86.70999999999998</v>
      </c>
      <c r="U528" s="46">
        <f t="shared" si="82"/>
        <v>195</v>
      </c>
      <c r="V528" s="27">
        <v>0</v>
      </c>
      <c r="W528" s="4">
        <v>2</v>
      </c>
      <c r="X528" s="195">
        <f t="shared" si="84"/>
        <v>195</v>
      </c>
      <c r="Y528" s="29" t="e">
        <f>IF(+VLOOKUP(I528,P.Referencia!E:S,3,FALSE)&lt;=L528,"Champion","Gerente")</f>
        <v>#N/A</v>
      </c>
      <c r="Z528" s="39" t="e">
        <f>VLOOKUP(I528,P.Referencia!E:S,3,0)</f>
        <v>#N/A</v>
      </c>
      <c r="AA528" s="40" t="e">
        <f t="shared" si="88"/>
        <v>#N/A</v>
      </c>
      <c r="AB528" s="41" t="e">
        <f t="shared" si="89"/>
        <v>#N/A</v>
      </c>
      <c r="AC528" s="41" t="e">
        <f t="shared" si="90"/>
        <v>#N/A</v>
      </c>
    </row>
    <row r="529" spans="1:30" hidden="1" x14ac:dyDescent="0.25">
      <c r="A529" s="24">
        <v>528</v>
      </c>
      <c r="B529" s="89" t="s">
        <v>444</v>
      </c>
      <c r="C529" s="4" t="str">
        <f t="shared" si="86"/>
        <v>LlaveD86167357397100668612</v>
      </c>
      <c r="D529" s="25" t="str">
        <f>VLOOKUP(E529,'NO MODIFICAR'!J:K,2,0)</f>
        <v>D861</v>
      </c>
      <c r="E529" s="102" t="s">
        <v>44</v>
      </c>
      <c r="F529" s="33" t="str">
        <f>VLOOKUP(D529,'NO MODIFICAR'!F:H,3,0)</f>
        <v xml:space="preserve">CENTRO </v>
      </c>
      <c r="G529" s="28">
        <v>67357397</v>
      </c>
      <c r="H529" s="4" t="s">
        <v>443</v>
      </c>
      <c r="I529" s="4">
        <v>10066861</v>
      </c>
      <c r="J529" s="4" t="str">
        <f>VLOOKUP(I529,'Materiales,canteras'!C:D,2,0)</f>
        <v>GRAVA TRITURADA BASALTO DE 40</v>
      </c>
      <c r="K529" s="25">
        <f>VLOOKUP(I529,'Materiales,canteras'!C:E,3,0)</f>
        <v>1.464</v>
      </c>
      <c r="L529" s="198">
        <v>198</v>
      </c>
      <c r="M529" s="28" t="s">
        <v>93</v>
      </c>
      <c r="N529" s="57">
        <f t="shared" ca="1" si="87"/>
        <v>46267</v>
      </c>
      <c r="O529" s="43" t="s">
        <v>201</v>
      </c>
      <c r="R529">
        <f t="shared" si="91"/>
        <v>1.4999999999999999E-2</v>
      </c>
      <c r="S529" s="4">
        <v>220</v>
      </c>
      <c r="T529" s="75">
        <f t="shared" si="85"/>
        <v>-18.699999999999989</v>
      </c>
      <c r="U529" s="46">
        <f t="shared" si="82"/>
        <v>198</v>
      </c>
      <c r="V529" s="27">
        <v>0</v>
      </c>
      <c r="W529" s="4">
        <v>2</v>
      </c>
      <c r="X529" s="195">
        <f t="shared" si="84"/>
        <v>198</v>
      </c>
      <c r="Y529" s="29" t="e">
        <f>IF(+VLOOKUP(I529,P.Referencia!E:S,3,FALSE)&lt;=L529,"Champion","Gerente")</f>
        <v>#N/A</v>
      </c>
      <c r="Z529" s="39" t="e">
        <f>VLOOKUP(I529,P.Referencia!E:S,3,0)</f>
        <v>#N/A</v>
      </c>
      <c r="AA529" s="40" t="e">
        <f t="shared" si="88"/>
        <v>#N/A</v>
      </c>
      <c r="AB529" s="41" t="e">
        <f t="shared" si="89"/>
        <v>#N/A</v>
      </c>
      <c r="AC529" s="41" t="e">
        <f t="shared" si="90"/>
        <v>#N/A</v>
      </c>
    </row>
    <row r="530" spans="1:30" hidden="1" x14ac:dyDescent="0.25">
      <c r="A530" s="24">
        <v>529</v>
      </c>
      <c r="B530" s="89" t="s">
        <v>444</v>
      </c>
      <c r="C530" s="4" t="str">
        <f t="shared" si="86"/>
        <v>LlaveD86167357397100002332</v>
      </c>
      <c r="D530" s="25" t="str">
        <f>VLOOKUP(E530,'NO MODIFICAR'!J:K,2,0)</f>
        <v>D861</v>
      </c>
      <c r="E530" s="102" t="s">
        <v>44</v>
      </c>
      <c r="F530" s="33" t="str">
        <f>VLOOKUP(D530,'NO MODIFICAR'!F:H,3,0)</f>
        <v xml:space="preserve">CENTRO </v>
      </c>
      <c r="G530" s="28">
        <v>67357397</v>
      </c>
      <c r="H530" s="4" t="s">
        <v>443</v>
      </c>
      <c r="I530" s="4">
        <v>10000233</v>
      </c>
      <c r="J530" s="4" t="str">
        <f>VLOOKUP(I530,'Materiales,canteras'!C:D,2,0)</f>
        <v>Grava Triturada Basalto  40 mm</v>
      </c>
      <c r="K530" s="25">
        <f>VLOOKUP(I530,'Materiales,canteras'!C:E,3,0)</f>
        <v>1.456</v>
      </c>
      <c r="L530" s="198">
        <v>198</v>
      </c>
      <c r="M530" s="28" t="s">
        <v>93</v>
      </c>
      <c r="N530" s="57">
        <f t="shared" ca="1" si="87"/>
        <v>46267</v>
      </c>
      <c r="O530" s="43" t="s">
        <v>201</v>
      </c>
      <c r="R530">
        <f t="shared" si="91"/>
        <v>1.4999999999999999E-2</v>
      </c>
      <c r="S530" s="4">
        <v>310</v>
      </c>
      <c r="T530" s="75">
        <f t="shared" si="85"/>
        <v>-107.35000000000002</v>
      </c>
      <c r="U530" s="46">
        <f t="shared" si="82"/>
        <v>198</v>
      </c>
      <c r="V530" s="27">
        <v>0</v>
      </c>
      <c r="W530" s="4">
        <v>2</v>
      </c>
      <c r="X530" s="195">
        <f t="shared" si="84"/>
        <v>198</v>
      </c>
      <c r="Y530" s="29" t="e">
        <f>IF(+VLOOKUP(I530,P.Referencia!E:S,3,FALSE)&lt;=L530,"Champion","Gerente")</f>
        <v>#N/A</v>
      </c>
      <c r="Z530" s="39" t="e">
        <f>VLOOKUP(I530,P.Referencia!E:S,3,0)</f>
        <v>#N/A</v>
      </c>
      <c r="AA530" s="40" t="e">
        <f t="shared" si="88"/>
        <v>#N/A</v>
      </c>
      <c r="AB530" s="41" t="e">
        <f t="shared" si="89"/>
        <v>#N/A</v>
      </c>
      <c r="AC530" s="41" t="e">
        <f t="shared" si="90"/>
        <v>#N/A</v>
      </c>
    </row>
    <row r="531" spans="1:30" hidden="1" x14ac:dyDescent="0.25">
      <c r="A531" s="24">
        <v>530</v>
      </c>
      <c r="B531" s="89" t="s">
        <v>444</v>
      </c>
      <c r="C531" s="4" t="str">
        <f t="shared" si="86"/>
        <v>LlaveD86167357397100002902</v>
      </c>
      <c r="D531" s="25" t="str">
        <f>VLOOKUP(E531,'NO MODIFICAR'!J:K,2,0)</f>
        <v>D861</v>
      </c>
      <c r="E531" s="102" t="s">
        <v>44</v>
      </c>
      <c r="F531" s="33" t="str">
        <f>VLOOKUP(D531,'NO MODIFICAR'!F:H,3,0)</f>
        <v xml:space="preserve">CENTRO </v>
      </c>
      <c r="G531" s="28">
        <v>67357397</v>
      </c>
      <c r="H531" s="4" t="s">
        <v>443</v>
      </c>
      <c r="I531" s="4">
        <v>10000290</v>
      </c>
      <c r="J531" s="4" t="str">
        <f>VLOOKUP(I531,'Materiales,canteras'!C:D,2,0)</f>
        <v>Polvos Triturado Basalto 3/4"</v>
      </c>
      <c r="K531" s="25">
        <f>VLOOKUP(I531,'Materiales,canteras'!C:E,3,0)</f>
        <v>1.3720000000000001</v>
      </c>
      <c r="L531" s="198">
        <v>18</v>
      </c>
      <c r="M531" s="28" t="s">
        <v>93</v>
      </c>
      <c r="N531" s="57">
        <f t="shared" ca="1" si="87"/>
        <v>46267</v>
      </c>
      <c r="O531" s="43" t="s">
        <v>201</v>
      </c>
      <c r="R531">
        <f t="shared" si="91"/>
        <v>1.4999999999999999E-2</v>
      </c>
      <c r="S531" s="4">
        <v>28</v>
      </c>
      <c r="T531" s="75">
        <f t="shared" si="85"/>
        <v>-9.5799999999999983</v>
      </c>
      <c r="U531" s="46">
        <f t="shared" si="82"/>
        <v>18</v>
      </c>
      <c r="V531" s="27">
        <v>0</v>
      </c>
      <c r="W531" s="4">
        <v>2</v>
      </c>
      <c r="X531" s="195">
        <f t="shared" si="84"/>
        <v>18</v>
      </c>
      <c r="Y531" s="29" t="e">
        <f>IF(+VLOOKUP(I531,P.Referencia!E:S,3,FALSE)&lt;=L531,"Champion","Gerente")</f>
        <v>#N/A</v>
      </c>
      <c r="Z531" s="39" t="e">
        <f>VLOOKUP(I531,P.Referencia!E:S,3,0)</f>
        <v>#N/A</v>
      </c>
      <c r="AA531" s="40" t="e">
        <f t="shared" si="88"/>
        <v>#N/A</v>
      </c>
      <c r="AB531" s="41" t="e">
        <f t="shared" si="89"/>
        <v>#N/A</v>
      </c>
      <c r="AC531" s="41" t="e">
        <f t="shared" si="90"/>
        <v>#N/A</v>
      </c>
    </row>
    <row r="532" spans="1:30" x14ac:dyDescent="0.25">
      <c r="A532" s="24">
        <v>531</v>
      </c>
      <c r="B532" s="89" t="s">
        <v>444</v>
      </c>
      <c r="C532" s="4" t="str">
        <f t="shared" si="86"/>
        <v>LlaveD86666994683100002662</v>
      </c>
      <c r="D532" s="25" t="str">
        <f>VLOOKUP(E532,'NO MODIFICAR'!J:K,2,0)</f>
        <v>D866</v>
      </c>
      <c r="E532" s="102" t="s">
        <v>62</v>
      </c>
      <c r="F532" s="33" t="str">
        <f>VLOOKUP(D532,'NO MODIFICAR'!F:H,3,0)</f>
        <v>NORESTE</v>
      </c>
      <c r="G532" s="28">
        <v>66994683</v>
      </c>
      <c r="H532" s="4" t="s">
        <v>445</v>
      </c>
      <c r="I532" s="4">
        <v>10000266</v>
      </c>
      <c r="J532" s="4" t="str">
        <f>VLOOKUP(I532,'Materiales,canteras'!C:D,2,0)</f>
        <v>Arena Triturada Basalto Malla</v>
      </c>
      <c r="K532" s="25">
        <f>VLOOKUP(I532,'Materiales,canteras'!C:E,3,0)</f>
        <v>1.6819999999999999</v>
      </c>
      <c r="L532" s="198">
        <v>198.95</v>
      </c>
      <c r="M532" s="28" t="s">
        <v>93</v>
      </c>
      <c r="N532" s="57">
        <f t="shared" ca="1" si="87"/>
        <v>46267</v>
      </c>
      <c r="O532" s="43" t="s">
        <v>201</v>
      </c>
      <c r="T532" s="75">
        <f t="shared" si="85"/>
        <v>198.95</v>
      </c>
      <c r="U532" s="46">
        <f t="shared" si="82"/>
        <v>198.95</v>
      </c>
      <c r="V532" s="27">
        <v>0</v>
      </c>
      <c r="W532" s="4">
        <v>2</v>
      </c>
      <c r="X532" s="195">
        <f t="shared" si="84"/>
        <v>198.95</v>
      </c>
      <c r="Y532" s="29" t="e">
        <f>IF(+VLOOKUP(I532,P.Referencia!E:S,3,FALSE)&lt;=L532,"Champion","Gerente")</f>
        <v>#N/A</v>
      </c>
      <c r="Z532" s="39" t="e">
        <f>VLOOKUP(I532,P.Referencia!E:S,3,0)</f>
        <v>#N/A</v>
      </c>
      <c r="AA532" s="40" t="e">
        <f t="shared" si="88"/>
        <v>#N/A</v>
      </c>
      <c r="AB532" s="41" t="e">
        <f t="shared" si="89"/>
        <v>#N/A</v>
      </c>
      <c r="AC532" s="41" t="e">
        <f t="shared" si="90"/>
        <v>#N/A</v>
      </c>
      <c r="AD532" t="s">
        <v>447</v>
      </c>
    </row>
    <row r="533" spans="1:30" x14ac:dyDescent="0.25">
      <c r="A533" s="24">
        <v>532</v>
      </c>
      <c r="B533" s="89" t="s">
        <v>444</v>
      </c>
      <c r="C533" s="4" t="str">
        <f t="shared" si="86"/>
        <v>LlaveD86666994683100002742</v>
      </c>
      <c r="D533" s="25" t="str">
        <f>VLOOKUP(E533,'NO MODIFICAR'!J:K,2,0)</f>
        <v>D866</v>
      </c>
      <c r="E533" s="102" t="s">
        <v>62</v>
      </c>
      <c r="F533" s="33" t="str">
        <f>VLOOKUP(D533,'NO MODIFICAR'!F:H,3,0)</f>
        <v>NORESTE</v>
      </c>
      <c r="G533" s="28">
        <v>66994683</v>
      </c>
      <c r="H533" s="4" t="s">
        <v>445</v>
      </c>
      <c r="I533" s="4">
        <v>10000274</v>
      </c>
      <c r="J533" s="4" t="str">
        <f>VLOOKUP(I533,'Materiales,canteras'!C:D,2,0)</f>
        <v>Grava Triturada Basalto  20 mm</v>
      </c>
      <c r="K533" s="25">
        <f>VLOOKUP(I533,'Materiales,canteras'!C:E,3,0)</f>
        <v>1.4710000000000001</v>
      </c>
      <c r="L533" s="198">
        <v>177.49</v>
      </c>
      <c r="M533" s="28" t="s">
        <v>93</v>
      </c>
      <c r="N533" s="57">
        <f t="shared" ca="1" si="87"/>
        <v>46267</v>
      </c>
      <c r="O533" s="43" t="s">
        <v>201</v>
      </c>
      <c r="T533" s="75">
        <f t="shared" si="85"/>
        <v>177.49</v>
      </c>
      <c r="U533" s="46">
        <f t="shared" si="82"/>
        <v>177.49</v>
      </c>
      <c r="V533" s="27">
        <v>0</v>
      </c>
      <c r="W533" s="4">
        <v>2</v>
      </c>
      <c r="X533" s="195">
        <f t="shared" si="84"/>
        <v>177.49</v>
      </c>
      <c r="Y533" s="29" t="e">
        <f>IF(+VLOOKUP(I533,P.Referencia!E:S,3,FALSE)&lt;=L533,"Champion","Gerente")</f>
        <v>#N/A</v>
      </c>
      <c r="Z533" s="39" t="e">
        <f>VLOOKUP(I533,P.Referencia!E:S,3,0)</f>
        <v>#N/A</v>
      </c>
      <c r="AA533" s="40" t="e">
        <f t="shared" si="88"/>
        <v>#N/A</v>
      </c>
      <c r="AB533" s="41" t="e">
        <f t="shared" si="89"/>
        <v>#N/A</v>
      </c>
      <c r="AC533" s="41" t="e">
        <f t="shared" si="90"/>
        <v>#N/A</v>
      </c>
      <c r="AD533" t="s">
        <v>447</v>
      </c>
    </row>
    <row r="534" spans="1:30" x14ac:dyDescent="0.25">
      <c r="A534" s="24">
        <v>533</v>
      </c>
      <c r="B534" s="89" t="s">
        <v>444</v>
      </c>
      <c r="C534" s="4" t="str">
        <f t="shared" si="86"/>
        <v>LlaveD86666994684100002662</v>
      </c>
      <c r="D534" s="25" t="str">
        <f>VLOOKUP(E534,'NO MODIFICAR'!J:K,2,0)</f>
        <v>D866</v>
      </c>
      <c r="E534" s="102" t="s">
        <v>62</v>
      </c>
      <c r="F534" s="33" t="str">
        <f>VLOOKUP(D534,'NO MODIFICAR'!F:H,3,0)</f>
        <v>NORESTE</v>
      </c>
      <c r="G534" s="28">
        <v>66994684</v>
      </c>
      <c r="H534" s="4" t="s">
        <v>446</v>
      </c>
      <c r="I534" s="4">
        <v>10000266</v>
      </c>
      <c r="J534" s="4" t="str">
        <f>VLOOKUP(I534,'Materiales,canteras'!C:D,2,0)</f>
        <v>Arena Triturada Basalto Malla</v>
      </c>
      <c r="K534" s="25">
        <f>VLOOKUP(I534,'Materiales,canteras'!C:E,3,0)</f>
        <v>1.6819999999999999</v>
      </c>
      <c r="L534" s="198">
        <v>198.95</v>
      </c>
      <c r="M534" s="28" t="s">
        <v>93</v>
      </c>
      <c r="N534" s="57">
        <f t="shared" ca="1" si="87"/>
        <v>46267</v>
      </c>
      <c r="O534" s="43" t="s">
        <v>201</v>
      </c>
      <c r="T534" s="75">
        <f t="shared" si="85"/>
        <v>198.95</v>
      </c>
      <c r="U534" s="46">
        <f t="shared" si="82"/>
        <v>198.95</v>
      </c>
      <c r="V534" s="27">
        <v>0</v>
      </c>
      <c r="W534" s="4">
        <v>2</v>
      </c>
      <c r="X534" s="195">
        <f t="shared" si="84"/>
        <v>198.95</v>
      </c>
      <c r="Y534" s="29" t="e">
        <f>IF(+VLOOKUP(I534,P.Referencia!E:S,3,FALSE)&lt;=L534,"Champion","Gerente")</f>
        <v>#N/A</v>
      </c>
      <c r="Z534" s="39" t="e">
        <f>VLOOKUP(I534,P.Referencia!E:S,3,0)</f>
        <v>#N/A</v>
      </c>
      <c r="AA534" s="40" t="e">
        <f t="shared" si="88"/>
        <v>#N/A</v>
      </c>
      <c r="AB534" s="41" t="e">
        <f t="shared" si="89"/>
        <v>#N/A</v>
      </c>
      <c r="AC534" s="41" t="e">
        <f t="shared" si="90"/>
        <v>#N/A</v>
      </c>
      <c r="AD534" t="s">
        <v>447</v>
      </c>
    </row>
    <row r="535" spans="1:30" x14ac:dyDescent="0.25">
      <c r="A535" s="24">
        <v>534</v>
      </c>
      <c r="B535" s="89" t="s">
        <v>444</v>
      </c>
      <c r="C535" s="4" t="str">
        <f t="shared" si="86"/>
        <v>LlaveD86666994684100002742</v>
      </c>
      <c r="D535" s="25" t="str">
        <f>VLOOKUP(E535,'NO MODIFICAR'!J:K,2,0)</f>
        <v>D866</v>
      </c>
      <c r="E535" s="102" t="s">
        <v>62</v>
      </c>
      <c r="F535" s="33" t="str">
        <f>VLOOKUP(D535,'NO MODIFICAR'!F:H,3,0)</f>
        <v>NORESTE</v>
      </c>
      <c r="G535" s="28">
        <v>66994684</v>
      </c>
      <c r="H535" s="4" t="s">
        <v>446</v>
      </c>
      <c r="I535" s="4">
        <v>10000274</v>
      </c>
      <c r="J535" s="4" t="str">
        <f>VLOOKUP(I535,'Materiales,canteras'!C:D,2,0)</f>
        <v>Grava Triturada Basalto  20 mm</v>
      </c>
      <c r="K535" s="25">
        <f>VLOOKUP(I535,'Materiales,canteras'!C:E,3,0)</f>
        <v>1.4710000000000001</v>
      </c>
      <c r="L535" s="198">
        <v>177.49</v>
      </c>
      <c r="M535" s="28" t="s">
        <v>93</v>
      </c>
      <c r="N535" s="57">
        <f t="shared" ca="1" si="87"/>
        <v>46267</v>
      </c>
      <c r="O535" s="43" t="s">
        <v>201</v>
      </c>
      <c r="T535" s="75">
        <f t="shared" si="85"/>
        <v>177.49</v>
      </c>
      <c r="U535" s="46">
        <f t="shared" si="82"/>
        <v>177.49</v>
      </c>
      <c r="V535" s="27">
        <v>0</v>
      </c>
      <c r="W535" s="4">
        <v>2</v>
      </c>
      <c r="X535" s="195">
        <f t="shared" si="84"/>
        <v>177.49</v>
      </c>
      <c r="Y535" s="29" t="e">
        <f>IF(+VLOOKUP(I535,P.Referencia!E:S,3,FALSE)&lt;=L535,"Champion","Gerente")</f>
        <v>#N/A</v>
      </c>
      <c r="Z535" s="39" t="e">
        <f>VLOOKUP(I535,P.Referencia!E:S,3,0)</f>
        <v>#N/A</v>
      </c>
      <c r="AA535" s="40" t="e">
        <f t="shared" si="88"/>
        <v>#N/A</v>
      </c>
      <c r="AB535" s="41" t="e">
        <f t="shared" si="89"/>
        <v>#N/A</v>
      </c>
      <c r="AC535" s="41" t="e">
        <f t="shared" si="90"/>
        <v>#N/A</v>
      </c>
      <c r="AD535" t="s">
        <v>447</v>
      </c>
    </row>
    <row r="536" spans="1:30" hidden="1" x14ac:dyDescent="0.25">
      <c r="A536" s="24">
        <v>535</v>
      </c>
      <c r="B536" s="89" t="s">
        <v>444</v>
      </c>
      <c r="C536" s="4" t="str">
        <f t="shared" si="86"/>
        <v>LlaveD81667359892100002601</v>
      </c>
      <c r="D536" s="25" t="str">
        <f>VLOOKUP(E536,'NO MODIFICAR'!J:K,2,0)</f>
        <v>D816</v>
      </c>
      <c r="E536" s="102" t="s">
        <v>15</v>
      </c>
      <c r="F536" s="33" t="str">
        <f>VLOOKUP(D536,'NO MODIFICAR'!F:H,3,0)</f>
        <v>NORESTE</v>
      </c>
      <c r="G536" s="28">
        <v>67359892</v>
      </c>
      <c r="H536" s="4" t="s">
        <v>448</v>
      </c>
      <c r="I536" s="4">
        <v>10000260</v>
      </c>
      <c r="J536" s="4" t="str">
        <f>VLOOKUP(I536,'Materiales,canteras'!C:D,2,0)</f>
        <v>Arena Triturada Caliza Malla 5</v>
      </c>
      <c r="K536" s="25">
        <f>VLOOKUP(I536,'Materiales,canteras'!C:E,3,0)</f>
        <v>1.72</v>
      </c>
      <c r="L536" s="198">
        <v>385</v>
      </c>
      <c r="M536" s="28" t="s">
        <v>93</v>
      </c>
      <c r="N536" s="57">
        <f t="shared" ca="1" si="87"/>
        <v>46267</v>
      </c>
      <c r="O536" s="43" t="s">
        <v>201</v>
      </c>
      <c r="Q536">
        <f>5/100</f>
        <v>0.05</v>
      </c>
      <c r="R536">
        <f>5/100</f>
        <v>0.05</v>
      </c>
      <c r="S536" s="4">
        <v>495</v>
      </c>
      <c r="T536" s="66">
        <f>L536-((S536-Q536)-(R536))</f>
        <v>-109.89999999999998</v>
      </c>
      <c r="U536" s="46">
        <f t="shared" si="82"/>
        <v>385</v>
      </c>
      <c r="V536" s="27">
        <v>231.12</v>
      </c>
      <c r="W536" s="4">
        <v>1</v>
      </c>
      <c r="X536" s="195">
        <f t="shared" si="84"/>
        <v>616.12</v>
      </c>
      <c r="Y536" s="29" t="e">
        <f>IF(+VLOOKUP(I536,P.Referencia!E:S,3,FALSE)&lt;=L536,"Champion","Gerente")</f>
        <v>#N/A</v>
      </c>
      <c r="Z536" s="39" t="e">
        <f>VLOOKUP(I536,P.Referencia!E:S,3,0)</f>
        <v>#N/A</v>
      </c>
      <c r="AA536" s="40" t="e">
        <f t="shared" si="88"/>
        <v>#N/A</v>
      </c>
      <c r="AB536" s="41" t="e">
        <f t="shared" si="89"/>
        <v>#N/A</v>
      </c>
      <c r="AC536" s="41" t="e">
        <f t="shared" si="90"/>
        <v>#N/A</v>
      </c>
    </row>
    <row r="537" spans="1:30" hidden="1" x14ac:dyDescent="0.25">
      <c r="A537" s="24">
        <v>536</v>
      </c>
      <c r="B537" s="89" t="s">
        <v>444</v>
      </c>
      <c r="C537" s="4" t="str">
        <f t="shared" si="86"/>
        <v>LlaveDU0766936812100001012</v>
      </c>
      <c r="D537" s="25" t="str">
        <f>VLOOKUP(E537,'NO MODIFICAR'!J:K,2,0)</f>
        <v>DU07</v>
      </c>
      <c r="E537" s="102" t="s">
        <v>87</v>
      </c>
      <c r="F537" s="33" t="str">
        <f>VLOOKUP(D537,'NO MODIFICAR'!F:H,3,0)</f>
        <v>SURESTE</v>
      </c>
      <c r="G537" s="28">
        <v>66936812</v>
      </c>
      <c r="H537" s="4" t="s">
        <v>372</v>
      </c>
      <c r="I537" s="4">
        <v>10000101</v>
      </c>
      <c r="J537" s="4" t="str">
        <f>VLOOKUP(I537,'Materiales,canteras'!C:D,2,0)</f>
        <v>Arena Triturada Caliza Malla 4</v>
      </c>
      <c r="K537" s="25">
        <f>VLOOKUP(I537,'Materiales,canteras'!C:E,3,0)</f>
        <v>1.417</v>
      </c>
      <c r="L537" s="198">
        <v>229.35779816513761</v>
      </c>
      <c r="M537" s="28" t="s">
        <v>93</v>
      </c>
      <c r="N537" s="57">
        <f t="shared" ca="1" si="87"/>
        <v>46267</v>
      </c>
      <c r="O537" s="43" t="s">
        <v>201</v>
      </c>
      <c r="P537" s="10"/>
      <c r="S537" s="4">
        <v>420</v>
      </c>
      <c r="T537" s="75">
        <f>L537-(S537-(S537*R537))</f>
        <v>-190.64220183486239</v>
      </c>
      <c r="U537" s="46">
        <f t="shared" si="82"/>
        <v>229.35779816513761</v>
      </c>
      <c r="V537" s="27">
        <v>0</v>
      </c>
      <c r="W537" s="4">
        <v>2</v>
      </c>
      <c r="X537" s="195">
        <f t="shared" si="84"/>
        <v>229.35779816513761</v>
      </c>
      <c r="Y537" s="29" t="e">
        <f>IF(+VLOOKUP(I537,P.Referencia!E:S,3,FALSE)&lt;=L537,"Champion","Gerente")</f>
        <v>#N/A</v>
      </c>
      <c r="Z537" s="39" t="e">
        <f>VLOOKUP(I537,P.Referencia!E:S,3,0)</f>
        <v>#N/A</v>
      </c>
      <c r="AA537" s="40" t="e">
        <f t="shared" si="88"/>
        <v>#N/A</v>
      </c>
      <c r="AB537" s="41" t="e">
        <f t="shared" si="89"/>
        <v>#N/A</v>
      </c>
      <c r="AC537" s="41" t="e">
        <f t="shared" si="90"/>
        <v>#N/A</v>
      </c>
    </row>
    <row r="538" spans="1:30" hidden="1" x14ac:dyDescent="0.25">
      <c r="A538" s="24">
        <v>537</v>
      </c>
      <c r="B538" s="89" t="s">
        <v>444</v>
      </c>
      <c r="C538" s="4" t="str">
        <f t="shared" si="86"/>
        <v>LlaveDU0767354070100001012</v>
      </c>
      <c r="D538" s="25" t="str">
        <f>VLOOKUP(E538,'NO MODIFICAR'!J:K,2,0)</f>
        <v>DU07</v>
      </c>
      <c r="E538" s="102" t="s">
        <v>87</v>
      </c>
      <c r="F538" s="33" t="str">
        <f>VLOOKUP(D538,'NO MODIFICAR'!F:H,3,0)</f>
        <v>SURESTE</v>
      </c>
      <c r="G538" s="28">
        <v>67354070</v>
      </c>
      <c r="H538" s="4" t="s">
        <v>370</v>
      </c>
      <c r="I538" s="4">
        <v>10000101</v>
      </c>
      <c r="J538" s="4" t="str">
        <f>VLOOKUP(I538,'Materiales,canteras'!C:D,2,0)</f>
        <v>Arena Triturada Caliza Malla 4</v>
      </c>
      <c r="K538" s="25">
        <f>VLOOKUP(I538,'Materiales,canteras'!C:E,3,0)</f>
        <v>1.417</v>
      </c>
      <c r="L538" s="198">
        <v>229.35779816513761</v>
      </c>
      <c r="M538" s="28" t="s">
        <v>93</v>
      </c>
      <c r="N538" s="57">
        <f t="shared" ca="1" si="87"/>
        <v>46267</v>
      </c>
      <c r="O538" s="43" t="s">
        <v>201</v>
      </c>
      <c r="S538" s="4">
        <v>420</v>
      </c>
      <c r="T538" s="75">
        <f>L538-(S538-(S538*R538))</f>
        <v>-190.64220183486239</v>
      </c>
      <c r="U538" s="46">
        <f t="shared" si="82"/>
        <v>229.35779816513761</v>
      </c>
      <c r="V538" s="27">
        <v>0</v>
      </c>
      <c r="W538" s="4">
        <v>2</v>
      </c>
      <c r="X538" s="195">
        <f t="shared" si="84"/>
        <v>229.35779816513761</v>
      </c>
      <c r="Y538" s="29" t="e">
        <f>IF(+VLOOKUP(I538,P.Referencia!E:S,3,FALSE)&lt;=L538,"Champion","Gerente")</f>
        <v>#N/A</v>
      </c>
      <c r="Z538" s="39" t="e">
        <f>VLOOKUP(I538,P.Referencia!E:S,3,0)</f>
        <v>#N/A</v>
      </c>
      <c r="AA538" s="40" t="e">
        <f t="shared" si="88"/>
        <v>#N/A</v>
      </c>
      <c r="AB538" s="41" t="e">
        <f t="shared" si="89"/>
        <v>#N/A</v>
      </c>
      <c r="AC538" s="41" t="e">
        <f t="shared" si="90"/>
        <v>#N/A</v>
      </c>
    </row>
    <row r="539" spans="1:30" hidden="1" x14ac:dyDescent="0.25">
      <c r="A539" s="24">
        <v>538</v>
      </c>
      <c r="B539" s="89" t="s">
        <v>444</v>
      </c>
      <c r="C539" s="4" t="str">
        <f t="shared" si="86"/>
        <v>LlaveD86467246461100010732</v>
      </c>
      <c r="D539" s="25" t="str">
        <f>VLOOKUP(E539,'NO MODIFICAR'!J:K,2,0)</f>
        <v>D864</v>
      </c>
      <c r="E539" s="102" t="s">
        <v>55</v>
      </c>
      <c r="F539" s="33" t="str">
        <f>VLOOKUP(D539,'NO MODIFICAR'!F:H,3,0)</f>
        <v xml:space="preserve">CENTRO </v>
      </c>
      <c r="G539" s="28">
        <v>67246461</v>
      </c>
      <c r="H539" s="4" t="s">
        <v>449</v>
      </c>
      <c r="I539" s="4">
        <v>10001073</v>
      </c>
      <c r="J539" s="4" t="str">
        <f>VLOOKUP(I539,'Materiales,canteras'!C:D,2,0)</f>
        <v>Arena Triturada Caliza Malla 4</v>
      </c>
      <c r="K539" s="25">
        <f>VLOOKUP(I539,'Materiales,canteras'!C:E,3,0)</f>
        <v>1.56</v>
      </c>
      <c r="L539" s="198">
        <v>106.99999999999999</v>
      </c>
      <c r="M539" s="28" t="s">
        <v>93</v>
      </c>
      <c r="N539" s="57">
        <f t="shared" ca="1" si="87"/>
        <v>46267</v>
      </c>
      <c r="O539" s="43" t="s">
        <v>201</v>
      </c>
      <c r="P539" s="10"/>
      <c r="T539" s="75">
        <f>L539-(S539-(S539*R539))</f>
        <v>106.99999999999999</v>
      </c>
      <c r="U539" s="46">
        <f t="shared" si="82"/>
        <v>106.99999999999999</v>
      </c>
      <c r="V539" s="27">
        <v>0</v>
      </c>
      <c r="W539" s="4">
        <v>2</v>
      </c>
      <c r="X539" s="195">
        <f t="shared" si="84"/>
        <v>106.99999999999999</v>
      </c>
      <c r="Y539" s="29" t="e">
        <f>IF(+VLOOKUP(I539,P.Referencia!E:S,3,FALSE)&lt;=L539,"Champion","Gerente")</f>
        <v>#N/A</v>
      </c>
      <c r="Z539" s="39" t="e">
        <f>VLOOKUP(I539,P.Referencia!E:S,3,0)</f>
        <v>#N/A</v>
      </c>
      <c r="AA539" s="40" t="e">
        <f t="shared" si="88"/>
        <v>#N/A</v>
      </c>
      <c r="AB539" s="41" t="e">
        <f t="shared" si="89"/>
        <v>#N/A</v>
      </c>
      <c r="AC539" s="41" t="e">
        <f t="shared" si="90"/>
        <v>#N/A</v>
      </c>
      <c r="AD539" t="s">
        <v>451</v>
      </c>
    </row>
    <row r="540" spans="1:30" hidden="1" x14ac:dyDescent="0.25">
      <c r="A540" s="24">
        <v>539</v>
      </c>
      <c r="B540" s="89" t="s">
        <v>444</v>
      </c>
      <c r="C540" s="4" t="str">
        <f t="shared" si="86"/>
        <v>LlaveD86467246461100002402</v>
      </c>
      <c r="D540" s="25" t="str">
        <f>VLOOKUP(E540,'NO MODIFICAR'!J:K,2,0)</f>
        <v>D864</v>
      </c>
      <c r="E540" s="102" t="s">
        <v>55</v>
      </c>
      <c r="F540" s="33" t="str">
        <f>VLOOKUP(D540,'NO MODIFICAR'!F:H,3,0)</f>
        <v xml:space="preserve">CENTRO </v>
      </c>
      <c r="G540" s="28">
        <v>67246461</v>
      </c>
      <c r="H540" s="4" t="s">
        <v>449</v>
      </c>
      <c r="I540" s="4">
        <v>10000240</v>
      </c>
      <c r="J540" s="4" t="str">
        <f>VLOOKUP(I540,'Materiales,canteras'!C:D,2,0)</f>
        <v>Grava Triturada Caliza 20 mm -</v>
      </c>
      <c r="K540" s="25">
        <f>VLOOKUP(I540,'Materiales,canteras'!C:E,3,0)</f>
        <v>1.462</v>
      </c>
      <c r="L540" s="198">
        <v>128.39945280437757</v>
      </c>
      <c r="M540" s="28" t="s">
        <v>93</v>
      </c>
      <c r="N540" s="57">
        <f t="shared" ca="1" si="87"/>
        <v>46267</v>
      </c>
      <c r="O540" s="43" t="s">
        <v>201</v>
      </c>
      <c r="P540" s="10"/>
      <c r="T540" s="75">
        <f>L540-(S540-(S540*R540))</f>
        <v>128.39945280437757</v>
      </c>
      <c r="U540" s="46">
        <f t="shared" si="82"/>
        <v>128.39945280437757</v>
      </c>
      <c r="V540" s="27">
        <v>0</v>
      </c>
      <c r="W540" s="4">
        <v>2</v>
      </c>
      <c r="X540" s="195">
        <f t="shared" si="84"/>
        <v>128.39945280437757</v>
      </c>
      <c r="Y540" s="29" t="e">
        <f>IF(+VLOOKUP(I540,P.Referencia!E:S,3,FALSE)&lt;=L540,"Champion","Gerente")</f>
        <v>#N/A</v>
      </c>
      <c r="Z540" s="39" t="e">
        <f>VLOOKUP(I540,P.Referencia!E:S,3,0)</f>
        <v>#N/A</v>
      </c>
      <c r="AA540" s="40" t="e">
        <f t="shared" si="88"/>
        <v>#N/A</v>
      </c>
      <c r="AB540" s="41" t="e">
        <f t="shared" si="89"/>
        <v>#N/A</v>
      </c>
      <c r="AC540" s="41" t="e">
        <f t="shared" si="90"/>
        <v>#N/A</v>
      </c>
      <c r="AD540" t="s">
        <v>451</v>
      </c>
    </row>
    <row r="541" spans="1:30" hidden="1" x14ac:dyDescent="0.25">
      <c r="A541" s="24">
        <v>540</v>
      </c>
      <c r="B541" s="89" t="s">
        <v>444</v>
      </c>
      <c r="C541" s="4" t="str">
        <f t="shared" si="86"/>
        <v>LlaveD86467246461100002362</v>
      </c>
      <c r="D541" s="25" t="str">
        <f>VLOOKUP(E541,'NO MODIFICAR'!J:K,2,0)</f>
        <v>D864</v>
      </c>
      <c r="E541" s="102" t="s">
        <v>55</v>
      </c>
      <c r="F541" s="33" t="str">
        <f>VLOOKUP(D541,'NO MODIFICAR'!F:H,3,0)</f>
        <v xml:space="preserve">CENTRO </v>
      </c>
      <c r="G541" s="28">
        <v>67246461</v>
      </c>
      <c r="H541" s="4" t="s">
        <v>449</v>
      </c>
      <c r="I541" s="4">
        <v>10000236</v>
      </c>
      <c r="J541" s="4" t="str">
        <f>VLOOKUP(I541,'Materiales,canteras'!C:D,2,0)</f>
        <v>Grava Triturada Caliza 10 mm -</v>
      </c>
      <c r="K541" s="25">
        <f>VLOOKUP(I541,'Materiales,canteras'!C:E,3,0)</f>
        <v>1.41</v>
      </c>
      <c r="L541" s="198">
        <v>144.44680851063831</v>
      </c>
      <c r="M541" s="28" t="s">
        <v>93</v>
      </c>
      <c r="N541" s="57">
        <f t="shared" ca="1" si="87"/>
        <v>46267</v>
      </c>
      <c r="O541" s="43" t="s">
        <v>201</v>
      </c>
      <c r="P541" s="10"/>
      <c r="T541" s="75">
        <f>L541-(S541-(S541*R541))</f>
        <v>144.44680851063831</v>
      </c>
      <c r="U541" s="46">
        <f t="shared" si="82"/>
        <v>144.44680851063831</v>
      </c>
      <c r="V541" s="27">
        <v>0</v>
      </c>
      <c r="W541" s="4">
        <v>2</v>
      </c>
      <c r="X541" s="195">
        <f t="shared" si="84"/>
        <v>144.44680851063831</v>
      </c>
      <c r="Y541" s="29" t="e">
        <f>IF(+VLOOKUP(I541,P.Referencia!E:S,3,FALSE)&lt;=L541,"Champion","Gerente")</f>
        <v>#N/A</v>
      </c>
      <c r="Z541" s="39" t="e">
        <f>VLOOKUP(I541,P.Referencia!E:S,3,0)</f>
        <v>#N/A</v>
      </c>
      <c r="AA541" s="40" t="e">
        <f t="shared" si="88"/>
        <v>#N/A</v>
      </c>
      <c r="AB541" s="41" t="e">
        <f t="shared" si="89"/>
        <v>#N/A</v>
      </c>
      <c r="AC541" s="41" t="e">
        <f t="shared" si="90"/>
        <v>#N/A</v>
      </c>
      <c r="AD541" t="s">
        <v>451</v>
      </c>
    </row>
    <row r="542" spans="1:30" hidden="1" x14ac:dyDescent="0.25">
      <c r="A542" s="24">
        <v>541</v>
      </c>
      <c r="B542" s="89" t="s">
        <v>444</v>
      </c>
      <c r="C542" s="4" t="str">
        <f t="shared" si="86"/>
        <v>LlaveD82467360977100002872</v>
      </c>
      <c r="D542" s="25" t="str">
        <f>VLOOKUP(E542,'NO MODIFICAR'!J:K,2,0)</f>
        <v>D824</v>
      </c>
      <c r="E542" s="102" t="s">
        <v>28</v>
      </c>
      <c r="F542" s="33" t="str">
        <f>VLOOKUP(D542,'NO MODIFICAR'!F:H,3,0)</f>
        <v>NORESTE</v>
      </c>
      <c r="G542" s="28">
        <v>67360977</v>
      </c>
      <c r="H542" s="4" t="s">
        <v>450</v>
      </c>
      <c r="I542" s="4">
        <v>10000287</v>
      </c>
      <c r="J542" s="4" t="str">
        <f>VLOOKUP(I542,'Materiales,canteras'!C:D,2,0)</f>
        <v>Grava Triturada Basalto  40 mm</v>
      </c>
      <c r="K542" s="25">
        <f>VLOOKUP(I542,'Materiales,canteras'!C:E,3,0)</f>
        <v>1.44</v>
      </c>
      <c r="L542" s="198">
        <v>200</v>
      </c>
      <c r="M542" s="28" t="s">
        <v>93</v>
      </c>
      <c r="N542" s="57">
        <f t="shared" ca="1" si="87"/>
        <v>46267</v>
      </c>
      <c r="O542" s="43" t="s">
        <v>201</v>
      </c>
      <c r="P542" s="10">
        <v>10.65</v>
      </c>
      <c r="Q542">
        <v>3.04</v>
      </c>
      <c r="S542" s="4">
        <v>213</v>
      </c>
      <c r="T542" s="66">
        <f t="shared" ref="T542:T549" si="92">L542-((S542-Q542)-(R542))</f>
        <v>-9.960000000000008</v>
      </c>
      <c r="U542" s="46">
        <f t="shared" si="82"/>
        <v>200</v>
      </c>
      <c r="V542" s="27">
        <v>0</v>
      </c>
      <c r="W542" s="4">
        <v>2</v>
      </c>
      <c r="X542" s="195">
        <f t="shared" si="84"/>
        <v>200</v>
      </c>
      <c r="Y542" s="29" t="e">
        <f>IF(+VLOOKUP(I542,P.Referencia!E:S,3,FALSE)&lt;=L542,"Champion","Gerente")</f>
        <v>#N/A</v>
      </c>
      <c r="Z542" s="39" t="e">
        <f>VLOOKUP(I542,P.Referencia!E:S,3,0)</f>
        <v>#N/A</v>
      </c>
      <c r="AA542" s="40" t="e">
        <f t="shared" si="88"/>
        <v>#N/A</v>
      </c>
      <c r="AB542" s="41" t="e">
        <f t="shared" si="89"/>
        <v>#N/A</v>
      </c>
      <c r="AC542" s="41" t="e">
        <f t="shared" si="90"/>
        <v>#N/A</v>
      </c>
    </row>
    <row r="543" spans="1:30" hidden="1" x14ac:dyDescent="0.25">
      <c r="A543" s="24">
        <v>542</v>
      </c>
      <c r="B543" s="89" t="s">
        <v>444</v>
      </c>
      <c r="C543" s="4" t="str">
        <f t="shared" si="86"/>
        <v>LlaveD82467360977100002842</v>
      </c>
      <c r="D543" s="25" t="str">
        <f>VLOOKUP(E543,'NO MODIFICAR'!J:K,2,0)</f>
        <v>D824</v>
      </c>
      <c r="E543" s="102" t="s">
        <v>28</v>
      </c>
      <c r="F543" s="33" t="str">
        <f>VLOOKUP(D543,'NO MODIFICAR'!F:H,3,0)</f>
        <v>NORESTE</v>
      </c>
      <c r="G543" s="28">
        <v>67360977</v>
      </c>
      <c r="H543" s="4" t="s">
        <v>450</v>
      </c>
      <c r="I543" s="4">
        <v>10000284</v>
      </c>
      <c r="J543" s="4" t="str">
        <f>VLOOKUP(I543,'Materiales,canteras'!C:D,2,0)</f>
        <v>Grava Triturada Basalto  20 mm</v>
      </c>
      <c r="K543" s="25">
        <f>VLOOKUP(I543,'Materiales,canteras'!C:E,3,0)</f>
        <v>1.429</v>
      </c>
      <c r="L543" s="198">
        <v>200</v>
      </c>
      <c r="M543" s="28" t="s">
        <v>93</v>
      </c>
      <c r="N543" s="57">
        <f t="shared" ca="1" si="87"/>
        <v>46267</v>
      </c>
      <c r="O543" s="43" t="s">
        <v>201</v>
      </c>
      <c r="P543" s="10">
        <v>10.65</v>
      </c>
      <c r="Q543">
        <v>3.04</v>
      </c>
      <c r="S543" s="4">
        <v>213</v>
      </c>
      <c r="T543" s="66">
        <f t="shared" si="92"/>
        <v>-9.960000000000008</v>
      </c>
      <c r="U543" s="46">
        <f t="shared" si="82"/>
        <v>200</v>
      </c>
      <c r="V543" s="27">
        <v>0</v>
      </c>
      <c r="W543" s="4">
        <v>2</v>
      </c>
      <c r="X543" s="195">
        <f t="shared" si="84"/>
        <v>200</v>
      </c>
      <c r="Y543" s="29" t="e">
        <f>IF(+VLOOKUP(I543,P.Referencia!E:S,3,FALSE)&lt;=L543,"Champion","Gerente")</f>
        <v>#N/A</v>
      </c>
      <c r="Z543" s="39" t="e">
        <f>VLOOKUP(I543,P.Referencia!E:S,3,0)</f>
        <v>#N/A</v>
      </c>
      <c r="AA543" s="40" t="e">
        <f t="shared" si="88"/>
        <v>#N/A</v>
      </c>
      <c r="AB543" s="41" t="e">
        <f t="shared" si="89"/>
        <v>#N/A</v>
      </c>
      <c r="AC543" s="41" t="e">
        <f t="shared" si="90"/>
        <v>#N/A</v>
      </c>
    </row>
    <row r="544" spans="1:30" hidden="1" x14ac:dyDescent="0.25">
      <c r="A544" s="24">
        <v>543</v>
      </c>
      <c r="B544" s="89" t="s">
        <v>444</v>
      </c>
      <c r="C544" s="4" t="str">
        <f t="shared" si="86"/>
        <v>LlaveD82467360977100002852</v>
      </c>
      <c r="D544" s="25" t="str">
        <f>VLOOKUP(E544,'NO MODIFICAR'!J:K,2,0)</f>
        <v>D824</v>
      </c>
      <c r="E544" s="102" t="s">
        <v>28</v>
      </c>
      <c r="F544" s="33" t="str">
        <f>VLOOKUP(D544,'NO MODIFICAR'!F:H,3,0)</f>
        <v>NORESTE</v>
      </c>
      <c r="G544" s="28">
        <v>67360977</v>
      </c>
      <c r="H544" s="4" t="s">
        <v>450</v>
      </c>
      <c r="I544" s="4">
        <v>10000285</v>
      </c>
      <c r="J544" s="4" t="str">
        <f>VLOOKUP(I544,'Materiales,canteras'!C:D,2,0)</f>
        <v>Grava Triturada Basalto  10 mm</v>
      </c>
      <c r="K544" s="25">
        <f>VLOOKUP(I544,'Materiales,canteras'!C:E,3,0)</f>
        <v>1.46</v>
      </c>
      <c r="L544" s="198">
        <v>205</v>
      </c>
      <c r="M544" s="28" t="s">
        <v>93</v>
      </c>
      <c r="N544" s="57">
        <f t="shared" ca="1" si="87"/>
        <v>46267</v>
      </c>
      <c r="O544" s="43" t="s">
        <v>201</v>
      </c>
      <c r="P544" s="10">
        <v>10.95</v>
      </c>
      <c r="Q544">
        <v>3.12</v>
      </c>
      <c r="S544" s="4">
        <v>219</v>
      </c>
      <c r="T544" s="66">
        <f t="shared" si="92"/>
        <v>-10.879999999999995</v>
      </c>
      <c r="U544" s="46">
        <f t="shared" si="82"/>
        <v>205</v>
      </c>
      <c r="V544" s="27">
        <v>0</v>
      </c>
      <c r="W544" s="4">
        <v>2</v>
      </c>
      <c r="X544" s="195">
        <f t="shared" si="84"/>
        <v>205</v>
      </c>
      <c r="Y544" s="29" t="e">
        <f>IF(+VLOOKUP(I544,P.Referencia!E:S,3,FALSE)&lt;=L544,"Champion","Gerente")</f>
        <v>#N/A</v>
      </c>
      <c r="Z544" s="39" t="e">
        <f>VLOOKUP(I544,P.Referencia!E:S,3,0)</f>
        <v>#N/A</v>
      </c>
      <c r="AA544" s="40" t="e">
        <f t="shared" si="88"/>
        <v>#N/A</v>
      </c>
      <c r="AB544" s="41" t="e">
        <f t="shared" si="89"/>
        <v>#N/A</v>
      </c>
      <c r="AC544" s="41" t="e">
        <f t="shared" si="90"/>
        <v>#N/A</v>
      </c>
    </row>
    <row r="545" spans="1:30" hidden="1" x14ac:dyDescent="0.25">
      <c r="A545" s="24">
        <v>544</v>
      </c>
      <c r="B545" s="89" t="s">
        <v>444</v>
      </c>
      <c r="C545" s="4" t="str">
        <f t="shared" si="86"/>
        <v>LlaveD82467360977100002342</v>
      </c>
      <c r="D545" s="25" t="str">
        <f>VLOOKUP(E545,'NO MODIFICAR'!J:K,2,0)</f>
        <v>D824</v>
      </c>
      <c r="E545" s="102" t="s">
        <v>28</v>
      </c>
      <c r="F545" s="33" t="str">
        <f>VLOOKUP(D545,'NO MODIFICAR'!F:H,3,0)</f>
        <v>NORESTE</v>
      </c>
      <c r="G545" s="28">
        <v>67360977</v>
      </c>
      <c r="H545" s="4" t="s">
        <v>450</v>
      </c>
      <c r="I545" s="4">
        <v>10000234</v>
      </c>
      <c r="J545" s="4" t="str">
        <f>VLOOKUP(I545,'Materiales,canteras'!C:D,2,0)</f>
        <v>Arena Triturada Basalto  Malla</v>
      </c>
      <c r="K545" s="25">
        <f>VLOOKUP(I545,'Materiales,canteras'!C:E,3,0)</f>
        <v>1.7789999999999999</v>
      </c>
      <c r="L545" s="198">
        <v>190</v>
      </c>
      <c r="M545" s="28" t="s">
        <v>93</v>
      </c>
      <c r="N545" s="57">
        <f t="shared" ca="1" si="87"/>
        <v>46267</v>
      </c>
      <c r="O545" s="43" t="s">
        <v>201</v>
      </c>
      <c r="P545" s="10">
        <v>10.050000000000001</v>
      </c>
      <c r="Q545">
        <v>2.86</v>
      </c>
      <c r="S545" s="4">
        <v>201</v>
      </c>
      <c r="T545" s="66">
        <f t="shared" si="92"/>
        <v>-8.1399999999999864</v>
      </c>
      <c r="U545" s="46">
        <f t="shared" si="82"/>
        <v>190</v>
      </c>
      <c r="V545" s="27">
        <v>0</v>
      </c>
      <c r="W545" s="4">
        <v>2</v>
      </c>
      <c r="X545" s="195">
        <f t="shared" si="84"/>
        <v>190</v>
      </c>
      <c r="Y545" s="29" t="e">
        <f>IF(+VLOOKUP(I545,P.Referencia!E:S,3,FALSE)&lt;=L545,"Champion","Gerente")</f>
        <v>#N/A</v>
      </c>
      <c r="Z545" s="39" t="e">
        <f>VLOOKUP(I545,P.Referencia!E:S,3,0)</f>
        <v>#N/A</v>
      </c>
      <c r="AA545" s="40" t="e">
        <f t="shared" si="88"/>
        <v>#N/A</v>
      </c>
      <c r="AB545" s="41" t="e">
        <f t="shared" si="89"/>
        <v>#N/A</v>
      </c>
      <c r="AC545" s="41" t="e">
        <f t="shared" si="90"/>
        <v>#N/A</v>
      </c>
    </row>
    <row r="546" spans="1:30" hidden="1" x14ac:dyDescent="0.25">
      <c r="A546" s="24">
        <v>545</v>
      </c>
      <c r="B546" s="89" t="s">
        <v>444</v>
      </c>
      <c r="C546" s="4" t="str">
        <f t="shared" si="86"/>
        <v>LlaveD82467360977100231082</v>
      </c>
      <c r="D546" s="25" t="str">
        <f>VLOOKUP(E546,'NO MODIFICAR'!J:K,2,0)</f>
        <v>D824</v>
      </c>
      <c r="E546" s="102" t="s">
        <v>28</v>
      </c>
      <c r="F546" s="33" t="str">
        <f>VLOOKUP(D546,'NO MODIFICAR'!F:H,3,0)</f>
        <v>NORESTE</v>
      </c>
      <c r="G546" s="28">
        <v>67360977</v>
      </c>
      <c r="H546" s="4" t="s">
        <v>450</v>
      </c>
      <c r="I546" s="4">
        <v>10023108</v>
      </c>
      <c r="J546" s="4" t="str">
        <f>VLOOKUP(I546,'Materiales,canteras'!C:D,2,0)</f>
        <v>Base H Triturada Basalto  1 1/2" a Finos</v>
      </c>
      <c r="K546" s="25">
        <f>VLOOKUP(I546,'Materiales,canteras'!C:E,3,0)</f>
        <v>1.9690000000000001</v>
      </c>
      <c r="L546" s="198">
        <v>190</v>
      </c>
      <c r="M546" s="28" t="s">
        <v>93</v>
      </c>
      <c r="N546" s="57">
        <f t="shared" ca="1" si="87"/>
        <v>46267</v>
      </c>
      <c r="O546" s="43" t="s">
        <v>201</v>
      </c>
      <c r="P546" s="10">
        <v>10.050000000000001</v>
      </c>
      <c r="Q546">
        <v>2.86</v>
      </c>
      <c r="S546" s="4">
        <v>201</v>
      </c>
      <c r="T546" s="66">
        <f t="shared" si="92"/>
        <v>-8.1399999999999864</v>
      </c>
      <c r="U546" s="46">
        <f t="shared" si="82"/>
        <v>190</v>
      </c>
      <c r="V546" s="27">
        <v>0</v>
      </c>
      <c r="W546" s="4">
        <v>2</v>
      </c>
      <c r="X546" s="195">
        <f t="shared" si="84"/>
        <v>190</v>
      </c>
      <c r="Y546" s="29" t="e">
        <f>IF(+VLOOKUP(I546,P.Referencia!E:S,3,FALSE)&lt;=L546,"Champion","Gerente")</f>
        <v>#N/A</v>
      </c>
      <c r="Z546" s="39" t="e">
        <f>VLOOKUP(I546,P.Referencia!E:S,3,0)</f>
        <v>#N/A</v>
      </c>
      <c r="AA546" s="40" t="e">
        <f t="shared" si="88"/>
        <v>#N/A</v>
      </c>
      <c r="AB546" s="41" t="e">
        <f t="shared" si="89"/>
        <v>#N/A</v>
      </c>
      <c r="AC546" s="41" t="e">
        <f t="shared" si="90"/>
        <v>#N/A</v>
      </c>
    </row>
    <row r="547" spans="1:30" hidden="1" x14ac:dyDescent="0.25">
      <c r="A547" s="24">
        <v>546</v>
      </c>
      <c r="B547" s="89" t="s">
        <v>444</v>
      </c>
      <c r="C547" s="4" t="str">
        <f t="shared" si="86"/>
        <v>LlaveD82467360977100010772</v>
      </c>
      <c r="D547" s="25" t="str">
        <f>VLOOKUP(E547,'NO MODIFICAR'!J:K,2,0)</f>
        <v>D824</v>
      </c>
      <c r="E547" s="102" t="s">
        <v>28</v>
      </c>
      <c r="F547" s="33" t="str">
        <f>VLOOKUP(D547,'NO MODIFICAR'!F:H,3,0)</f>
        <v>NORESTE</v>
      </c>
      <c r="G547" s="28">
        <v>67360977</v>
      </c>
      <c r="H547" s="4" t="s">
        <v>450</v>
      </c>
      <c r="I547" s="4">
        <v>10001077</v>
      </c>
      <c r="J547" s="4" t="str">
        <f>VLOOKUP(I547,'Materiales,canteras'!C:D,2,0)</f>
        <v>Crudo Basalto</v>
      </c>
      <c r="K547" s="25">
        <f>VLOOKUP(I547,'Materiales,canteras'!C:E,3,0)</f>
        <v>1.35</v>
      </c>
      <c r="L547" s="198">
        <v>130</v>
      </c>
      <c r="M547" s="28" t="s">
        <v>93</v>
      </c>
      <c r="N547" s="57">
        <f t="shared" ca="1" si="87"/>
        <v>46267</v>
      </c>
      <c r="O547" s="43" t="s">
        <v>201</v>
      </c>
      <c r="P547" s="10">
        <v>6.9</v>
      </c>
      <c r="Q547">
        <v>1.97</v>
      </c>
      <c r="S547" s="4">
        <v>138</v>
      </c>
      <c r="T547" s="66">
        <f t="shared" si="92"/>
        <v>-6.0300000000000011</v>
      </c>
      <c r="U547" s="46">
        <f t="shared" si="82"/>
        <v>130</v>
      </c>
      <c r="V547" s="27">
        <v>0</v>
      </c>
      <c r="W547" s="4">
        <v>2</v>
      </c>
      <c r="X547" s="195">
        <f t="shared" si="84"/>
        <v>130</v>
      </c>
      <c r="Y547" s="29" t="e">
        <f>IF(+VLOOKUP(I547,P.Referencia!E:S,3,FALSE)&lt;=L547,"Champion","Gerente")</f>
        <v>#N/A</v>
      </c>
      <c r="Z547" s="39" t="e">
        <f>VLOOKUP(I547,P.Referencia!E:S,3,0)</f>
        <v>#N/A</v>
      </c>
      <c r="AA547" s="40" t="e">
        <f t="shared" si="88"/>
        <v>#N/A</v>
      </c>
      <c r="AB547" s="41" t="e">
        <f t="shared" si="89"/>
        <v>#N/A</v>
      </c>
      <c r="AC547" s="41" t="e">
        <f t="shared" si="90"/>
        <v>#N/A</v>
      </c>
    </row>
    <row r="548" spans="1:30" hidden="1" x14ac:dyDescent="0.25">
      <c r="A548" s="24">
        <v>547</v>
      </c>
      <c r="B548" s="89" t="s">
        <v>444</v>
      </c>
      <c r="C548" s="4" t="str">
        <f t="shared" si="86"/>
        <v>LlaveD82467360977101916472</v>
      </c>
      <c r="D548" s="25" t="str">
        <f>VLOOKUP(E548,'NO MODIFICAR'!J:K,2,0)</f>
        <v>D824</v>
      </c>
      <c r="E548" s="102" t="s">
        <v>28</v>
      </c>
      <c r="F548" s="33" t="str">
        <f>VLOOKUP(D548,'NO MODIFICAR'!F:H,3,0)</f>
        <v>NORESTE</v>
      </c>
      <c r="G548" s="28">
        <v>67360977</v>
      </c>
      <c r="H548" s="4" t="s">
        <v>450</v>
      </c>
      <c r="I548" s="4">
        <v>10191647</v>
      </c>
      <c r="J548" s="4" t="str">
        <f>VLOOKUP(I548,'Materiales,canteras'!C:D,2,0)</f>
        <v>BALASTO 6# A 3#</v>
      </c>
      <c r="K548" s="25">
        <f>VLOOKUP(I548,'Materiales,canteras'!C:E,3,0)</f>
        <v>1.4410000000000001</v>
      </c>
      <c r="L548" s="198">
        <v>155</v>
      </c>
      <c r="M548" s="28" t="s">
        <v>93</v>
      </c>
      <c r="N548" s="57">
        <f t="shared" ca="1" si="87"/>
        <v>46267</v>
      </c>
      <c r="O548" s="43" t="s">
        <v>201</v>
      </c>
      <c r="P548" s="10">
        <v>8.65</v>
      </c>
      <c r="Q548">
        <v>2.4700000000000002</v>
      </c>
      <c r="S548" s="4">
        <v>173</v>
      </c>
      <c r="T548" s="66">
        <f t="shared" si="92"/>
        <v>-15.530000000000001</v>
      </c>
      <c r="U548" s="46">
        <f t="shared" si="82"/>
        <v>155</v>
      </c>
      <c r="V548" s="27">
        <v>0</v>
      </c>
      <c r="W548" s="4">
        <v>2</v>
      </c>
      <c r="X548" s="195">
        <f t="shared" si="84"/>
        <v>155</v>
      </c>
      <c r="Y548" s="29" t="e">
        <f>IF(+VLOOKUP(I548,P.Referencia!E:S,3,FALSE)&lt;=L548,"Champion","Gerente")</f>
        <v>#N/A</v>
      </c>
      <c r="Z548" s="39" t="e">
        <f>VLOOKUP(I548,P.Referencia!E:S,3,0)</f>
        <v>#N/A</v>
      </c>
      <c r="AA548" s="40" t="e">
        <f t="shared" si="88"/>
        <v>#N/A</v>
      </c>
      <c r="AB548" s="41" t="e">
        <f t="shared" si="89"/>
        <v>#N/A</v>
      </c>
      <c r="AC548" s="41" t="e">
        <f t="shared" si="90"/>
        <v>#N/A</v>
      </c>
    </row>
    <row r="549" spans="1:30" hidden="1" x14ac:dyDescent="0.25">
      <c r="A549" s="24">
        <v>548</v>
      </c>
      <c r="B549" s="89" t="s">
        <v>444</v>
      </c>
      <c r="C549" s="4" t="str">
        <f t="shared" si="86"/>
        <v>LlaveD82467360977100002892</v>
      </c>
      <c r="D549" s="25" t="str">
        <f>VLOOKUP(E549,'NO MODIFICAR'!J:K,2,0)</f>
        <v>D824</v>
      </c>
      <c r="E549" s="102" t="s">
        <v>28</v>
      </c>
      <c r="F549" s="33" t="str">
        <f>VLOOKUP(D549,'NO MODIFICAR'!F:H,3,0)</f>
        <v>NORESTE</v>
      </c>
      <c r="G549" s="28">
        <v>67360977</v>
      </c>
      <c r="H549" s="4" t="s">
        <v>450</v>
      </c>
      <c r="I549" s="4">
        <v>10000289</v>
      </c>
      <c r="J549" s="4" t="str">
        <f>VLOOKUP(I549,'Materiales,canteras'!C:D,2,0)</f>
        <v>Desperdicio Triturado Basalto</v>
      </c>
      <c r="K549" s="25">
        <f>VLOOKUP(I549,'Materiales,canteras'!C:E,3,0)</f>
        <v>1.55</v>
      </c>
      <c r="L549" s="198">
        <v>60</v>
      </c>
      <c r="M549" s="28" t="s">
        <v>93</v>
      </c>
      <c r="N549" s="57">
        <f t="shared" ca="1" si="87"/>
        <v>46267</v>
      </c>
      <c r="O549" s="43" t="s">
        <v>201</v>
      </c>
      <c r="P549" s="10">
        <v>3.45</v>
      </c>
      <c r="Q549">
        <v>0.98</v>
      </c>
      <c r="S549" s="4">
        <v>69</v>
      </c>
      <c r="T549" s="66">
        <f t="shared" si="92"/>
        <v>-8.019999999999996</v>
      </c>
      <c r="U549" s="46">
        <f t="shared" si="82"/>
        <v>60</v>
      </c>
      <c r="V549" s="27">
        <v>0</v>
      </c>
      <c r="W549" s="4">
        <v>2</v>
      </c>
      <c r="X549" s="195">
        <f t="shared" si="84"/>
        <v>60</v>
      </c>
      <c r="Y549" s="29" t="e">
        <f>IF(+VLOOKUP(I549,P.Referencia!E:S,3,FALSE)&lt;=L549,"Champion","Gerente")</f>
        <v>#N/A</v>
      </c>
      <c r="Z549" s="39" t="e">
        <f>VLOOKUP(I549,P.Referencia!E:S,3,0)</f>
        <v>#N/A</v>
      </c>
      <c r="AA549" s="40" t="e">
        <f t="shared" si="88"/>
        <v>#N/A</v>
      </c>
      <c r="AB549" s="41" t="e">
        <f t="shared" si="89"/>
        <v>#N/A</v>
      </c>
      <c r="AC549" s="41" t="e">
        <f t="shared" si="90"/>
        <v>#N/A</v>
      </c>
    </row>
    <row r="550" spans="1:30" hidden="1" x14ac:dyDescent="0.25">
      <c r="A550" s="24">
        <v>549</v>
      </c>
      <c r="B550" s="89" t="s">
        <v>444</v>
      </c>
      <c r="C550" s="4" t="str">
        <f t="shared" si="86"/>
        <v>LlaveDU0766492121100001012</v>
      </c>
      <c r="D550" s="25" t="str">
        <f>VLOOKUP(E550,'NO MODIFICAR'!J:K,2,0)</f>
        <v>DU07</v>
      </c>
      <c r="E550" s="102" t="s">
        <v>87</v>
      </c>
      <c r="F550" s="33" t="str">
        <f>VLOOKUP(D550,'NO MODIFICAR'!F:H,3,0)</f>
        <v>SURESTE</v>
      </c>
      <c r="G550" s="28">
        <v>66492121</v>
      </c>
      <c r="H550" s="4" t="s">
        <v>452</v>
      </c>
      <c r="I550" s="4">
        <v>10000101</v>
      </c>
      <c r="J550" s="4" t="str">
        <f>VLOOKUP(I550,'Materiales,canteras'!C:D,2,0)</f>
        <v>Arena Triturada Caliza Malla 4</v>
      </c>
      <c r="K550" s="25">
        <f>VLOOKUP(I550,'Materiales,canteras'!C:E,3,0)</f>
        <v>1.417</v>
      </c>
      <c r="L550" s="198">
        <v>247</v>
      </c>
      <c r="M550" s="28" t="s">
        <v>93</v>
      </c>
      <c r="N550" s="57">
        <f t="shared" ca="1" si="87"/>
        <v>46267</v>
      </c>
      <c r="O550" s="43" t="s">
        <v>201</v>
      </c>
      <c r="P550" s="10"/>
      <c r="S550" s="4">
        <v>420</v>
      </c>
      <c r="T550" s="66">
        <f t="shared" ref="T550:T556" si="93">L550-(S550-(S550*R550))</f>
        <v>-173</v>
      </c>
      <c r="U550" s="46">
        <f t="shared" si="82"/>
        <v>247</v>
      </c>
      <c r="V550" s="27">
        <v>0</v>
      </c>
      <c r="W550" s="4">
        <v>2</v>
      </c>
      <c r="X550" s="195">
        <f t="shared" si="84"/>
        <v>247</v>
      </c>
      <c r="Y550" s="29" t="e">
        <f>IF(+VLOOKUP(I550,P.Referencia!E:S,3,FALSE)&lt;=L550,"Champion","Gerente")</f>
        <v>#N/A</v>
      </c>
      <c r="Z550" s="39" t="e">
        <f>VLOOKUP(I550,P.Referencia!E:S,3,0)</f>
        <v>#N/A</v>
      </c>
      <c r="AA550" s="40" t="e">
        <f t="shared" si="88"/>
        <v>#N/A</v>
      </c>
      <c r="AB550" s="41" t="e">
        <f t="shared" si="89"/>
        <v>#N/A</v>
      </c>
      <c r="AC550" s="41" t="e">
        <f t="shared" si="90"/>
        <v>#N/A</v>
      </c>
    </row>
    <row r="551" spans="1:30" hidden="1" x14ac:dyDescent="0.25">
      <c r="A551" s="24">
        <v>550</v>
      </c>
      <c r="B551" s="89" t="s">
        <v>444</v>
      </c>
      <c r="C551" s="4" t="str">
        <f t="shared" si="86"/>
        <v>LlaveD86467360834100010732</v>
      </c>
      <c r="D551" s="25" t="str">
        <f>VLOOKUP(E551,'NO MODIFICAR'!J:K,2,0)</f>
        <v>D864</v>
      </c>
      <c r="E551" s="102" t="s">
        <v>55</v>
      </c>
      <c r="F551" s="33" t="str">
        <f>VLOOKUP(D551,'NO MODIFICAR'!F:H,3,0)</f>
        <v xml:space="preserve">CENTRO </v>
      </c>
      <c r="G551" s="28">
        <v>67360834</v>
      </c>
      <c r="H551" s="4" t="s">
        <v>453</v>
      </c>
      <c r="I551" s="4">
        <v>10001073</v>
      </c>
      <c r="J551" s="4" t="str">
        <f>VLOOKUP(I551,'Materiales,canteras'!C:D,2,0)</f>
        <v>Arena Triturada Caliza Malla 4</v>
      </c>
      <c r="K551" s="25">
        <f>VLOOKUP(I551,'Materiales,canteras'!C:E,3,0)</f>
        <v>1.56</v>
      </c>
      <c r="L551" s="198">
        <v>106.99999999999999</v>
      </c>
      <c r="M551" s="28" t="s">
        <v>93</v>
      </c>
      <c r="N551" s="57">
        <f t="shared" ca="1" si="87"/>
        <v>46267</v>
      </c>
      <c r="O551" s="43" t="s">
        <v>201</v>
      </c>
      <c r="P551" s="10"/>
      <c r="Q551" s="10"/>
      <c r="S551" s="4">
        <v>158</v>
      </c>
      <c r="T551" s="66">
        <f t="shared" si="93"/>
        <v>-51.000000000000014</v>
      </c>
      <c r="U551" s="46">
        <f t="shared" si="82"/>
        <v>106.99999999999999</v>
      </c>
      <c r="V551" s="27">
        <v>0</v>
      </c>
      <c r="W551" s="4">
        <v>2</v>
      </c>
      <c r="X551" s="195">
        <f t="shared" si="84"/>
        <v>106.99999999999999</v>
      </c>
      <c r="Y551" s="29" t="e">
        <f>IF(+VLOOKUP(I551,P.Referencia!E:S,3,FALSE)&lt;=L551,"Champion","Gerente")</f>
        <v>#N/A</v>
      </c>
      <c r="Z551" s="39" t="e">
        <f>VLOOKUP(I551,P.Referencia!E:S,3,0)</f>
        <v>#N/A</v>
      </c>
      <c r="AA551" s="40" t="e">
        <f t="shared" si="88"/>
        <v>#N/A</v>
      </c>
      <c r="AB551" s="41" t="e">
        <f t="shared" si="89"/>
        <v>#N/A</v>
      </c>
      <c r="AC551" s="41" t="e">
        <f t="shared" si="90"/>
        <v>#N/A</v>
      </c>
    </row>
    <row r="552" spans="1:30" hidden="1" x14ac:dyDescent="0.25">
      <c r="A552" s="24">
        <v>551</v>
      </c>
      <c r="B552" s="89" t="s">
        <v>444</v>
      </c>
      <c r="C552" s="4" t="str">
        <f t="shared" si="86"/>
        <v>LlaveD86467360834100002402</v>
      </c>
      <c r="D552" s="25" t="str">
        <f>VLOOKUP(E552,'NO MODIFICAR'!J:K,2,0)</f>
        <v>D864</v>
      </c>
      <c r="E552" s="102" t="s">
        <v>55</v>
      </c>
      <c r="F552" s="33" t="str">
        <f>VLOOKUP(D552,'NO MODIFICAR'!F:H,3,0)</f>
        <v xml:space="preserve">CENTRO </v>
      </c>
      <c r="G552" s="28">
        <v>67360834</v>
      </c>
      <c r="H552" s="4" t="s">
        <v>453</v>
      </c>
      <c r="I552" s="4">
        <v>10000240</v>
      </c>
      <c r="J552" s="4" t="str">
        <f>VLOOKUP(I552,'Materiales,canteras'!C:D,2,0)</f>
        <v>Grava Triturada Caliza 20 mm -</v>
      </c>
      <c r="K552" s="25">
        <f>VLOOKUP(I552,'Materiales,canteras'!C:E,3,0)</f>
        <v>1.462</v>
      </c>
      <c r="L552" s="198">
        <v>128.39945280437757</v>
      </c>
      <c r="M552" s="28" t="s">
        <v>93</v>
      </c>
      <c r="N552" s="57">
        <f t="shared" ca="1" si="87"/>
        <v>46267</v>
      </c>
      <c r="O552" s="43" t="s">
        <v>201</v>
      </c>
      <c r="P552" s="10"/>
      <c r="S552" s="4">
        <v>294</v>
      </c>
      <c r="T552" s="66">
        <f t="shared" si="93"/>
        <v>-165.60054719562243</v>
      </c>
      <c r="U552" s="46">
        <f t="shared" si="82"/>
        <v>128.39945280437757</v>
      </c>
      <c r="V552" s="27">
        <v>0</v>
      </c>
      <c r="W552" s="4">
        <v>2</v>
      </c>
      <c r="X552" s="195">
        <f t="shared" si="84"/>
        <v>128.39945280437757</v>
      </c>
      <c r="Y552" s="29" t="e">
        <f>IF(+VLOOKUP(I552,P.Referencia!E:S,3,FALSE)&lt;=L552,"Champion","Gerente")</f>
        <v>#N/A</v>
      </c>
      <c r="Z552" s="39" t="e">
        <f>VLOOKUP(I552,P.Referencia!E:S,3,0)</f>
        <v>#N/A</v>
      </c>
      <c r="AA552" s="40" t="e">
        <f t="shared" si="88"/>
        <v>#N/A</v>
      </c>
      <c r="AB552" s="41" t="e">
        <f t="shared" si="89"/>
        <v>#N/A</v>
      </c>
      <c r="AC552" s="41" t="e">
        <f t="shared" si="90"/>
        <v>#N/A</v>
      </c>
    </row>
    <row r="553" spans="1:30" hidden="1" x14ac:dyDescent="0.25">
      <c r="A553" s="24">
        <v>552</v>
      </c>
      <c r="B553" s="89" t="s">
        <v>444</v>
      </c>
      <c r="C553" s="4" t="str">
        <f t="shared" si="86"/>
        <v>LlaveD86467360834100002362</v>
      </c>
      <c r="D553" s="25" t="str">
        <f>VLOOKUP(E553,'NO MODIFICAR'!J:K,2,0)</f>
        <v>D864</v>
      </c>
      <c r="E553" s="102" t="s">
        <v>55</v>
      </c>
      <c r="F553" s="33" t="str">
        <f>VLOOKUP(D553,'NO MODIFICAR'!F:H,3,0)</f>
        <v xml:space="preserve">CENTRO </v>
      </c>
      <c r="G553" s="28">
        <v>67360834</v>
      </c>
      <c r="H553" s="4" t="s">
        <v>453</v>
      </c>
      <c r="I553" s="4">
        <v>10000236</v>
      </c>
      <c r="J553" s="4" t="str">
        <f>VLOOKUP(I553,'Materiales,canteras'!C:D,2,0)</f>
        <v>Grava Triturada Caliza 10 mm -</v>
      </c>
      <c r="K553" s="25">
        <f>VLOOKUP(I553,'Materiales,canteras'!C:E,3,0)</f>
        <v>1.41</v>
      </c>
      <c r="L553" s="198">
        <v>144.44680851063831</v>
      </c>
      <c r="M553" s="28" t="s">
        <v>93</v>
      </c>
      <c r="N553" s="57">
        <f t="shared" ca="1" si="87"/>
        <v>46267</v>
      </c>
      <c r="O553" s="43" t="s">
        <v>201</v>
      </c>
      <c r="P553" s="10"/>
      <c r="S553" s="4">
        <v>252</v>
      </c>
      <c r="T553" s="66">
        <f t="shared" si="93"/>
        <v>-107.55319148936169</v>
      </c>
      <c r="U553" s="46">
        <f t="shared" si="82"/>
        <v>144.44680851063831</v>
      </c>
      <c r="V553" s="27">
        <v>0</v>
      </c>
      <c r="W553" s="4">
        <v>2</v>
      </c>
      <c r="X553" s="195">
        <f t="shared" si="84"/>
        <v>144.44680851063831</v>
      </c>
      <c r="Y553" s="29" t="e">
        <f>IF(+VLOOKUP(I553,P.Referencia!E:S,3,FALSE)&lt;=L553,"Champion","Gerente")</f>
        <v>#N/A</v>
      </c>
      <c r="Z553" s="39" t="e">
        <f>VLOOKUP(I553,P.Referencia!E:S,3,0)</f>
        <v>#N/A</v>
      </c>
      <c r="AA553" s="40" t="e">
        <f t="shared" si="88"/>
        <v>#N/A</v>
      </c>
      <c r="AB553" s="41" t="e">
        <f t="shared" si="89"/>
        <v>#N/A</v>
      </c>
      <c r="AC553" s="41" t="e">
        <f t="shared" si="90"/>
        <v>#N/A</v>
      </c>
    </row>
    <row r="554" spans="1:30" hidden="1" x14ac:dyDescent="0.25">
      <c r="A554" s="24">
        <v>553</v>
      </c>
      <c r="B554" s="89" t="s">
        <v>444</v>
      </c>
      <c r="C554" s="4" t="str">
        <f t="shared" si="86"/>
        <v>LlaveD86467277484100002402</v>
      </c>
      <c r="D554" s="25" t="str">
        <f>VLOOKUP(E554,'NO MODIFICAR'!J:K,2,0)</f>
        <v>D864</v>
      </c>
      <c r="E554" s="102" t="s">
        <v>55</v>
      </c>
      <c r="F554" s="33" t="str">
        <f>VLOOKUP(D554,'NO MODIFICAR'!F:H,3,0)</f>
        <v xml:space="preserve">CENTRO </v>
      </c>
      <c r="G554" s="28">
        <v>67277484</v>
      </c>
      <c r="H554" s="93" t="s">
        <v>248</v>
      </c>
      <c r="I554" s="94">
        <v>10000240</v>
      </c>
      <c r="J554" s="4" t="str">
        <f>VLOOKUP(I554,'Materiales,canteras'!C:D,2,0)</f>
        <v>Grava Triturada Caliza 20 mm -</v>
      </c>
      <c r="K554" s="25">
        <f>VLOOKUP(I554,'Materiales,canteras'!C:E,3,0)</f>
        <v>1.462</v>
      </c>
      <c r="L554" s="105">
        <v>127</v>
      </c>
      <c r="M554" s="28" t="s">
        <v>93</v>
      </c>
      <c r="N554" s="57">
        <f t="shared" ca="1" si="87"/>
        <v>46267</v>
      </c>
      <c r="O554" s="43" t="s">
        <v>201</v>
      </c>
      <c r="R554">
        <f>1.5/100</f>
        <v>1.4999999999999999E-2</v>
      </c>
      <c r="S554" s="4">
        <v>294</v>
      </c>
      <c r="T554" s="75">
        <f t="shared" si="93"/>
        <v>-162.58999999999997</v>
      </c>
      <c r="U554" s="46">
        <f t="shared" si="82"/>
        <v>127</v>
      </c>
      <c r="V554" s="27">
        <v>0</v>
      </c>
      <c r="W554" s="4">
        <v>2</v>
      </c>
      <c r="X554" s="195">
        <f t="shared" si="84"/>
        <v>127</v>
      </c>
      <c r="Y554" s="29" t="e">
        <f>IF(+VLOOKUP(I554,P.Referencia!E:S,3,FALSE)&lt;=L554,"Champion","Gerente")</f>
        <v>#N/A</v>
      </c>
      <c r="Z554" s="39" t="e">
        <f>VLOOKUP(I554,P.Referencia!E:S,3,0)</f>
        <v>#N/A</v>
      </c>
      <c r="AA554" s="40" t="e">
        <f t="shared" si="88"/>
        <v>#N/A</v>
      </c>
      <c r="AB554" s="41" t="e">
        <f t="shared" si="89"/>
        <v>#N/A</v>
      </c>
      <c r="AC554" s="41" t="e">
        <f t="shared" si="90"/>
        <v>#N/A</v>
      </c>
      <c r="AD554" t="s">
        <v>454</v>
      </c>
    </row>
    <row r="555" spans="1:30" hidden="1" x14ac:dyDescent="0.25">
      <c r="A555" s="24">
        <v>554</v>
      </c>
      <c r="B555" s="89" t="s">
        <v>444</v>
      </c>
      <c r="C555" s="4" t="str">
        <f t="shared" si="86"/>
        <v>LlaveD86467277484100010742</v>
      </c>
      <c r="D555" s="25" t="str">
        <f>VLOOKUP(E555,'NO MODIFICAR'!J:K,2,0)</f>
        <v>D864</v>
      </c>
      <c r="E555" s="102" t="s">
        <v>55</v>
      </c>
      <c r="F555" s="33" t="str">
        <f>VLOOKUP(D555,'NO MODIFICAR'!F:H,3,0)</f>
        <v xml:space="preserve">CENTRO </v>
      </c>
      <c r="G555" s="28">
        <v>67277484</v>
      </c>
      <c r="H555" s="93" t="s">
        <v>248</v>
      </c>
      <c r="I555" s="94">
        <v>10001074</v>
      </c>
      <c r="J555" s="4" t="str">
        <f>VLOOKUP(I555,'Materiales,canteras'!C:D,2,0)</f>
        <v>Grava Triturada Caliza 40 mm -</v>
      </c>
      <c r="K555" s="25">
        <f>VLOOKUP(I555,'Materiales,canteras'!C:E,3,0)</f>
        <v>1.4</v>
      </c>
      <c r="L555" s="105">
        <v>137</v>
      </c>
      <c r="M555" s="28" t="s">
        <v>93</v>
      </c>
      <c r="N555" s="57">
        <f t="shared" ca="1" si="87"/>
        <v>46267</v>
      </c>
      <c r="O555" s="43" t="s">
        <v>201</v>
      </c>
      <c r="R555">
        <f>1.5/100</f>
        <v>1.4999999999999999E-2</v>
      </c>
      <c r="S555" s="4">
        <v>231</v>
      </c>
      <c r="T555" s="75">
        <f t="shared" si="93"/>
        <v>-90.534999999999997</v>
      </c>
      <c r="U555" s="46">
        <f t="shared" si="82"/>
        <v>137</v>
      </c>
      <c r="V555" s="27">
        <v>0</v>
      </c>
      <c r="W555" s="4">
        <v>2</v>
      </c>
      <c r="X555" s="195">
        <f t="shared" si="84"/>
        <v>137</v>
      </c>
      <c r="Y555" s="29" t="e">
        <f>IF(+VLOOKUP(I555,P.Referencia!E:S,3,FALSE)&lt;=L555,"Champion","Gerente")</f>
        <v>#N/A</v>
      </c>
      <c r="Z555" s="39" t="e">
        <f>VLOOKUP(I555,P.Referencia!E:S,3,0)</f>
        <v>#N/A</v>
      </c>
      <c r="AA555" s="40" t="e">
        <f t="shared" si="88"/>
        <v>#N/A</v>
      </c>
      <c r="AB555" s="41" t="e">
        <f t="shared" si="89"/>
        <v>#N/A</v>
      </c>
      <c r="AC555" s="41" t="e">
        <f t="shared" si="90"/>
        <v>#N/A</v>
      </c>
      <c r="AD555" t="s">
        <v>454</v>
      </c>
    </row>
    <row r="556" spans="1:30" hidden="1" x14ac:dyDescent="0.25">
      <c r="A556" s="24">
        <v>555</v>
      </c>
      <c r="B556" s="89" t="s">
        <v>444</v>
      </c>
      <c r="C556" s="4" t="str">
        <f t="shared" si="86"/>
        <v>LlaveD86166617693100002311</v>
      </c>
      <c r="D556" s="25" t="str">
        <f>VLOOKUP(E556,'NO MODIFICAR'!J:K,2,0)</f>
        <v>D861</v>
      </c>
      <c r="E556" s="102" t="s">
        <v>44</v>
      </c>
      <c r="F556" s="33" t="str">
        <f>VLOOKUP(D556,'NO MODIFICAR'!F:H,3,0)</f>
        <v xml:space="preserve">CENTRO </v>
      </c>
      <c r="G556" s="28">
        <v>66617693</v>
      </c>
      <c r="H556" s="93" t="s">
        <v>152</v>
      </c>
      <c r="I556" s="94">
        <v>10000231</v>
      </c>
      <c r="J556" s="4" t="str">
        <f>VLOOKUP(I556,'Materiales,canteras'!C:D,2,0)</f>
        <v>Grava Triturada Basalto 20 mm</v>
      </c>
      <c r="K556" s="25">
        <f>VLOOKUP(I556,'Materiales,canteras'!C:E,3,0)</f>
        <v>1.5649999999999999</v>
      </c>
      <c r="L556" s="105">
        <v>219.75</v>
      </c>
      <c r="M556" s="28" t="s">
        <v>93</v>
      </c>
      <c r="N556" s="57">
        <f t="shared" ca="1" si="87"/>
        <v>46267</v>
      </c>
      <c r="O556" s="43" t="s">
        <v>201</v>
      </c>
      <c r="R556">
        <f>1.5/100</f>
        <v>1.4999999999999999E-2</v>
      </c>
      <c r="S556" s="4">
        <v>308</v>
      </c>
      <c r="T556" s="75">
        <f t="shared" si="93"/>
        <v>-83.63</v>
      </c>
      <c r="U556" s="46">
        <f t="shared" si="82"/>
        <v>219.75</v>
      </c>
      <c r="V556" s="27">
        <v>80.25</v>
      </c>
      <c r="W556" s="4">
        <v>1</v>
      </c>
      <c r="X556" s="195">
        <f t="shared" si="84"/>
        <v>300</v>
      </c>
      <c r="Y556" s="29" t="e">
        <f>IF(+VLOOKUP(I556,P.Referencia!E:S,3,FALSE)&lt;=L556,"Champion","Gerente")</f>
        <v>#N/A</v>
      </c>
      <c r="Z556" s="39" t="e">
        <f>VLOOKUP(I556,P.Referencia!E:S,3,0)</f>
        <v>#N/A</v>
      </c>
      <c r="AA556" s="40" t="e">
        <f t="shared" si="88"/>
        <v>#N/A</v>
      </c>
      <c r="AB556" s="41" t="e">
        <f t="shared" si="89"/>
        <v>#N/A</v>
      </c>
      <c r="AC556" s="41" t="e">
        <f t="shared" si="90"/>
        <v>#N/A</v>
      </c>
    </row>
    <row r="557" spans="1:30" hidden="1" x14ac:dyDescent="0.25">
      <c r="A557" s="24">
        <v>556</v>
      </c>
      <c r="B557" s="89" t="s">
        <v>444</v>
      </c>
      <c r="C557" s="4" t="str">
        <f t="shared" si="86"/>
        <v>LlaveD82467361381100002872</v>
      </c>
      <c r="D557" s="25" t="str">
        <f>VLOOKUP(E557,'NO MODIFICAR'!J:K,2,0)</f>
        <v>D824</v>
      </c>
      <c r="E557" s="102" t="s">
        <v>28</v>
      </c>
      <c r="F557" s="33" t="str">
        <f>VLOOKUP(D557,'NO MODIFICAR'!F:H,3,0)</f>
        <v>NORESTE</v>
      </c>
      <c r="G557" s="28">
        <v>67361381</v>
      </c>
      <c r="H557" s="93" t="s">
        <v>455</v>
      </c>
      <c r="I557" s="94">
        <v>10000287</v>
      </c>
      <c r="J557" s="4" t="str">
        <f>VLOOKUP(I557,'Materiales,canteras'!C:D,2,0)</f>
        <v>Grava Triturada Basalto  40 mm</v>
      </c>
      <c r="K557" s="25">
        <f>VLOOKUP(I557,'Materiales,canteras'!C:E,3,0)</f>
        <v>1.44</v>
      </c>
      <c r="L557" s="105">
        <v>200</v>
      </c>
      <c r="M557" s="28" t="s">
        <v>93</v>
      </c>
      <c r="N557" s="57">
        <f t="shared" ca="1" si="87"/>
        <v>46267</v>
      </c>
      <c r="O557" s="43" t="s">
        <v>201</v>
      </c>
      <c r="Q557">
        <v>10.65</v>
      </c>
      <c r="R557">
        <v>3.04</v>
      </c>
      <c r="S557" s="4">
        <v>213</v>
      </c>
      <c r="T557" s="66">
        <f t="shared" ref="T557:T565" si="94">L557-((S557-Q557)-(R557))</f>
        <v>0.68999999999999773</v>
      </c>
      <c r="U557" s="46">
        <f t="shared" ref="U557:U576" si="95">L557</f>
        <v>200</v>
      </c>
      <c r="V557" s="27">
        <v>0</v>
      </c>
      <c r="W557" s="4">
        <v>2</v>
      </c>
      <c r="X557" s="195">
        <f t="shared" si="84"/>
        <v>200</v>
      </c>
      <c r="Y557" s="29" t="e">
        <f>IF(+VLOOKUP(I557,P.Referencia!E:S,3,FALSE)&lt;=L557,"Champion","Gerente")</f>
        <v>#N/A</v>
      </c>
      <c r="Z557" s="39" t="e">
        <f>VLOOKUP(I557,P.Referencia!E:S,3,0)</f>
        <v>#N/A</v>
      </c>
      <c r="AA557" s="40" t="e">
        <f t="shared" si="88"/>
        <v>#N/A</v>
      </c>
      <c r="AB557" s="41" t="e">
        <f t="shared" si="89"/>
        <v>#N/A</v>
      </c>
      <c r="AC557" s="41" t="e">
        <f t="shared" si="90"/>
        <v>#N/A</v>
      </c>
    </row>
    <row r="558" spans="1:30" hidden="1" x14ac:dyDescent="0.25">
      <c r="A558" s="24">
        <v>557</v>
      </c>
      <c r="B558" s="89" t="s">
        <v>444</v>
      </c>
      <c r="C558" s="4" t="str">
        <f t="shared" si="86"/>
        <v>LlaveD82467361381100002842</v>
      </c>
      <c r="D558" s="25" t="str">
        <f>VLOOKUP(E558,'NO MODIFICAR'!J:K,2,0)</f>
        <v>D824</v>
      </c>
      <c r="E558" s="102" t="s">
        <v>28</v>
      </c>
      <c r="F558" s="33" t="str">
        <f>VLOOKUP(D558,'NO MODIFICAR'!F:H,3,0)</f>
        <v>NORESTE</v>
      </c>
      <c r="G558" s="28">
        <v>67361381</v>
      </c>
      <c r="H558" s="93" t="s">
        <v>455</v>
      </c>
      <c r="I558" s="94">
        <v>10000284</v>
      </c>
      <c r="J558" s="4" t="str">
        <f>VLOOKUP(I558,'Materiales,canteras'!C:D,2,0)</f>
        <v>Grava Triturada Basalto  20 mm</v>
      </c>
      <c r="K558" s="25">
        <f>VLOOKUP(I558,'Materiales,canteras'!C:E,3,0)</f>
        <v>1.429</v>
      </c>
      <c r="L558" s="105">
        <v>200</v>
      </c>
      <c r="M558" s="28" t="s">
        <v>93</v>
      </c>
      <c r="N558" s="57">
        <f t="shared" ca="1" si="87"/>
        <v>46267</v>
      </c>
      <c r="O558" s="43" t="s">
        <v>201</v>
      </c>
      <c r="Q558">
        <v>10.65</v>
      </c>
      <c r="R558">
        <v>3.04</v>
      </c>
      <c r="S558" s="4">
        <v>213</v>
      </c>
      <c r="T558" s="66">
        <f t="shared" si="94"/>
        <v>0.68999999999999773</v>
      </c>
      <c r="U558" s="46">
        <f t="shared" si="95"/>
        <v>200</v>
      </c>
      <c r="V558" s="27">
        <v>0</v>
      </c>
      <c r="W558" s="4">
        <v>2</v>
      </c>
      <c r="X558" s="195">
        <f t="shared" si="84"/>
        <v>200</v>
      </c>
      <c r="Y558" s="29" t="e">
        <f>IF(+VLOOKUP(I558,P.Referencia!E:S,3,FALSE)&lt;=L558,"Champion","Gerente")</f>
        <v>#N/A</v>
      </c>
      <c r="Z558" s="39" t="e">
        <f>VLOOKUP(I558,P.Referencia!E:S,3,0)</f>
        <v>#N/A</v>
      </c>
      <c r="AA558" s="40" t="e">
        <f t="shared" si="88"/>
        <v>#N/A</v>
      </c>
      <c r="AB558" s="41" t="e">
        <f t="shared" si="89"/>
        <v>#N/A</v>
      </c>
      <c r="AC558" s="41" t="e">
        <f t="shared" si="90"/>
        <v>#N/A</v>
      </c>
    </row>
    <row r="559" spans="1:30" hidden="1" x14ac:dyDescent="0.25">
      <c r="A559" s="24">
        <v>558</v>
      </c>
      <c r="B559" s="89" t="s">
        <v>444</v>
      </c>
      <c r="C559" s="4" t="str">
        <f t="shared" si="86"/>
        <v>LlaveD82467361381100002852</v>
      </c>
      <c r="D559" s="25" t="str">
        <f>VLOOKUP(E559,'NO MODIFICAR'!J:K,2,0)</f>
        <v>D824</v>
      </c>
      <c r="E559" s="102" t="s">
        <v>28</v>
      </c>
      <c r="F559" s="33" t="str">
        <f>VLOOKUP(D559,'NO MODIFICAR'!F:H,3,0)</f>
        <v>NORESTE</v>
      </c>
      <c r="G559" s="28">
        <v>67361381</v>
      </c>
      <c r="H559" s="93" t="s">
        <v>455</v>
      </c>
      <c r="I559" s="94">
        <v>10000285</v>
      </c>
      <c r="J559" s="4" t="str">
        <f>VLOOKUP(I559,'Materiales,canteras'!C:D,2,0)</f>
        <v>Grava Triturada Basalto  10 mm</v>
      </c>
      <c r="K559" s="25">
        <f>VLOOKUP(I559,'Materiales,canteras'!C:E,3,0)</f>
        <v>1.46</v>
      </c>
      <c r="L559" s="105">
        <v>205</v>
      </c>
      <c r="M559" s="28" t="s">
        <v>93</v>
      </c>
      <c r="N559" s="57">
        <f t="shared" ca="1" si="87"/>
        <v>46267</v>
      </c>
      <c r="O559" s="43" t="s">
        <v>201</v>
      </c>
      <c r="Q559">
        <v>10.95</v>
      </c>
      <c r="R559">
        <v>3.12</v>
      </c>
      <c r="S559" s="4">
        <v>219</v>
      </c>
      <c r="T559" s="66">
        <f t="shared" si="94"/>
        <v>6.9999999999993179E-2</v>
      </c>
      <c r="U559" s="46">
        <f t="shared" si="95"/>
        <v>205</v>
      </c>
      <c r="V559" s="27">
        <v>0</v>
      </c>
      <c r="W559" s="4">
        <v>2</v>
      </c>
      <c r="X559" s="195">
        <f t="shared" si="84"/>
        <v>205</v>
      </c>
      <c r="Y559" s="29" t="e">
        <f>IF(+VLOOKUP(I559,P.Referencia!E:S,3,FALSE)&lt;=L559,"Champion","Gerente")</f>
        <v>#N/A</v>
      </c>
      <c r="Z559" s="39" t="e">
        <f>VLOOKUP(I559,P.Referencia!E:S,3,0)</f>
        <v>#N/A</v>
      </c>
      <c r="AA559" s="40" t="e">
        <f t="shared" si="88"/>
        <v>#N/A</v>
      </c>
      <c r="AB559" s="41" t="e">
        <f t="shared" si="89"/>
        <v>#N/A</v>
      </c>
      <c r="AC559" s="41" t="e">
        <f t="shared" si="90"/>
        <v>#N/A</v>
      </c>
    </row>
    <row r="560" spans="1:30" hidden="1" x14ac:dyDescent="0.25">
      <c r="A560" s="24">
        <v>559</v>
      </c>
      <c r="B560" s="89" t="s">
        <v>444</v>
      </c>
      <c r="C560" s="4" t="str">
        <f t="shared" si="86"/>
        <v>LlaveD82467361381100002342</v>
      </c>
      <c r="D560" s="25" t="str">
        <f>VLOOKUP(E560,'NO MODIFICAR'!J:K,2,0)</f>
        <v>D824</v>
      </c>
      <c r="E560" s="102" t="s">
        <v>28</v>
      </c>
      <c r="F560" s="33" t="str">
        <f>VLOOKUP(D560,'NO MODIFICAR'!F:H,3,0)</f>
        <v>NORESTE</v>
      </c>
      <c r="G560" s="28">
        <v>67361381</v>
      </c>
      <c r="H560" s="93" t="s">
        <v>455</v>
      </c>
      <c r="I560" s="94">
        <v>10000234</v>
      </c>
      <c r="J560" s="4" t="str">
        <f>VLOOKUP(I560,'Materiales,canteras'!C:D,2,0)</f>
        <v>Arena Triturada Basalto  Malla</v>
      </c>
      <c r="K560" s="25">
        <f>VLOOKUP(I560,'Materiales,canteras'!C:E,3,0)</f>
        <v>1.7789999999999999</v>
      </c>
      <c r="L560" s="105">
        <v>190</v>
      </c>
      <c r="M560" s="28" t="s">
        <v>93</v>
      </c>
      <c r="N560" s="57">
        <f t="shared" ca="1" si="87"/>
        <v>46267</v>
      </c>
      <c r="O560" s="43" t="s">
        <v>201</v>
      </c>
      <c r="Q560">
        <v>10.050000000000001</v>
      </c>
      <c r="R560">
        <v>2.86</v>
      </c>
      <c r="S560" s="4">
        <v>201</v>
      </c>
      <c r="T560" s="66">
        <f t="shared" si="94"/>
        <v>1.910000000000025</v>
      </c>
      <c r="U560" s="46">
        <f t="shared" si="95"/>
        <v>190</v>
      </c>
      <c r="V560" s="27">
        <v>0</v>
      </c>
      <c r="W560" s="4">
        <v>2</v>
      </c>
      <c r="X560" s="195">
        <f t="shared" si="84"/>
        <v>190</v>
      </c>
      <c r="Y560" s="29" t="e">
        <f>IF(+VLOOKUP(I560,P.Referencia!E:S,3,FALSE)&lt;=L560,"Champion","Gerente")</f>
        <v>#N/A</v>
      </c>
      <c r="Z560" s="39" t="e">
        <f>VLOOKUP(I560,P.Referencia!E:S,3,0)</f>
        <v>#N/A</v>
      </c>
      <c r="AA560" s="40" t="e">
        <f t="shared" si="88"/>
        <v>#N/A</v>
      </c>
      <c r="AB560" s="41" t="e">
        <f t="shared" si="89"/>
        <v>#N/A</v>
      </c>
      <c r="AC560" s="41" t="e">
        <f t="shared" si="90"/>
        <v>#N/A</v>
      </c>
    </row>
    <row r="561" spans="1:30" hidden="1" x14ac:dyDescent="0.25">
      <c r="A561" s="24">
        <v>560</v>
      </c>
      <c r="B561" s="89" t="s">
        <v>444</v>
      </c>
      <c r="C561" s="4" t="str">
        <f t="shared" si="86"/>
        <v>LlaveD82467361381100231082</v>
      </c>
      <c r="D561" s="25" t="str">
        <f>VLOOKUP(E561,'NO MODIFICAR'!J:K,2,0)</f>
        <v>D824</v>
      </c>
      <c r="E561" s="102" t="s">
        <v>28</v>
      </c>
      <c r="F561" s="33" t="str">
        <f>VLOOKUP(D561,'NO MODIFICAR'!F:H,3,0)</f>
        <v>NORESTE</v>
      </c>
      <c r="G561" s="28">
        <v>67361381</v>
      </c>
      <c r="H561" s="93" t="s">
        <v>455</v>
      </c>
      <c r="I561" s="94">
        <v>10023108</v>
      </c>
      <c r="J561" s="4" t="str">
        <f>VLOOKUP(I561,'Materiales,canteras'!C:D,2,0)</f>
        <v>Base H Triturada Basalto  1 1/2" a Finos</v>
      </c>
      <c r="K561" s="25">
        <f>VLOOKUP(I561,'Materiales,canteras'!C:E,3,0)</f>
        <v>1.9690000000000001</v>
      </c>
      <c r="L561" s="105">
        <v>190</v>
      </c>
      <c r="M561" s="28" t="s">
        <v>93</v>
      </c>
      <c r="N561" s="57">
        <f t="shared" ca="1" si="87"/>
        <v>46267</v>
      </c>
      <c r="O561" s="43" t="s">
        <v>201</v>
      </c>
      <c r="Q561">
        <v>10.050000000000001</v>
      </c>
      <c r="R561">
        <v>2.86</v>
      </c>
      <c r="S561" s="4">
        <v>201</v>
      </c>
      <c r="T561" s="66">
        <f t="shared" si="94"/>
        <v>1.910000000000025</v>
      </c>
      <c r="U561" s="46">
        <f t="shared" si="95"/>
        <v>190</v>
      </c>
      <c r="V561" s="27">
        <v>0</v>
      </c>
      <c r="W561" s="4">
        <v>2</v>
      </c>
      <c r="X561" s="195">
        <f t="shared" si="84"/>
        <v>190</v>
      </c>
      <c r="Y561" s="29" t="e">
        <f>IF(+VLOOKUP(I561,P.Referencia!E:S,3,FALSE)&lt;=L561,"Champion","Gerente")</f>
        <v>#N/A</v>
      </c>
      <c r="Z561" s="39" t="e">
        <f>VLOOKUP(I561,P.Referencia!E:S,3,0)</f>
        <v>#N/A</v>
      </c>
      <c r="AA561" s="40" t="e">
        <f t="shared" si="88"/>
        <v>#N/A</v>
      </c>
      <c r="AB561" s="41" t="e">
        <f t="shared" si="89"/>
        <v>#N/A</v>
      </c>
      <c r="AC561" s="41" t="e">
        <f t="shared" si="90"/>
        <v>#N/A</v>
      </c>
    </row>
    <row r="562" spans="1:30" hidden="1" x14ac:dyDescent="0.25">
      <c r="A562" s="24">
        <v>561</v>
      </c>
      <c r="B562" s="89" t="s">
        <v>444</v>
      </c>
      <c r="C562" s="4" t="str">
        <f t="shared" si="86"/>
        <v>LlaveD82467361381100010772</v>
      </c>
      <c r="D562" s="25" t="str">
        <f>VLOOKUP(E562,'NO MODIFICAR'!J:K,2,0)</f>
        <v>D824</v>
      </c>
      <c r="E562" s="102" t="s">
        <v>28</v>
      </c>
      <c r="F562" s="33" t="str">
        <f>VLOOKUP(D562,'NO MODIFICAR'!F:H,3,0)</f>
        <v>NORESTE</v>
      </c>
      <c r="G562" s="28">
        <v>67361381</v>
      </c>
      <c r="H562" s="93" t="s">
        <v>455</v>
      </c>
      <c r="I562" s="94">
        <v>10001077</v>
      </c>
      <c r="J562" s="4" t="str">
        <f>VLOOKUP(I562,'Materiales,canteras'!C:D,2,0)</f>
        <v>Crudo Basalto</v>
      </c>
      <c r="K562" s="25">
        <f>VLOOKUP(I562,'Materiales,canteras'!C:E,3,0)</f>
        <v>1.35</v>
      </c>
      <c r="L562" s="105">
        <v>130</v>
      </c>
      <c r="M562" s="28" t="s">
        <v>93</v>
      </c>
      <c r="N562" s="57">
        <f t="shared" ca="1" si="87"/>
        <v>46267</v>
      </c>
      <c r="O562" s="43" t="s">
        <v>201</v>
      </c>
      <c r="Q562">
        <v>6.9</v>
      </c>
      <c r="R562">
        <v>1.97</v>
      </c>
      <c r="S562" s="4">
        <v>138</v>
      </c>
      <c r="T562" s="66">
        <f t="shared" si="94"/>
        <v>0.87000000000000455</v>
      </c>
      <c r="U562" s="46">
        <f t="shared" si="95"/>
        <v>130</v>
      </c>
      <c r="V562" s="27">
        <v>0</v>
      </c>
      <c r="W562" s="4">
        <v>2</v>
      </c>
      <c r="X562" s="195">
        <f t="shared" si="84"/>
        <v>130</v>
      </c>
      <c r="Y562" s="29" t="e">
        <f>IF(+VLOOKUP(I562,P.Referencia!E:S,3,FALSE)&lt;=L562,"Champion","Gerente")</f>
        <v>#N/A</v>
      </c>
      <c r="Z562" s="39" t="e">
        <f>VLOOKUP(I562,P.Referencia!E:S,3,0)</f>
        <v>#N/A</v>
      </c>
      <c r="AA562" s="40" t="e">
        <f t="shared" si="88"/>
        <v>#N/A</v>
      </c>
      <c r="AB562" s="41" t="e">
        <f t="shared" si="89"/>
        <v>#N/A</v>
      </c>
      <c r="AC562" s="41" t="e">
        <f t="shared" si="90"/>
        <v>#N/A</v>
      </c>
    </row>
    <row r="563" spans="1:30" hidden="1" x14ac:dyDescent="0.25">
      <c r="A563" s="24">
        <v>562</v>
      </c>
      <c r="B563" s="89" t="s">
        <v>444</v>
      </c>
      <c r="C563" s="4" t="str">
        <f t="shared" si="86"/>
        <v>LlaveD82467361381101916472</v>
      </c>
      <c r="D563" s="25" t="str">
        <f>VLOOKUP(E563,'NO MODIFICAR'!J:K,2,0)</f>
        <v>D824</v>
      </c>
      <c r="E563" s="102" t="s">
        <v>28</v>
      </c>
      <c r="F563" s="33" t="str">
        <f>VLOOKUP(D563,'NO MODIFICAR'!F:H,3,0)</f>
        <v>NORESTE</v>
      </c>
      <c r="G563" s="28">
        <v>67361381</v>
      </c>
      <c r="H563" s="93" t="s">
        <v>455</v>
      </c>
      <c r="I563" s="94">
        <v>10191647</v>
      </c>
      <c r="J563" s="4" t="str">
        <f>VLOOKUP(I563,'Materiales,canteras'!C:D,2,0)</f>
        <v>BALASTO 6# A 3#</v>
      </c>
      <c r="K563" s="25">
        <f>VLOOKUP(I563,'Materiales,canteras'!C:E,3,0)</f>
        <v>1.4410000000000001</v>
      </c>
      <c r="L563" s="105">
        <v>155</v>
      </c>
      <c r="M563" s="28" t="s">
        <v>93</v>
      </c>
      <c r="N563" s="57">
        <f t="shared" ca="1" si="87"/>
        <v>46267</v>
      </c>
      <c r="O563" s="43" t="s">
        <v>201</v>
      </c>
      <c r="Q563">
        <v>8.65</v>
      </c>
      <c r="R563">
        <v>2.4700000000000002</v>
      </c>
      <c r="S563" s="4">
        <v>173</v>
      </c>
      <c r="T563" s="66">
        <f t="shared" si="94"/>
        <v>-6.8799999999999955</v>
      </c>
      <c r="U563" s="46">
        <f t="shared" si="95"/>
        <v>155</v>
      </c>
      <c r="V563" s="27">
        <v>0</v>
      </c>
      <c r="W563" s="4">
        <v>2</v>
      </c>
      <c r="X563" s="195">
        <f t="shared" si="84"/>
        <v>155</v>
      </c>
      <c r="Y563" s="29" t="e">
        <f>IF(+VLOOKUP(I563,P.Referencia!E:S,3,FALSE)&lt;=L563,"Champion","Gerente")</f>
        <v>#N/A</v>
      </c>
      <c r="Z563" s="39" t="e">
        <f>VLOOKUP(I563,P.Referencia!E:S,3,0)</f>
        <v>#N/A</v>
      </c>
      <c r="AA563" s="40" t="e">
        <f t="shared" si="88"/>
        <v>#N/A</v>
      </c>
      <c r="AB563" s="41" t="e">
        <f t="shared" si="89"/>
        <v>#N/A</v>
      </c>
      <c r="AC563" s="41" t="e">
        <f t="shared" si="90"/>
        <v>#N/A</v>
      </c>
    </row>
    <row r="564" spans="1:30" hidden="1" x14ac:dyDescent="0.25">
      <c r="A564" s="24">
        <v>563</v>
      </c>
      <c r="B564" s="89" t="s">
        <v>444</v>
      </c>
      <c r="C564" s="4" t="str">
        <f t="shared" si="86"/>
        <v>LlaveD82467361381100002892</v>
      </c>
      <c r="D564" s="25" t="str">
        <f>VLOOKUP(E564,'NO MODIFICAR'!J:K,2,0)</f>
        <v>D824</v>
      </c>
      <c r="E564" s="102" t="s">
        <v>28</v>
      </c>
      <c r="F564" s="33" t="str">
        <f>VLOOKUP(D564,'NO MODIFICAR'!F:H,3,0)</f>
        <v>NORESTE</v>
      </c>
      <c r="G564" s="28">
        <v>67361381</v>
      </c>
      <c r="H564" s="93" t="s">
        <v>455</v>
      </c>
      <c r="I564" s="94">
        <v>10000289</v>
      </c>
      <c r="J564" s="4" t="str">
        <f>VLOOKUP(I564,'Materiales,canteras'!C:D,2,0)</f>
        <v>Desperdicio Triturado Basalto</v>
      </c>
      <c r="K564" s="25">
        <f>VLOOKUP(I564,'Materiales,canteras'!C:E,3,0)</f>
        <v>1.55</v>
      </c>
      <c r="L564" s="105">
        <v>60</v>
      </c>
      <c r="M564" s="28" t="s">
        <v>93</v>
      </c>
      <c r="N564" s="57">
        <f t="shared" ca="1" si="87"/>
        <v>46267</v>
      </c>
      <c r="O564" s="43" t="s">
        <v>201</v>
      </c>
      <c r="Q564">
        <v>3.45</v>
      </c>
      <c r="R564">
        <v>0.98</v>
      </c>
      <c r="S564" s="4">
        <v>69</v>
      </c>
      <c r="T564" s="66">
        <f t="shared" si="94"/>
        <v>-4.5699999999999932</v>
      </c>
      <c r="U564" s="46">
        <f t="shared" si="95"/>
        <v>60</v>
      </c>
      <c r="V564" s="27">
        <v>0</v>
      </c>
      <c r="W564" s="4">
        <v>2</v>
      </c>
      <c r="X564" s="195">
        <f t="shared" si="84"/>
        <v>60</v>
      </c>
      <c r="Y564" s="29" t="e">
        <f>IF(+VLOOKUP(I564,P.Referencia!E:S,3,FALSE)&lt;=L564,"Champion","Gerente")</f>
        <v>#N/A</v>
      </c>
      <c r="Z564" s="39" t="e">
        <f>VLOOKUP(I564,P.Referencia!E:S,3,0)</f>
        <v>#N/A</v>
      </c>
      <c r="AA564" s="40" t="e">
        <f t="shared" si="88"/>
        <v>#N/A</v>
      </c>
      <c r="AB564" s="41" t="e">
        <f t="shared" si="89"/>
        <v>#N/A</v>
      </c>
      <c r="AC564" s="41" t="e">
        <f t="shared" si="90"/>
        <v>#N/A</v>
      </c>
    </row>
    <row r="565" spans="1:30" hidden="1" x14ac:dyDescent="0.25">
      <c r="A565" s="24">
        <v>564</v>
      </c>
      <c r="B565" s="89" t="s">
        <v>444</v>
      </c>
      <c r="C565" s="4" t="str">
        <f t="shared" si="86"/>
        <v>LlaveD81666362696102690421</v>
      </c>
      <c r="D565" s="25" t="str">
        <f>VLOOKUP(E565,'NO MODIFICAR'!J:K,2,0)</f>
        <v>D816</v>
      </c>
      <c r="E565" s="102" t="s">
        <v>15</v>
      </c>
      <c r="F565" s="33" t="str">
        <f>VLOOKUP(D565,'NO MODIFICAR'!F:H,3,0)</f>
        <v>NORESTE</v>
      </c>
      <c r="G565" s="28">
        <v>66362696</v>
      </c>
      <c r="H565" s="93" t="s">
        <v>456</v>
      </c>
      <c r="I565" s="94">
        <v>10269042</v>
      </c>
      <c r="J565" s="4" t="str">
        <f>VLOOKUP(I565,'Materiales,canteras'!C:D,2,0)</f>
        <v>NO CLASIFICADO BALASTO B9</v>
      </c>
      <c r="K565" s="25">
        <f>VLOOKUP(I565,'Materiales,canteras'!C:E,3,0)</f>
        <v>1.456</v>
      </c>
      <c r="L565" s="105">
        <v>292.77</v>
      </c>
      <c r="M565" s="28" t="s">
        <v>93</v>
      </c>
      <c r="N565" s="57">
        <f t="shared" ca="1" si="87"/>
        <v>46267</v>
      </c>
      <c r="O565" s="43" t="s">
        <v>201</v>
      </c>
      <c r="Q565">
        <v>6.1</v>
      </c>
      <c r="R565">
        <v>4.4800000000000004</v>
      </c>
      <c r="S565" s="4">
        <v>305</v>
      </c>
      <c r="T565" s="66">
        <f t="shared" si="94"/>
        <v>-1.6499999999999773</v>
      </c>
      <c r="U565" s="46">
        <f t="shared" si="95"/>
        <v>292.77</v>
      </c>
      <c r="V565" s="27">
        <v>32.229999999999997</v>
      </c>
      <c r="W565" s="4">
        <v>1</v>
      </c>
      <c r="X565" s="195">
        <f t="shared" si="84"/>
        <v>325</v>
      </c>
      <c r="Y565" s="29" t="e">
        <f>IF(+VLOOKUP(I565,P.Referencia!E:S,3,FALSE)&lt;=L565,"Champion","Gerente")</f>
        <v>#N/A</v>
      </c>
      <c r="Z565" s="39" t="e">
        <f>VLOOKUP(I565,P.Referencia!E:S,3,0)</f>
        <v>#N/A</v>
      </c>
      <c r="AA565" s="40" t="e">
        <f t="shared" si="88"/>
        <v>#N/A</v>
      </c>
      <c r="AB565" s="41" t="e">
        <f t="shared" si="89"/>
        <v>#N/A</v>
      </c>
      <c r="AC565" s="41" t="e">
        <f t="shared" si="90"/>
        <v>#N/A</v>
      </c>
    </row>
    <row r="566" spans="1:30" hidden="1" x14ac:dyDescent="0.25">
      <c r="A566" s="24">
        <v>565</v>
      </c>
      <c r="B566" s="89" t="s">
        <v>444</v>
      </c>
      <c r="C566" s="4" t="str">
        <f t="shared" si="86"/>
        <v>LlaveD86465087219100010732</v>
      </c>
      <c r="D566" s="25" t="str">
        <f>VLOOKUP(E566,'NO MODIFICAR'!J:K,2,0)</f>
        <v>D864</v>
      </c>
      <c r="E566" s="102" t="s">
        <v>55</v>
      </c>
      <c r="F566" s="33" t="str">
        <f>VLOOKUP(D566,'NO MODIFICAR'!F:H,3,0)</f>
        <v xml:space="preserve">CENTRO </v>
      </c>
      <c r="G566" s="28">
        <v>65087219</v>
      </c>
      <c r="H566" s="93" t="s">
        <v>239</v>
      </c>
      <c r="I566" s="94">
        <v>10001073</v>
      </c>
      <c r="J566" s="4" t="str">
        <f>VLOOKUP(I566,'Materiales,canteras'!C:D,2,0)</f>
        <v>Arena Triturada Caliza Malla 4</v>
      </c>
      <c r="K566" s="25">
        <f>VLOOKUP(I566,'Materiales,canteras'!C:E,3,0)</f>
        <v>1.56</v>
      </c>
      <c r="L566" s="105">
        <v>90</v>
      </c>
      <c r="M566" s="28" t="s">
        <v>93</v>
      </c>
      <c r="N566" s="57">
        <f t="shared" ca="1" si="87"/>
        <v>46267</v>
      </c>
      <c r="O566" s="43" t="s">
        <v>201</v>
      </c>
      <c r="S566" s="4">
        <v>158</v>
      </c>
      <c r="T566" s="75">
        <f>L566-(S566-(S566*R566))</f>
        <v>-68</v>
      </c>
      <c r="U566" s="46">
        <f t="shared" si="95"/>
        <v>90</v>
      </c>
      <c r="V566" s="27">
        <v>0</v>
      </c>
      <c r="W566" s="4">
        <v>2</v>
      </c>
      <c r="X566" s="195">
        <f t="shared" si="84"/>
        <v>90</v>
      </c>
      <c r="Y566" s="29" t="e">
        <f>IF(+VLOOKUP(I566,P.Referencia!E:S,3,FALSE)&lt;=L566,"Champion","Gerente")</f>
        <v>#N/A</v>
      </c>
      <c r="Z566" s="39" t="e">
        <f>VLOOKUP(I566,P.Referencia!E:S,3,0)</f>
        <v>#N/A</v>
      </c>
      <c r="AA566" s="40" t="e">
        <f t="shared" si="88"/>
        <v>#N/A</v>
      </c>
      <c r="AB566" s="41" t="e">
        <f t="shared" si="89"/>
        <v>#N/A</v>
      </c>
      <c r="AC566" s="41" t="e">
        <f t="shared" si="90"/>
        <v>#N/A</v>
      </c>
    </row>
    <row r="567" spans="1:30" hidden="1" x14ac:dyDescent="0.25">
      <c r="A567" s="24">
        <v>566</v>
      </c>
      <c r="B567" s="89" t="s">
        <v>444</v>
      </c>
      <c r="C567" s="4" t="str">
        <f t="shared" si="86"/>
        <v>LlaveD82467235640100231082</v>
      </c>
      <c r="D567" s="25" t="str">
        <f>VLOOKUP(E567,'NO MODIFICAR'!J:K,2,0)</f>
        <v>D824</v>
      </c>
      <c r="E567" s="102" t="s">
        <v>28</v>
      </c>
      <c r="F567" s="33" t="str">
        <f>VLOOKUP(D567,'NO MODIFICAR'!F:H,3,0)</f>
        <v>NORESTE</v>
      </c>
      <c r="G567" s="28">
        <v>67235640</v>
      </c>
      <c r="H567" s="93" t="s">
        <v>458</v>
      </c>
      <c r="I567" s="94">
        <v>10023108</v>
      </c>
      <c r="J567" s="4" t="str">
        <f>VLOOKUP(I567,'Materiales,canteras'!C:D,2,0)</f>
        <v>Base H Triturada Basalto  1 1/2" a Finos</v>
      </c>
      <c r="K567" s="25">
        <f>VLOOKUP(I567,'Materiales,canteras'!C:E,3,0)</f>
        <v>1.9690000000000001</v>
      </c>
      <c r="L567" s="105">
        <v>179</v>
      </c>
      <c r="M567" s="28" t="s">
        <v>93</v>
      </c>
      <c r="N567" s="57">
        <f t="shared" ca="1" si="87"/>
        <v>46267</v>
      </c>
      <c r="O567" s="43" t="s">
        <v>201</v>
      </c>
      <c r="R567">
        <f>1.5/100</f>
        <v>1.4999999999999999E-2</v>
      </c>
      <c r="S567" s="4">
        <v>201</v>
      </c>
      <c r="T567" s="75">
        <f>L567-(S567-(S567*R567))</f>
        <v>-18.985000000000014</v>
      </c>
      <c r="U567" s="46">
        <f t="shared" si="95"/>
        <v>179</v>
      </c>
      <c r="V567" s="27">
        <v>0</v>
      </c>
      <c r="W567" s="4">
        <v>2</v>
      </c>
      <c r="X567" s="195">
        <f t="shared" si="84"/>
        <v>179</v>
      </c>
      <c r="Y567" s="29" t="e">
        <f>IF(+VLOOKUP(I567,P.Referencia!E:S,3,FALSE)&lt;=L567,"Champion","Gerente")</f>
        <v>#N/A</v>
      </c>
      <c r="Z567" s="39" t="e">
        <f>VLOOKUP(I567,P.Referencia!E:S,3,0)</f>
        <v>#N/A</v>
      </c>
      <c r="AA567" s="40" t="e">
        <f t="shared" si="88"/>
        <v>#N/A</v>
      </c>
      <c r="AB567" s="41" t="e">
        <f t="shared" si="89"/>
        <v>#N/A</v>
      </c>
      <c r="AC567" s="41" t="e">
        <f t="shared" si="90"/>
        <v>#N/A</v>
      </c>
      <c r="AD567" t="s">
        <v>459</v>
      </c>
    </row>
    <row r="568" spans="1:30" hidden="1" x14ac:dyDescent="0.25">
      <c r="A568" s="24">
        <v>567</v>
      </c>
      <c r="B568" s="89" t="s">
        <v>444</v>
      </c>
      <c r="C568" s="4" t="str">
        <f t="shared" si="86"/>
        <v>LlaveD8936665051510058363</v>
      </c>
      <c r="D568" s="25" t="str">
        <f>VLOOKUP(E568,'NO MODIFICAR'!J:K,2,0)</f>
        <v>D893</v>
      </c>
      <c r="E568" s="102" t="s">
        <v>253</v>
      </c>
      <c r="F568" s="33" t="str">
        <f>VLOOKUP(D568,'NO MODIFICAR'!F:H,3,0)</f>
        <v>NORESTE</v>
      </c>
      <c r="G568" s="28">
        <v>66650515</v>
      </c>
      <c r="H568" s="93" t="s">
        <v>460</v>
      </c>
      <c r="I568" s="94">
        <v>10058363</v>
      </c>
      <c r="J568" s="4" t="str">
        <f>VLOOKUP(I568,'Materiales,canteras'!C:D,2,0)</f>
        <v>ARENA BASALTO SÍLICE/CUARZO BL</v>
      </c>
      <c r="K568" s="25">
        <f>VLOOKUP(I568,'Materiales,canteras'!C:E,3,0)</f>
        <v>1.5109999999999999</v>
      </c>
      <c r="L568" s="105">
        <v>135</v>
      </c>
      <c r="M568" s="28" t="s">
        <v>93</v>
      </c>
      <c r="N568" s="57">
        <f t="shared" ca="1" si="87"/>
        <v>46267</v>
      </c>
      <c r="O568" s="43" t="s">
        <v>201</v>
      </c>
      <c r="S568" s="4">
        <v>150</v>
      </c>
      <c r="T568" s="75">
        <f>L568-(S568-(S568*R568))</f>
        <v>-15</v>
      </c>
      <c r="U568" s="46">
        <f t="shared" si="95"/>
        <v>135</v>
      </c>
      <c r="X568" s="195">
        <f t="shared" si="84"/>
        <v>135</v>
      </c>
      <c r="Y568" s="29" t="e">
        <f>IF(+VLOOKUP(I568,P.Referencia!E:S,3,FALSE)&lt;=L568,"Champion","Gerente")</f>
        <v>#N/A</v>
      </c>
      <c r="Z568" s="39" t="e">
        <f>VLOOKUP(I568,P.Referencia!E:S,3,0)</f>
        <v>#N/A</v>
      </c>
      <c r="AA568" s="40" t="e">
        <f t="shared" si="88"/>
        <v>#N/A</v>
      </c>
      <c r="AB568" s="41" t="e">
        <f t="shared" si="89"/>
        <v>#N/A</v>
      </c>
      <c r="AC568" s="41" t="e">
        <f t="shared" si="90"/>
        <v>#N/A</v>
      </c>
      <c r="AD568" t="s">
        <v>461</v>
      </c>
    </row>
    <row r="569" spans="1:30" hidden="1" x14ac:dyDescent="0.25">
      <c r="A569" s="24">
        <v>568</v>
      </c>
      <c r="B569" s="89" t="s">
        <v>444</v>
      </c>
      <c r="C569" s="4" t="str">
        <f t="shared" si="86"/>
        <v>LlaveD9026736211810219135</v>
      </c>
      <c r="D569" s="25" t="str">
        <f>VLOOKUP(E569,'NO MODIFICAR'!J:K,2,0)</f>
        <v>D902</v>
      </c>
      <c r="E569" s="102" t="s">
        <v>79</v>
      </c>
      <c r="F569" s="33" t="str">
        <f>VLOOKUP(D569,'NO MODIFICAR'!F:H,3,0)</f>
        <v>SURESTE</v>
      </c>
      <c r="G569" s="28">
        <v>67362118</v>
      </c>
      <c r="H569" s="93" t="s">
        <v>462</v>
      </c>
      <c r="I569" s="94">
        <v>10219135</v>
      </c>
      <c r="J569" s="4" t="str">
        <f>VLOOKUP(I569,'Materiales,canteras'!C:D,2,0)</f>
        <v>BALASTO DE 2 ½#</v>
      </c>
      <c r="K569" s="25">
        <f>VLOOKUP(I569,'Materiales,canteras'!C:E,3,0)</f>
        <v>1.494</v>
      </c>
      <c r="L569" s="105">
        <v>1320</v>
      </c>
      <c r="M569" s="28" t="s">
        <v>93</v>
      </c>
      <c r="N569" s="57">
        <f t="shared" ca="1" si="87"/>
        <v>46267</v>
      </c>
      <c r="O569" s="43" t="s">
        <v>201</v>
      </c>
      <c r="S569" s="4">
        <v>937</v>
      </c>
      <c r="T569" s="75">
        <f>L569-(S569-(S569*R569))</f>
        <v>383</v>
      </c>
      <c r="U569" s="46">
        <f t="shared" si="95"/>
        <v>1320</v>
      </c>
      <c r="X569" s="195">
        <f t="shared" si="84"/>
        <v>1320</v>
      </c>
      <c r="Y569" s="29" t="e">
        <f>IF(+VLOOKUP(I569,P.Referencia!E:S,3,FALSE)&lt;=L569,"Champion","Gerente")</f>
        <v>#N/A</v>
      </c>
      <c r="Z569" s="39" t="e">
        <f>VLOOKUP(I569,P.Referencia!E:S,3,0)</f>
        <v>#N/A</v>
      </c>
      <c r="AA569" s="40" t="e">
        <f t="shared" si="88"/>
        <v>#N/A</v>
      </c>
      <c r="AB569" s="41" t="e">
        <f t="shared" si="89"/>
        <v>#N/A</v>
      </c>
      <c r="AC569" s="41" t="e">
        <f t="shared" si="90"/>
        <v>#N/A</v>
      </c>
    </row>
    <row r="570" spans="1:30" hidden="1" x14ac:dyDescent="0.25">
      <c r="A570" s="24">
        <v>569</v>
      </c>
      <c r="B570" s="89" t="s">
        <v>444</v>
      </c>
      <c r="C570" s="4" t="str">
        <f t="shared" si="86"/>
        <v>LlaveDU0767361857100001011</v>
      </c>
      <c r="D570" s="25" t="str">
        <f>VLOOKUP(E570,'NO MODIFICAR'!J:K,2,0)</f>
        <v>DU07</v>
      </c>
      <c r="E570" s="102" t="s">
        <v>87</v>
      </c>
      <c r="F570" s="33" t="str">
        <f>VLOOKUP(D570,'NO MODIFICAR'!F:H,3,0)</f>
        <v>SURESTE</v>
      </c>
      <c r="G570" s="28">
        <v>67361857</v>
      </c>
      <c r="H570" s="93" t="s">
        <v>463</v>
      </c>
      <c r="I570" s="94">
        <v>10000101</v>
      </c>
      <c r="J570" s="4" t="str">
        <f>VLOOKUP(I570,'Materiales,canteras'!C:D,2,0)</f>
        <v>Arena Triturada Caliza Malla 4</v>
      </c>
      <c r="K570" s="25">
        <f>VLOOKUP(I570,'Materiales,canteras'!C:E,3,0)</f>
        <v>1.417</v>
      </c>
      <c r="L570" s="105">
        <v>268.17219477769936</v>
      </c>
      <c r="M570" s="28" t="s">
        <v>93</v>
      </c>
      <c r="N570" s="57">
        <f t="shared" ca="1" si="87"/>
        <v>46267</v>
      </c>
      <c r="O570" s="43" t="s">
        <v>201</v>
      </c>
      <c r="S570" s="82">
        <v>420</v>
      </c>
      <c r="T570" s="75">
        <f t="shared" ref="T570:T590" si="96">L570-(S570-(S570*R570))</f>
        <v>-151.82780522230064</v>
      </c>
      <c r="U570" s="46">
        <f t="shared" si="95"/>
        <v>268.17219477769936</v>
      </c>
      <c r="V570" s="82">
        <v>99.308398023994357</v>
      </c>
      <c r="W570" s="4">
        <v>1</v>
      </c>
      <c r="X570" s="195">
        <f t="shared" si="84"/>
        <v>367.48059280169372</v>
      </c>
      <c r="Y570" s="29" t="e">
        <f>IF(+VLOOKUP(I570,P.Referencia!E:S,3,FALSE)&lt;=L570,"Champion","Gerente")</f>
        <v>#N/A</v>
      </c>
      <c r="Z570" s="39" t="e">
        <f>VLOOKUP(I570,P.Referencia!E:S,3,0)</f>
        <v>#N/A</v>
      </c>
      <c r="AA570" s="40" t="e">
        <f t="shared" si="88"/>
        <v>#N/A</v>
      </c>
      <c r="AB570" s="41" t="e">
        <f t="shared" si="89"/>
        <v>#N/A</v>
      </c>
      <c r="AC570" s="41" t="e">
        <f t="shared" si="90"/>
        <v>#N/A</v>
      </c>
      <c r="AD570" t="s">
        <v>466</v>
      </c>
    </row>
    <row r="571" spans="1:30" hidden="1" x14ac:dyDescent="0.25">
      <c r="A571" s="24">
        <v>570</v>
      </c>
      <c r="B571" s="89" t="s">
        <v>444</v>
      </c>
      <c r="C571" s="4" t="str">
        <f t="shared" si="86"/>
        <v>LlaveDU0767361857102641031</v>
      </c>
      <c r="D571" s="25" t="str">
        <f>VLOOKUP(E571,'NO MODIFICAR'!J:K,2,0)</f>
        <v>DU07</v>
      </c>
      <c r="E571" s="102" t="s">
        <v>87</v>
      </c>
      <c r="F571" s="33" t="str">
        <f>VLOOKUP(D571,'NO MODIFICAR'!F:H,3,0)</f>
        <v>SURESTE</v>
      </c>
      <c r="G571" s="28">
        <v>67361857</v>
      </c>
      <c r="H571" s="93" t="s">
        <v>463</v>
      </c>
      <c r="I571" s="94">
        <v>10264103</v>
      </c>
      <c r="J571" s="4" t="str">
        <f>VLOOKUP(I571,'Materiales,canteras'!C:D,2,0)</f>
        <v>MOV BASE H TRITURADA CALIZA 1 1/2</v>
      </c>
      <c r="K571" s="25">
        <f>VLOOKUP(I571,'Materiales,canteras'!C:E,3,0)</f>
        <v>1.462</v>
      </c>
      <c r="L571" s="105">
        <v>102.59917920656635</v>
      </c>
      <c r="M571" s="28" t="s">
        <v>93</v>
      </c>
      <c r="N571" s="57">
        <f t="shared" ca="1" si="87"/>
        <v>46267</v>
      </c>
      <c r="O571" s="43" t="s">
        <v>201</v>
      </c>
      <c r="S571" s="82">
        <v>410</v>
      </c>
      <c r="T571" s="75">
        <f t="shared" si="96"/>
        <v>-307.40082079343364</v>
      </c>
      <c r="U571" s="46">
        <f t="shared" si="95"/>
        <v>102.59917920656635</v>
      </c>
      <c r="V571" s="82">
        <v>96.251709986320108</v>
      </c>
      <c r="W571" s="4">
        <v>1</v>
      </c>
      <c r="X571" s="195">
        <f t="shared" si="84"/>
        <v>198.85088919288646</v>
      </c>
      <c r="Y571" s="29" t="e">
        <f>IF(+VLOOKUP(I571,P.Referencia!E:S,3,FALSE)&lt;=L571,"Champion","Gerente")</f>
        <v>#N/A</v>
      </c>
      <c r="Z571" s="39" t="e">
        <f>VLOOKUP(I571,P.Referencia!E:S,3,0)</f>
        <v>#N/A</v>
      </c>
      <c r="AA571" s="40" t="e">
        <f t="shared" si="88"/>
        <v>#N/A</v>
      </c>
      <c r="AB571" s="41" t="e">
        <f t="shared" si="89"/>
        <v>#N/A</v>
      </c>
      <c r="AC571" s="41" t="e">
        <f t="shared" si="90"/>
        <v>#N/A</v>
      </c>
      <c r="AD571" t="s">
        <v>466</v>
      </c>
    </row>
    <row r="572" spans="1:30" hidden="1" x14ac:dyDescent="0.25">
      <c r="A572" s="24">
        <v>571</v>
      </c>
      <c r="B572" s="89" t="s">
        <v>444</v>
      </c>
      <c r="C572" s="4" t="str">
        <f t="shared" si="86"/>
        <v>LlaveDU0767361857100001031</v>
      </c>
      <c r="D572" s="25" t="str">
        <f>VLOOKUP(E572,'NO MODIFICAR'!J:K,2,0)</f>
        <v>DU07</v>
      </c>
      <c r="E572" s="102" t="s">
        <v>87</v>
      </c>
      <c r="F572" s="33" t="str">
        <f>VLOOKUP(D572,'NO MODIFICAR'!F:H,3,0)</f>
        <v>SURESTE</v>
      </c>
      <c r="G572" s="28">
        <v>67361857</v>
      </c>
      <c r="H572" s="93" t="s">
        <v>463</v>
      </c>
      <c r="I572" s="94">
        <v>10000103</v>
      </c>
      <c r="J572" s="4" t="str">
        <f>VLOOKUP(I572,'Materiales,canteras'!C:D,2,0)</f>
        <v>Base H Triturada Caliza 1 1/2" a Finos</v>
      </c>
      <c r="K572" s="25">
        <f>VLOOKUP(I572,'Materiales,canteras'!C:E,3,0)</f>
        <v>1.462</v>
      </c>
      <c r="L572" s="105">
        <v>102.59917920656635</v>
      </c>
      <c r="M572" s="28" t="s">
        <v>93</v>
      </c>
      <c r="N572" s="57">
        <f t="shared" ca="1" si="87"/>
        <v>46267</v>
      </c>
      <c r="O572" s="43" t="s">
        <v>201</v>
      </c>
      <c r="S572" s="82">
        <v>158</v>
      </c>
      <c r="T572" s="75">
        <f t="shared" si="96"/>
        <v>-55.400820793433653</v>
      </c>
      <c r="U572" s="46">
        <f t="shared" si="95"/>
        <v>102.59917920656635</v>
      </c>
      <c r="V572" s="82">
        <v>96.251709986320108</v>
      </c>
      <c r="W572" s="4">
        <v>1</v>
      </c>
      <c r="X572" s="195">
        <f t="shared" si="84"/>
        <v>198.85088919288646</v>
      </c>
      <c r="Y572" s="29" t="e">
        <f>IF(+VLOOKUP(I572,P.Referencia!E:S,3,FALSE)&lt;=L572,"Champion","Gerente")</f>
        <v>#N/A</v>
      </c>
      <c r="Z572" s="39" t="e">
        <f>VLOOKUP(I572,P.Referencia!E:S,3,0)</f>
        <v>#N/A</v>
      </c>
      <c r="AA572" s="40" t="e">
        <f t="shared" si="88"/>
        <v>#N/A</v>
      </c>
      <c r="AB572" s="41" t="e">
        <f t="shared" si="89"/>
        <v>#N/A</v>
      </c>
      <c r="AC572" s="41" t="e">
        <f t="shared" si="90"/>
        <v>#N/A</v>
      </c>
      <c r="AD572" t="s">
        <v>466</v>
      </c>
    </row>
    <row r="573" spans="1:30" hidden="1" x14ac:dyDescent="0.25">
      <c r="A573" s="24">
        <v>572</v>
      </c>
      <c r="B573" s="89" t="s">
        <v>444</v>
      </c>
      <c r="C573" s="4" t="str">
        <f t="shared" si="86"/>
        <v>LlaveDU0767361857102640391</v>
      </c>
      <c r="D573" s="25" t="str">
        <f>VLOOKUP(E573,'NO MODIFICAR'!J:K,2,0)</f>
        <v>DU07</v>
      </c>
      <c r="E573" s="102" t="s">
        <v>87</v>
      </c>
      <c r="F573" s="33" t="str">
        <f>VLOOKUP(D573,'NO MODIFICAR'!F:H,3,0)</f>
        <v>SURESTE</v>
      </c>
      <c r="G573" s="28">
        <v>67361857</v>
      </c>
      <c r="H573" s="93" t="s">
        <v>463</v>
      </c>
      <c r="I573" s="94">
        <v>10264039</v>
      </c>
      <c r="J573" s="4" t="str">
        <f>VLOOKUP(I573,'Materiales,canteras'!C:D,2,0)</f>
        <v>MOV GRAVA TRITURADA CALIZA 20MM 3/4 INTE</v>
      </c>
      <c r="K573" s="25">
        <f>VLOOKUP(I573,'Materiales,canteras'!C:E,3,0)</f>
        <v>1.2010000000000001</v>
      </c>
      <c r="L573" s="105">
        <v>266.44462947543713</v>
      </c>
      <c r="M573" s="28" t="s">
        <v>93</v>
      </c>
      <c r="N573" s="57">
        <f t="shared" ca="1" si="87"/>
        <v>46267</v>
      </c>
      <c r="O573" s="43" t="s">
        <v>201</v>
      </c>
      <c r="S573" s="82">
        <v>150</v>
      </c>
      <c r="T573" s="75">
        <f t="shared" si="96"/>
        <v>116.44462947543713</v>
      </c>
      <c r="U573" s="46">
        <f t="shared" si="95"/>
        <v>266.44462947543713</v>
      </c>
      <c r="V573" s="82">
        <v>117.16902581182347</v>
      </c>
      <c r="W573" s="4">
        <v>1</v>
      </c>
      <c r="X573" s="195">
        <f t="shared" si="84"/>
        <v>383.6136552872606</v>
      </c>
      <c r="Y573" s="29" t="e">
        <f>IF(+VLOOKUP(I573,P.Referencia!E:S,3,FALSE)&lt;=L573,"Champion","Gerente")</f>
        <v>#N/A</v>
      </c>
      <c r="Z573" s="39" t="e">
        <f>VLOOKUP(I573,P.Referencia!E:S,3,0)</f>
        <v>#N/A</v>
      </c>
      <c r="AA573" s="40" t="e">
        <f t="shared" si="88"/>
        <v>#N/A</v>
      </c>
      <c r="AB573" s="41" t="e">
        <f t="shared" si="89"/>
        <v>#N/A</v>
      </c>
      <c r="AC573" s="41" t="e">
        <f t="shared" si="90"/>
        <v>#N/A</v>
      </c>
      <c r="AD573" t="s">
        <v>466</v>
      </c>
    </row>
    <row r="574" spans="1:30" hidden="1" x14ac:dyDescent="0.25">
      <c r="A574" s="24">
        <v>573</v>
      </c>
      <c r="B574" s="89" t="s">
        <v>444</v>
      </c>
      <c r="C574" s="4" t="str">
        <f t="shared" si="86"/>
        <v>LlaveDU0767361857100001951</v>
      </c>
      <c r="D574" s="25" t="str">
        <f>VLOOKUP(E574,'NO MODIFICAR'!J:K,2,0)</f>
        <v>DU07</v>
      </c>
      <c r="E574" s="102" t="s">
        <v>87</v>
      </c>
      <c r="F574" s="33" t="str">
        <f>VLOOKUP(D574,'NO MODIFICAR'!F:H,3,0)</f>
        <v>SURESTE</v>
      </c>
      <c r="G574" s="28">
        <v>67361857</v>
      </c>
      <c r="H574" s="93" t="s">
        <v>463</v>
      </c>
      <c r="I574" s="94">
        <v>10000195</v>
      </c>
      <c r="J574" s="4" t="str">
        <f>VLOOKUP(I574,'Materiales,canteras'!C:D,2,0)</f>
        <v>GRAVA TRITURADA CALIZA 20 MM - 3/4"–CAPA</v>
      </c>
      <c r="K574" s="25">
        <f>VLOOKUP(I574,'Materiales,canteras'!C:E,3,0)</f>
        <v>1.2010000000000001</v>
      </c>
      <c r="L574" s="105">
        <v>266.44462947543713</v>
      </c>
      <c r="M574" s="28" t="s">
        <v>93</v>
      </c>
      <c r="N574" s="57">
        <f t="shared" ca="1" si="87"/>
        <v>46267</v>
      </c>
      <c r="O574" s="43" t="s">
        <v>201</v>
      </c>
      <c r="S574" s="82">
        <v>336</v>
      </c>
      <c r="T574" s="75">
        <f t="shared" si="96"/>
        <v>-69.555370524562875</v>
      </c>
      <c r="U574" s="46">
        <f t="shared" si="95"/>
        <v>266.44462947543713</v>
      </c>
      <c r="V574" s="82">
        <v>117.16902581182347</v>
      </c>
      <c r="W574" s="4">
        <v>1</v>
      </c>
      <c r="X574" s="195">
        <f t="shared" si="84"/>
        <v>383.6136552872606</v>
      </c>
      <c r="Y574" s="29" t="e">
        <f>IF(+VLOOKUP(I574,P.Referencia!E:S,3,FALSE)&lt;=L574,"Champion","Gerente")</f>
        <v>#N/A</v>
      </c>
      <c r="Z574" s="39" t="e">
        <f>VLOOKUP(I574,P.Referencia!E:S,3,0)</f>
        <v>#N/A</v>
      </c>
      <c r="AA574" s="40" t="e">
        <f t="shared" si="88"/>
        <v>#N/A</v>
      </c>
      <c r="AB574" s="41" t="e">
        <f t="shared" si="89"/>
        <v>#N/A</v>
      </c>
      <c r="AC574" s="41" t="e">
        <f t="shared" si="90"/>
        <v>#N/A</v>
      </c>
      <c r="AD574" t="s">
        <v>466</v>
      </c>
    </row>
    <row r="575" spans="1:30" hidden="1" x14ac:dyDescent="0.25">
      <c r="A575" s="24">
        <v>574</v>
      </c>
      <c r="B575" s="89" t="s">
        <v>444</v>
      </c>
      <c r="C575" s="4" t="str">
        <f t="shared" si="86"/>
        <v>LlaveD86367362114100389492</v>
      </c>
      <c r="D575" s="25" t="str">
        <f>VLOOKUP(E575,'NO MODIFICAR'!J:K,2,0)</f>
        <v>D863</v>
      </c>
      <c r="E575" s="102" t="s">
        <v>53</v>
      </c>
      <c r="F575" s="33" t="str">
        <f>VLOOKUP(D575,'NO MODIFICAR'!F:H,3,0)</f>
        <v>NORESTE</v>
      </c>
      <c r="G575" s="28">
        <v>67362114</v>
      </c>
      <c r="H575" s="93" t="s">
        <v>464</v>
      </c>
      <c r="I575" s="94">
        <v>10038949</v>
      </c>
      <c r="J575" s="4" t="str">
        <f>VLOOKUP(I575,'Materiales,canteras'!C:D,2,0)</f>
        <v>Grava Triturada Caliza 10 mm -</v>
      </c>
      <c r="K575" s="25">
        <f>VLOOKUP(I575,'Materiales,canteras'!C:E,3,0)</f>
        <v>1.5</v>
      </c>
      <c r="L575" s="105">
        <v>157</v>
      </c>
      <c r="M575" s="28" t="s">
        <v>93</v>
      </c>
      <c r="N575" s="57">
        <f t="shared" ca="1" si="87"/>
        <v>46267</v>
      </c>
      <c r="O575" s="43" t="s">
        <v>201</v>
      </c>
      <c r="S575" s="82"/>
      <c r="T575" s="75">
        <f t="shared" si="96"/>
        <v>157</v>
      </c>
      <c r="U575" s="46">
        <f t="shared" si="95"/>
        <v>157</v>
      </c>
      <c r="V575" s="82">
        <v>0</v>
      </c>
      <c r="W575" s="4">
        <v>2</v>
      </c>
      <c r="X575" s="195">
        <f t="shared" si="84"/>
        <v>157</v>
      </c>
      <c r="Y575" s="29" t="e">
        <f>IF(+VLOOKUP(I575,P.Referencia!E:S,3,FALSE)&lt;=L575,"Champion","Gerente")</f>
        <v>#N/A</v>
      </c>
      <c r="Z575" s="39" t="e">
        <f>VLOOKUP(I575,P.Referencia!E:S,3,0)</f>
        <v>#N/A</v>
      </c>
      <c r="AA575" s="40" t="e">
        <f t="shared" si="88"/>
        <v>#N/A</v>
      </c>
      <c r="AB575" s="41" t="e">
        <f t="shared" si="89"/>
        <v>#N/A</v>
      </c>
      <c r="AC575" s="41" t="e">
        <f t="shared" si="90"/>
        <v>#N/A</v>
      </c>
    </row>
    <row r="576" spans="1:30" hidden="1" x14ac:dyDescent="0.25">
      <c r="A576" s="24">
        <v>575</v>
      </c>
      <c r="B576" s="89" t="s">
        <v>444</v>
      </c>
      <c r="C576" s="4" t="str">
        <f t="shared" si="86"/>
        <v>LlaveD86367362114100389502</v>
      </c>
      <c r="D576" s="25" t="str">
        <f>VLOOKUP(E576,'NO MODIFICAR'!J:K,2,0)</f>
        <v>D863</v>
      </c>
      <c r="E576" s="102" t="s">
        <v>53</v>
      </c>
      <c r="F576" s="33" t="str">
        <f>VLOOKUP(D576,'NO MODIFICAR'!F:H,3,0)</f>
        <v>NORESTE</v>
      </c>
      <c r="G576" s="28">
        <v>67362114</v>
      </c>
      <c r="H576" s="93" t="s">
        <v>464</v>
      </c>
      <c r="I576" s="94">
        <v>10038950</v>
      </c>
      <c r="J576" s="4" t="str">
        <f>VLOOKUP(I576,'Materiales,canteras'!C:D,2,0)</f>
        <v>Grava Triturada Caliza 20 mm -</v>
      </c>
      <c r="K576" s="25">
        <f>VLOOKUP(I576,'Materiales,canteras'!C:E,3,0)</f>
        <v>1.474</v>
      </c>
      <c r="L576" s="105">
        <v>157</v>
      </c>
      <c r="M576" s="28" t="s">
        <v>93</v>
      </c>
      <c r="N576" s="57">
        <f t="shared" ca="1" si="87"/>
        <v>46267</v>
      </c>
      <c r="O576" s="43" t="s">
        <v>201</v>
      </c>
      <c r="S576" s="82"/>
      <c r="T576" s="75">
        <f t="shared" si="96"/>
        <v>157</v>
      </c>
      <c r="U576" s="46">
        <f t="shared" si="95"/>
        <v>157</v>
      </c>
      <c r="V576" s="82">
        <v>0</v>
      </c>
      <c r="W576" s="4">
        <v>2</v>
      </c>
      <c r="X576" s="195">
        <f t="shared" ref="X576:X584" si="97">U576+V576</f>
        <v>157</v>
      </c>
      <c r="Y576" s="29" t="e">
        <f>IF(+VLOOKUP(I576,P.Referencia!E:S,3,FALSE)&lt;=L576,"Champion","Gerente")</f>
        <v>#N/A</v>
      </c>
      <c r="Z576" s="39" t="e">
        <f>VLOOKUP(I576,P.Referencia!E:S,3,0)</f>
        <v>#N/A</v>
      </c>
      <c r="AA576" s="40" t="e">
        <f t="shared" ref="AA576:AA584" si="98">(Z576-U576)/U576</f>
        <v>#N/A</v>
      </c>
      <c r="AB576" s="41" t="e">
        <f t="shared" ref="AB576:AB584" si="99">U576*AA576</f>
        <v>#N/A</v>
      </c>
      <c r="AC576" s="41" t="e">
        <f t="shared" ref="AC576:AC584" si="100">U576+AB576</f>
        <v>#N/A</v>
      </c>
    </row>
    <row r="577" spans="1:29" hidden="1" x14ac:dyDescent="0.25">
      <c r="A577" s="24">
        <v>576</v>
      </c>
      <c r="B577" s="89" t="s">
        <v>444</v>
      </c>
      <c r="C577" s="4" t="str">
        <f t="shared" ref="C577:C608" si="101">_xlfn.CONCAT($C$1,D577,G577,I577,W577)</f>
        <v>LlaveD86367362114100389522</v>
      </c>
      <c r="D577" s="25" t="str">
        <f>VLOOKUP(E577,'NO MODIFICAR'!J:K,2,0)</f>
        <v>D863</v>
      </c>
      <c r="E577" s="102" t="s">
        <v>53</v>
      </c>
      <c r="F577" s="33" t="str">
        <f>VLOOKUP(D577,'NO MODIFICAR'!F:H,3,0)</f>
        <v>NORESTE</v>
      </c>
      <c r="G577" s="28">
        <v>67362114</v>
      </c>
      <c r="H577" s="93" t="s">
        <v>464</v>
      </c>
      <c r="I577" s="94">
        <v>10038952</v>
      </c>
      <c r="J577" s="4" t="str">
        <f>VLOOKUP(I577,'Materiales,canteras'!C:D,2,0)</f>
        <v>Arena Triturada Caliza Malla 4</v>
      </c>
      <c r="K577" s="25">
        <f>VLOOKUP(I577,'Materiales,canteras'!C:E,3,0)</f>
        <v>1.6</v>
      </c>
      <c r="L577" s="105">
        <v>157</v>
      </c>
      <c r="M577" s="28" t="s">
        <v>93</v>
      </c>
      <c r="N577" s="57">
        <f t="shared" ref="N577:N640" ca="1" si="102">TODAY()</f>
        <v>46267</v>
      </c>
      <c r="O577" s="43" t="s">
        <v>201</v>
      </c>
      <c r="S577" s="82"/>
      <c r="T577" s="75">
        <f t="shared" si="96"/>
        <v>157</v>
      </c>
      <c r="U577" s="46">
        <f t="shared" ref="U577:U621" si="103">L577</f>
        <v>157</v>
      </c>
      <c r="V577" s="82">
        <v>0</v>
      </c>
      <c r="W577" s="4">
        <v>2</v>
      </c>
      <c r="X577" s="195">
        <f t="shared" si="97"/>
        <v>157</v>
      </c>
      <c r="Y577" s="29" t="e">
        <f>IF(+VLOOKUP(I577,P.Referencia!E:S,3,FALSE)&lt;=L577,"Champion","Gerente")</f>
        <v>#N/A</v>
      </c>
      <c r="Z577" s="39" t="e">
        <f>VLOOKUP(I577,P.Referencia!E:S,3,0)</f>
        <v>#N/A</v>
      </c>
      <c r="AA577" s="40" t="e">
        <f t="shared" si="98"/>
        <v>#N/A</v>
      </c>
      <c r="AB577" s="41" t="e">
        <f t="shared" si="99"/>
        <v>#N/A</v>
      </c>
      <c r="AC577" s="41" t="e">
        <f t="shared" si="100"/>
        <v>#N/A</v>
      </c>
    </row>
    <row r="578" spans="1:29" hidden="1" x14ac:dyDescent="0.25">
      <c r="A578" s="24">
        <v>577</v>
      </c>
      <c r="B578" s="89" t="s">
        <v>444</v>
      </c>
      <c r="C578" s="4" t="str">
        <f t="shared" si="101"/>
        <v>LlaveD86367362114100389572</v>
      </c>
      <c r="D578" s="25" t="str">
        <f>VLOOKUP(E578,'NO MODIFICAR'!J:K,2,0)</f>
        <v>D863</v>
      </c>
      <c r="E578" s="102" t="s">
        <v>53</v>
      </c>
      <c r="F578" s="33" t="str">
        <f>VLOOKUP(D578,'NO MODIFICAR'!F:H,3,0)</f>
        <v>NORESTE</v>
      </c>
      <c r="G578" s="28">
        <v>67362114</v>
      </c>
      <c r="H578" s="93" t="s">
        <v>464</v>
      </c>
      <c r="I578" s="94">
        <v>10038957</v>
      </c>
      <c r="J578" s="4" t="str">
        <f>VLOOKUP(I578,'Materiales,canteras'!C:D,2,0)</f>
        <v>Arena Triturada Caliza Block</v>
      </c>
      <c r="K578" s="25">
        <f>VLOOKUP(I578,'Materiales,canteras'!C:E,3,0)</f>
        <v>1.6870000000000001</v>
      </c>
      <c r="L578" s="105">
        <v>157</v>
      </c>
      <c r="M578" s="28" t="s">
        <v>93</v>
      </c>
      <c r="N578" s="57">
        <f t="shared" ca="1" si="102"/>
        <v>46267</v>
      </c>
      <c r="O578" s="43" t="s">
        <v>201</v>
      </c>
      <c r="S578" s="82"/>
      <c r="T578" s="75">
        <f t="shared" si="96"/>
        <v>157</v>
      </c>
      <c r="U578" s="46">
        <f t="shared" si="103"/>
        <v>157</v>
      </c>
      <c r="V578" s="82">
        <v>0</v>
      </c>
      <c r="W578" s="4">
        <v>2</v>
      </c>
      <c r="X578" s="195">
        <f t="shared" si="97"/>
        <v>157</v>
      </c>
      <c r="Y578" s="29" t="e">
        <f>IF(+VLOOKUP(I578,P.Referencia!E:S,3,FALSE)&lt;=L578,"Champion","Gerente")</f>
        <v>#N/A</v>
      </c>
      <c r="Z578" s="39" t="e">
        <f>VLOOKUP(I578,P.Referencia!E:S,3,0)</f>
        <v>#N/A</v>
      </c>
      <c r="AA578" s="40" t="e">
        <f t="shared" si="98"/>
        <v>#N/A</v>
      </c>
      <c r="AB578" s="41" t="e">
        <f t="shared" si="99"/>
        <v>#N/A</v>
      </c>
      <c r="AC578" s="41" t="e">
        <f t="shared" si="100"/>
        <v>#N/A</v>
      </c>
    </row>
    <row r="579" spans="1:29" hidden="1" x14ac:dyDescent="0.25">
      <c r="A579" s="24">
        <v>578</v>
      </c>
      <c r="B579" s="89" t="s">
        <v>444</v>
      </c>
      <c r="C579" s="4" t="str">
        <f t="shared" si="101"/>
        <v>LlaveD86367362114100496722</v>
      </c>
      <c r="D579" s="25" t="str">
        <f>VLOOKUP(E579,'NO MODIFICAR'!J:K,2,0)</f>
        <v>D863</v>
      </c>
      <c r="E579" s="102" t="s">
        <v>53</v>
      </c>
      <c r="F579" s="33" t="str">
        <f>VLOOKUP(D579,'NO MODIFICAR'!F:H,3,0)</f>
        <v>NORESTE</v>
      </c>
      <c r="G579" s="28">
        <v>67362114</v>
      </c>
      <c r="H579" s="93" t="s">
        <v>464</v>
      </c>
      <c r="I579" s="94">
        <v>10049672</v>
      </c>
      <c r="J579" s="4" t="str">
        <f>VLOOKUP(I579,'Materiales,canteras'!C:D,2,0)</f>
        <v>Grava Triturada Caliza 40- 4mm</v>
      </c>
      <c r="K579" s="25">
        <f>VLOOKUP(I579,'Materiales,canteras'!C:E,3,0)</f>
        <v>1.625</v>
      </c>
      <c r="L579" s="105">
        <v>157</v>
      </c>
      <c r="M579" s="28" t="s">
        <v>93</v>
      </c>
      <c r="N579" s="57">
        <f t="shared" ca="1" si="102"/>
        <v>46267</v>
      </c>
      <c r="O579" s="43" t="s">
        <v>201</v>
      </c>
      <c r="S579" s="82"/>
      <c r="T579" s="75">
        <f t="shared" si="96"/>
        <v>157</v>
      </c>
      <c r="U579" s="46">
        <f t="shared" si="103"/>
        <v>157</v>
      </c>
      <c r="V579" s="82">
        <v>0</v>
      </c>
      <c r="W579" s="4">
        <v>2</v>
      </c>
      <c r="X579" s="195">
        <f t="shared" si="97"/>
        <v>157</v>
      </c>
      <c r="Y579" s="29" t="e">
        <f>IF(+VLOOKUP(I579,P.Referencia!E:S,3,FALSE)&lt;=L579,"Champion","Gerente")</f>
        <v>#N/A</v>
      </c>
      <c r="Z579" s="39" t="e">
        <f>VLOOKUP(I579,P.Referencia!E:S,3,0)</f>
        <v>#N/A</v>
      </c>
      <c r="AA579" s="40" t="e">
        <f t="shared" si="98"/>
        <v>#N/A</v>
      </c>
      <c r="AB579" s="41" t="e">
        <f t="shared" si="99"/>
        <v>#N/A</v>
      </c>
      <c r="AC579" s="41" t="e">
        <f t="shared" si="100"/>
        <v>#N/A</v>
      </c>
    </row>
    <row r="580" spans="1:29" hidden="1" x14ac:dyDescent="0.25">
      <c r="A580" s="24">
        <v>579</v>
      </c>
      <c r="B580" s="89" t="s">
        <v>444</v>
      </c>
      <c r="C580" s="4" t="str">
        <f t="shared" si="101"/>
        <v>LlaveD86367362081100389492</v>
      </c>
      <c r="D580" s="25" t="str">
        <f>VLOOKUP(E580,'NO MODIFICAR'!J:K,2,0)</f>
        <v>D863</v>
      </c>
      <c r="E580" s="102" t="s">
        <v>53</v>
      </c>
      <c r="F580" s="33" t="str">
        <f>VLOOKUP(D580,'NO MODIFICAR'!F:H,3,0)</f>
        <v>NORESTE</v>
      </c>
      <c r="G580" s="28">
        <v>67362081</v>
      </c>
      <c r="H580" s="93" t="s">
        <v>465</v>
      </c>
      <c r="I580" s="94">
        <v>10038949</v>
      </c>
      <c r="J580" s="4" t="str">
        <f>VLOOKUP(I580,'Materiales,canteras'!C:D,2,0)</f>
        <v>Grava Triturada Caliza 10 mm -</v>
      </c>
      <c r="K580" s="25">
        <f>VLOOKUP(I580,'Materiales,canteras'!C:E,3,0)</f>
        <v>1.5</v>
      </c>
      <c r="L580" s="105">
        <v>157</v>
      </c>
      <c r="M580" s="28" t="s">
        <v>93</v>
      </c>
      <c r="N580" s="57">
        <f t="shared" ca="1" si="102"/>
        <v>46267</v>
      </c>
      <c r="O580" s="43" t="s">
        <v>201</v>
      </c>
      <c r="S580" s="82"/>
      <c r="T580" s="75">
        <f t="shared" si="96"/>
        <v>157</v>
      </c>
      <c r="U580" s="46">
        <f t="shared" si="103"/>
        <v>157</v>
      </c>
      <c r="V580" s="82">
        <v>0</v>
      </c>
      <c r="W580" s="4">
        <v>2</v>
      </c>
      <c r="X580" s="195">
        <f t="shared" si="97"/>
        <v>157</v>
      </c>
      <c r="Y580" s="29" t="e">
        <f>IF(+VLOOKUP(I580,P.Referencia!E:S,3,FALSE)&lt;=L580,"Champion","Gerente")</f>
        <v>#N/A</v>
      </c>
      <c r="Z580" s="39" t="e">
        <f>VLOOKUP(I580,P.Referencia!E:S,3,0)</f>
        <v>#N/A</v>
      </c>
      <c r="AA580" s="40" t="e">
        <f t="shared" si="98"/>
        <v>#N/A</v>
      </c>
      <c r="AB580" s="41" t="e">
        <f t="shared" si="99"/>
        <v>#N/A</v>
      </c>
      <c r="AC580" s="41" t="e">
        <f t="shared" si="100"/>
        <v>#N/A</v>
      </c>
    </row>
    <row r="581" spans="1:29" hidden="1" x14ac:dyDescent="0.25">
      <c r="A581" s="24">
        <v>580</v>
      </c>
      <c r="B581" s="89" t="s">
        <v>444</v>
      </c>
      <c r="C581" s="4" t="str">
        <f t="shared" si="101"/>
        <v>LlaveD86367362081100389502</v>
      </c>
      <c r="D581" s="25" t="str">
        <f>VLOOKUP(E581,'NO MODIFICAR'!J:K,2,0)</f>
        <v>D863</v>
      </c>
      <c r="E581" s="102" t="s">
        <v>53</v>
      </c>
      <c r="F581" s="33" t="str">
        <f>VLOOKUP(D581,'NO MODIFICAR'!F:H,3,0)</f>
        <v>NORESTE</v>
      </c>
      <c r="G581" s="28">
        <v>67362081</v>
      </c>
      <c r="H581" s="93" t="s">
        <v>465</v>
      </c>
      <c r="I581" s="94">
        <v>10038950</v>
      </c>
      <c r="J581" s="4" t="str">
        <f>VLOOKUP(I581,'Materiales,canteras'!C:D,2,0)</f>
        <v>Grava Triturada Caliza 20 mm -</v>
      </c>
      <c r="K581" s="25">
        <f>VLOOKUP(I581,'Materiales,canteras'!C:E,3,0)</f>
        <v>1.474</v>
      </c>
      <c r="L581" s="105">
        <v>157</v>
      </c>
      <c r="M581" s="28" t="s">
        <v>93</v>
      </c>
      <c r="N581" s="57">
        <f t="shared" ca="1" si="102"/>
        <v>46267</v>
      </c>
      <c r="O581" s="43" t="s">
        <v>201</v>
      </c>
      <c r="S581" s="82"/>
      <c r="T581" s="75">
        <f t="shared" si="96"/>
        <v>157</v>
      </c>
      <c r="U581" s="46">
        <f t="shared" si="103"/>
        <v>157</v>
      </c>
      <c r="V581" s="82">
        <v>0</v>
      </c>
      <c r="W581" s="4">
        <v>2</v>
      </c>
      <c r="X581" s="195">
        <f t="shared" si="97"/>
        <v>157</v>
      </c>
      <c r="Y581" s="29" t="e">
        <f>IF(+VLOOKUP(I581,P.Referencia!E:S,3,FALSE)&lt;=L581,"Champion","Gerente")</f>
        <v>#N/A</v>
      </c>
      <c r="Z581" s="39" t="e">
        <f>VLOOKUP(I581,P.Referencia!E:S,3,0)</f>
        <v>#N/A</v>
      </c>
      <c r="AA581" s="40" t="e">
        <f t="shared" si="98"/>
        <v>#N/A</v>
      </c>
      <c r="AB581" s="41" t="e">
        <f t="shared" si="99"/>
        <v>#N/A</v>
      </c>
      <c r="AC581" s="41" t="e">
        <f t="shared" si="100"/>
        <v>#N/A</v>
      </c>
    </row>
    <row r="582" spans="1:29" hidden="1" x14ac:dyDescent="0.25">
      <c r="A582" s="24">
        <v>581</v>
      </c>
      <c r="B582" s="89" t="s">
        <v>444</v>
      </c>
      <c r="C582" s="4" t="str">
        <f t="shared" si="101"/>
        <v>LlaveD86367362081100389522</v>
      </c>
      <c r="D582" s="25" t="str">
        <f>VLOOKUP(E582,'NO MODIFICAR'!J:K,2,0)</f>
        <v>D863</v>
      </c>
      <c r="E582" s="102" t="s">
        <v>53</v>
      </c>
      <c r="F582" s="33" t="str">
        <f>VLOOKUP(D582,'NO MODIFICAR'!F:H,3,0)</f>
        <v>NORESTE</v>
      </c>
      <c r="G582" s="28">
        <v>67362081</v>
      </c>
      <c r="H582" s="93" t="s">
        <v>465</v>
      </c>
      <c r="I582" s="94">
        <v>10038952</v>
      </c>
      <c r="J582" s="4" t="str">
        <f>VLOOKUP(I582,'Materiales,canteras'!C:D,2,0)</f>
        <v>Arena Triturada Caliza Malla 4</v>
      </c>
      <c r="K582" s="25">
        <f>VLOOKUP(I582,'Materiales,canteras'!C:E,3,0)</f>
        <v>1.6</v>
      </c>
      <c r="L582" s="105">
        <v>157</v>
      </c>
      <c r="M582" s="28" t="s">
        <v>93</v>
      </c>
      <c r="N582" s="57">
        <f t="shared" ca="1" si="102"/>
        <v>46267</v>
      </c>
      <c r="O582" s="43" t="s">
        <v>201</v>
      </c>
      <c r="S582" s="82"/>
      <c r="T582" s="75">
        <f t="shared" si="96"/>
        <v>157</v>
      </c>
      <c r="U582" s="46">
        <f t="shared" si="103"/>
        <v>157</v>
      </c>
      <c r="V582" s="82">
        <v>0</v>
      </c>
      <c r="W582" s="4">
        <v>2</v>
      </c>
      <c r="X582" s="195">
        <f t="shared" si="97"/>
        <v>157</v>
      </c>
      <c r="Y582" s="29" t="e">
        <f>IF(+VLOOKUP(I582,P.Referencia!E:S,3,FALSE)&lt;=L582,"Champion","Gerente")</f>
        <v>#N/A</v>
      </c>
      <c r="Z582" s="39" t="e">
        <f>VLOOKUP(I582,P.Referencia!E:S,3,0)</f>
        <v>#N/A</v>
      </c>
      <c r="AA582" s="40" t="e">
        <f t="shared" si="98"/>
        <v>#N/A</v>
      </c>
      <c r="AB582" s="41" t="e">
        <f t="shared" si="99"/>
        <v>#N/A</v>
      </c>
      <c r="AC582" s="41" t="e">
        <f t="shared" si="100"/>
        <v>#N/A</v>
      </c>
    </row>
    <row r="583" spans="1:29" hidden="1" x14ac:dyDescent="0.25">
      <c r="A583" s="24">
        <v>582</v>
      </c>
      <c r="B583" s="89" t="s">
        <v>444</v>
      </c>
      <c r="C583" s="4" t="str">
        <f t="shared" si="101"/>
        <v>LlaveD86367362081100389572</v>
      </c>
      <c r="D583" s="25" t="str">
        <f>VLOOKUP(E583,'NO MODIFICAR'!J:K,2,0)</f>
        <v>D863</v>
      </c>
      <c r="E583" s="102" t="s">
        <v>53</v>
      </c>
      <c r="F583" s="33" t="str">
        <f>VLOOKUP(D583,'NO MODIFICAR'!F:H,3,0)</f>
        <v>NORESTE</v>
      </c>
      <c r="G583" s="28">
        <v>67362081</v>
      </c>
      <c r="H583" s="93" t="s">
        <v>465</v>
      </c>
      <c r="I583" s="94">
        <v>10038957</v>
      </c>
      <c r="J583" s="4" t="str">
        <f>VLOOKUP(I583,'Materiales,canteras'!C:D,2,0)</f>
        <v>Arena Triturada Caliza Block</v>
      </c>
      <c r="K583" s="25">
        <f>VLOOKUP(I583,'Materiales,canteras'!C:E,3,0)</f>
        <v>1.6870000000000001</v>
      </c>
      <c r="L583" s="105">
        <v>157</v>
      </c>
      <c r="M583" s="28" t="s">
        <v>93</v>
      </c>
      <c r="N583" s="57">
        <f t="shared" ca="1" si="102"/>
        <v>46267</v>
      </c>
      <c r="O583" s="43" t="s">
        <v>201</v>
      </c>
      <c r="S583" s="82"/>
      <c r="T583" s="75">
        <f t="shared" si="96"/>
        <v>157</v>
      </c>
      <c r="U583" s="46">
        <f t="shared" si="103"/>
        <v>157</v>
      </c>
      <c r="V583" s="82">
        <v>0</v>
      </c>
      <c r="W583" s="4">
        <v>2</v>
      </c>
      <c r="X583" s="195">
        <f t="shared" si="97"/>
        <v>157</v>
      </c>
      <c r="Y583" s="29" t="e">
        <f>IF(+VLOOKUP(I583,P.Referencia!E:S,3,FALSE)&lt;=L583,"Champion","Gerente")</f>
        <v>#N/A</v>
      </c>
      <c r="Z583" s="39" t="e">
        <f>VLOOKUP(I583,P.Referencia!E:S,3,0)</f>
        <v>#N/A</v>
      </c>
      <c r="AA583" s="40" t="e">
        <f t="shared" si="98"/>
        <v>#N/A</v>
      </c>
      <c r="AB583" s="41" t="e">
        <f t="shared" si="99"/>
        <v>#N/A</v>
      </c>
      <c r="AC583" s="41" t="e">
        <f t="shared" si="100"/>
        <v>#N/A</v>
      </c>
    </row>
    <row r="584" spans="1:29" hidden="1" x14ac:dyDescent="0.25">
      <c r="A584" s="24">
        <v>583</v>
      </c>
      <c r="B584" s="89" t="s">
        <v>444</v>
      </c>
      <c r="C584" s="4" t="str">
        <f t="shared" si="101"/>
        <v>LlaveD86367362081100496722</v>
      </c>
      <c r="D584" s="25" t="str">
        <f>VLOOKUP(E584,'NO MODIFICAR'!J:K,2,0)</f>
        <v>D863</v>
      </c>
      <c r="E584" s="102" t="s">
        <v>53</v>
      </c>
      <c r="F584" s="33" t="str">
        <f>VLOOKUP(D584,'NO MODIFICAR'!F:H,3,0)</f>
        <v>NORESTE</v>
      </c>
      <c r="G584" s="28">
        <v>67362081</v>
      </c>
      <c r="H584" s="93" t="s">
        <v>465</v>
      </c>
      <c r="I584" s="94">
        <v>10049672</v>
      </c>
      <c r="J584" s="4" t="str">
        <f>VLOOKUP(I584,'Materiales,canteras'!C:D,2,0)</f>
        <v>Grava Triturada Caliza 40- 4mm</v>
      </c>
      <c r="K584" s="25">
        <f>VLOOKUP(I584,'Materiales,canteras'!C:E,3,0)</f>
        <v>1.625</v>
      </c>
      <c r="L584" s="105">
        <v>157</v>
      </c>
      <c r="M584" s="28" t="s">
        <v>93</v>
      </c>
      <c r="N584" s="57">
        <f t="shared" ca="1" si="102"/>
        <v>46267</v>
      </c>
      <c r="O584" s="43" t="s">
        <v>201</v>
      </c>
      <c r="S584" s="82"/>
      <c r="T584" s="75">
        <f t="shared" si="96"/>
        <v>157</v>
      </c>
      <c r="U584" s="46">
        <f t="shared" si="103"/>
        <v>157</v>
      </c>
      <c r="V584" s="82">
        <v>0</v>
      </c>
      <c r="W584" s="4">
        <v>2</v>
      </c>
      <c r="X584" s="195">
        <f t="shared" si="97"/>
        <v>157</v>
      </c>
      <c r="Y584" s="29" t="e">
        <f>IF(+VLOOKUP(I584,P.Referencia!E:S,3,FALSE)&lt;=L584,"Champion","Gerente")</f>
        <v>#N/A</v>
      </c>
      <c r="Z584" s="39" t="e">
        <f>VLOOKUP(I584,P.Referencia!E:S,3,0)</f>
        <v>#N/A</v>
      </c>
      <c r="AA584" s="40" t="e">
        <f t="shared" si="98"/>
        <v>#N/A</v>
      </c>
      <c r="AB584" s="41" t="e">
        <f t="shared" si="99"/>
        <v>#N/A</v>
      </c>
      <c r="AC584" s="41" t="e">
        <f t="shared" si="100"/>
        <v>#N/A</v>
      </c>
    </row>
    <row r="585" spans="1:29" hidden="1" x14ac:dyDescent="0.25">
      <c r="A585" s="24">
        <v>584</v>
      </c>
      <c r="B585" s="89" t="s">
        <v>444</v>
      </c>
      <c r="C585" s="4" t="str">
        <f t="shared" si="101"/>
        <v>LlaveD81666547825100002601</v>
      </c>
      <c r="D585" s="25" t="str">
        <f>VLOOKUP(E585,'NO MODIFICAR'!J:K,2,0)</f>
        <v>D816</v>
      </c>
      <c r="E585" s="102" t="s">
        <v>15</v>
      </c>
      <c r="F585" s="33" t="str">
        <f>VLOOKUP(D585,'NO MODIFICAR'!F:H,3,0)</f>
        <v>NORESTE</v>
      </c>
      <c r="G585" s="28">
        <v>66547825</v>
      </c>
      <c r="H585" s="93" t="s">
        <v>467</v>
      </c>
      <c r="I585" s="94">
        <v>10000260</v>
      </c>
      <c r="J585" s="4" t="str">
        <f>VLOOKUP(I585,'Materiales,canteras'!C:D,2,0)</f>
        <v>Arena Triturada Caliza Malla 5</v>
      </c>
      <c r="K585" s="25">
        <f>VLOOKUP(I585,'Materiales,canteras'!C:E,3,0)</f>
        <v>1.72</v>
      </c>
      <c r="L585" s="105">
        <v>470.24</v>
      </c>
      <c r="M585" s="28" t="s">
        <v>93</v>
      </c>
      <c r="N585" s="57">
        <f t="shared" ca="1" si="102"/>
        <v>46267</v>
      </c>
      <c r="O585" s="43" t="s">
        <v>201</v>
      </c>
      <c r="S585" s="82">
        <v>495</v>
      </c>
      <c r="T585" s="75">
        <f t="shared" si="96"/>
        <v>-24.759999999999991</v>
      </c>
      <c r="U585" s="46">
        <f t="shared" si="103"/>
        <v>470.24</v>
      </c>
      <c r="V585" s="82">
        <v>139.05000000000001</v>
      </c>
      <c r="W585" s="4">
        <v>1</v>
      </c>
      <c r="X585" s="195">
        <f>U585+V585</f>
        <v>609.29</v>
      </c>
      <c r="Y585" s="29" t="e">
        <f>IF(+VLOOKUP(I585,P.Referencia!E:S,3,FALSE)&lt;=L585,"Champion","Gerente")</f>
        <v>#N/A</v>
      </c>
      <c r="Z585" s="39" t="e">
        <f>VLOOKUP(I585,P.Referencia!E:S,3,0)</f>
        <v>#N/A</v>
      </c>
      <c r="AA585" s="40" t="e">
        <f t="shared" ref="AA585:AA602" si="104">(Z585-U585)/U585</f>
        <v>#N/A</v>
      </c>
      <c r="AB585" s="41" t="e">
        <f t="shared" ref="AB585:AB602" si="105">U585*AA585</f>
        <v>#N/A</v>
      </c>
      <c r="AC585" s="41" t="e">
        <f t="shared" ref="AC585:AC602" si="106">U585+AB585</f>
        <v>#N/A</v>
      </c>
    </row>
    <row r="586" spans="1:29" hidden="1" x14ac:dyDescent="0.25">
      <c r="A586" s="24">
        <v>585</v>
      </c>
      <c r="B586" s="89" t="s">
        <v>444</v>
      </c>
      <c r="C586" s="4" t="str">
        <f t="shared" si="101"/>
        <v>LlaveD81666547825100001241</v>
      </c>
      <c r="D586" s="25" t="str">
        <f>VLOOKUP(E586,'NO MODIFICAR'!J:K,2,0)</f>
        <v>D816</v>
      </c>
      <c r="E586" s="102" t="s">
        <v>15</v>
      </c>
      <c r="F586" s="33" t="str">
        <f>VLOOKUP(D586,'NO MODIFICAR'!F:H,3,0)</f>
        <v>NORESTE</v>
      </c>
      <c r="G586" s="28">
        <v>66547825</v>
      </c>
      <c r="H586" s="93" t="s">
        <v>467</v>
      </c>
      <c r="I586" s="94">
        <v>10000124</v>
      </c>
      <c r="J586" s="4" t="str">
        <f>VLOOKUP(I586,'Materiales,canteras'!C:D,2,0)</f>
        <v>Arena Triturada Caliza Malla 4</v>
      </c>
      <c r="K586" s="25">
        <f>VLOOKUP(I586,'Materiales,canteras'!C:E,3,0)</f>
        <v>1.7390000000000001</v>
      </c>
      <c r="L586" s="105">
        <v>470.24</v>
      </c>
      <c r="M586" s="28" t="s">
        <v>93</v>
      </c>
      <c r="N586" s="57">
        <f t="shared" ca="1" si="102"/>
        <v>46267</v>
      </c>
      <c r="O586" s="43" t="s">
        <v>201</v>
      </c>
      <c r="S586" s="82">
        <v>495</v>
      </c>
      <c r="T586" s="75">
        <f t="shared" si="96"/>
        <v>-24.759999999999991</v>
      </c>
      <c r="U586" s="46">
        <f t="shared" si="103"/>
        <v>470.24</v>
      </c>
      <c r="V586" s="82">
        <v>139.05000000000001</v>
      </c>
      <c r="W586" s="4">
        <v>1</v>
      </c>
      <c r="X586" s="195">
        <f t="shared" ref="X586:X620" si="107">U586+V586</f>
        <v>609.29</v>
      </c>
      <c r="Y586" s="29" t="e">
        <f>IF(+VLOOKUP(I586,P.Referencia!E:S,3,FALSE)&lt;=L586,"Champion","Gerente")</f>
        <v>#N/A</v>
      </c>
      <c r="Z586" s="39" t="e">
        <f>VLOOKUP(I586,P.Referencia!E:S,3,0)</f>
        <v>#N/A</v>
      </c>
      <c r="AA586" s="40" t="e">
        <f t="shared" si="104"/>
        <v>#N/A</v>
      </c>
      <c r="AB586" s="41" t="e">
        <f t="shared" si="105"/>
        <v>#N/A</v>
      </c>
      <c r="AC586" s="41" t="e">
        <f t="shared" si="106"/>
        <v>#N/A</v>
      </c>
    </row>
    <row r="587" spans="1:29" hidden="1" x14ac:dyDescent="0.25">
      <c r="A587" s="24">
        <v>586</v>
      </c>
      <c r="B587" s="89" t="s">
        <v>444</v>
      </c>
      <c r="C587" s="4" t="str">
        <f t="shared" si="101"/>
        <v>LlaveD81365440384100023502</v>
      </c>
      <c r="D587" s="25" t="str">
        <f>VLOOKUP(E587,'NO MODIFICAR'!J:K,2,0)</f>
        <v>D813</v>
      </c>
      <c r="E587" s="102" t="s">
        <v>6</v>
      </c>
      <c r="F587" s="33" t="str">
        <f>VLOOKUP(D587,'NO MODIFICAR'!F:H,3,0)</f>
        <v xml:space="preserve">CENTRO </v>
      </c>
      <c r="G587" s="28">
        <v>65440384</v>
      </c>
      <c r="H587" s="93" t="s">
        <v>468</v>
      </c>
      <c r="I587" s="94">
        <v>10002350</v>
      </c>
      <c r="J587" s="4" t="str">
        <f>VLOOKUP(I587,'Materiales,canteras'!C:D,2,0)</f>
        <v>Grava Triturada Andesita 10mm-</v>
      </c>
      <c r="K587" s="25">
        <f>VLOOKUP(I587,'Materiales,canteras'!C:E,3,0)</f>
        <v>1.246</v>
      </c>
      <c r="L587" s="105">
        <v>127.45</v>
      </c>
      <c r="M587" s="28" t="s">
        <v>93</v>
      </c>
      <c r="N587" s="57">
        <f t="shared" ca="1" si="102"/>
        <v>46267</v>
      </c>
      <c r="O587" s="43" t="s">
        <v>201</v>
      </c>
      <c r="R587">
        <f>3/100</f>
        <v>0.03</v>
      </c>
      <c r="S587" s="82">
        <v>158</v>
      </c>
      <c r="T587" s="75">
        <f t="shared" si="96"/>
        <v>-25.809999999999988</v>
      </c>
      <c r="U587" s="46">
        <f t="shared" si="103"/>
        <v>127.45</v>
      </c>
      <c r="V587" s="82">
        <v>0</v>
      </c>
      <c r="W587" s="4">
        <v>2</v>
      </c>
      <c r="X587" s="195">
        <f t="shared" si="107"/>
        <v>127.45</v>
      </c>
      <c r="Y587" s="29" t="e">
        <f>IF(+VLOOKUP(I587,P.Referencia!E:S,3,FALSE)&lt;=L587,"Champion","Gerente")</f>
        <v>#N/A</v>
      </c>
      <c r="Z587" s="39" t="e">
        <f>VLOOKUP(I587,P.Referencia!E:S,3,0)</f>
        <v>#N/A</v>
      </c>
      <c r="AA587" s="40" t="e">
        <f t="shared" si="104"/>
        <v>#N/A</v>
      </c>
      <c r="AB587" s="41" t="e">
        <f t="shared" si="105"/>
        <v>#N/A</v>
      </c>
      <c r="AC587" s="41" t="e">
        <f t="shared" si="106"/>
        <v>#N/A</v>
      </c>
    </row>
    <row r="588" spans="1:29" hidden="1" x14ac:dyDescent="0.25">
      <c r="A588" s="24">
        <v>587</v>
      </c>
      <c r="B588" s="89" t="s">
        <v>444</v>
      </c>
      <c r="C588" s="4" t="str">
        <f t="shared" si="101"/>
        <v>LlaveD86467325663100002362</v>
      </c>
      <c r="D588" s="25" t="str">
        <f>VLOOKUP(E588,'NO MODIFICAR'!J:K,2,0)</f>
        <v>D864</v>
      </c>
      <c r="E588" s="102" t="s">
        <v>55</v>
      </c>
      <c r="F588" s="33" t="str">
        <f>VLOOKUP(D588,'NO MODIFICAR'!F:H,3,0)</f>
        <v xml:space="preserve">CENTRO </v>
      </c>
      <c r="G588" s="28">
        <v>67325663</v>
      </c>
      <c r="H588" s="93" t="s">
        <v>276</v>
      </c>
      <c r="I588" s="94">
        <v>10000236</v>
      </c>
      <c r="J588" s="4" t="str">
        <f>VLOOKUP(I588,'Materiales,canteras'!C:D,2,0)</f>
        <v>Grava Triturada Caliza 10 mm -</v>
      </c>
      <c r="K588" s="25">
        <f>VLOOKUP(I588,'Materiales,canteras'!C:E,3,0)</f>
        <v>1.41</v>
      </c>
      <c r="L588" s="105">
        <v>150.69999999999999</v>
      </c>
      <c r="M588" s="28" t="s">
        <v>93</v>
      </c>
      <c r="N588" s="57">
        <f t="shared" ca="1" si="102"/>
        <v>46267</v>
      </c>
      <c r="O588" s="43" t="s">
        <v>201</v>
      </c>
      <c r="R588">
        <f>1.5/100</f>
        <v>1.4999999999999999E-2</v>
      </c>
      <c r="S588" s="82">
        <v>252</v>
      </c>
      <c r="T588" s="75">
        <f t="shared" si="96"/>
        <v>-97.52000000000001</v>
      </c>
      <c r="U588" s="46">
        <f t="shared" si="103"/>
        <v>150.69999999999999</v>
      </c>
      <c r="V588" s="82">
        <v>0</v>
      </c>
      <c r="W588" s="4">
        <v>2</v>
      </c>
      <c r="X588" s="195">
        <f t="shared" si="107"/>
        <v>150.69999999999999</v>
      </c>
      <c r="Y588" s="29" t="e">
        <f>IF(+VLOOKUP(I588,P.Referencia!E:S,3,FALSE)&lt;=L588,"Champion","Gerente")</f>
        <v>#N/A</v>
      </c>
      <c r="Z588" s="39" t="e">
        <f>VLOOKUP(I588,P.Referencia!E:S,3,0)</f>
        <v>#N/A</v>
      </c>
      <c r="AA588" s="40" t="e">
        <f t="shared" si="104"/>
        <v>#N/A</v>
      </c>
      <c r="AB588" s="41" t="e">
        <f t="shared" si="105"/>
        <v>#N/A</v>
      </c>
      <c r="AC588" s="41" t="e">
        <f t="shared" si="106"/>
        <v>#N/A</v>
      </c>
    </row>
    <row r="589" spans="1:29" hidden="1" x14ac:dyDescent="0.25">
      <c r="A589" s="24">
        <v>588</v>
      </c>
      <c r="B589" s="89" t="s">
        <v>444</v>
      </c>
      <c r="C589" s="4" t="str">
        <f t="shared" si="101"/>
        <v>LlaveD86467325663100002692</v>
      </c>
      <c r="D589" s="25" t="str">
        <f>VLOOKUP(E589,'NO MODIFICAR'!J:K,2,0)</f>
        <v>D864</v>
      </c>
      <c r="E589" s="102" t="s">
        <v>55</v>
      </c>
      <c r="F589" s="33" t="str">
        <f>VLOOKUP(D589,'NO MODIFICAR'!F:H,3,0)</f>
        <v xml:space="preserve">CENTRO </v>
      </c>
      <c r="G589" s="28">
        <v>67325663</v>
      </c>
      <c r="H589" s="93" t="s">
        <v>276</v>
      </c>
      <c r="I589" s="94">
        <v>10000269</v>
      </c>
      <c r="J589" s="4" t="str">
        <f>VLOOKUP(I589,'Materiales,canteras'!C:D,2,0)</f>
        <v>Grava Triturada Caliza 13 mm -</v>
      </c>
      <c r="K589" s="25">
        <f>VLOOKUP(I589,'Materiales,canteras'!C:E,3,0)</f>
        <v>1.423</v>
      </c>
      <c r="L589" s="105">
        <v>150.69999999999999</v>
      </c>
      <c r="M589" s="28" t="s">
        <v>93</v>
      </c>
      <c r="N589" s="57">
        <f t="shared" ca="1" si="102"/>
        <v>46267</v>
      </c>
      <c r="O589" s="43" t="s">
        <v>201</v>
      </c>
      <c r="R589">
        <f>1.5/100</f>
        <v>1.4999999999999999E-2</v>
      </c>
      <c r="S589" s="82">
        <v>263</v>
      </c>
      <c r="T589" s="75">
        <f t="shared" si="96"/>
        <v>-108.35500000000002</v>
      </c>
      <c r="U589" s="46">
        <f t="shared" si="103"/>
        <v>150.69999999999999</v>
      </c>
      <c r="V589" s="82">
        <v>0</v>
      </c>
      <c r="W589" s="4">
        <v>2</v>
      </c>
      <c r="X589" s="195">
        <f t="shared" si="107"/>
        <v>150.69999999999999</v>
      </c>
      <c r="Y589" s="29" t="e">
        <f>IF(+VLOOKUP(I589,P.Referencia!E:S,3,FALSE)&lt;=L589,"Champion","Gerente")</f>
        <v>#N/A</v>
      </c>
      <c r="Z589" s="39" t="e">
        <f>VLOOKUP(I589,P.Referencia!E:S,3,0)</f>
        <v>#N/A</v>
      </c>
      <c r="AA589" s="40" t="e">
        <f t="shared" si="104"/>
        <v>#N/A</v>
      </c>
      <c r="AB589" s="41" t="e">
        <f t="shared" si="105"/>
        <v>#N/A</v>
      </c>
      <c r="AC589" s="41" t="e">
        <f t="shared" si="106"/>
        <v>#N/A</v>
      </c>
    </row>
    <row r="590" spans="1:29" hidden="1" x14ac:dyDescent="0.25">
      <c r="A590" s="24">
        <v>589</v>
      </c>
      <c r="B590" s="89" t="s">
        <v>444</v>
      </c>
      <c r="C590" s="4" t="str">
        <f t="shared" si="101"/>
        <v>LlaveD86467325663100010732</v>
      </c>
      <c r="D590" s="25" t="str">
        <f>VLOOKUP(E590,'NO MODIFICAR'!J:K,2,0)</f>
        <v>D864</v>
      </c>
      <c r="E590" s="102" t="s">
        <v>55</v>
      </c>
      <c r="F590" s="33" t="str">
        <f>VLOOKUP(D590,'NO MODIFICAR'!F:H,3,0)</f>
        <v xml:space="preserve">CENTRO </v>
      </c>
      <c r="G590" s="28">
        <v>67325663</v>
      </c>
      <c r="H590" s="93" t="s">
        <v>276</v>
      </c>
      <c r="I590" s="94">
        <v>10001073</v>
      </c>
      <c r="J590" s="4" t="str">
        <f>VLOOKUP(I590,'Materiales,canteras'!C:D,2,0)</f>
        <v>Arena Triturada Caliza Malla 4</v>
      </c>
      <c r="K590" s="25">
        <f>VLOOKUP(I590,'Materiales,canteras'!C:E,3,0)</f>
        <v>1.56</v>
      </c>
      <c r="L590" s="105">
        <v>99.79</v>
      </c>
      <c r="M590" s="28" t="s">
        <v>93</v>
      </c>
      <c r="N590" s="57">
        <f t="shared" ca="1" si="102"/>
        <v>46267</v>
      </c>
      <c r="O590" s="43" t="s">
        <v>201</v>
      </c>
      <c r="R590">
        <f>1.5/100</f>
        <v>1.4999999999999999E-2</v>
      </c>
      <c r="S590" s="82">
        <v>158</v>
      </c>
      <c r="T590" s="75">
        <f t="shared" si="96"/>
        <v>-55.839999999999989</v>
      </c>
      <c r="U590" s="46">
        <f t="shared" si="103"/>
        <v>99.79</v>
      </c>
      <c r="V590" s="82">
        <v>0</v>
      </c>
      <c r="W590" s="4">
        <v>2</v>
      </c>
      <c r="X590" s="195">
        <f t="shared" si="107"/>
        <v>99.79</v>
      </c>
      <c r="Y590" s="29" t="e">
        <f>IF(+VLOOKUP(I590,P.Referencia!E:S,3,FALSE)&lt;=L590,"Champion","Gerente")</f>
        <v>#N/A</v>
      </c>
      <c r="Z590" s="39" t="e">
        <f>VLOOKUP(I590,P.Referencia!E:S,3,0)</f>
        <v>#N/A</v>
      </c>
      <c r="AA590" s="40" t="e">
        <f t="shared" si="104"/>
        <v>#N/A</v>
      </c>
      <c r="AB590" s="41" t="e">
        <f t="shared" si="105"/>
        <v>#N/A</v>
      </c>
      <c r="AC590" s="41" t="e">
        <f t="shared" si="106"/>
        <v>#N/A</v>
      </c>
    </row>
    <row r="591" spans="1:29" hidden="1" x14ac:dyDescent="0.25">
      <c r="A591" s="24">
        <v>590</v>
      </c>
      <c r="B591" s="89" t="s">
        <v>444</v>
      </c>
      <c r="C591" s="4" t="str">
        <f t="shared" ref="C591:C592" si="108">_xlfn.CONCAT($C$1,D591,G591,I591,W591)</f>
        <v>LlaveD81666547825100002601</v>
      </c>
      <c r="D591" s="25" t="str">
        <f>VLOOKUP(E591,'NO MODIFICAR'!J:K,2,0)</f>
        <v>D816</v>
      </c>
      <c r="E591" s="102" t="s">
        <v>15</v>
      </c>
      <c r="F591" s="33" t="str">
        <f>VLOOKUP(D591,'NO MODIFICAR'!F:H,3,0)</f>
        <v>NORESTE</v>
      </c>
      <c r="G591" s="28">
        <v>66547825</v>
      </c>
      <c r="H591" s="93" t="s">
        <v>467</v>
      </c>
      <c r="I591" s="94">
        <v>10000260</v>
      </c>
      <c r="J591" s="4" t="str">
        <f>VLOOKUP(I591,'Materiales,canteras'!C:D,2,0)</f>
        <v>Arena Triturada Caliza Malla 5</v>
      </c>
      <c r="K591" s="25">
        <f>VLOOKUP(I591,'Materiales,canteras'!C:E,3,0)</f>
        <v>1.72</v>
      </c>
      <c r="L591" s="105">
        <v>470.24</v>
      </c>
      <c r="M591" s="28" t="s">
        <v>93</v>
      </c>
      <c r="N591" s="57">
        <f t="shared" ca="1" si="102"/>
        <v>46267</v>
      </c>
      <c r="O591" s="43" t="s">
        <v>201</v>
      </c>
      <c r="S591" s="82">
        <v>495</v>
      </c>
      <c r="T591" s="75">
        <f t="shared" ref="T591:T596" si="109">L591-(S591-(S591*R591))</f>
        <v>-24.759999999999991</v>
      </c>
      <c r="U591" s="46">
        <f t="shared" ref="U591:U592" si="110">L591</f>
        <v>470.24</v>
      </c>
      <c r="V591" s="82">
        <v>139.05000000000001</v>
      </c>
      <c r="W591" s="4">
        <v>1</v>
      </c>
      <c r="X591" s="195">
        <f>U591+V591</f>
        <v>609.29</v>
      </c>
      <c r="Y591" s="29" t="e">
        <f>IF(+VLOOKUP(I591,P.Referencia!E:S,3,FALSE)&lt;=L591,"Champion","Gerente")</f>
        <v>#N/A</v>
      </c>
      <c r="Z591" s="39" t="e">
        <f>VLOOKUP(I591,P.Referencia!E:S,3,0)</f>
        <v>#N/A</v>
      </c>
      <c r="AA591" s="40" t="e">
        <f t="shared" ref="AA591:AA592" si="111">(Z591-U591)/U591</f>
        <v>#N/A</v>
      </c>
      <c r="AB591" s="41" t="e">
        <f t="shared" ref="AB591:AB592" si="112">U591*AA591</f>
        <v>#N/A</v>
      </c>
      <c r="AC591" s="41" t="e">
        <f t="shared" ref="AC591:AC592" si="113">U591+AB591</f>
        <v>#N/A</v>
      </c>
    </row>
    <row r="592" spans="1:29" hidden="1" x14ac:dyDescent="0.25">
      <c r="A592" s="24">
        <v>591</v>
      </c>
      <c r="B592" s="89" t="s">
        <v>444</v>
      </c>
      <c r="C592" s="4" t="str">
        <f t="shared" si="108"/>
        <v>LlaveD81666547825100001241</v>
      </c>
      <c r="D592" s="25" t="str">
        <f>VLOOKUP(E592,'NO MODIFICAR'!J:K,2,0)</f>
        <v>D816</v>
      </c>
      <c r="E592" s="102" t="s">
        <v>15</v>
      </c>
      <c r="F592" s="33" t="str">
        <f>VLOOKUP(D592,'NO MODIFICAR'!F:H,3,0)</f>
        <v>NORESTE</v>
      </c>
      <c r="G592" s="28">
        <v>66547825</v>
      </c>
      <c r="H592" s="93" t="s">
        <v>467</v>
      </c>
      <c r="I592" s="94">
        <v>10000124</v>
      </c>
      <c r="J592" s="4" t="str">
        <f>VLOOKUP(I592,'Materiales,canteras'!C:D,2,0)</f>
        <v>Arena Triturada Caliza Malla 4</v>
      </c>
      <c r="K592" s="25">
        <f>VLOOKUP(I592,'Materiales,canteras'!C:E,3,0)</f>
        <v>1.7390000000000001</v>
      </c>
      <c r="L592" s="105">
        <v>470.24</v>
      </c>
      <c r="M592" s="28" t="s">
        <v>93</v>
      </c>
      <c r="N592" s="57">
        <f t="shared" ca="1" si="102"/>
        <v>46267</v>
      </c>
      <c r="O592" s="43" t="s">
        <v>201</v>
      </c>
      <c r="S592" s="82">
        <v>495</v>
      </c>
      <c r="T592" s="75">
        <f t="shared" si="109"/>
        <v>-24.759999999999991</v>
      </c>
      <c r="U592" s="46">
        <f t="shared" si="110"/>
        <v>470.24</v>
      </c>
      <c r="V592" s="82">
        <v>139.05000000000001</v>
      </c>
      <c r="W592" s="4">
        <v>1</v>
      </c>
      <c r="X592" s="195">
        <f t="shared" ref="X592" si="114">U592+V592</f>
        <v>609.29</v>
      </c>
      <c r="Y592" s="29" t="e">
        <f>IF(+VLOOKUP(I592,P.Referencia!E:S,3,FALSE)&lt;=L592,"Champion","Gerente")</f>
        <v>#N/A</v>
      </c>
      <c r="Z592" s="39" t="e">
        <f>VLOOKUP(I592,P.Referencia!E:S,3,0)</f>
        <v>#N/A</v>
      </c>
      <c r="AA592" s="40" t="e">
        <f t="shared" si="111"/>
        <v>#N/A</v>
      </c>
      <c r="AB592" s="41" t="e">
        <f t="shared" si="112"/>
        <v>#N/A</v>
      </c>
      <c r="AC592" s="41" t="e">
        <f t="shared" si="113"/>
        <v>#N/A</v>
      </c>
    </row>
    <row r="593" spans="1:29" hidden="1" x14ac:dyDescent="0.25">
      <c r="A593" s="24">
        <v>592</v>
      </c>
      <c r="B593" s="89" t="s">
        <v>444</v>
      </c>
      <c r="C593" s="4" t="str">
        <f t="shared" si="101"/>
        <v>LlaveD81666547825100001241</v>
      </c>
      <c r="D593" s="25" t="str">
        <f>VLOOKUP(E593,'NO MODIFICAR'!J:K,2,0)</f>
        <v>D816</v>
      </c>
      <c r="E593" s="102" t="s">
        <v>15</v>
      </c>
      <c r="F593" s="33" t="str">
        <f>VLOOKUP(D593,'NO MODIFICAR'!F:H,3,0)</f>
        <v>NORESTE</v>
      </c>
      <c r="G593" s="28">
        <v>66547825</v>
      </c>
      <c r="H593" s="93" t="s">
        <v>467</v>
      </c>
      <c r="I593" s="94">
        <v>10000124</v>
      </c>
      <c r="J593" s="4" t="str">
        <f>VLOOKUP(I593,'Materiales,canteras'!C:D,2,0)</f>
        <v>Arena Triturada Caliza Malla 4</v>
      </c>
      <c r="K593" s="25">
        <f>VLOOKUP(I593,'Materiales,canteras'!C:E,3,0)</f>
        <v>1.7390000000000001</v>
      </c>
      <c r="L593" s="105">
        <v>453.24</v>
      </c>
      <c r="M593" s="28" t="s">
        <v>93</v>
      </c>
      <c r="N593" s="57">
        <f t="shared" ca="1" si="102"/>
        <v>46267</v>
      </c>
      <c r="O593" s="43" t="s">
        <v>201</v>
      </c>
      <c r="S593" s="82">
        <v>495</v>
      </c>
      <c r="T593" s="75">
        <f t="shared" si="109"/>
        <v>-41.759999999999991</v>
      </c>
      <c r="U593" s="46">
        <f t="shared" si="103"/>
        <v>453.24</v>
      </c>
      <c r="V593" s="82">
        <v>145.30000000000001</v>
      </c>
      <c r="W593" s="4">
        <v>1</v>
      </c>
      <c r="X593" s="195">
        <f t="shared" si="107"/>
        <v>598.54</v>
      </c>
      <c r="Y593" s="29" t="e">
        <f>IF(+VLOOKUP(I593,P.Referencia!E:S,3,FALSE)&lt;=L593,"Champion","Gerente")</f>
        <v>#N/A</v>
      </c>
      <c r="Z593" s="39" t="e">
        <f>VLOOKUP(I593,P.Referencia!E:S,3,0)</f>
        <v>#N/A</v>
      </c>
      <c r="AA593" s="40" t="e">
        <f t="shared" si="104"/>
        <v>#N/A</v>
      </c>
      <c r="AB593" s="41" t="e">
        <f t="shared" si="105"/>
        <v>#N/A</v>
      </c>
      <c r="AC593" s="41" t="e">
        <f t="shared" si="106"/>
        <v>#N/A</v>
      </c>
    </row>
    <row r="594" spans="1:29" hidden="1" x14ac:dyDescent="0.25">
      <c r="A594" s="24">
        <v>593</v>
      </c>
      <c r="B594" s="89" t="s">
        <v>444</v>
      </c>
      <c r="C594" s="4" t="str">
        <f t="shared" si="101"/>
        <v>LlaveD81666547825100002601</v>
      </c>
      <c r="D594" s="25" t="str">
        <f>VLOOKUP(E594,'NO MODIFICAR'!J:K,2,0)</f>
        <v>D816</v>
      </c>
      <c r="E594" s="102" t="s">
        <v>15</v>
      </c>
      <c r="F594" s="33" t="str">
        <f>VLOOKUP(D594,'NO MODIFICAR'!F:H,3,0)</f>
        <v>NORESTE</v>
      </c>
      <c r="G594" s="28">
        <v>66547825</v>
      </c>
      <c r="H594" s="93" t="s">
        <v>467</v>
      </c>
      <c r="I594" s="94">
        <v>10000260</v>
      </c>
      <c r="J594" s="4" t="str">
        <f>VLOOKUP(I594,'Materiales,canteras'!C:D,2,0)</f>
        <v>Arena Triturada Caliza Malla 5</v>
      </c>
      <c r="K594" s="25">
        <f>VLOOKUP(I594,'Materiales,canteras'!C:E,3,0)</f>
        <v>1.72</v>
      </c>
      <c r="L594" s="105">
        <v>453.24</v>
      </c>
      <c r="M594" s="28" t="s">
        <v>93</v>
      </c>
      <c r="N594" s="57">
        <f t="shared" ca="1" si="102"/>
        <v>46267</v>
      </c>
      <c r="O594" s="43" t="s">
        <v>201</v>
      </c>
      <c r="S594" s="82">
        <v>495</v>
      </c>
      <c r="T594" s="75">
        <f t="shared" si="109"/>
        <v>-41.759999999999991</v>
      </c>
      <c r="U594" s="46">
        <f t="shared" si="103"/>
        <v>453.24</v>
      </c>
      <c r="V594" s="82">
        <v>145.30000000000001</v>
      </c>
      <c r="W594" s="4">
        <v>1</v>
      </c>
      <c r="X594" s="195">
        <f t="shared" si="107"/>
        <v>598.54</v>
      </c>
      <c r="Y594" s="29" t="e">
        <f>IF(+VLOOKUP(I594,P.Referencia!E:S,3,FALSE)&lt;=L594,"Champion","Gerente")</f>
        <v>#N/A</v>
      </c>
      <c r="Z594" s="39" t="e">
        <f>VLOOKUP(I594,P.Referencia!E:S,3,0)</f>
        <v>#N/A</v>
      </c>
      <c r="AA594" s="40" t="e">
        <f t="shared" si="104"/>
        <v>#N/A</v>
      </c>
      <c r="AB594" s="41" t="e">
        <f t="shared" si="105"/>
        <v>#N/A</v>
      </c>
      <c r="AC594" s="41" t="e">
        <f t="shared" si="106"/>
        <v>#N/A</v>
      </c>
    </row>
    <row r="595" spans="1:29" hidden="1" x14ac:dyDescent="0.25">
      <c r="A595" s="24">
        <v>594</v>
      </c>
      <c r="B595" s="89" t="s">
        <v>444</v>
      </c>
      <c r="C595" s="4" t="str">
        <f t="shared" si="101"/>
        <v>LlaveD9026736211810269105</v>
      </c>
      <c r="D595" s="25" t="str">
        <f>VLOOKUP(E595,'NO MODIFICAR'!J:K,2,0)</f>
        <v>D902</v>
      </c>
      <c r="E595" s="102" t="s">
        <v>79</v>
      </c>
      <c r="F595" s="33" t="str">
        <f>VLOOKUP(D595,'NO MODIFICAR'!F:H,3,0)</f>
        <v>SURESTE</v>
      </c>
      <c r="G595" s="28">
        <v>67362118</v>
      </c>
      <c r="H595" s="93" t="s">
        <v>469</v>
      </c>
      <c r="I595" s="94">
        <v>10269105</v>
      </c>
      <c r="J595" s="4" t="str">
        <f>VLOOKUP(I595,'Materiales,canteras'!C:D,2,0)</f>
        <v>BALASTO DE 2 ½” DESPERDICIO</v>
      </c>
      <c r="K595" s="25">
        <f>VLOOKUP(I595,'Materiales,canteras'!C:E,3,0)</f>
        <v>1.494</v>
      </c>
      <c r="L595" s="105">
        <v>883.53413699999999</v>
      </c>
      <c r="M595" s="28" t="s">
        <v>93</v>
      </c>
      <c r="N595" s="57">
        <f t="shared" ca="1" si="102"/>
        <v>46267</v>
      </c>
      <c r="O595" s="43" t="s">
        <v>201</v>
      </c>
      <c r="S595" s="82">
        <v>937</v>
      </c>
      <c r="T595" s="75">
        <f t="shared" si="109"/>
        <v>-53.465863000000013</v>
      </c>
      <c r="U595" s="46">
        <f t="shared" si="103"/>
        <v>883.53413699999999</v>
      </c>
      <c r="V595" s="82"/>
      <c r="X595" s="195">
        <f t="shared" si="107"/>
        <v>883.53413699999999</v>
      </c>
      <c r="Y595" s="29" t="e">
        <f>IF(+VLOOKUP(I595,P.Referencia!E:S,3,FALSE)&lt;=L595,"Champion","Gerente")</f>
        <v>#N/A</v>
      </c>
      <c r="Z595" s="39" t="e">
        <f>VLOOKUP(I595,P.Referencia!E:S,3,0)</f>
        <v>#N/A</v>
      </c>
      <c r="AA595" s="40" t="e">
        <f t="shared" si="104"/>
        <v>#N/A</v>
      </c>
      <c r="AB595" s="41" t="e">
        <f t="shared" si="105"/>
        <v>#N/A</v>
      </c>
      <c r="AC595" s="41" t="e">
        <f t="shared" si="106"/>
        <v>#N/A</v>
      </c>
    </row>
    <row r="596" spans="1:29" hidden="1" x14ac:dyDescent="0.25">
      <c r="A596" s="24">
        <v>595</v>
      </c>
      <c r="B596" s="89" t="s">
        <v>444</v>
      </c>
      <c r="C596" s="4" t="str">
        <f t="shared" si="101"/>
        <v>LlaveD90267341386102691052</v>
      </c>
      <c r="D596" s="25" t="str">
        <f>VLOOKUP(E596,'NO MODIFICAR'!J:K,2,0)</f>
        <v>D902</v>
      </c>
      <c r="E596" s="102" t="s">
        <v>79</v>
      </c>
      <c r="F596" s="33" t="str">
        <f>VLOOKUP(D596,'NO MODIFICAR'!F:H,3,0)</f>
        <v>SURESTE</v>
      </c>
      <c r="G596" s="28">
        <v>67341386</v>
      </c>
      <c r="H596" s="93" t="s">
        <v>321</v>
      </c>
      <c r="I596" s="94">
        <v>10269105</v>
      </c>
      <c r="J596" s="4" t="str">
        <f>VLOOKUP(I596,'Materiales,canteras'!C:D,2,0)</f>
        <v>BALASTO DE 2 ½” DESPERDICIO</v>
      </c>
      <c r="K596" s="25">
        <f>VLOOKUP(I596,'Materiales,canteras'!C:E,3,0)</f>
        <v>1.494</v>
      </c>
      <c r="L596" s="105">
        <v>883.53413699999999</v>
      </c>
      <c r="M596" s="28" t="s">
        <v>93</v>
      </c>
      <c r="N596" s="57">
        <f t="shared" ca="1" si="102"/>
        <v>46267</v>
      </c>
      <c r="O596" s="43" t="s">
        <v>201</v>
      </c>
      <c r="S596" s="82">
        <v>937</v>
      </c>
      <c r="T596" s="75">
        <f t="shared" si="109"/>
        <v>-53.465863000000013</v>
      </c>
      <c r="U596" s="46">
        <f t="shared" si="103"/>
        <v>883.53413699999999</v>
      </c>
      <c r="V596" s="82">
        <v>0</v>
      </c>
      <c r="W596" s="4">
        <v>2</v>
      </c>
      <c r="X596" s="195">
        <f t="shared" si="107"/>
        <v>883.53413699999999</v>
      </c>
      <c r="Y596" s="29" t="e">
        <f>IF(+VLOOKUP(I596,P.Referencia!E:S,3,FALSE)&lt;=L596,"Champion","Gerente")</f>
        <v>#N/A</v>
      </c>
      <c r="Z596" s="39" t="e">
        <f>VLOOKUP(I596,P.Referencia!E:S,3,0)</f>
        <v>#N/A</v>
      </c>
      <c r="AA596" s="40" t="e">
        <f t="shared" si="104"/>
        <v>#N/A</v>
      </c>
      <c r="AB596" s="41" t="e">
        <f t="shared" si="105"/>
        <v>#N/A</v>
      </c>
      <c r="AC596" s="41" t="e">
        <f t="shared" si="106"/>
        <v>#N/A</v>
      </c>
    </row>
    <row r="597" spans="1:29" hidden="1" x14ac:dyDescent="0.25">
      <c r="A597" s="24">
        <v>596</v>
      </c>
      <c r="B597" s="89" t="s">
        <v>444</v>
      </c>
      <c r="C597" s="4" t="str">
        <f t="shared" si="101"/>
        <v>LlaveD82467362417100002872</v>
      </c>
      <c r="D597" s="25" t="str">
        <f>VLOOKUP(E597,'NO MODIFICAR'!J:K,2,0)</f>
        <v>D824</v>
      </c>
      <c r="E597" s="102" t="s">
        <v>28</v>
      </c>
      <c r="F597" s="33" t="str">
        <f>VLOOKUP(D597,'NO MODIFICAR'!F:H,3,0)</f>
        <v>NORESTE</v>
      </c>
      <c r="G597" s="28">
        <v>67362417</v>
      </c>
      <c r="H597" s="93" t="s">
        <v>471</v>
      </c>
      <c r="I597" s="94">
        <v>10000287</v>
      </c>
      <c r="J597" s="4" t="str">
        <f>VLOOKUP(I597,'Materiales,canteras'!C:D,2,0)</f>
        <v>Grava Triturada Basalto  40 mm</v>
      </c>
      <c r="K597" s="25">
        <f>VLOOKUP(I597,'Materiales,canteras'!C:E,3,0)</f>
        <v>1.44</v>
      </c>
      <c r="L597" s="105">
        <v>200</v>
      </c>
      <c r="M597" s="28" t="s">
        <v>93</v>
      </c>
      <c r="N597" s="57">
        <f t="shared" ca="1" si="102"/>
        <v>46267</v>
      </c>
      <c r="O597" s="43" t="s">
        <v>201</v>
      </c>
      <c r="P597">
        <v>10.65</v>
      </c>
      <c r="Q597">
        <v>1.01</v>
      </c>
      <c r="R597">
        <v>3.02</v>
      </c>
      <c r="S597" s="82">
        <v>213</v>
      </c>
      <c r="T597" s="66">
        <f t="shared" ref="T597:T654" si="115">L597-((S597-P597)-(Q597)-(R597))</f>
        <v>1.6800000000000068</v>
      </c>
      <c r="U597" s="46">
        <f t="shared" si="103"/>
        <v>200</v>
      </c>
      <c r="V597" s="82">
        <v>0</v>
      </c>
      <c r="W597" s="4">
        <v>2</v>
      </c>
      <c r="X597" s="195">
        <f t="shared" si="107"/>
        <v>200</v>
      </c>
      <c r="Y597" s="29" t="e">
        <f>IF(+VLOOKUP(I597,P.Referencia!E:S,3,FALSE)&lt;=L597,"Champion","Gerente")</f>
        <v>#N/A</v>
      </c>
      <c r="Z597" s="39" t="e">
        <f>VLOOKUP(I597,P.Referencia!E:S,3,0)</f>
        <v>#N/A</v>
      </c>
      <c r="AA597" s="40" t="e">
        <f t="shared" si="104"/>
        <v>#N/A</v>
      </c>
      <c r="AB597" s="41" t="e">
        <f t="shared" si="105"/>
        <v>#N/A</v>
      </c>
      <c r="AC597" s="41" t="e">
        <f t="shared" si="106"/>
        <v>#N/A</v>
      </c>
    </row>
    <row r="598" spans="1:29" hidden="1" x14ac:dyDescent="0.25">
      <c r="A598" s="24">
        <v>597</v>
      </c>
      <c r="B598" s="89" t="s">
        <v>444</v>
      </c>
      <c r="C598" s="4" t="str">
        <f t="shared" si="101"/>
        <v>LlaveD82467362417100002842</v>
      </c>
      <c r="D598" s="25" t="str">
        <f>VLOOKUP(E598,'NO MODIFICAR'!J:K,2,0)</f>
        <v>D824</v>
      </c>
      <c r="E598" s="102" t="s">
        <v>28</v>
      </c>
      <c r="F598" s="33" t="str">
        <f>VLOOKUP(D598,'NO MODIFICAR'!F:H,3,0)</f>
        <v>NORESTE</v>
      </c>
      <c r="G598" s="28">
        <v>67362417</v>
      </c>
      <c r="H598" s="93" t="s">
        <v>471</v>
      </c>
      <c r="I598" s="94">
        <v>10000284</v>
      </c>
      <c r="J598" s="4" t="str">
        <f>VLOOKUP(I598,'Materiales,canteras'!C:D,2,0)</f>
        <v>Grava Triturada Basalto  20 mm</v>
      </c>
      <c r="K598" s="25">
        <f>VLOOKUP(I598,'Materiales,canteras'!C:E,3,0)</f>
        <v>1.429</v>
      </c>
      <c r="L598" s="105">
        <v>200</v>
      </c>
      <c r="M598" s="28" t="s">
        <v>93</v>
      </c>
      <c r="N598" s="57">
        <f t="shared" ca="1" si="102"/>
        <v>46267</v>
      </c>
      <c r="O598" s="43" t="s">
        <v>201</v>
      </c>
      <c r="P598">
        <v>10.65</v>
      </c>
      <c r="Q598">
        <v>1.01</v>
      </c>
      <c r="R598">
        <v>3.02</v>
      </c>
      <c r="S598" s="82">
        <v>213</v>
      </c>
      <c r="T598" s="66">
        <f t="shared" si="115"/>
        <v>1.6800000000000068</v>
      </c>
      <c r="U598" s="46">
        <f t="shared" si="103"/>
        <v>200</v>
      </c>
      <c r="V598" s="82">
        <v>0</v>
      </c>
      <c r="W598" s="4">
        <v>2</v>
      </c>
      <c r="X598" s="195">
        <f t="shared" si="107"/>
        <v>200</v>
      </c>
      <c r="Y598" s="29" t="e">
        <f>IF(+VLOOKUP(I598,P.Referencia!E:S,3,FALSE)&lt;=L598,"Champion","Gerente")</f>
        <v>#N/A</v>
      </c>
      <c r="Z598" s="39" t="e">
        <f>VLOOKUP(I598,P.Referencia!E:S,3,0)</f>
        <v>#N/A</v>
      </c>
      <c r="AA598" s="40" t="e">
        <f t="shared" si="104"/>
        <v>#N/A</v>
      </c>
      <c r="AB598" s="41" t="e">
        <f t="shared" si="105"/>
        <v>#N/A</v>
      </c>
      <c r="AC598" s="41" t="e">
        <f t="shared" si="106"/>
        <v>#N/A</v>
      </c>
    </row>
    <row r="599" spans="1:29" hidden="1" x14ac:dyDescent="0.25">
      <c r="A599" s="24">
        <v>598</v>
      </c>
      <c r="B599" s="89" t="s">
        <v>444</v>
      </c>
      <c r="C599" s="4" t="str">
        <f t="shared" si="101"/>
        <v>LlaveD82467362417100002852</v>
      </c>
      <c r="D599" s="25" t="str">
        <f>VLOOKUP(E599,'NO MODIFICAR'!J:K,2,0)</f>
        <v>D824</v>
      </c>
      <c r="E599" s="102" t="s">
        <v>28</v>
      </c>
      <c r="F599" s="33" t="str">
        <f>VLOOKUP(D599,'NO MODIFICAR'!F:H,3,0)</f>
        <v>NORESTE</v>
      </c>
      <c r="G599" s="28">
        <v>67362417</v>
      </c>
      <c r="H599" s="93" t="s">
        <v>471</v>
      </c>
      <c r="I599" s="94">
        <v>10000285</v>
      </c>
      <c r="J599" s="4" t="str">
        <f>VLOOKUP(I599,'Materiales,canteras'!C:D,2,0)</f>
        <v>Grava Triturada Basalto  10 mm</v>
      </c>
      <c r="K599" s="25">
        <f>VLOOKUP(I599,'Materiales,canteras'!C:E,3,0)</f>
        <v>1.46</v>
      </c>
      <c r="L599" s="105">
        <v>205</v>
      </c>
      <c r="M599" s="28" t="s">
        <v>93</v>
      </c>
      <c r="N599" s="57">
        <f t="shared" ca="1" si="102"/>
        <v>46267</v>
      </c>
      <c r="O599" s="43" t="s">
        <v>201</v>
      </c>
      <c r="P599">
        <v>10.95</v>
      </c>
      <c r="Q599">
        <v>1.04</v>
      </c>
      <c r="R599">
        <v>3.11</v>
      </c>
      <c r="S599" s="82">
        <v>219</v>
      </c>
      <c r="T599" s="66">
        <f t="shared" si="115"/>
        <v>1.0999999999999943</v>
      </c>
      <c r="U599" s="46">
        <f t="shared" si="103"/>
        <v>205</v>
      </c>
      <c r="V599" s="82">
        <v>0</v>
      </c>
      <c r="W599" s="4">
        <v>2</v>
      </c>
      <c r="X599" s="195">
        <f t="shared" si="107"/>
        <v>205</v>
      </c>
      <c r="Y599" s="29" t="e">
        <f>IF(+VLOOKUP(I599,P.Referencia!E:S,3,FALSE)&lt;=L599,"Champion","Gerente")</f>
        <v>#N/A</v>
      </c>
      <c r="Z599" s="39" t="e">
        <f>VLOOKUP(I599,P.Referencia!E:S,3,0)</f>
        <v>#N/A</v>
      </c>
      <c r="AA599" s="40" t="e">
        <f t="shared" si="104"/>
        <v>#N/A</v>
      </c>
      <c r="AB599" s="41" t="e">
        <f t="shared" si="105"/>
        <v>#N/A</v>
      </c>
      <c r="AC599" s="41" t="e">
        <f t="shared" si="106"/>
        <v>#N/A</v>
      </c>
    </row>
    <row r="600" spans="1:29" hidden="1" x14ac:dyDescent="0.25">
      <c r="A600" s="24">
        <v>599</v>
      </c>
      <c r="B600" s="89" t="s">
        <v>444</v>
      </c>
      <c r="C600" s="4" t="str">
        <f t="shared" si="101"/>
        <v>LlaveD82467362417100002342</v>
      </c>
      <c r="D600" s="25" t="str">
        <f>VLOOKUP(E600,'NO MODIFICAR'!J:K,2,0)</f>
        <v>D824</v>
      </c>
      <c r="E600" s="102" t="s">
        <v>28</v>
      </c>
      <c r="F600" s="33" t="str">
        <f>VLOOKUP(D600,'NO MODIFICAR'!F:H,3,0)</f>
        <v>NORESTE</v>
      </c>
      <c r="G600" s="28">
        <v>67362417</v>
      </c>
      <c r="H600" s="93" t="s">
        <v>471</v>
      </c>
      <c r="I600" s="94">
        <v>10000234</v>
      </c>
      <c r="J600" s="4" t="str">
        <f>VLOOKUP(I600,'Materiales,canteras'!C:D,2,0)</f>
        <v>Arena Triturada Basalto  Malla</v>
      </c>
      <c r="K600" s="25">
        <f>VLOOKUP(I600,'Materiales,canteras'!C:E,3,0)</f>
        <v>1.7789999999999999</v>
      </c>
      <c r="L600" s="105">
        <v>190</v>
      </c>
      <c r="M600" s="28" t="s">
        <v>93</v>
      </c>
      <c r="N600" s="57">
        <f t="shared" ca="1" si="102"/>
        <v>46267</v>
      </c>
      <c r="O600" s="43" t="s">
        <v>201</v>
      </c>
      <c r="P600">
        <v>10.050000000000001</v>
      </c>
      <c r="Q600">
        <v>0.95</v>
      </c>
      <c r="R600">
        <v>2.85</v>
      </c>
      <c r="S600" s="82">
        <v>201</v>
      </c>
      <c r="T600" s="66">
        <f t="shared" si="115"/>
        <v>2.8499999999999943</v>
      </c>
      <c r="U600" s="46">
        <f t="shared" si="103"/>
        <v>190</v>
      </c>
      <c r="V600" s="82">
        <v>0</v>
      </c>
      <c r="W600" s="4">
        <v>2</v>
      </c>
      <c r="X600" s="195">
        <f t="shared" si="107"/>
        <v>190</v>
      </c>
      <c r="Y600" s="29" t="e">
        <f>IF(+VLOOKUP(I600,P.Referencia!E:S,3,FALSE)&lt;=L600,"Champion","Gerente")</f>
        <v>#N/A</v>
      </c>
      <c r="Z600" s="39" t="e">
        <f>VLOOKUP(I600,P.Referencia!E:S,3,0)</f>
        <v>#N/A</v>
      </c>
      <c r="AA600" s="40" t="e">
        <f t="shared" si="104"/>
        <v>#N/A</v>
      </c>
      <c r="AB600" s="41" t="e">
        <f t="shared" si="105"/>
        <v>#N/A</v>
      </c>
      <c r="AC600" s="41" t="e">
        <f t="shared" si="106"/>
        <v>#N/A</v>
      </c>
    </row>
    <row r="601" spans="1:29" hidden="1" x14ac:dyDescent="0.25">
      <c r="A601" s="24">
        <v>600</v>
      </c>
      <c r="B601" s="89" t="s">
        <v>444</v>
      </c>
      <c r="C601" s="4" t="str">
        <f t="shared" si="101"/>
        <v>LlaveD82467362417100231082</v>
      </c>
      <c r="D601" s="25" t="str">
        <f>VLOOKUP(E601,'NO MODIFICAR'!J:K,2,0)</f>
        <v>D824</v>
      </c>
      <c r="E601" s="102" t="s">
        <v>28</v>
      </c>
      <c r="F601" s="33" t="str">
        <f>VLOOKUP(D601,'NO MODIFICAR'!F:H,3,0)</f>
        <v>NORESTE</v>
      </c>
      <c r="G601" s="28">
        <v>67362417</v>
      </c>
      <c r="H601" s="93" t="s">
        <v>471</v>
      </c>
      <c r="I601" s="94">
        <v>10023108</v>
      </c>
      <c r="J601" s="4" t="str">
        <f>VLOOKUP(I601,'Materiales,canteras'!C:D,2,0)</f>
        <v>Base H Triturada Basalto  1 1/2" a Finos</v>
      </c>
      <c r="K601" s="25">
        <f>VLOOKUP(I601,'Materiales,canteras'!C:E,3,0)</f>
        <v>1.9690000000000001</v>
      </c>
      <c r="L601" s="105">
        <v>190</v>
      </c>
      <c r="M601" s="28" t="s">
        <v>93</v>
      </c>
      <c r="N601" s="57">
        <f t="shared" ca="1" si="102"/>
        <v>46267</v>
      </c>
      <c r="O601" s="43" t="s">
        <v>201</v>
      </c>
      <c r="P601">
        <v>10.050000000000001</v>
      </c>
      <c r="Q601">
        <v>0.95</v>
      </c>
      <c r="R601">
        <v>2.85</v>
      </c>
      <c r="S601" s="82">
        <v>201</v>
      </c>
      <c r="T601" s="66">
        <f t="shared" si="115"/>
        <v>2.8499999999999943</v>
      </c>
      <c r="U601" s="46">
        <f t="shared" si="103"/>
        <v>190</v>
      </c>
      <c r="V601" s="82">
        <v>0</v>
      </c>
      <c r="W601" s="4">
        <v>2</v>
      </c>
      <c r="X601" s="195">
        <f t="shared" si="107"/>
        <v>190</v>
      </c>
      <c r="Y601" s="29" t="e">
        <f>IF(+VLOOKUP(I601,P.Referencia!E:S,3,FALSE)&lt;=L601,"Champion","Gerente")</f>
        <v>#N/A</v>
      </c>
      <c r="Z601" s="39" t="e">
        <f>VLOOKUP(I601,P.Referencia!E:S,3,0)</f>
        <v>#N/A</v>
      </c>
      <c r="AA601" s="40" t="e">
        <f t="shared" si="104"/>
        <v>#N/A</v>
      </c>
      <c r="AB601" s="41" t="e">
        <f t="shared" si="105"/>
        <v>#N/A</v>
      </c>
      <c r="AC601" s="41" t="e">
        <f t="shared" si="106"/>
        <v>#N/A</v>
      </c>
    </row>
    <row r="602" spans="1:29" hidden="1" x14ac:dyDescent="0.25">
      <c r="A602" s="24">
        <v>601</v>
      </c>
      <c r="B602" s="89" t="s">
        <v>444</v>
      </c>
      <c r="C602" s="4" t="str">
        <f t="shared" si="101"/>
        <v>LlaveD82467362417100010772</v>
      </c>
      <c r="D602" s="25" t="str">
        <f>VLOOKUP(E602,'NO MODIFICAR'!J:K,2,0)</f>
        <v>D824</v>
      </c>
      <c r="E602" s="102" t="s">
        <v>28</v>
      </c>
      <c r="F602" s="33" t="str">
        <f>VLOOKUP(D602,'NO MODIFICAR'!F:H,3,0)</f>
        <v>NORESTE</v>
      </c>
      <c r="G602" s="28">
        <v>67362417</v>
      </c>
      <c r="H602" s="93" t="s">
        <v>471</v>
      </c>
      <c r="I602" s="94">
        <v>10001077</v>
      </c>
      <c r="J602" s="4" t="str">
        <f>VLOOKUP(I602,'Materiales,canteras'!C:D,2,0)</f>
        <v>Crudo Basalto</v>
      </c>
      <c r="K602" s="25">
        <f>VLOOKUP(I602,'Materiales,canteras'!C:E,3,0)</f>
        <v>1.35</v>
      </c>
      <c r="L602" s="105">
        <v>130</v>
      </c>
      <c r="M602" s="28" t="s">
        <v>93</v>
      </c>
      <c r="N602" s="57">
        <f t="shared" ca="1" si="102"/>
        <v>46267</v>
      </c>
      <c r="O602" s="43" t="s">
        <v>201</v>
      </c>
      <c r="P602">
        <v>6.9</v>
      </c>
      <c r="Q602">
        <v>0.66</v>
      </c>
      <c r="R602">
        <v>1.96</v>
      </c>
      <c r="S602" s="82">
        <v>138</v>
      </c>
      <c r="T602" s="66">
        <f t="shared" si="115"/>
        <v>1.5200000000000102</v>
      </c>
      <c r="U602" s="46">
        <f t="shared" si="103"/>
        <v>130</v>
      </c>
      <c r="V602" s="82">
        <v>0</v>
      </c>
      <c r="W602" s="4">
        <v>2</v>
      </c>
      <c r="X602" s="195">
        <f t="shared" si="107"/>
        <v>130</v>
      </c>
      <c r="Y602" s="29" t="e">
        <f>IF(+VLOOKUP(I602,P.Referencia!E:S,3,FALSE)&lt;=L602,"Champion","Gerente")</f>
        <v>#N/A</v>
      </c>
      <c r="Z602" s="39" t="e">
        <f>VLOOKUP(I602,P.Referencia!E:S,3,0)</f>
        <v>#N/A</v>
      </c>
      <c r="AA602" s="40" t="e">
        <f t="shared" si="104"/>
        <v>#N/A</v>
      </c>
      <c r="AB602" s="41" t="e">
        <f t="shared" si="105"/>
        <v>#N/A</v>
      </c>
      <c r="AC602" s="41" t="e">
        <f t="shared" si="106"/>
        <v>#N/A</v>
      </c>
    </row>
    <row r="603" spans="1:29" hidden="1" x14ac:dyDescent="0.25">
      <c r="A603" s="24">
        <v>602</v>
      </c>
      <c r="B603" s="89" t="s">
        <v>444</v>
      </c>
      <c r="C603" s="4" t="str">
        <f t="shared" si="101"/>
        <v>LlaveD82467362417101916472</v>
      </c>
      <c r="D603" s="25" t="str">
        <f>VLOOKUP(E603,'NO MODIFICAR'!J:K,2,0)</f>
        <v>D824</v>
      </c>
      <c r="E603" s="102" t="s">
        <v>28</v>
      </c>
      <c r="F603" s="33" t="str">
        <f>VLOOKUP(D603,'NO MODIFICAR'!F:H,3,0)</f>
        <v>NORESTE</v>
      </c>
      <c r="G603" s="28">
        <v>67362417</v>
      </c>
      <c r="H603" s="93" t="s">
        <v>471</v>
      </c>
      <c r="I603" s="94">
        <v>10191647</v>
      </c>
      <c r="J603" s="4" t="str">
        <f>VLOOKUP(I603,'Materiales,canteras'!C:D,2,0)</f>
        <v>BALASTO 6# A 3#</v>
      </c>
      <c r="K603" s="25">
        <f>VLOOKUP(I603,'Materiales,canteras'!C:E,3,0)</f>
        <v>1.4410000000000001</v>
      </c>
      <c r="L603" s="105">
        <v>155</v>
      </c>
      <c r="M603" s="28" t="s">
        <v>93</v>
      </c>
      <c r="N603" s="57">
        <f t="shared" ca="1" si="102"/>
        <v>46267</v>
      </c>
      <c r="O603" s="43" t="s">
        <v>201</v>
      </c>
      <c r="P603">
        <v>8.65</v>
      </c>
      <c r="Q603">
        <v>0.82</v>
      </c>
      <c r="R603">
        <v>2.4500000000000002</v>
      </c>
      <c r="S603" s="82">
        <v>173</v>
      </c>
      <c r="T603" s="66">
        <f t="shared" si="115"/>
        <v>-6.0800000000000125</v>
      </c>
      <c r="U603" s="46">
        <f t="shared" si="103"/>
        <v>155</v>
      </c>
      <c r="V603" s="82">
        <v>0</v>
      </c>
      <c r="W603" s="4">
        <v>2</v>
      </c>
      <c r="X603" s="195">
        <f t="shared" si="107"/>
        <v>155</v>
      </c>
      <c r="Y603" s="29" t="e">
        <f>IF(+VLOOKUP(I603,P.Referencia!E:S,3,FALSE)&lt;=L603,"Champion","Gerente")</f>
        <v>#N/A</v>
      </c>
      <c r="Z603" s="39" t="e">
        <f>VLOOKUP(I603,P.Referencia!E:S,3,0)</f>
        <v>#N/A</v>
      </c>
      <c r="AA603" s="40" t="e">
        <f t="shared" ref="AA603:AA604" si="116">(Z603-U603)/U603</f>
        <v>#N/A</v>
      </c>
      <c r="AB603" s="41" t="e">
        <f t="shared" ref="AB603:AB604" si="117">U603*AA603</f>
        <v>#N/A</v>
      </c>
      <c r="AC603" s="41" t="e">
        <f t="shared" ref="AC603:AC604" si="118">U603+AB603</f>
        <v>#N/A</v>
      </c>
    </row>
    <row r="604" spans="1:29" hidden="1" x14ac:dyDescent="0.25">
      <c r="A604" s="24">
        <v>603</v>
      </c>
      <c r="B604" s="89" t="s">
        <v>444</v>
      </c>
      <c r="C604" s="4" t="str">
        <f t="shared" si="101"/>
        <v>LlaveD82467362417100002892</v>
      </c>
      <c r="D604" s="25" t="str">
        <f>VLOOKUP(E604,'NO MODIFICAR'!J:K,2,0)</f>
        <v>D824</v>
      </c>
      <c r="E604" s="102" t="s">
        <v>28</v>
      </c>
      <c r="F604" s="33" t="str">
        <f>VLOOKUP(D604,'NO MODIFICAR'!F:H,3,0)</f>
        <v>NORESTE</v>
      </c>
      <c r="G604" s="28">
        <v>67362417</v>
      </c>
      <c r="H604" s="93" t="s">
        <v>471</v>
      </c>
      <c r="I604" s="94">
        <v>10000289</v>
      </c>
      <c r="J604" s="4" t="str">
        <f>VLOOKUP(I604,'Materiales,canteras'!C:D,2,0)</f>
        <v>Desperdicio Triturado Basalto</v>
      </c>
      <c r="K604" s="25">
        <f>VLOOKUP(I604,'Materiales,canteras'!C:E,3,0)</f>
        <v>1.55</v>
      </c>
      <c r="L604" s="105">
        <v>60</v>
      </c>
      <c r="M604" s="28" t="s">
        <v>93</v>
      </c>
      <c r="N604" s="57">
        <f t="shared" ca="1" si="102"/>
        <v>46267</v>
      </c>
      <c r="O604" s="43" t="s">
        <v>201</v>
      </c>
      <c r="P604">
        <v>3.45</v>
      </c>
      <c r="Q604">
        <v>0.33</v>
      </c>
      <c r="R604">
        <v>0.98</v>
      </c>
      <c r="S604" s="82">
        <v>69</v>
      </c>
      <c r="T604" s="66">
        <f t="shared" si="115"/>
        <v>-4.2399999999999949</v>
      </c>
      <c r="U604" s="46">
        <f t="shared" si="103"/>
        <v>60</v>
      </c>
      <c r="V604" s="82">
        <v>0</v>
      </c>
      <c r="W604" s="4">
        <v>2</v>
      </c>
      <c r="X604" s="195">
        <f t="shared" si="107"/>
        <v>60</v>
      </c>
      <c r="Y604" s="29" t="e">
        <f>IF(+VLOOKUP(I604,P.Referencia!E:S,3,FALSE)&lt;=L604,"Champion","Gerente")</f>
        <v>#N/A</v>
      </c>
      <c r="Z604" s="39" t="e">
        <f>VLOOKUP(I604,P.Referencia!E:S,3,0)</f>
        <v>#N/A</v>
      </c>
      <c r="AA604" s="40" t="e">
        <f t="shared" si="116"/>
        <v>#N/A</v>
      </c>
      <c r="AB604" s="41" t="e">
        <f t="shared" si="117"/>
        <v>#N/A</v>
      </c>
      <c r="AC604" s="41" t="e">
        <f t="shared" si="118"/>
        <v>#N/A</v>
      </c>
    </row>
    <row r="605" spans="1:29" hidden="1" x14ac:dyDescent="0.25">
      <c r="A605" s="24">
        <v>604</v>
      </c>
      <c r="B605" s="89" t="s">
        <v>444</v>
      </c>
      <c r="C605" s="4" t="str">
        <f t="shared" si="101"/>
        <v>LlaveD81667362580100002481</v>
      </c>
      <c r="D605" s="25" t="str">
        <f>VLOOKUP(E605,'NO MODIFICAR'!J:K,2,0)</f>
        <v>D816</v>
      </c>
      <c r="E605" s="102" t="s">
        <v>15</v>
      </c>
      <c r="F605" s="33" t="str">
        <f>VLOOKUP(D605,'NO MODIFICAR'!F:H,3,0)</f>
        <v>NORESTE</v>
      </c>
      <c r="G605" s="28">
        <v>67362580</v>
      </c>
      <c r="H605" s="93" t="s">
        <v>472</v>
      </c>
      <c r="I605" s="94">
        <v>10000248</v>
      </c>
      <c r="J605" s="4" t="str">
        <f>VLOOKUP(I605,'Materiales,canteras'!C:D,2,0)</f>
        <v>Sub-base Triturado Caliza 1 1/2" a Finos</v>
      </c>
      <c r="K605" s="25">
        <f>VLOOKUP(I605,'Materiales,canteras'!C:E,3,0)</f>
        <v>1.821</v>
      </c>
      <c r="L605" s="105">
        <v>302</v>
      </c>
      <c r="M605" s="28" t="s">
        <v>93</v>
      </c>
      <c r="N605" s="57">
        <f t="shared" ca="1" si="102"/>
        <v>46267</v>
      </c>
      <c r="O605" s="43" t="s">
        <v>201</v>
      </c>
      <c r="R605">
        <v>12.88</v>
      </c>
      <c r="S605" s="82">
        <v>322</v>
      </c>
      <c r="T605" s="66">
        <f t="shared" si="115"/>
        <v>-7.1200000000000045</v>
      </c>
      <c r="U605" s="46">
        <f t="shared" si="103"/>
        <v>302</v>
      </c>
      <c r="V605" s="82">
        <v>78.540000000000006</v>
      </c>
      <c r="W605" s="4">
        <v>1</v>
      </c>
      <c r="X605" s="195">
        <f t="shared" si="107"/>
        <v>380.54</v>
      </c>
      <c r="Y605" s="29" t="e">
        <f>IF(+VLOOKUP(I605,P.Referencia!E:S,3,FALSE)&lt;=L605,"Champion","Gerente")</f>
        <v>#N/A</v>
      </c>
      <c r="Z605" s="39" t="e">
        <f>VLOOKUP(I605,P.Referencia!E:S,3,0)</f>
        <v>#N/A</v>
      </c>
      <c r="AA605" s="40" t="e">
        <f t="shared" ref="AA605:AA612" si="119">(Z605-U605)/U605</f>
        <v>#N/A</v>
      </c>
      <c r="AB605" s="41" t="e">
        <f t="shared" ref="AB605:AB612" si="120">U605*AA605</f>
        <v>#N/A</v>
      </c>
      <c r="AC605" s="41" t="e">
        <f t="shared" ref="AC605:AC612" si="121">U605+AB605</f>
        <v>#N/A</v>
      </c>
    </row>
    <row r="606" spans="1:29" hidden="1" x14ac:dyDescent="0.25">
      <c r="A606" s="24">
        <v>605</v>
      </c>
      <c r="B606" s="89" t="s">
        <v>444</v>
      </c>
      <c r="C606" s="4" t="str">
        <f t="shared" si="101"/>
        <v>LlaveD81667362580100002621</v>
      </c>
      <c r="D606" s="25" t="str">
        <f>VLOOKUP(E606,'NO MODIFICAR'!J:K,2,0)</f>
        <v>D816</v>
      </c>
      <c r="E606" s="102" t="s">
        <v>15</v>
      </c>
      <c r="F606" s="33" t="str">
        <f>VLOOKUP(D606,'NO MODIFICAR'!F:H,3,0)</f>
        <v>NORESTE</v>
      </c>
      <c r="G606" s="28">
        <v>67362580</v>
      </c>
      <c r="H606" s="93" t="s">
        <v>472</v>
      </c>
      <c r="I606" s="94">
        <v>10000262</v>
      </c>
      <c r="J606" s="4" t="str">
        <f>VLOOKUP(I606,'Materiales,canteras'!C:D,2,0)</f>
        <v>Base H Triturada Caliza 1 1/2"</v>
      </c>
      <c r="K606" s="25">
        <f>VLOOKUP(I606,'Materiales,canteras'!C:E,3,0)</f>
        <v>1.821</v>
      </c>
      <c r="L606" s="105">
        <v>308</v>
      </c>
      <c r="M606" s="28" t="s">
        <v>93</v>
      </c>
      <c r="N606" s="57">
        <f t="shared" ca="1" si="102"/>
        <v>46267</v>
      </c>
      <c r="O606" s="43" t="s">
        <v>201</v>
      </c>
      <c r="R606">
        <v>14.28</v>
      </c>
      <c r="S606" s="82">
        <v>357</v>
      </c>
      <c r="T606" s="66">
        <f t="shared" si="115"/>
        <v>-34.720000000000027</v>
      </c>
      <c r="U606" s="46">
        <f t="shared" si="103"/>
        <v>308</v>
      </c>
      <c r="V606" s="82">
        <v>78.540000000000006</v>
      </c>
      <c r="W606" s="4">
        <v>1</v>
      </c>
      <c r="X606" s="195">
        <f t="shared" si="107"/>
        <v>386.54</v>
      </c>
      <c r="Y606" s="29" t="e">
        <f>IF(+VLOOKUP(I606,P.Referencia!E:S,3,FALSE)&lt;=L606,"Champion","Gerente")</f>
        <v>#N/A</v>
      </c>
      <c r="Z606" s="39" t="e">
        <f>VLOOKUP(I606,P.Referencia!E:S,3,0)</f>
        <v>#N/A</v>
      </c>
      <c r="AA606" s="40" t="e">
        <f t="shared" si="119"/>
        <v>#N/A</v>
      </c>
      <c r="AB606" s="41" t="e">
        <f t="shared" si="120"/>
        <v>#N/A</v>
      </c>
      <c r="AC606" s="41" t="e">
        <f t="shared" si="121"/>
        <v>#N/A</v>
      </c>
    </row>
    <row r="607" spans="1:29" hidden="1" x14ac:dyDescent="0.25">
      <c r="A607" s="24">
        <v>606</v>
      </c>
      <c r="B607" s="89" t="s">
        <v>444</v>
      </c>
      <c r="C607" s="4" t="str">
        <f t="shared" si="101"/>
        <v>LlaveD81667362580100364881</v>
      </c>
      <c r="D607" s="25" t="str">
        <f>VLOOKUP(E607,'NO MODIFICAR'!J:K,2,0)</f>
        <v>D816</v>
      </c>
      <c r="E607" s="102" t="s">
        <v>15</v>
      </c>
      <c r="F607" s="33" t="str">
        <f>VLOOKUP(D607,'NO MODIFICAR'!F:H,3,0)</f>
        <v>NORESTE</v>
      </c>
      <c r="G607" s="28">
        <v>67362580</v>
      </c>
      <c r="H607" s="93" t="s">
        <v>472</v>
      </c>
      <c r="I607" s="94">
        <v>10036488</v>
      </c>
      <c r="J607" s="4" t="str">
        <f>VLOOKUP(I607,'Materiales,canteras'!C:D,2,0)</f>
        <v>Base H Trit Caliza 3/4" a Fino</v>
      </c>
      <c r="K607" s="25">
        <f>VLOOKUP(I607,'Materiales,canteras'!C:E,3,0)</f>
        <v>1.78</v>
      </c>
      <c r="L607" s="105">
        <v>311.36</v>
      </c>
      <c r="M607" s="28" t="s">
        <v>93</v>
      </c>
      <c r="N607" s="57">
        <f t="shared" ca="1" si="102"/>
        <v>46267</v>
      </c>
      <c r="O607" s="43" t="s">
        <v>201</v>
      </c>
      <c r="R607">
        <v>14.28</v>
      </c>
      <c r="S607" s="82">
        <v>357</v>
      </c>
      <c r="T607" s="66">
        <f t="shared" si="115"/>
        <v>-31.360000000000014</v>
      </c>
      <c r="U607" s="46">
        <f t="shared" si="103"/>
        <v>311.36</v>
      </c>
      <c r="V607" s="82">
        <v>78.540000000000006</v>
      </c>
      <c r="W607" s="4">
        <v>1</v>
      </c>
      <c r="X607" s="195">
        <f t="shared" si="107"/>
        <v>389.90000000000003</v>
      </c>
      <c r="Y607" s="29" t="e">
        <f>IF(+VLOOKUP(I607,P.Referencia!E:S,3,FALSE)&lt;=L607,"Champion","Gerente")</f>
        <v>#N/A</v>
      </c>
      <c r="Z607" s="39" t="e">
        <f>VLOOKUP(I607,P.Referencia!E:S,3,0)</f>
        <v>#N/A</v>
      </c>
      <c r="AA607" s="40" t="e">
        <f t="shared" si="119"/>
        <v>#N/A</v>
      </c>
      <c r="AB607" s="41" t="e">
        <f t="shared" si="120"/>
        <v>#N/A</v>
      </c>
      <c r="AC607" s="41" t="e">
        <f t="shared" si="121"/>
        <v>#N/A</v>
      </c>
    </row>
    <row r="608" spans="1:29" hidden="1" x14ac:dyDescent="0.25">
      <c r="A608" s="24">
        <v>607</v>
      </c>
      <c r="B608" s="89" t="s">
        <v>444</v>
      </c>
      <c r="C608" s="4" t="str">
        <f t="shared" si="101"/>
        <v>LlaveD81667362580100001241</v>
      </c>
      <c r="D608" s="25" t="str">
        <f>VLOOKUP(E608,'NO MODIFICAR'!J:K,2,0)</f>
        <v>D816</v>
      </c>
      <c r="E608" s="102" t="s">
        <v>15</v>
      </c>
      <c r="F608" s="33" t="str">
        <f>VLOOKUP(D608,'NO MODIFICAR'!F:H,3,0)</f>
        <v>NORESTE</v>
      </c>
      <c r="G608" s="28">
        <v>67362580</v>
      </c>
      <c r="H608" s="93" t="s">
        <v>472</v>
      </c>
      <c r="I608" s="94">
        <v>10000124</v>
      </c>
      <c r="J608" s="4" t="str">
        <f>VLOOKUP(I608,'Materiales,canteras'!C:D,2,0)</f>
        <v>Arena Triturada Caliza Malla 4</v>
      </c>
      <c r="K608" s="25">
        <f>VLOOKUP(I608,'Materiales,canteras'!C:E,3,0)</f>
        <v>1.7390000000000001</v>
      </c>
      <c r="L608" s="105">
        <v>313.60000000000002</v>
      </c>
      <c r="M608" s="28" t="s">
        <v>93</v>
      </c>
      <c r="N608" s="57">
        <f t="shared" ca="1" si="102"/>
        <v>46267</v>
      </c>
      <c r="O608" s="43" t="s">
        <v>201</v>
      </c>
      <c r="R608">
        <v>19.8</v>
      </c>
      <c r="S608" s="82">
        <v>495</v>
      </c>
      <c r="T608" s="66">
        <f t="shared" si="115"/>
        <v>-161.59999999999997</v>
      </c>
      <c r="U608" s="46">
        <f t="shared" si="103"/>
        <v>313.60000000000002</v>
      </c>
      <c r="V608" s="82">
        <v>78.540000000000006</v>
      </c>
      <c r="W608" s="4">
        <v>1</v>
      </c>
      <c r="X608" s="195">
        <f t="shared" si="107"/>
        <v>392.14000000000004</v>
      </c>
      <c r="Y608" s="29" t="e">
        <f>IF(+VLOOKUP(I608,P.Referencia!E:S,3,FALSE)&lt;=L608,"Champion","Gerente")</f>
        <v>#N/A</v>
      </c>
      <c r="Z608" s="39" t="e">
        <f>VLOOKUP(I608,P.Referencia!E:S,3,0)</f>
        <v>#N/A</v>
      </c>
      <c r="AA608" s="40" t="e">
        <f t="shared" si="119"/>
        <v>#N/A</v>
      </c>
      <c r="AB608" s="41" t="e">
        <f t="shared" si="120"/>
        <v>#N/A</v>
      </c>
      <c r="AC608" s="41" t="e">
        <f t="shared" si="121"/>
        <v>#N/A</v>
      </c>
    </row>
    <row r="609" spans="1:30" hidden="1" x14ac:dyDescent="0.25">
      <c r="A609" s="24">
        <v>608</v>
      </c>
      <c r="B609" s="89" t="s">
        <v>444</v>
      </c>
      <c r="C609" s="4" t="str">
        <f t="shared" ref="C609:C644" si="122">_xlfn.CONCAT($C$1,D609,G609,I609,W609)</f>
        <v>LlaveD81667362580100002601</v>
      </c>
      <c r="D609" s="25" t="str">
        <f>VLOOKUP(E609,'NO MODIFICAR'!J:K,2,0)</f>
        <v>D816</v>
      </c>
      <c r="E609" s="102" t="s">
        <v>15</v>
      </c>
      <c r="F609" s="33" t="str">
        <f>VLOOKUP(D609,'NO MODIFICAR'!F:H,3,0)</f>
        <v>NORESTE</v>
      </c>
      <c r="G609" s="28">
        <v>67362580</v>
      </c>
      <c r="H609" s="93" t="s">
        <v>472</v>
      </c>
      <c r="I609" s="94">
        <v>10000260</v>
      </c>
      <c r="J609" s="4" t="str">
        <f>VLOOKUP(I609,'Materiales,canteras'!C:D,2,0)</f>
        <v>Arena Triturada Caliza Malla 5</v>
      </c>
      <c r="K609" s="25">
        <f>VLOOKUP(I609,'Materiales,canteras'!C:E,3,0)</f>
        <v>1.72</v>
      </c>
      <c r="L609" s="105">
        <v>431.2</v>
      </c>
      <c r="M609" s="28" t="s">
        <v>93</v>
      </c>
      <c r="N609" s="57">
        <f t="shared" ca="1" si="102"/>
        <v>46267</v>
      </c>
      <c r="O609" s="43" t="s">
        <v>201</v>
      </c>
      <c r="R609">
        <v>19.8</v>
      </c>
      <c r="S609" s="82">
        <v>495</v>
      </c>
      <c r="T609" s="66">
        <f t="shared" si="115"/>
        <v>-44</v>
      </c>
      <c r="U609" s="46">
        <f t="shared" si="103"/>
        <v>431.2</v>
      </c>
      <c r="V609" s="82">
        <v>78.540000000000006</v>
      </c>
      <c r="W609" s="4">
        <v>1</v>
      </c>
      <c r="X609" s="195">
        <f t="shared" si="107"/>
        <v>509.74</v>
      </c>
      <c r="Y609" s="29" t="e">
        <f>IF(+VLOOKUP(I609,P.Referencia!E:S,3,FALSE)&lt;=L609,"Champion","Gerente")</f>
        <v>#N/A</v>
      </c>
      <c r="Z609" s="39" t="e">
        <f>VLOOKUP(I609,P.Referencia!E:S,3,0)</f>
        <v>#N/A</v>
      </c>
      <c r="AA609" s="40" t="e">
        <f t="shared" si="119"/>
        <v>#N/A</v>
      </c>
      <c r="AB609" s="41" t="e">
        <f t="shared" si="120"/>
        <v>#N/A</v>
      </c>
      <c r="AC609" s="41" t="e">
        <f t="shared" si="121"/>
        <v>#N/A</v>
      </c>
    </row>
    <row r="610" spans="1:30" hidden="1" x14ac:dyDescent="0.25">
      <c r="A610" s="24">
        <v>609</v>
      </c>
      <c r="B610" s="89" t="s">
        <v>444</v>
      </c>
      <c r="C610" s="4" t="str">
        <f t="shared" si="122"/>
        <v>LlaveD81667362580100002411</v>
      </c>
      <c r="D610" s="25" t="str">
        <f>VLOOKUP(E610,'NO MODIFICAR'!J:K,2,0)</f>
        <v>D816</v>
      </c>
      <c r="E610" s="102" t="s">
        <v>15</v>
      </c>
      <c r="F610" s="33" t="str">
        <f>VLOOKUP(D610,'NO MODIFICAR'!F:H,3,0)</f>
        <v>NORESTE</v>
      </c>
      <c r="G610" s="28">
        <v>67362580</v>
      </c>
      <c r="H610" s="93" t="s">
        <v>472</v>
      </c>
      <c r="I610" s="94">
        <v>10000241</v>
      </c>
      <c r="J610" s="4" t="str">
        <f>VLOOKUP(I610,'Materiales,canteras'!C:D,2,0)</f>
        <v>Grava Triturada Caliza 20 mm -</v>
      </c>
      <c r="K610" s="25">
        <f>VLOOKUP(I610,'Materiales,canteras'!C:E,3,0)</f>
        <v>1.43</v>
      </c>
      <c r="L610" s="105">
        <v>313.60000000000002</v>
      </c>
      <c r="M610" s="28" t="s">
        <v>93</v>
      </c>
      <c r="N610" s="57">
        <f t="shared" ca="1" si="102"/>
        <v>46267</v>
      </c>
      <c r="O610" s="43" t="s">
        <v>201</v>
      </c>
      <c r="R610">
        <v>16.559999999999999</v>
      </c>
      <c r="S610" s="82">
        <v>414</v>
      </c>
      <c r="T610" s="66">
        <f t="shared" si="115"/>
        <v>-83.839999999999975</v>
      </c>
      <c r="U610" s="46">
        <f t="shared" si="103"/>
        <v>313.60000000000002</v>
      </c>
      <c r="V610" s="82">
        <v>78.540000000000006</v>
      </c>
      <c r="W610" s="4">
        <v>1</v>
      </c>
      <c r="X610" s="195">
        <f t="shared" si="107"/>
        <v>392.14000000000004</v>
      </c>
      <c r="Y610" s="29" t="e">
        <f>IF(+VLOOKUP(I610,P.Referencia!E:S,3,FALSE)&lt;=L610,"Champion","Gerente")</f>
        <v>#N/A</v>
      </c>
      <c r="Z610" s="39" t="e">
        <f>VLOOKUP(I610,P.Referencia!E:S,3,0)</f>
        <v>#N/A</v>
      </c>
      <c r="AA610" s="40" t="e">
        <f t="shared" si="119"/>
        <v>#N/A</v>
      </c>
      <c r="AB610" s="41" t="e">
        <f t="shared" si="120"/>
        <v>#N/A</v>
      </c>
      <c r="AC610" s="41" t="e">
        <f t="shared" si="121"/>
        <v>#N/A</v>
      </c>
    </row>
    <row r="611" spans="1:30" hidden="1" x14ac:dyDescent="0.25">
      <c r="A611" s="24">
        <v>610</v>
      </c>
      <c r="B611" s="89" t="s">
        <v>444</v>
      </c>
      <c r="C611" s="4" t="str">
        <f t="shared" si="122"/>
        <v>LlaveD81667362580100012221</v>
      </c>
      <c r="D611" s="25" t="str">
        <f>VLOOKUP(E611,'NO MODIFICAR'!J:K,2,0)</f>
        <v>D816</v>
      </c>
      <c r="E611" s="102" t="s">
        <v>15</v>
      </c>
      <c r="F611" s="33" t="str">
        <f>VLOOKUP(D611,'NO MODIFICAR'!F:H,3,0)</f>
        <v>NORESTE</v>
      </c>
      <c r="G611" s="28">
        <v>67362580</v>
      </c>
      <c r="H611" s="93" t="s">
        <v>472</v>
      </c>
      <c r="I611" s="94">
        <v>10001222</v>
      </c>
      <c r="J611" s="4" t="str">
        <f>VLOOKUP(I611,'Materiales,canteras'!C:D,2,0)</f>
        <v>Mixto Grava 3/4 - Arena 4</v>
      </c>
      <c r="K611" s="25">
        <f>VLOOKUP(I611,'Materiales,canteras'!C:E,3,0)</f>
        <v>1.613</v>
      </c>
      <c r="L611" s="105">
        <v>322.56</v>
      </c>
      <c r="M611" s="28" t="s">
        <v>93</v>
      </c>
      <c r="N611" s="57">
        <f t="shared" ca="1" si="102"/>
        <v>46267</v>
      </c>
      <c r="O611" s="43" t="s">
        <v>201</v>
      </c>
      <c r="Q611">
        <v>26.6</v>
      </c>
      <c r="R611">
        <v>14.14</v>
      </c>
      <c r="S611" s="82">
        <v>380</v>
      </c>
      <c r="T611" s="66">
        <f t="shared" si="115"/>
        <v>-16.699999999999989</v>
      </c>
      <c r="U611" s="46">
        <f t="shared" si="103"/>
        <v>322.56</v>
      </c>
      <c r="V611" s="82">
        <v>78.540000000000006</v>
      </c>
      <c r="W611" s="4">
        <v>1</v>
      </c>
      <c r="X611" s="195">
        <f t="shared" si="107"/>
        <v>401.1</v>
      </c>
      <c r="Y611" s="29" t="e">
        <f>IF(+VLOOKUP(I611,P.Referencia!E:S,3,FALSE)&lt;=L611,"Champion","Gerente")</f>
        <v>#N/A</v>
      </c>
      <c r="Z611" s="39" t="e">
        <f>VLOOKUP(I611,P.Referencia!E:S,3,0)</f>
        <v>#N/A</v>
      </c>
      <c r="AA611" s="40" t="e">
        <f t="shared" si="119"/>
        <v>#N/A</v>
      </c>
      <c r="AB611" s="41" t="e">
        <f t="shared" si="120"/>
        <v>#N/A</v>
      </c>
      <c r="AC611" s="41" t="e">
        <f t="shared" si="121"/>
        <v>#N/A</v>
      </c>
    </row>
    <row r="612" spans="1:30" hidden="1" x14ac:dyDescent="0.25">
      <c r="A612" s="24">
        <v>611</v>
      </c>
      <c r="B612" s="89" t="s">
        <v>444</v>
      </c>
      <c r="C612" s="4" t="str">
        <f t="shared" si="122"/>
        <v>LlaveD81667362580100012011</v>
      </c>
      <c r="D612" s="25" t="str">
        <f>VLOOKUP(E612,'NO MODIFICAR'!J:K,2,0)</f>
        <v>D816</v>
      </c>
      <c r="E612" s="102" t="s">
        <v>15</v>
      </c>
      <c r="F612" s="33" t="str">
        <f>VLOOKUP(D612,'NO MODIFICAR'!F:H,3,0)</f>
        <v>NORESTE</v>
      </c>
      <c r="G612" s="28">
        <v>67362580</v>
      </c>
      <c r="H612" s="93" t="s">
        <v>472</v>
      </c>
      <c r="I612" s="94">
        <v>10001201</v>
      </c>
      <c r="J612" s="4" t="str">
        <f>VLOOKUP(I612,'Materiales,canteras'!C:D,2,0)</f>
        <v>No Clasificado Triturado Caliz</v>
      </c>
      <c r="K612" s="25">
        <f>VLOOKUP(I612,'Materiales,canteras'!C:E,3,0)</f>
        <v>1.698</v>
      </c>
      <c r="L612" s="105">
        <v>280</v>
      </c>
      <c r="M612" s="28" t="s">
        <v>93</v>
      </c>
      <c r="N612" s="57">
        <f t="shared" ca="1" si="102"/>
        <v>46267</v>
      </c>
      <c r="O612" s="43" t="s">
        <v>201</v>
      </c>
      <c r="R612">
        <v>14.04</v>
      </c>
      <c r="S612" s="82">
        <v>351</v>
      </c>
      <c r="T612" s="66">
        <f t="shared" si="115"/>
        <v>-56.95999999999998</v>
      </c>
      <c r="U612" s="46">
        <f t="shared" si="103"/>
        <v>280</v>
      </c>
      <c r="V612" s="82">
        <v>78.540000000000006</v>
      </c>
      <c r="W612" s="4">
        <v>1</v>
      </c>
      <c r="X612" s="195">
        <f t="shared" si="107"/>
        <v>358.54</v>
      </c>
      <c r="Y612" s="29" t="e">
        <f>IF(+VLOOKUP(I612,P.Referencia!E:S,3,FALSE)&lt;=L612,"Champion","Gerente")</f>
        <v>#N/A</v>
      </c>
      <c r="Z612" s="39" t="e">
        <f>VLOOKUP(I612,P.Referencia!E:S,3,0)</f>
        <v>#N/A</v>
      </c>
      <c r="AA612" s="40" t="e">
        <f t="shared" si="119"/>
        <v>#N/A</v>
      </c>
      <c r="AB612" s="41" t="e">
        <f t="shared" si="120"/>
        <v>#N/A</v>
      </c>
      <c r="AC612" s="41" t="e">
        <f t="shared" si="121"/>
        <v>#N/A</v>
      </c>
    </row>
    <row r="613" spans="1:30" hidden="1" x14ac:dyDescent="0.25">
      <c r="A613" s="24">
        <v>612</v>
      </c>
      <c r="B613" s="89" t="s">
        <v>444</v>
      </c>
      <c r="C613" s="4" t="str">
        <f t="shared" si="122"/>
        <v>LlaveD82467362805100002872</v>
      </c>
      <c r="D613" s="25" t="str">
        <f>VLOOKUP(E613,'NO MODIFICAR'!J:K,2,0)</f>
        <v>D824</v>
      </c>
      <c r="E613" s="102" t="s">
        <v>28</v>
      </c>
      <c r="F613" s="33" t="str">
        <f>VLOOKUP(D613,'NO MODIFICAR'!F:H,3,0)</f>
        <v>NORESTE</v>
      </c>
      <c r="G613" s="28">
        <v>67362805</v>
      </c>
      <c r="H613" s="93" t="s">
        <v>473</v>
      </c>
      <c r="I613" s="94">
        <v>10000287</v>
      </c>
      <c r="J613" s="4" t="str">
        <f>VLOOKUP(I613,'Materiales,canteras'!C:D,2,0)</f>
        <v>Grava Triturada Basalto  40 mm</v>
      </c>
      <c r="K613" s="25">
        <f>VLOOKUP(I613,'Materiales,canteras'!C:E,3,0)</f>
        <v>1.44</v>
      </c>
      <c r="L613" s="105">
        <v>200</v>
      </c>
      <c r="M613" s="28" t="s">
        <v>93</v>
      </c>
      <c r="N613" s="57">
        <f t="shared" ca="1" si="102"/>
        <v>46267</v>
      </c>
      <c r="O613" s="43" t="s">
        <v>201</v>
      </c>
      <c r="Q613">
        <v>10.65</v>
      </c>
      <c r="R613">
        <v>3.04</v>
      </c>
      <c r="S613" s="82">
        <v>213</v>
      </c>
      <c r="T613" s="66">
        <f t="shared" si="115"/>
        <v>0.68999999999999773</v>
      </c>
      <c r="U613" s="46">
        <f t="shared" si="103"/>
        <v>200</v>
      </c>
      <c r="V613" s="82">
        <v>0</v>
      </c>
      <c r="W613" s="4">
        <v>2</v>
      </c>
      <c r="X613" s="195">
        <f t="shared" si="107"/>
        <v>200</v>
      </c>
      <c r="Y613" s="29" t="e">
        <f>IF(+VLOOKUP(I613,P.Referencia!E:S,3,FALSE)&lt;=L613,"Champion","Gerente")</f>
        <v>#N/A</v>
      </c>
      <c r="Z613" s="39" t="e">
        <f>VLOOKUP(I613,P.Referencia!E:S,3,0)</f>
        <v>#N/A</v>
      </c>
      <c r="AA613" s="40" t="e">
        <f t="shared" ref="AA613:AA620" si="123">(Z613-U613)/U613</f>
        <v>#N/A</v>
      </c>
      <c r="AB613" s="41" t="e">
        <f t="shared" ref="AB613:AB620" si="124">U613*AA613</f>
        <v>#N/A</v>
      </c>
      <c r="AC613" s="41" t="e">
        <f t="shared" ref="AC613:AC620" si="125">U613+AB613</f>
        <v>#N/A</v>
      </c>
    </row>
    <row r="614" spans="1:30" hidden="1" x14ac:dyDescent="0.25">
      <c r="A614" s="24">
        <v>613</v>
      </c>
      <c r="B614" s="89" t="s">
        <v>444</v>
      </c>
      <c r="C614" s="4" t="str">
        <f t="shared" si="122"/>
        <v>LlaveD82467362805100002842</v>
      </c>
      <c r="D614" s="25" t="str">
        <f>VLOOKUP(E614,'NO MODIFICAR'!J:K,2,0)</f>
        <v>D824</v>
      </c>
      <c r="E614" s="102" t="s">
        <v>28</v>
      </c>
      <c r="F614" s="33" t="str">
        <f>VLOOKUP(D614,'NO MODIFICAR'!F:H,3,0)</f>
        <v>NORESTE</v>
      </c>
      <c r="G614" s="28">
        <v>67362805</v>
      </c>
      <c r="H614" s="93" t="s">
        <v>473</v>
      </c>
      <c r="I614" s="94">
        <v>10000284</v>
      </c>
      <c r="J614" s="4" t="str">
        <f>VLOOKUP(I614,'Materiales,canteras'!C:D,2,0)</f>
        <v>Grava Triturada Basalto  20 mm</v>
      </c>
      <c r="K614" s="25">
        <f>VLOOKUP(I614,'Materiales,canteras'!C:E,3,0)</f>
        <v>1.429</v>
      </c>
      <c r="L614" s="105">
        <v>200</v>
      </c>
      <c r="M614" s="28" t="s">
        <v>93</v>
      </c>
      <c r="N614" s="57">
        <f t="shared" ca="1" si="102"/>
        <v>46267</v>
      </c>
      <c r="O614" s="43" t="s">
        <v>201</v>
      </c>
      <c r="Q614">
        <v>10.65</v>
      </c>
      <c r="R614">
        <v>3.04</v>
      </c>
      <c r="S614" s="82">
        <v>213</v>
      </c>
      <c r="T614" s="66">
        <f t="shared" si="115"/>
        <v>0.68999999999999773</v>
      </c>
      <c r="U614" s="46">
        <f t="shared" si="103"/>
        <v>200</v>
      </c>
      <c r="V614" s="82">
        <v>0</v>
      </c>
      <c r="W614" s="4">
        <v>2</v>
      </c>
      <c r="X614" s="195">
        <f t="shared" si="107"/>
        <v>200</v>
      </c>
      <c r="Y614" s="29" t="e">
        <f>IF(+VLOOKUP(I614,P.Referencia!E:S,3,FALSE)&lt;=L614,"Champion","Gerente")</f>
        <v>#N/A</v>
      </c>
      <c r="Z614" s="39" t="e">
        <f>VLOOKUP(I614,P.Referencia!E:S,3,0)</f>
        <v>#N/A</v>
      </c>
      <c r="AA614" s="40" t="e">
        <f t="shared" si="123"/>
        <v>#N/A</v>
      </c>
      <c r="AB614" s="41" t="e">
        <f t="shared" si="124"/>
        <v>#N/A</v>
      </c>
      <c r="AC614" s="41" t="e">
        <f t="shared" si="125"/>
        <v>#N/A</v>
      </c>
    </row>
    <row r="615" spans="1:30" hidden="1" x14ac:dyDescent="0.25">
      <c r="A615" s="24">
        <v>614</v>
      </c>
      <c r="B615" s="89" t="s">
        <v>444</v>
      </c>
      <c r="C615" s="4" t="str">
        <f t="shared" si="122"/>
        <v>LlaveD82467362805100002852</v>
      </c>
      <c r="D615" s="25" t="str">
        <f>VLOOKUP(E615,'NO MODIFICAR'!J:K,2,0)</f>
        <v>D824</v>
      </c>
      <c r="E615" s="102" t="s">
        <v>28</v>
      </c>
      <c r="F615" s="33" t="str">
        <f>VLOOKUP(D615,'NO MODIFICAR'!F:H,3,0)</f>
        <v>NORESTE</v>
      </c>
      <c r="G615" s="28">
        <v>67362805</v>
      </c>
      <c r="H615" s="93" t="s">
        <v>473</v>
      </c>
      <c r="I615" s="94">
        <v>10000285</v>
      </c>
      <c r="J615" s="4" t="str">
        <f>VLOOKUP(I615,'Materiales,canteras'!C:D,2,0)</f>
        <v>Grava Triturada Basalto  10 mm</v>
      </c>
      <c r="K615" s="25">
        <f>VLOOKUP(I615,'Materiales,canteras'!C:E,3,0)</f>
        <v>1.46</v>
      </c>
      <c r="L615" s="105">
        <v>205</v>
      </c>
      <c r="M615" s="28" t="s">
        <v>93</v>
      </c>
      <c r="N615" s="57">
        <f t="shared" ca="1" si="102"/>
        <v>46267</v>
      </c>
      <c r="O615" s="43" t="s">
        <v>201</v>
      </c>
      <c r="Q615">
        <v>10.95</v>
      </c>
      <c r="R615">
        <v>3.12</v>
      </c>
      <c r="S615" s="82">
        <v>219</v>
      </c>
      <c r="T615" s="66">
        <f t="shared" si="115"/>
        <v>6.9999999999993179E-2</v>
      </c>
      <c r="U615" s="46">
        <f t="shared" si="103"/>
        <v>205</v>
      </c>
      <c r="V615" s="82">
        <v>0</v>
      </c>
      <c r="W615" s="4">
        <v>2</v>
      </c>
      <c r="X615" s="195">
        <f t="shared" si="107"/>
        <v>205</v>
      </c>
      <c r="Y615" s="29" t="e">
        <f>IF(+VLOOKUP(I615,P.Referencia!E:S,3,FALSE)&lt;=L615,"Champion","Gerente")</f>
        <v>#N/A</v>
      </c>
      <c r="Z615" s="39" t="e">
        <f>VLOOKUP(I615,P.Referencia!E:S,3,0)</f>
        <v>#N/A</v>
      </c>
      <c r="AA615" s="40" t="e">
        <f t="shared" si="123"/>
        <v>#N/A</v>
      </c>
      <c r="AB615" s="41" t="e">
        <f t="shared" si="124"/>
        <v>#N/A</v>
      </c>
      <c r="AC615" s="41" t="e">
        <f t="shared" si="125"/>
        <v>#N/A</v>
      </c>
    </row>
    <row r="616" spans="1:30" hidden="1" x14ac:dyDescent="0.25">
      <c r="A616" s="24">
        <v>615</v>
      </c>
      <c r="B616" s="89" t="s">
        <v>444</v>
      </c>
      <c r="C616" s="4" t="str">
        <f t="shared" si="122"/>
        <v>LlaveD82467362805100002342</v>
      </c>
      <c r="D616" s="25" t="str">
        <f>VLOOKUP(E616,'NO MODIFICAR'!J:K,2,0)</f>
        <v>D824</v>
      </c>
      <c r="E616" s="102" t="s">
        <v>28</v>
      </c>
      <c r="F616" s="33" t="str">
        <f>VLOOKUP(D616,'NO MODIFICAR'!F:H,3,0)</f>
        <v>NORESTE</v>
      </c>
      <c r="G616" s="28">
        <v>67362805</v>
      </c>
      <c r="H616" s="93" t="s">
        <v>473</v>
      </c>
      <c r="I616" s="94">
        <v>10000234</v>
      </c>
      <c r="J616" s="4" t="str">
        <f>VLOOKUP(I616,'Materiales,canteras'!C:D,2,0)</f>
        <v>Arena Triturada Basalto  Malla</v>
      </c>
      <c r="K616" s="25">
        <f>VLOOKUP(I616,'Materiales,canteras'!C:E,3,0)</f>
        <v>1.7789999999999999</v>
      </c>
      <c r="L616" s="105">
        <v>190</v>
      </c>
      <c r="M616" s="28" t="s">
        <v>93</v>
      </c>
      <c r="N616" s="57">
        <f t="shared" ca="1" si="102"/>
        <v>46267</v>
      </c>
      <c r="O616" s="43" t="s">
        <v>201</v>
      </c>
      <c r="Q616">
        <v>10.050000000000001</v>
      </c>
      <c r="R616">
        <v>2.86</v>
      </c>
      <c r="S616" s="82">
        <v>201</v>
      </c>
      <c r="T616" s="66">
        <f t="shared" si="115"/>
        <v>1.910000000000025</v>
      </c>
      <c r="U616" s="46">
        <f t="shared" si="103"/>
        <v>190</v>
      </c>
      <c r="V616" s="82">
        <v>0</v>
      </c>
      <c r="W616" s="4">
        <v>2</v>
      </c>
      <c r="X616" s="195">
        <f t="shared" si="107"/>
        <v>190</v>
      </c>
      <c r="Y616" s="29" t="e">
        <f>IF(+VLOOKUP(I616,P.Referencia!E:S,3,FALSE)&lt;=L616,"Champion","Gerente")</f>
        <v>#N/A</v>
      </c>
      <c r="Z616" s="39" t="e">
        <f>VLOOKUP(I616,P.Referencia!E:S,3,0)</f>
        <v>#N/A</v>
      </c>
      <c r="AA616" s="40" t="e">
        <f t="shared" si="123"/>
        <v>#N/A</v>
      </c>
      <c r="AB616" s="41" t="e">
        <f t="shared" si="124"/>
        <v>#N/A</v>
      </c>
      <c r="AC616" s="41" t="e">
        <f t="shared" si="125"/>
        <v>#N/A</v>
      </c>
    </row>
    <row r="617" spans="1:30" hidden="1" x14ac:dyDescent="0.25">
      <c r="A617" s="24">
        <v>616</v>
      </c>
      <c r="B617" s="89" t="s">
        <v>444</v>
      </c>
      <c r="C617" s="4" t="str">
        <f t="shared" si="122"/>
        <v>LlaveD82467362805100231082</v>
      </c>
      <c r="D617" s="25" t="str">
        <f>VLOOKUP(E617,'NO MODIFICAR'!J:K,2,0)</f>
        <v>D824</v>
      </c>
      <c r="E617" s="102" t="s">
        <v>28</v>
      </c>
      <c r="F617" s="33" t="str">
        <f>VLOOKUP(D617,'NO MODIFICAR'!F:H,3,0)</f>
        <v>NORESTE</v>
      </c>
      <c r="G617" s="28">
        <v>67362805</v>
      </c>
      <c r="H617" s="93" t="s">
        <v>473</v>
      </c>
      <c r="I617" s="94">
        <v>10023108</v>
      </c>
      <c r="J617" s="4" t="str">
        <f>VLOOKUP(I617,'Materiales,canteras'!C:D,2,0)</f>
        <v>Base H Triturada Basalto  1 1/2" a Finos</v>
      </c>
      <c r="K617" s="25">
        <f>VLOOKUP(I617,'Materiales,canteras'!C:E,3,0)</f>
        <v>1.9690000000000001</v>
      </c>
      <c r="L617" s="105">
        <v>190</v>
      </c>
      <c r="M617" s="28" t="s">
        <v>93</v>
      </c>
      <c r="N617" s="57">
        <f t="shared" ca="1" si="102"/>
        <v>46267</v>
      </c>
      <c r="O617" s="43" t="s">
        <v>201</v>
      </c>
      <c r="Q617">
        <v>10.050000000000001</v>
      </c>
      <c r="R617">
        <v>2.86</v>
      </c>
      <c r="S617" s="82">
        <v>201</v>
      </c>
      <c r="T617" s="66">
        <f t="shared" si="115"/>
        <v>1.910000000000025</v>
      </c>
      <c r="U617" s="46">
        <f t="shared" si="103"/>
        <v>190</v>
      </c>
      <c r="V617" s="82">
        <v>0</v>
      </c>
      <c r="W617" s="4">
        <v>2</v>
      </c>
      <c r="X617" s="195">
        <f t="shared" si="107"/>
        <v>190</v>
      </c>
      <c r="Y617" s="29" t="e">
        <f>IF(+VLOOKUP(I617,P.Referencia!E:S,3,FALSE)&lt;=L617,"Champion","Gerente")</f>
        <v>#N/A</v>
      </c>
      <c r="Z617" s="39" t="e">
        <f>VLOOKUP(I617,P.Referencia!E:S,3,0)</f>
        <v>#N/A</v>
      </c>
      <c r="AA617" s="40" t="e">
        <f t="shared" si="123"/>
        <v>#N/A</v>
      </c>
      <c r="AB617" s="41" t="e">
        <f t="shared" si="124"/>
        <v>#N/A</v>
      </c>
      <c r="AC617" s="41" t="e">
        <f t="shared" si="125"/>
        <v>#N/A</v>
      </c>
    </row>
    <row r="618" spans="1:30" hidden="1" x14ac:dyDescent="0.25">
      <c r="A618" s="24">
        <v>617</v>
      </c>
      <c r="B618" s="89" t="s">
        <v>444</v>
      </c>
      <c r="C618" s="4" t="str">
        <f t="shared" si="122"/>
        <v>LlaveD82467362805100010772</v>
      </c>
      <c r="D618" s="25" t="str">
        <f>VLOOKUP(E618,'NO MODIFICAR'!J:K,2,0)</f>
        <v>D824</v>
      </c>
      <c r="E618" s="102" t="s">
        <v>28</v>
      </c>
      <c r="F618" s="33" t="str">
        <f>VLOOKUP(D618,'NO MODIFICAR'!F:H,3,0)</f>
        <v>NORESTE</v>
      </c>
      <c r="G618" s="28">
        <v>67362805</v>
      </c>
      <c r="H618" s="93" t="s">
        <v>473</v>
      </c>
      <c r="I618" s="94">
        <v>10001077</v>
      </c>
      <c r="J618" s="4" t="str">
        <f>VLOOKUP(I618,'Materiales,canteras'!C:D,2,0)</f>
        <v>Crudo Basalto</v>
      </c>
      <c r="K618" s="25">
        <f>VLOOKUP(I618,'Materiales,canteras'!C:E,3,0)</f>
        <v>1.35</v>
      </c>
      <c r="L618" s="105">
        <v>130</v>
      </c>
      <c r="M618" s="28" t="s">
        <v>93</v>
      </c>
      <c r="N618" s="57">
        <f t="shared" ca="1" si="102"/>
        <v>46267</v>
      </c>
      <c r="O618" s="43" t="s">
        <v>201</v>
      </c>
      <c r="Q618">
        <v>6.9</v>
      </c>
      <c r="R618">
        <v>1.97</v>
      </c>
      <c r="S618" s="82">
        <v>138</v>
      </c>
      <c r="T618" s="66">
        <f t="shared" si="115"/>
        <v>0.87000000000000455</v>
      </c>
      <c r="U618" s="46">
        <f t="shared" si="103"/>
        <v>130</v>
      </c>
      <c r="V618" s="82">
        <v>0</v>
      </c>
      <c r="W618" s="4">
        <v>2</v>
      </c>
      <c r="X618" s="195">
        <f t="shared" si="107"/>
        <v>130</v>
      </c>
      <c r="Y618" s="29" t="e">
        <f>IF(+VLOOKUP(I618,P.Referencia!E:S,3,FALSE)&lt;=L618,"Champion","Gerente")</f>
        <v>#N/A</v>
      </c>
      <c r="Z618" s="39" t="e">
        <f>VLOOKUP(I618,P.Referencia!E:S,3,0)</f>
        <v>#N/A</v>
      </c>
      <c r="AA618" s="40" t="e">
        <f t="shared" si="123"/>
        <v>#N/A</v>
      </c>
      <c r="AB618" s="41" t="e">
        <f t="shared" si="124"/>
        <v>#N/A</v>
      </c>
      <c r="AC618" s="41" t="e">
        <f t="shared" si="125"/>
        <v>#N/A</v>
      </c>
    </row>
    <row r="619" spans="1:30" hidden="1" x14ac:dyDescent="0.25">
      <c r="A619" s="24">
        <v>618</v>
      </c>
      <c r="B619" s="89" t="s">
        <v>444</v>
      </c>
      <c r="C619" s="4" t="str">
        <f t="shared" si="122"/>
        <v>LlaveD82467362805101916472</v>
      </c>
      <c r="D619" s="25" t="str">
        <f>VLOOKUP(E619,'NO MODIFICAR'!J:K,2,0)</f>
        <v>D824</v>
      </c>
      <c r="E619" s="102" t="s">
        <v>28</v>
      </c>
      <c r="F619" s="33" t="str">
        <f>VLOOKUP(D619,'NO MODIFICAR'!F:H,3,0)</f>
        <v>NORESTE</v>
      </c>
      <c r="G619" s="28">
        <v>67362805</v>
      </c>
      <c r="H619" s="93" t="s">
        <v>473</v>
      </c>
      <c r="I619" s="94">
        <v>10191647</v>
      </c>
      <c r="J619" s="4" t="str">
        <f>VLOOKUP(I619,'Materiales,canteras'!C:D,2,0)</f>
        <v>BALASTO 6# A 3#</v>
      </c>
      <c r="K619" s="25">
        <f>VLOOKUP(I619,'Materiales,canteras'!C:E,3,0)</f>
        <v>1.4410000000000001</v>
      </c>
      <c r="L619" s="105">
        <v>155</v>
      </c>
      <c r="M619" s="28" t="s">
        <v>93</v>
      </c>
      <c r="N619" s="57">
        <f t="shared" ca="1" si="102"/>
        <v>46267</v>
      </c>
      <c r="O619" s="43" t="s">
        <v>201</v>
      </c>
      <c r="Q619">
        <v>8.65</v>
      </c>
      <c r="R619">
        <v>2.4700000000000002</v>
      </c>
      <c r="S619" s="82">
        <v>173</v>
      </c>
      <c r="T619" s="66">
        <f t="shared" si="115"/>
        <v>-6.8799999999999955</v>
      </c>
      <c r="U619" s="46">
        <f t="shared" si="103"/>
        <v>155</v>
      </c>
      <c r="V619" s="82">
        <v>0</v>
      </c>
      <c r="W619" s="4">
        <v>2</v>
      </c>
      <c r="X619" s="195">
        <f t="shared" si="107"/>
        <v>155</v>
      </c>
      <c r="Y619" s="29" t="e">
        <f>IF(+VLOOKUP(I619,P.Referencia!E:S,3,FALSE)&lt;=L619,"Champion","Gerente")</f>
        <v>#N/A</v>
      </c>
      <c r="Z619" s="39" t="e">
        <f>VLOOKUP(I619,P.Referencia!E:S,3,0)</f>
        <v>#N/A</v>
      </c>
      <c r="AA619" s="40" t="e">
        <f t="shared" si="123"/>
        <v>#N/A</v>
      </c>
      <c r="AB619" s="41" t="e">
        <f t="shared" si="124"/>
        <v>#N/A</v>
      </c>
      <c r="AC619" s="41" t="e">
        <f t="shared" si="125"/>
        <v>#N/A</v>
      </c>
    </row>
    <row r="620" spans="1:30" hidden="1" x14ac:dyDescent="0.25">
      <c r="A620" s="24">
        <v>619</v>
      </c>
      <c r="B620" s="89" t="s">
        <v>444</v>
      </c>
      <c r="C620" s="4" t="str">
        <f t="shared" si="122"/>
        <v>LlaveD82467362805100002892</v>
      </c>
      <c r="D620" s="25" t="str">
        <f>VLOOKUP(E620,'NO MODIFICAR'!J:K,2,0)</f>
        <v>D824</v>
      </c>
      <c r="E620" s="102" t="s">
        <v>28</v>
      </c>
      <c r="F620" s="33" t="str">
        <f>VLOOKUP(D620,'NO MODIFICAR'!F:H,3,0)</f>
        <v>NORESTE</v>
      </c>
      <c r="G620" s="28">
        <v>67362805</v>
      </c>
      <c r="H620" s="93" t="s">
        <v>473</v>
      </c>
      <c r="I620" s="94">
        <v>10000289</v>
      </c>
      <c r="J620" s="4" t="str">
        <f>VLOOKUP(I620,'Materiales,canteras'!C:D,2,0)</f>
        <v>Desperdicio Triturado Basalto</v>
      </c>
      <c r="K620" s="25">
        <f>VLOOKUP(I620,'Materiales,canteras'!C:E,3,0)</f>
        <v>1.55</v>
      </c>
      <c r="L620" s="105">
        <v>60</v>
      </c>
      <c r="M620" s="28" t="s">
        <v>93</v>
      </c>
      <c r="N620" s="57">
        <f t="shared" ca="1" si="102"/>
        <v>46267</v>
      </c>
      <c r="O620" s="43" t="s">
        <v>201</v>
      </c>
      <c r="Q620">
        <v>3.45</v>
      </c>
      <c r="R620">
        <v>0.98</v>
      </c>
      <c r="S620" s="82">
        <v>69</v>
      </c>
      <c r="T620" s="66">
        <f t="shared" si="115"/>
        <v>-4.5699999999999932</v>
      </c>
      <c r="U620" s="46">
        <f t="shared" si="103"/>
        <v>60</v>
      </c>
      <c r="V620" s="82">
        <v>0</v>
      </c>
      <c r="W620" s="4">
        <v>2</v>
      </c>
      <c r="X620" s="195">
        <f t="shared" si="107"/>
        <v>60</v>
      </c>
      <c r="Y620" s="29" t="e">
        <f>IF(+VLOOKUP(I620,P.Referencia!E:S,3,FALSE)&lt;=L620,"Champion","Gerente")</f>
        <v>#N/A</v>
      </c>
      <c r="Z620" s="39" t="e">
        <f>VLOOKUP(I620,P.Referencia!E:S,3,0)</f>
        <v>#N/A</v>
      </c>
      <c r="AA620" s="40" t="e">
        <f t="shared" si="123"/>
        <v>#N/A</v>
      </c>
      <c r="AB620" s="41" t="e">
        <f t="shared" si="124"/>
        <v>#N/A</v>
      </c>
      <c r="AC620" s="41" t="e">
        <f t="shared" si="125"/>
        <v>#N/A</v>
      </c>
    </row>
    <row r="621" spans="1:30" hidden="1" x14ac:dyDescent="0.25">
      <c r="A621" s="24">
        <v>620</v>
      </c>
      <c r="B621" s="89" t="s">
        <v>444</v>
      </c>
      <c r="C621" s="4" t="str">
        <f t="shared" si="122"/>
        <v>LlaveD81667362983100001241</v>
      </c>
      <c r="D621" s="25" t="str">
        <f>VLOOKUP(E621,'NO MODIFICAR'!J:K,2,0)</f>
        <v>D816</v>
      </c>
      <c r="E621" s="102" t="s">
        <v>15</v>
      </c>
      <c r="F621" s="33" t="str">
        <f>VLOOKUP(D621,'NO MODIFICAR'!F:H,3,0)</f>
        <v>NORESTE</v>
      </c>
      <c r="G621" s="28">
        <v>67362983</v>
      </c>
      <c r="H621" s="93" t="s">
        <v>474</v>
      </c>
      <c r="I621" s="94">
        <v>10000124</v>
      </c>
      <c r="J621" s="4" t="str">
        <f>VLOOKUP(I621,'Materiales,canteras'!C:D,2,0)</f>
        <v>Arena Triturada Caliza Malla 4</v>
      </c>
      <c r="K621" s="25">
        <f>VLOOKUP(I621,'Materiales,canteras'!C:E,3,0)</f>
        <v>1.7390000000000001</v>
      </c>
      <c r="L621" s="105">
        <v>314</v>
      </c>
      <c r="M621" s="28" t="s">
        <v>93</v>
      </c>
      <c r="N621" s="57">
        <f t="shared" ca="1" si="102"/>
        <v>46267</v>
      </c>
      <c r="O621" s="43" t="s">
        <v>201</v>
      </c>
      <c r="R621">
        <v>24.75</v>
      </c>
      <c r="S621" s="82">
        <v>495</v>
      </c>
      <c r="T621" s="66">
        <f t="shared" si="115"/>
        <v>-156.25</v>
      </c>
      <c r="U621" s="46">
        <f t="shared" si="103"/>
        <v>314</v>
      </c>
      <c r="V621" s="82">
        <v>109.47</v>
      </c>
      <c r="W621" s="4">
        <v>1</v>
      </c>
      <c r="X621" s="195">
        <f t="shared" ref="X621:X642" si="126">U621+V621</f>
        <v>423.47</v>
      </c>
      <c r="Y621" s="29" t="e">
        <f>IF(+VLOOKUP(I621,P.Referencia!E:S,3,FALSE)&lt;=L621,"Champion","Gerente")</f>
        <v>#N/A</v>
      </c>
      <c r="Z621" s="39" t="e">
        <f>VLOOKUP(I621,P.Referencia!E:S,3,0)</f>
        <v>#N/A</v>
      </c>
      <c r="AA621" s="40" t="e">
        <f t="shared" ref="AA621:AA642" si="127">(Z621-U621)/U621</f>
        <v>#N/A</v>
      </c>
      <c r="AB621" s="41" t="e">
        <f t="shared" ref="AB621:AB642" si="128">U621*AA621</f>
        <v>#N/A</v>
      </c>
      <c r="AC621" s="41" t="e">
        <f t="shared" ref="AC621:AC642" si="129">U621+AB621</f>
        <v>#N/A</v>
      </c>
    </row>
    <row r="622" spans="1:30" hidden="1" x14ac:dyDescent="0.25">
      <c r="A622" s="24">
        <v>621</v>
      </c>
      <c r="B622" s="89" t="s">
        <v>444</v>
      </c>
      <c r="C622" s="4" t="e">
        <f t="shared" si="122"/>
        <v>#N/A</v>
      </c>
      <c r="D622" s="25" t="e">
        <f>VLOOKUP(E622,'NO MODIFICAR'!J:K,2,0)</f>
        <v>#N/A</v>
      </c>
      <c r="E622" s="102" t="s">
        <v>437</v>
      </c>
      <c r="F622" s="33" t="e">
        <f>VLOOKUP(D622,'NO MODIFICAR'!F:H,3,0)</f>
        <v>#N/A</v>
      </c>
      <c r="G622" s="28">
        <v>67243071</v>
      </c>
      <c r="H622" s="93" t="s">
        <v>475</v>
      </c>
      <c r="I622" s="94">
        <v>10258182</v>
      </c>
      <c r="J622" s="4" t="str">
        <f>VLOOKUP(I622,'Materiales,canteras'!C:D,2,0)</f>
        <v>SOBRETAMAÑO ROCA NATURAL DE 0.5 A 0.80TN</v>
      </c>
      <c r="K622" s="25">
        <f>VLOOKUP(I622,'Materiales,canteras'!C:E,3,0)</f>
        <v>1.625</v>
      </c>
      <c r="L622" s="105">
        <v>149.66999999999999</v>
      </c>
      <c r="M622" s="28" t="s">
        <v>93</v>
      </c>
      <c r="N622" s="57">
        <f t="shared" ca="1" si="102"/>
        <v>46267</v>
      </c>
      <c r="O622" s="43" t="s">
        <v>201</v>
      </c>
      <c r="S622" s="82">
        <v>109</v>
      </c>
      <c r="T622" s="66">
        <f t="shared" si="115"/>
        <v>40.669999999999987</v>
      </c>
      <c r="U622" s="46">
        <f t="shared" ref="U622:U654" si="130">L622</f>
        <v>149.66999999999999</v>
      </c>
      <c r="V622" s="82">
        <v>0</v>
      </c>
      <c r="W622" s="4">
        <v>2</v>
      </c>
      <c r="X622" s="195">
        <f t="shared" si="126"/>
        <v>149.66999999999999</v>
      </c>
      <c r="Y622" s="29" t="e">
        <f>IF(+VLOOKUP(I622,P.Referencia!E:S,3,FALSE)&lt;=L622,"Champion","Gerente")</f>
        <v>#N/A</v>
      </c>
      <c r="Z622" s="39" t="e">
        <f>VLOOKUP(I622,P.Referencia!E:S,3,0)</f>
        <v>#N/A</v>
      </c>
      <c r="AA622" s="40" t="e">
        <f t="shared" si="127"/>
        <v>#N/A</v>
      </c>
      <c r="AB622" s="41" t="e">
        <f t="shared" si="128"/>
        <v>#N/A</v>
      </c>
      <c r="AC622" s="41" t="e">
        <f t="shared" si="129"/>
        <v>#N/A</v>
      </c>
      <c r="AD622" t="s">
        <v>481</v>
      </c>
    </row>
    <row r="623" spans="1:30" hidden="1" x14ac:dyDescent="0.25">
      <c r="A623" s="24">
        <v>622</v>
      </c>
      <c r="B623" s="89" t="s">
        <v>444</v>
      </c>
      <c r="C623" s="4" t="e">
        <f t="shared" si="122"/>
        <v>#N/A</v>
      </c>
      <c r="D623" s="25" t="e">
        <f>VLOOKUP(E623,'NO MODIFICAR'!J:K,2,0)</f>
        <v>#N/A</v>
      </c>
      <c r="E623" s="102" t="s">
        <v>437</v>
      </c>
      <c r="F623" s="33" t="e">
        <f>VLOOKUP(D623,'NO MODIFICAR'!F:H,3,0)</f>
        <v>#N/A</v>
      </c>
      <c r="G623" s="28">
        <v>67243071</v>
      </c>
      <c r="H623" s="93" t="s">
        <v>475</v>
      </c>
      <c r="I623" s="94">
        <v>10258183</v>
      </c>
      <c r="J623" s="4" t="str">
        <f>VLOOKUP(I623,'Materiales,canteras'!C:D,2,0)</f>
        <v>SOBRETAMAÑO ROCA NATURAL DE 0.8 A 1.2 TN</v>
      </c>
      <c r="K623" s="25">
        <f>VLOOKUP(I623,'Materiales,canteras'!C:E,3,0)</f>
        <v>1.625</v>
      </c>
      <c r="L623" s="105">
        <v>149.66999999999999</v>
      </c>
      <c r="M623" s="28" t="s">
        <v>93</v>
      </c>
      <c r="N623" s="57">
        <f t="shared" ca="1" si="102"/>
        <v>46267</v>
      </c>
      <c r="O623" s="43" t="s">
        <v>201</v>
      </c>
      <c r="S623" s="82">
        <v>109</v>
      </c>
      <c r="T623" s="66">
        <f t="shared" si="115"/>
        <v>40.669999999999987</v>
      </c>
      <c r="U623" s="46">
        <f t="shared" si="130"/>
        <v>149.66999999999999</v>
      </c>
      <c r="V623" s="82">
        <v>0</v>
      </c>
      <c r="W623" s="4">
        <v>2</v>
      </c>
      <c r="X623" s="195">
        <f t="shared" si="126"/>
        <v>149.66999999999999</v>
      </c>
      <c r="Y623" s="29" t="e">
        <f>IF(+VLOOKUP(I623,P.Referencia!E:S,3,FALSE)&lt;=L623,"Champion","Gerente")</f>
        <v>#N/A</v>
      </c>
      <c r="Z623" s="39" t="e">
        <f>VLOOKUP(I623,P.Referencia!E:S,3,0)</f>
        <v>#N/A</v>
      </c>
      <c r="AA623" s="40" t="e">
        <f t="shared" si="127"/>
        <v>#N/A</v>
      </c>
      <c r="AB623" s="41" t="e">
        <f t="shared" si="128"/>
        <v>#N/A</v>
      </c>
      <c r="AC623" s="41" t="e">
        <f t="shared" si="129"/>
        <v>#N/A</v>
      </c>
      <c r="AD623" t="s">
        <v>481</v>
      </c>
    </row>
    <row r="624" spans="1:30" hidden="1" x14ac:dyDescent="0.25">
      <c r="A624" s="24">
        <v>623</v>
      </c>
      <c r="B624" s="89" t="s">
        <v>444</v>
      </c>
      <c r="C624" s="4" t="e">
        <f t="shared" si="122"/>
        <v>#N/A</v>
      </c>
      <c r="D624" s="25" t="e">
        <f>VLOOKUP(E624,'NO MODIFICAR'!J:K,2,0)</f>
        <v>#N/A</v>
      </c>
      <c r="E624" s="102" t="s">
        <v>437</v>
      </c>
      <c r="F624" s="33" t="e">
        <f>VLOOKUP(D624,'NO MODIFICAR'!F:H,3,0)</f>
        <v>#N/A</v>
      </c>
      <c r="G624" s="28">
        <v>67243071</v>
      </c>
      <c r="H624" s="93" t="s">
        <v>475</v>
      </c>
      <c r="I624" s="94">
        <v>10258184</v>
      </c>
      <c r="J624" s="4" t="str">
        <f>VLOOKUP(I624,'Materiales,canteras'!C:D,2,0)</f>
        <v>SOBRETAMAÑO ROCA NATURAL DE 0.2 A 0.56TN</v>
      </c>
      <c r="K624" s="25">
        <f>VLOOKUP(I624,'Materiales,canteras'!C:E,3,0)</f>
        <v>1.625</v>
      </c>
      <c r="L624" s="105">
        <v>149.66999999999999</v>
      </c>
      <c r="M624" s="28" t="s">
        <v>93</v>
      </c>
      <c r="N624" s="57">
        <f t="shared" ca="1" si="102"/>
        <v>46267</v>
      </c>
      <c r="O624" s="43" t="s">
        <v>201</v>
      </c>
      <c r="S624" s="82">
        <v>109</v>
      </c>
      <c r="T624" s="66">
        <f t="shared" si="115"/>
        <v>40.669999999999987</v>
      </c>
      <c r="U624" s="46">
        <f t="shared" si="130"/>
        <v>149.66999999999999</v>
      </c>
      <c r="V624" s="82">
        <v>0</v>
      </c>
      <c r="W624" s="4">
        <v>2</v>
      </c>
      <c r="X624" s="195">
        <f t="shared" si="126"/>
        <v>149.66999999999999</v>
      </c>
      <c r="Y624" s="29" t="e">
        <f>IF(+VLOOKUP(I624,P.Referencia!E:S,3,FALSE)&lt;=L624,"Champion","Gerente")</f>
        <v>#N/A</v>
      </c>
      <c r="Z624" s="39" t="e">
        <f>VLOOKUP(I624,P.Referencia!E:S,3,0)</f>
        <v>#N/A</v>
      </c>
      <c r="AA624" s="40" t="e">
        <f t="shared" si="127"/>
        <v>#N/A</v>
      </c>
      <c r="AB624" s="41" t="e">
        <f t="shared" si="128"/>
        <v>#N/A</v>
      </c>
      <c r="AC624" s="41" t="e">
        <f t="shared" si="129"/>
        <v>#N/A</v>
      </c>
      <c r="AD624" t="s">
        <v>480</v>
      </c>
    </row>
    <row r="625" spans="1:30" hidden="1" x14ac:dyDescent="0.25">
      <c r="A625" s="24">
        <v>624</v>
      </c>
      <c r="B625" s="89" t="s">
        <v>444</v>
      </c>
      <c r="C625" s="4" t="e">
        <f t="shared" si="122"/>
        <v>#N/A</v>
      </c>
      <c r="D625" s="25" t="e">
        <f>VLOOKUP(E625,'NO MODIFICAR'!J:K,2,0)</f>
        <v>#N/A</v>
      </c>
      <c r="E625" s="102" t="s">
        <v>437</v>
      </c>
      <c r="F625" s="33" t="e">
        <f>VLOOKUP(D625,'NO MODIFICAR'!F:H,3,0)</f>
        <v>#N/A</v>
      </c>
      <c r="G625" s="28">
        <v>67243071</v>
      </c>
      <c r="H625" s="93" t="s">
        <v>475</v>
      </c>
      <c r="I625" s="94">
        <v>10258185</v>
      </c>
      <c r="J625" s="4" t="str">
        <f>VLOOKUP(I625,'Materiales,canteras'!C:D,2,0)</f>
        <v>SOBRETAMAÑO ROCA NATURAL DE 0.56 A 1TN</v>
      </c>
      <c r="K625" s="25">
        <f>VLOOKUP(I625,'Materiales,canteras'!C:E,3,0)</f>
        <v>1.625</v>
      </c>
      <c r="L625" s="105">
        <v>149.66999999999999</v>
      </c>
      <c r="M625" s="28" t="s">
        <v>93</v>
      </c>
      <c r="N625" s="57">
        <f t="shared" ca="1" si="102"/>
        <v>46267</v>
      </c>
      <c r="O625" s="43" t="s">
        <v>201</v>
      </c>
      <c r="S625" s="82">
        <v>94.5</v>
      </c>
      <c r="T625" s="66">
        <f t="shared" si="115"/>
        <v>55.169999999999987</v>
      </c>
      <c r="U625" s="46">
        <f t="shared" si="130"/>
        <v>149.66999999999999</v>
      </c>
      <c r="V625" s="82">
        <v>0</v>
      </c>
      <c r="W625" s="4">
        <v>2</v>
      </c>
      <c r="X625" s="195">
        <f t="shared" si="126"/>
        <v>149.66999999999999</v>
      </c>
      <c r="Y625" s="29" t="e">
        <f>IF(+VLOOKUP(I625,P.Referencia!E:S,3,FALSE)&lt;=L625,"Champion","Gerente")</f>
        <v>#N/A</v>
      </c>
      <c r="Z625" s="39" t="e">
        <f>VLOOKUP(I625,P.Referencia!E:S,3,0)</f>
        <v>#N/A</v>
      </c>
      <c r="AA625" s="40" t="e">
        <f t="shared" si="127"/>
        <v>#N/A</v>
      </c>
      <c r="AB625" s="41" t="e">
        <f t="shared" si="128"/>
        <v>#N/A</v>
      </c>
      <c r="AC625" s="41" t="e">
        <f t="shared" si="129"/>
        <v>#N/A</v>
      </c>
      <c r="AD625" t="s">
        <v>480</v>
      </c>
    </row>
    <row r="626" spans="1:30" hidden="1" x14ac:dyDescent="0.25">
      <c r="A626" s="24">
        <v>625</v>
      </c>
      <c r="B626" s="89" t="s">
        <v>444</v>
      </c>
      <c r="C626" s="4" t="str">
        <f t="shared" si="122"/>
        <v>LlaveD86467347709100002692</v>
      </c>
      <c r="D626" s="25" t="str">
        <f>VLOOKUP(E626,'NO MODIFICAR'!J:K,2,0)</f>
        <v>D864</v>
      </c>
      <c r="E626" s="102" t="s">
        <v>55</v>
      </c>
      <c r="F626" s="33" t="str">
        <f>VLOOKUP(D626,'NO MODIFICAR'!F:H,3,0)</f>
        <v xml:space="preserve">CENTRO </v>
      </c>
      <c r="G626" s="28">
        <v>67347709</v>
      </c>
      <c r="H626" s="93" t="s">
        <v>350</v>
      </c>
      <c r="I626" s="94">
        <v>10000269</v>
      </c>
      <c r="J626" s="4" t="str">
        <f>VLOOKUP(I626,'Materiales,canteras'!C:D,2,0)</f>
        <v>Grava Triturada Caliza 13 mm -</v>
      </c>
      <c r="K626" s="25">
        <f>VLOOKUP(I626,'Materiales,canteras'!C:E,3,0)</f>
        <v>1.423</v>
      </c>
      <c r="L626" s="105">
        <v>130</v>
      </c>
      <c r="M626" s="28" t="s">
        <v>93</v>
      </c>
      <c r="N626" s="57">
        <f t="shared" ca="1" si="102"/>
        <v>46267</v>
      </c>
      <c r="O626" s="43" t="s">
        <v>201</v>
      </c>
      <c r="R626">
        <v>3.95</v>
      </c>
      <c r="S626" s="82">
        <v>263</v>
      </c>
      <c r="T626" s="66">
        <f t="shared" si="115"/>
        <v>-129.05000000000001</v>
      </c>
      <c r="U626" s="46">
        <f t="shared" si="130"/>
        <v>130</v>
      </c>
      <c r="V626" s="82">
        <v>0</v>
      </c>
      <c r="W626" s="4">
        <v>2</v>
      </c>
      <c r="X626" s="195">
        <f t="shared" si="126"/>
        <v>130</v>
      </c>
      <c r="Y626" s="29" t="e">
        <f>IF(+VLOOKUP(I626,P.Referencia!E:S,3,FALSE)&lt;=L626,"Champion","Gerente")</f>
        <v>#N/A</v>
      </c>
      <c r="Z626" s="39" t="e">
        <f>VLOOKUP(I626,P.Referencia!E:S,3,0)</f>
        <v>#N/A</v>
      </c>
      <c r="AA626" s="40" t="e">
        <f t="shared" si="127"/>
        <v>#N/A</v>
      </c>
      <c r="AB626" s="41" t="e">
        <f t="shared" si="128"/>
        <v>#N/A</v>
      </c>
      <c r="AC626" s="41" t="e">
        <f t="shared" si="129"/>
        <v>#N/A</v>
      </c>
      <c r="AD626" t="s">
        <v>482</v>
      </c>
    </row>
    <row r="627" spans="1:30" hidden="1" x14ac:dyDescent="0.25">
      <c r="A627" s="24">
        <v>626</v>
      </c>
      <c r="B627" s="89" t="s">
        <v>444</v>
      </c>
      <c r="C627" s="4" t="str">
        <f t="shared" si="122"/>
        <v>LlaveD81667362961100002621</v>
      </c>
      <c r="D627" s="25" t="str">
        <f>VLOOKUP(E627,'NO MODIFICAR'!J:K,2,0)</f>
        <v>D816</v>
      </c>
      <c r="E627" s="102" t="s">
        <v>15</v>
      </c>
      <c r="F627" s="33" t="str">
        <f>VLOOKUP(D627,'NO MODIFICAR'!F:H,3,0)</f>
        <v>NORESTE</v>
      </c>
      <c r="G627" s="28">
        <v>67362961</v>
      </c>
      <c r="H627" s="93" t="s">
        <v>483</v>
      </c>
      <c r="I627" s="94">
        <v>10000262</v>
      </c>
      <c r="J627" s="4" t="str">
        <f>VLOOKUP(I627,'Materiales,canteras'!C:D,2,0)</f>
        <v>Base H Triturada Caliza 1 1/2"</v>
      </c>
      <c r="K627" s="25">
        <f>VLOOKUP(I627,'Materiales,canteras'!C:E,3,0)</f>
        <v>1.821</v>
      </c>
      <c r="L627" s="105">
        <v>308</v>
      </c>
      <c r="M627" s="28" t="s">
        <v>93</v>
      </c>
      <c r="N627" s="57">
        <f t="shared" ca="1" si="102"/>
        <v>46267</v>
      </c>
      <c r="O627" s="43" t="s">
        <v>201</v>
      </c>
      <c r="P627">
        <v>17.850000000000001</v>
      </c>
      <c r="Q627">
        <v>16.96</v>
      </c>
      <c r="R627">
        <v>4.83</v>
      </c>
      <c r="S627" s="82">
        <v>357</v>
      </c>
      <c r="T627" s="66">
        <f t="shared" si="115"/>
        <v>-9.3600000000000136</v>
      </c>
      <c r="U627" s="46">
        <f t="shared" si="130"/>
        <v>308</v>
      </c>
      <c r="V627" s="82">
        <v>104.03</v>
      </c>
      <c r="W627" s="4">
        <v>1</v>
      </c>
      <c r="X627" s="195">
        <f t="shared" si="126"/>
        <v>412.03</v>
      </c>
      <c r="Y627" s="29" t="e">
        <f>IF(+VLOOKUP(I627,P.Referencia!E:S,3,FALSE)&lt;=L627,"Champion","Gerente")</f>
        <v>#N/A</v>
      </c>
      <c r="Z627" s="39" t="e">
        <f>VLOOKUP(I627,P.Referencia!E:S,3,0)</f>
        <v>#N/A</v>
      </c>
      <c r="AA627" s="40" t="e">
        <f t="shared" si="127"/>
        <v>#N/A</v>
      </c>
      <c r="AB627" s="41" t="e">
        <f t="shared" si="128"/>
        <v>#N/A</v>
      </c>
      <c r="AC627" s="41" t="e">
        <f t="shared" si="129"/>
        <v>#N/A</v>
      </c>
    </row>
    <row r="628" spans="1:30" hidden="1" x14ac:dyDescent="0.25">
      <c r="A628" s="24">
        <v>627</v>
      </c>
      <c r="B628" s="89" t="s">
        <v>444</v>
      </c>
      <c r="C628" s="4" t="str">
        <f t="shared" si="122"/>
        <v>LlaveD81667362961100364881</v>
      </c>
      <c r="D628" s="25" t="str">
        <f>VLOOKUP(E628,'NO MODIFICAR'!J:K,2,0)</f>
        <v>D816</v>
      </c>
      <c r="E628" s="102" t="s">
        <v>15</v>
      </c>
      <c r="F628" s="33" t="str">
        <f>VLOOKUP(D628,'NO MODIFICAR'!F:H,3,0)</f>
        <v>NORESTE</v>
      </c>
      <c r="G628" s="28">
        <v>67362961</v>
      </c>
      <c r="H628" s="93" t="s">
        <v>483</v>
      </c>
      <c r="I628" s="94">
        <v>10036488</v>
      </c>
      <c r="J628" s="4" t="str">
        <f>VLOOKUP(I628,'Materiales,canteras'!C:D,2,0)</f>
        <v>Base H Trit Caliza 3/4" a Fino</v>
      </c>
      <c r="K628" s="25">
        <f>VLOOKUP(I628,'Materiales,canteras'!C:E,3,0)</f>
        <v>1.78</v>
      </c>
      <c r="L628" s="105">
        <v>308</v>
      </c>
      <c r="M628" s="28" t="s">
        <v>93</v>
      </c>
      <c r="N628" s="57">
        <f t="shared" ca="1" si="102"/>
        <v>46267</v>
      </c>
      <c r="O628" s="43" t="s">
        <v>201</v>
      </c>
      <c r="P628">
        <v>17.850000000000001</v>
      </c>
      <c r="Q628">
        <v>16.96</v>
      </c>
      <c r="R628">
        <v>4.83</v>
      </c>
      <c r="S628" s="82">
        <v>357</v>
      </c>
      <c r="T628" s="66">
        <f t="shared" si="115"/>
        <v>-9.3600000000000136</v>
      </c>
      <c r="U628" s="46">
        <f t="shared" si="130"/>
        <v>308</v>
      </c>
      <c r="V628" s="82">
        <v>104.03</v>
      </c>
      <c r="W628" s="4">
        <v>1</v>
      </c>
      <c r="X628" s="195">
        <f t="shared" si="126"/>
        <v>412.03</v>
      </c>
      <c r="Y628" s="29" t="e">
        <f>IF(+VLOOKUP(I628,P.Referencia!E:S,3,FALSE)&lt;=L628,"Champion","Gerente")</f>
        <v>#N/A</v>
      </c>
      <c r="Z628" s="39" t="e">
        <f>VLOOKUP(I628,P.Referencia!E:S,3,0)</f>
        <v>#N/A</v>
      </c>
      <c r="AA628" s="40" t="e">
        <f t="shared" si="127"/>
        <v>#N/A</v>
      </c>
      <c r="AB628" s="41" t="e">
        <f t="shared" si="128"/>
        <v>#N/A</v>
      </c>
      <c r="AC628" s="41" t="e">
        <f t="shared" si="129"/>
        <v>#N/A</v>
      </c>
    </row>
    <row r="629" spans="1:30" hidden="1" x14ac:dyDescent="0.25">
      <c r="A629" s="24">
        <v>628</v>
      </c>
      <c r="B629" s="89" t="s">
        <v>444</v>
      </c>
      <c r="C629" s="4" t="str">
        <f t="shared" si="122"/>
        <v>LlaveD86167363068100014502</v>
      </c>
      <c r="D629" s="25" t="str">
        <f>VLOOKUP(E629,'NO MODIFICAR'!J:K,2,0)</f>
        <v>D861</v>
      </c>
      <c r="E629" s="102" t="s">
        <v>44</v>
      </c>
      <c r="F629" s="33" t="str">
        <f>VLOOKUP(D629,'NO MODIFICAR'!F:H,3,0)</f>
        <v xml:space="preserve">CENTRO </v>
      </c>
      <c r="G629" s="28">
        <v>67363068</v>
      </c>
      <c r="H629" s="93" t="s">
        <v>484</v>
      </c>
      <c r="I629" s="94">
        <v>10001450</v>
      </c>
      <c r="J629" s="4" t="str">
        <f>VLOOKUP(I629,'Materiales,canteras'!C:D,2,0)</f>
        <v>Base Hidraúlica Basalto de 1 /1/2</v>
      </c>
      <c r="K629" s="25">
        <f>VLOOKUP(I629,'Materiales,canteras'!C:E,3,0)</f>
        <v>1.7490000000000001</v>
      </c>
      <c r="L629" s="105">
        <v>200</v>
      </c>
      <c r="M629" s="28" t="s">
        <v>93</v>
      </c>
      <c r="N629" s="57">
        <f t="shared" ca="1" si="102"/>
        <v>46267</v>
      </c>
      <c r="O629" s="43" t="s">
        <v>201</v>
      </c>
      <c r="R629">
        <v>4.29</v>
      </c>
      <c r="S629" s="82">
        <v>286</v>
      </c>
      <c r="T629" s="66">
        <f t="shared" si="115"/>
        <v>-81.70999999999998</v>
      </c>
      <c r="U629" s="46">
        <f t="shared" si="130"/>
        <v>200</v>
      </c>
      <c r="V629" s="82">
        <v>0</v>
      </c>
      <c r="W629" s="4">
        <v>2</v>
      </c>
      <c r="X629" s="195">
        <f t="shared" si="126"/>
        <v>200</v>
      </c>
      <c r="Y629" s="29" t="e">
        <f>IF(+VLOOKUP(I629,P.Referencia!E:S,3,FALSE)&lt;=L629,"Champion","Gerente")</f>
        <v>#N/A</v>
      </c>
      <c r="Z629" s="39" t="e">
        <f>VLOOKUP(I629,P.Referencia!E:S,3,0)</f>
        <v>#N/A</v>
      </c>
      <c r="AA629" s="40" t="e">
        <f t="shared" si="127"/>
        <v>#N/A</v>
      </c>
      <c r="AB629" s="41" t="e">
        <f t="shared" si="128"/>
        <v>#N/A</v>
      </c>
      <c r="AC629" s="41" t="e">
        <f t="shared" si="129"/>
        <v>#N/A</v>
      </c>
      <c r="AD629" t="s">
        <v>486</v>
      </c>
    </row>
    <row r="630" spans="1:30" hidden="1" x14ac:dyDescent="0.25">
      <c r="A630" s="24">
        <v>629</v>
      </c>
      <c r="B630" s="89" t="s">
        <v>444</v>
      </c>
      <c r="C630" s="4" t="str">
        <f t="shared" si="122"/>
        <v>LlaveDU0767354611100001012</v>
      </c>
      <c r="D630" s="25" t="str">
        <f>VLOOKUP(E630,'NO MODIFICAR'!J:K,2,0)</f>
        <v>DU07</v>
      </c>
      <c r="E630" s="102" t="s">
        <v>87</v>
      </c>
      <c r="F630" s="33" t="str">
        <f>VLOOKUP(D630,'NO MODIFICAR'!F:H,3,0)</f>
        <v>SURESTE</v>
      </c>
      <c r="G630" s="28">
        <v>67354611</v>
      </c>
      <c r="H630" s="93" t="s">
        <v>485</v>
      </c>
      <c r="I630" s="94">
        <v>10000101</v>
      </c>
      <c r="J630" s="4" t="str">
        <f>VLOOKUP(I630,'Materiales,canteras'!C:D,2,0)</f>
        <v>Arena Triturada Caliza Malla 4</v>
      </c>
      <c r="K630" s="25">
        <f>VLOOKUP(I630,'Materiales,canteras'!C:E,3,0)</f>
        <v>1.417</v>
      </c>
      <c r="L630" s="105">
        <v>229.35779816513761</v>
      </c>
      <c r="M630" s="28" t="s">
        <v>93</v>
      </c>
      <c r="N630" s="57">
        <f t="shared" ca="1" si="102"/>
        <v>46267</v>
      </c>
      <c r="O630" s="43" t="s">
        <v>201</v>
      </c>
      <c r="S630" s="82">
        <v>420</v>
      </c>
      <c r="T630" s="66">
        <f t="shared" si="115"/>
        <v>-190.64220183486239</v>
      </c>
      <c r="U630" s="46">
        <f t="shared" si="130"/>
        <v>229.35779816513761</v>
      </c>
      <c r="V630" s="82">
        <v>0</v>
      </c>
      <c r="W630" s="4">
        <v>2</v>
      </c>
      <c r="X630" s="195">
        <f t="shared" si="126"/>
        <v>229.35779816513761</v>
      </c>
      <c r="Y630" s="29" t="e">
        <f>IF(+VLOOKUP(I630,P.Referencia!E:S,3,FALSE)&lt;=L630,"Champion","Gerente")</f>
        <v>#N/A</v>
      </c>
      <c r="Z630" s="39" t="e">
        <f>VLOOKUP(I630,P.Referencia!E:S,3,0)</f>
        <v>#N/A</v>
      </c>
      <c r="AA630" s="40" t="e">
        <f t="shared" si="127"/>
        <v>#N/A</v>
      </c>
      <c r="AB630" s="41" t="e">
        <f t="shared" si="128"/>
        <v>#N/A</v>
      </c>
      <c r="AC630" s="41" t="e">
        <f t="shared" si="129"/>
        <v>#N/A</v>
      </c>
    </row>
    <row r="631" spans="1:30" hidden="1" x14ac:dyDescent="0.25">
      <c r="A631" s="24">
        <v>630</v>
      </c>
      <c r="B631" s="89" t="s">
        <v>444</v>
      </c>
      <c r="C631" s="4" t="str">
        <f t="shared" si="122"/>
        <v>LlaveDU0767354611100001102</v>
      </c>
      <c r="D631" s="25" t="str">
        <f>VLOOKUP(E631,'NO MODIFICAR'!J:K,2,0)</f>
        <v>DU07</v>
      </c>
      <c r="E631" s="102" t="s">
        <v>87</v>
      </c>
      <c r="F631" s="33" t="str">
        <f>VLOOKUP(D631,'NO MODIFICAR'!F:H,3,0)</f>
        <v>SURESTE</v>
      </c>
      <c r="G631" s="28">
        <v>67354611</v>
      </c>
      <c r="H631" s="93" t="s">
        <v>485</v>
      </c>
      <c r="I631" s="94">
        <v>10000110</v>
      </c>
      <c r="J631" s="4" t="str">
        <f>VLOOKUP(I631,'Materiales,canteras'!C:D,2,0)</f>
        <v>GRAVA TRITURADA CALIZA 20 MM “3/4"–INTEG</v>
      </c>
      <c r="K631" s="25">
        <f>VLOOKUP(I631,'Materiales,canteras'!C:E,3,0)</f>
        <v>1.2010000000000001</v>
      </c>
      <c r="L631" s="105">
        <v>283.09741881765194</v>
      </c>
      <c r="M631" s="28" t="s">
        <v>93</v>
      </c>
      <c r="N631" s="57">
        <f t="shared" ca="1" si="102"/>
        <v>46267</v>
      </c>
      <c r="O631" s="43" t="s">
        <v>201</v>
      </c>
      <c r="S631" s="82">
        <v>410</v>
      </c>
      <c r="T631" s="66">
        <f t="shared" si="115"/>
        <v>-126.90258118234806</v>
      </c>
      <c r="U631" s="46">
        <f t="shared" si="130"/>
        <v>283.09741881765194</v>
      </c>
      <c r="V631" s="82">
        <v>0</v>
      </c>
      <c r="W631" s="4">
        <v>2</v>
      </c>
      <c r="X631" s="195">
        <f t="shared" si="126"/>
        <v>283.09741881765194</v>
      </c>
      <c r="Y631" s="29" t="e">
        <f>IF(+VLOOKUP(I631,P.Referencia!E:S,3,FALSE)&lt;=L631,"Champion","Gerente")</f>
        <v>#N/A</v>
      </c>
      <c r="Z631" s="39" t="e">
        <f>VLOOKUP(I631,P.Referencia!E:S,3,0)</f>
        <v>#N/A</v>
      </c>
      <c r="AA631" s="40" t="e">
        <f t="shared" si="127"/>
        <v>#N/A</v>
      </c>
      <c r="AB631" s="41" t="e">
        <f t="shared" si="128"/>
        <v>#N/A</v>
      </c>
      <c r="AC631" s="41" t="e">
        <f t="shared" si="129"/>
        <v>#N/A</v>
      </c>
    </row>
    <row r="632" spans="1:30" hidden="1" x14ac:dyDescent="0.25">
      <c r="A632" s="24">
        <v>631</v>
      </c>
      <c r="B632" s="89" t="s">
        <v>444</v>
      </c>
      <c r="C632" s="4" t="str">
        <f t="shared" si="122"/>
        <v>LlaveDU0767354611100001952</v>
      </c>
      <c r="D632" s="25" t="str">
        <f>VLOOKUP(E632,'NO MODIFICAR'!J:K,2,0)</f>
        <v>DU07</v>
      </c>
      <c r="E632" s="102" t="s">
        <v>87</v>
      </c>
      <c r="F632" s="33" t="str">
        <f>VLOOKUP(D632,'NO MODIFICAR'!F:H,3,0)</f>
        <v>SURESTE</v>
      </c>
      <c r="G632" s="28">
        <v>67354611</v>
      </c>
      <c r="H632" s="93" t="s">
        <v>485</v>
      </c>
      <c r="I632" s="94">
        <v>10000195</v>
      </c>
      <c r="J632" s="4" t="str">
        <f>VLOOKUP(I632,'Materiales,canteras'!C:D,2,0)</f>
        <v>GRAVA TRITURADA CALIZA 20 MM - 3/4"–CAPA</v>
      </c>
      <c r="K632" s="25">
        <f>VLOOKUP(I632,'Materiales,canteras'!C:E,3,0)</f>
        <v>1.2010000000000001</v>
      </c>
      <c r="L632" s="105">
        <v>274.77102414654451</v>
      </c>
      <c r="M632" s="28" t="s">
        <v>93</v>
      </c>
      <c r="N632" s="57">
        <f t="shared" ca="1" si="102"/>
        <v>46267</v>
      </c>
      <c r="O632" s="43" t="s">
        <v>201</v>
      </c>
      <c r="S632" s="82">
        <v>336</v>
      </c>
      <c r="T632" s="66">
        <f t="shared" si="115"/>
        <v>-61.228975853455495</v>
      </c>
      <c r="U632" s="46">
        <f t="shared" si="130"/>
        <v>274.77102414654451</v>
      </c>
      <c r="V632" s="82">
        <v>0</v>
      </c>
      <c r="W632" s="4">
        <v>2</v>
      </c>
      <c r="X632" s="195">
        <f t="shared" si="126"/>
        <v>274.77102414654451</v>
      </c>
      <c r="Y632" s="29" t="e">
        <f>IF(+VLOOKUP(I632,P.Referencia!E:S,3,FALSE)&lt;=L632,"Champion","Gerente")</f>
        <v>#N/A</v>
      </c>
      <c r="Z632" s="39" t="e">
        <f>VLOOKUP(I632,P.Referencia!E:S,3,0)</f>
        <v>#N/A</v>
      </c>
      <c r="AA632" s="40" t="e">
        <f t="shared" si="127"/>
        <v>#N/A</v>
      </c>
      <c r="AB632" s="41" t="e">
        <f t="shared" si="128"/>
        <v>#N/A</v>
      </c>
      <c r="AC632" s="41" t="e">
        <f t="shared" si="129"/>
        <v>#N/A</v>
      </c>
    </row>
    <row r="633" spans="1:30" hidden="1" x14ac:dyDescent="0.25">
      <c r="A633" s="24">
        <v>632</v>
      </c>
      <c r="B633" s="89" t="s">
        <v>444</v>
      </c>
      <c r="C633" s="4" t="str">
        <f t="shared" si="122"/>
        <v>LlaveDU0767363090100001031</v>
      </c>
      <c r="D633" s="25" t="str">
        <f>VLOOKUP(E633,'NO MODIFICAR'!J:K,2,0)</f>
        <v>DU07</v>
      </c>
      <c r="E633" s="102" t="s">
        <v>87</v>
      </c>
      <c r="F633" s="33" t="str">
        <f>VLOOKUP(D633,'NO MODIFICAR'!F:H,3,0)</f>
        <v>SURESTE</v>
      </c>
      <c r="G633" s="28">
        <v>67363090</v>
      </c>
      <c r="H633" s="93" t="s">
        <v>487</v>
      </c>
      <c r="I633" s="94">
        <v>10000103</v>
      </c>
      <c r="J633" s="4" t="str">
        <f>VLOOKUP(I633,'Materiales,canteras'!C:D,2,0)</f>
        <v>Base H Triturada Caliza 1 1/2" a Finos</v>
      </c>
      <c r="K633" s="25">
        <f>VLOOKUP(I633,'Materiales,canteras'!C:E,3,0)</f>
        <v>1.462</v>
      </c>
      <c r="L633" s="105">
        <v>114.88991963064296</v>
      </c>
      <c r="M633" s="28" t="s">
        <v>93</v>
      </c>
      <c r="N633" s="57">
        <f t="shared" ca="1" si="102"/>
        <v>46267</v>
      </c>
      <c r="O633" s="43" t="s">
        <v>201</v>
      </c>
      <c r="S633" s="82">
        <v>158</v>
      </c>
      <c r="T633" s="66">
        <f t="shared" si="115"/>
        <v>-43.110080369357036</v>
      </c>
      <c r="U633" s="46">
        <f t="shared" si="130"/>
        <v>114.88991963064296</v>
      </c>
      <c r="V633" s="82">
        <v>86.870083789329684</v>
      </c>
      <c r="W633" s="4">
        <v>1</v>
      </c>
      <c r="X633" s="195">
        <f t="shared" si="126"/>
        <v>201.76000341997263</v>
      </c>
      <c r="Y633" s="29" t="e">
        <f>IF(+VLOOKUP(I633,P.Referencia!E:S,3,FALSE)&lt;=L633,"Champion","Gerente")</f>
        <v>#N/A</v>
      </c>
      <c r="Z633" s="39" t="e">
        <f>VLOOKUP(I633,P.Referencia!E:S,3,0)</f>
        <v>#N/A</v>
      </c>
      <c r="AA633" s="40" t="e">
        <f t="shared" si="127"/>
        <v>#N/A</v>
      </c>
      <c r="AB633" s="41" t="e">
        <f t="shared" si="128"/>
        <v>#N/A</v>
      </c>
      <c r="AC633" s="41" t="e">
        <f t="shared" si="129"/>
        <v>#N/A</v>
      </c>
    </row>
    <row r="634" spans="1:30" hidden="1" x14ac:dyDescent="0.25">
      <c r="A634" s="24">
        <v>633</v>
      </c>
      <c r="B634" s="89" t="s">
        <v>444</v>
      </c>
      <c r="C634" s="4" t="str">
        <f t="shared" si="122"/>
        <v>LlaveDU0767363090102641031</v>
      </c>
      <c r="D634" s="25" t="str">
        <f>VLOOKUP(E634,'NO MODIFICAR'!J:K,2,0)</f>
        <v>DU07</v>
      </c>
      <c r="E634" s="102" t="s">
        <v>87</v>
      </c>
      <c r="F634" s="33" t="str">
        <f>VLOOKUP(D634,'NO MODIFICAR'!F:H,3,0)</f>
        <v>SURESTE</v>
      </c>
      <c r="G634" s="28">
        <v>67363090</v>
      </c>
      <c r="H634" s="93" t="s">
        <v>487</v>
      </c>
      <c r="I634" s="94">
        <v>10264103</v>
      </c>
      <c r="J634" s="4" t="str">
        <f>VLOOKUP(I634,'Materiales,canteras'!C:D,2,0)</f>
        <v>MOV BASE H TRITURADA CALIZA 1 1/2</v>
      </c>
      <c r="K634" s="25">
        <f>VLOOKUP(I634,'Materiales,canteras'!C:E,3,0)</f>
        <v>1.462</v>
      </c>
      <c r="L634" s="105">
        <v>114.88991963064296</v>
      </c>
      <c r="M634" s="28" t="s">
        <v>93</v>
      </c>
      <c r="N634" s="57">
        <f t="shared" ca="1" si="102"/>
        <v>46267</v>
      </c>
      <c r="O634" s="43" t="s">
        <v>201</v>
      </c>
      <c r="S634" s="82">
        <v>410</v>
      </c>
      <c r="T634" s="66">
        <f t="shared" si="115"/>
        <v>-295.11008036935704</v>
      </c>
      <c r="U634" s="46">
        <f t="shared" si="130"/>
        <v>114.88991963064296</v>
      </c>
      <c r="V634" s="82">
        <v>86.870083789329684</v>
      </c>
      <c r="W634" s="4">
        <v>1</v>
      </c>
      <c r="X634" s="195">
        <f t="shared" si="126"/>
        <v>201.76000341997263</v>
      </c>
      <c r="Y634" s="29" t="e">
        <f>IF(+VLOOKUP(I634,P.Referencia!E:S,3,FALSE)&lt;=L634,"Champion","Gerente")</f>
        <v>#N/A</v>
      </c>
      <c r="Z634" s="39" t="e">
        <f>VLOOKUP(I634,P.Referencia!E:S,3,0)</f>
        <v>#N/A</v>
      </c>
      <c r="AA634" s="40" t="e">
        <f t="shared" si="127"/>
        <v>#N/A</v>
      </c>
      <c r="AB634" s="41" t="e">
        <f t="shared" si="128"/>
        <v>#N/A</v>
      </c>
      <c r="AC634" s="41" t="e">
        <f t="shared" si="129"/>
        <v>#N/A</v>
      </c>
    </row>
    <row r="635" spans="1:30" hidden="1" x14ac:dyDescent="0.25">
      <c r="A635" s="24">
        <v>634</v>
      </c>
      <c r="B635" s="89" t="s">
        <v>444</v>
      </c>
      <c r="C635" s="4" t="str">
        <f t="shared" si="122"/>
        <v>LlaveD86167363068100002902</v>
      </c>
      <c r="D635" s="25" t="str">
        <f>VLOOKUP(E635,'NO MODIFICAR'!J:K,2,0)</f>
        <v>D861</v>
      </c>
      <c r="E635" s="102" t="s">
        <v>44</v>
      </c>
      <c r="F635" s="33" t="str">
        <f>VLOOKUP(D635,'NO MODIFICAR'!F:H,3,0)</f>
        <v xml:space="preserve">CENTRO </v>
      </c>
      <c r="G635" s="28">
        <v>67363068</v>
      </c>
      <c r="H635" s="93" t="s">
        <v>484</v>
      </c>
      <c r="I635" s="94">
        <v>10000290</v>
      </c>
      <c r="J635" s="4" t="str">
        <f>VLOOKUP(I635,'Materiales,canteras'!C:D,2,0)</f>
        <v>Polvos Triturado Basalto 3/4"</v>
      </c>
      <c r="K635" s="25">
        <f>VLOOKUP(I635,'Materiales,canteras'!C:E,3,0)</f>
        <v>1.3720000000000001</v>
      </c>
      <c r="L635" s="105">
        <v>15</v>
      </c>
      <c r="M635" s="28" t="s">
        <v>93</v>
      </c>
      <c r="N635" s="57">
        <f t="shared" ca="1" si="102"/>
        <v>46267</v>
      </c>
      <c r="O635" s="43" t="s">
        <v>201</v>
      </c>
      <c r="R635">
        <v>0.42</v>
      </c>
      <c r="S635" s="82">
        <v>28</v>
      </c>
      <c r="T635" s="66">
        <f t="shared" si="115"/>
        <v>-12.579999999999998</v>
      </c>
      <c r="U635" s="46">
        <f t="shared" si="130"/>
        <v>15</v>
      </c>
      <c r="V635" s="82">
        <v>0</v>
      </c>
      <c r="W635" s="4">
        <v>2</v>
      </c>
      <c r="X635" s="195">
        <f t="shared" si="126"/>
        <v>15</v>
      </c>
      <c r="Y635" s="29" t="e">
        <f>IF(+VLOOKUP(I635,P.Referencia!E:S,3,FALSE)&lt;=L635,"Champion","Gerente")</f>
        <v>#N/A</v>
      </c>
      <c r="Z635" s="39" t="e">
        <f>VLOOKUP(I635,P.Referencia!E:S,3,0)</f>
        <v>#N/A</v>
      </c>
      <c r="AA635" s="40" t="e">
        <f t="shared" si="127"/>
        <v>#N/A</v>
      </c>
      <c r="AB635" s="41" t="e">
        <f t="shared" si="128"/>
        <v>#N/A</v>
      </c>
      <c r="AC635" s="41" t="e">
        <f t="shared" si="129"/>
        <v>#N/A</v>
      </c>
    </row>
    <row r="636" spans="1:30" hidden="1" x14ac:dyDescent="0.25">
      <c r="A636" s="24">
        <v>635</v>
      </c>
      <c r="B636" s="89" t="s">
        <v>444</v>
      </c>
      <c r="C636" s="4" t="str">
        <f t="shared" si="122"/>
        <v>LlaveD86467244113100002402</v>
      </c>
      <c r="D636" s="25" t="str">
        <f>VLOOKUP(E636,'NO MODIFICAR'!J:K,2,0)</f>
        <v>D864</v>
      </c>
      <c r="E636" s="102" t="s">
        <v>55</v>
      </c>
      <c r="F636" s="33" t="str">
        <f>VLOOKUP(D636,'NO MODIFICAR'!F:H,3,0)</f>
        <v xml:space="preserve">CENTRO </v>
      </c>
      <c r="G636" s="28">
        <v>67244113</v>
      </c>
      <c r="H636" s="93" t="s">
        <v>488</v>
      </c>
      <c r="I636" s="94">
        <v>10000240</v>
      </c>
      <c r="J636" s="4" t="str">
        <f>VLOOKUP(I636,'Materiales,canteras'!C:D,2,0)</f>
        <v>Grava Triturada Caliza 20 mm -</v>
      </c>
      <c r="K636" s="25">
        <f>VLOOKUP(I636,'Materiales,canteras'!C:E,3,0)</f>
        <v>1.462</v>
      </c>
      <c r="L636" s="105">
        <v>130</v>
      </c>
      <c r="M636" s="28" t="s">
        <v>93</v>
      </c>
      <c r="N636" s="57">
        <f t="shared" ca="1" si="102"/>
        <v>46267</v>
      </c>
      <c r="O636" s="43" t="s">
        <v>201</v>
      </c>
      <c r="S636" s="82">
        <v>294</v>
      </c>
      <c r="T636" s="66">
        <f t="shared" si="115"/>
        <v>-164</v>
      </c>
      <c r="U636" s="46">
        <f t="shared" si="130"/>
        <v>130</v>
      </c>
      <c r="V636" s="82">
        <v>0</v>
      </c>
      <c r="W636" s="4">
        <v>2</v>
      </c>
      <c r="X636" s="195">
        <f t="shared" si="126"/>
        <v>130</v>
      </c>
      <c r="Y636" s="29" t="e">
        <f>IF(+VLOOKUP(I636,P.Referencia!E:S,3,FALSE)&lt;=L636,"Champion","Gerente")</f>
        <v>#N/A</v>
      </c>
      <c r="Z636" s="39" t="e">
        <f>VLOOKUP(I636,P.Referencia!E:S,3,0)</f>
        <v>#N/A</v>
      </c>
      <c r="AA636" s="40" t="e">
        <f t="shared" si="127"/>
        <v>#N/A</v>
      </c>
      <c r="AB636" s="41" t="e">
        <f t="shared" si="128"/>
        <v>#N/A</v>
      </c>
      <c r="AC636" s="41" t="e">
        <f t="shared" si="129"/>
        <v>#N/A</v>
      </c>
    </row>
    <row r="637" spans="1:30" hidden="1" x14ac:dyDescent="0.25">
      <c r="A637" s="24">
        <v>636</v>
      </c>
      <c r="B637" s="89" t="s">
        <v>444</v>
      </c>
      <c r="C637" s="4" t="str">
        <f t="shared" si="122"/>
        <v>LlaveD86467244113100010732</v>
      </c>
      <c r="D637" s="25" t="str">
        <f>VLOOKUP(E637,'NO MODIFICAR'!J:K,2,0)</f>
        <v>D864</v>
      </c>
      <c r="E637" s="102" t="s">
        <v>55</v>
      </c>
      <c r="F637" s="33" t="str">
        <f>VLOOKUP(D637,'NO MODIFICAR'!F:H,3,0)</f>
        <v xml:space="preserve">CENTRO </v>
      </c>
      <c r="G637" s="28">
        <v>67244113</v>
      </c>
      <c r="H637" s="93" t="s">
        <v>488</v>
      </c>
      <c r="I637" s="94">
        <v>10001073</v>
      </c>
      <c r="J637" s="4" t="str">
        <f>VLOOKUP(I637,'Materiales,canteras'!C:D,2,0)</f>
        <v>Arena Triturada Caliza Malla 4</v>
      </c>
      <c r="K637" s="25">
        <f>VLOOKUP(I637,'Materiales,canteras'!C:E,3,0)</f>
        <v>1.56</v>
      </c>
      <c r="L637" s="105">
        <v>85</v>
      </c>
      <c r="M637" s="28" t="s">
        <v>93</v>
      </c>
      <c r="N637" s="57">
        <f t="shared" ca="1" si="102"/>
        <v>46267</v>
      </c>
      <c r="O637" s="43" t="s">
        <v>201</v>
      </c>
      <c r="S637" s="82">
        <v>158</v>
      </c>
      <c r="T637" s="66">
        <f t="shared" si="115"/>
        <v>-73</v>
      </c>
      <c r="U637" s="46">
        <f t="shared" si="130"/>
        <v>85</v>
      </c>
      <c r="V637" s="82">
        <v>0</v>
      </c>
      <c r="W637" s="4">
        <v>2</v>
      </c>
      <c r="X637" s="195">
        <f t="shared" si="126"/>
        <v>85</v>
      </c>
      <c r="Y637" s="29" t="e">
        <f>IF(+VLOOKUP(I637,P.Referencia!E:S,3,FALSE)&lt;=L637,"Champion","Gerente")</f>
        <v>#N/A</v>
      </c>
      <c r="Z637" s="39" t="e">
        <f>VLOOKUP(I637,P.Referencia!E:S,3,0)</f>
        <v>#N/A</v>
      </c>
      <c r="AA637" s="40" t="e">
        <f t="shared" si="127"/>
        <v>#N/A</v>
      </c>
      <c r="AB637" s="41" t="e">
        <f t="shared" si="128"/>
        <v>#N/A</v>
      </c>
      <c r="AC637" s="41" t="e">
        <f t="shared" si="129"/>
        <v>#N/A</v>
      </c>
    </row>
    <row r="638" spans="1:30" hidden="1" x14ac:dyDescent="0.25">
      <c r="A638" s="24">
        <v>637</v>
      </c>
      <c r="B638" s="89" t="s">
        <v>444</v>
      </c>
      <c r="C638" s="4" t="str">
        <f t="shared" si="122"/>
        <v>LlaveD86466859565100002402</v>
      </c>
      <c r="D638" s="25" t="str">
        <f>VLOOKUP(E638,'NO MODIFICAR'!J:K,2,0)</f>
        <v>D864</v>
      </c>
      <c r="E638" s="102" t="s">
        <v>55</v>
      </c>
      <c r="F638" s="33" t="str">
        <f>VLOOKUP(D638,'NO MODIFICAR'!F:H,3,0)</f>
        <v xml:space="preserve">CENTRO </v>
      </c>
      <c r="G638" s="28">
        <v>66859565</v>
      </c>
      <c r="H638" s="93" t="s">
        <v>489</v>
      </c>
      <c r="I638" s="94">
        <v>10000240</v>
      </c>
      <c r="J638" s="4" t="str">
        <f>VLOOKUP(I638,'Materiales,canteras'!C:D,2,0)</f>
        <v>Grava Triturada Caliza 20 mm -</v>
      </c>
      <c r="K638" s="25">
        <f>VLOOKUP(I638,'Materiales,canteras'!C:E,3,0)</f>
        <v>1.462</v>
      </c>
      <c r="L638" s="105">
        <v>127</v>
      </c>
      <c r="M638" s="28" t="s">
        <v>93</v>
      </c>
      <c r="N638" s="57">
        <f t="shared" ca="1" si="102"/>
        <v>46267</v>
      </c>
      <c r="O638" s="43" t="s">
        <v>201</v>
      </c>
      <c r="Q638">
        <v>8.82</v>
      </c>
      <c r="R638">
        <v>4.28</v>
      </c>
      <c r="S638" s="82">
        <v>294</v>
      </c>
      <c r="T638" s="66">
        <f t="shared" si="115"/>
        <v>-153.90000000000003</v>
      </c>
      <c r="U638" s="46">
        <f t="shared" si="130"/>
        <v>127</v>
      </c>
      <c r="V638" s="82">
        <v>0</v>
      </c>
      <c r="W638" s="4">
        <v>2</v>
      </c>
      <c r="X638" s="195">
        <f t="shared" si="126"/>
        <v>127</v>
      </c>
      <c r="Y638" s="29" t="e">
        <f>IF(+VLOOKUP(I638,P.Referencia!E:S,3,FALSE)&lt;=L638,"Champion","Gerente")</f>
        <v>#N/A</v>
      </c>
      <c r="Z638" s="39" t="e">
        <f>VLOOKUP(I638,P.Referencia!E:S,3,0)</f>
        <v>#N/A</v>
      </c>
      <c r="AA638" s="40" t="e">
        <f t="shared" si="127"/>
        <v>#N/A</v>
      </c>
      <c r="AB638" s="41" t="e">
        <f t="shared" si="128"/>
        <v>#N/A</v>
      </c>
      <c r="AC638" s="41" t="e">
        <f t="shared" si="129"/>
        <v>#N/A</v>
      </c>
    </row>
    <row r="639" spans="1:30" hidden="1" x14ac:dyDescent="0.25">
      <c r="A639" s="24">
        <v>638</v>
      </c>
      <c r="B639" s="89" t="s">
        <v>444</v>
      </c>
      <c r="C639" s="4" t="str">
        <f t="shared" si="122"/>
        <v>LlaveD86466859565100002692</v>
      </c>
      <c r="D639" s="25" t="str">
        <f>VLOOKUP(E639,'NO MODIFICAR'!J:K,2,0)</f>
        <v>D864</v>
      </c>
      <c r="E639" s="102" t="s">
        <v>55</v>
      </c>
      <c r="F639" s="33" t="str">
        <f>VLOOKUP(D639,'NO MODIFICAR'!F:H,3,0)</f>
        <v xml:space="preserve">CENTRO </v>
      </c>
      <c r="G639" s="28">
        <v>66859565</v>
      </c>
      <c r="H639" s="93" t="s">
        <v>489</v>
      </c>
      <c r="I639" s="94">
        <v>10000269</v>
      </c>
      <c r="J639" s="4" t="str">
        <f>VLOOKUP(I639,'Materiales,canteras'!C:D,2,0)</f>
        <v>Grava Triturada Caliza 13 mm -</v>
      </c>
      <c r="K639" s="25">
        <f>VLOOKUP(I639,'Materiales,canteras'!C:E,3,0)</f>
        <v>1.423</v>
      </c>
      <c r="L639" s="105">
        <v>137</v>
      </c>
      <c r="M639" s="28" t="s">
        <v>93</v>
      </c>
      <c r="N639" s="57">
        <f t="shared" ca="1" si="102"/>
        <v>46267</v>
      </c>
      <c r="O639" s="43" t="s">
        <v>201</v>
      </c>
      <c r="Q639">
        <v>7.89</v>
      </c>
      <c r="R639">
        <v>3.83</v>
      </c>
      <c r="S639" s="82">
        <v>263</v>
      </c>
      <c r="T639" s="66">
        <f t="shared" si="115"/>
        <v>-114.28</v>
      </c>
      <c r="U639" s="46">
        <f t="shared" si="130"/>
        <v>137</v>
      </c>
      <c r="V639" s="82">
        <v>0</v>
      </c>
      <c r="W639" s="4">
        <v>2</v>
      </c>
      <c r="X639" s="195">
        <f t="shared" si="126"/>
        <v>137</v>
      </c>
      <c r="Y639" s="29" t="e">
        <f>IF(+VLOOKUP(I639,P.Referencia!E:S,3,FALSE)&lt;=L639,"Champion","Gerente")</f>
        <v>#N/A</v>
      </c>
      <c r="Z639" s="39" t="e">
        <f>VLOOKUP(I639,P.Referencia!E:S,3,0)</f>
        <v>#N/A</v>
      </c>
      <c r="AA639" s="40" t="e">
        <f t="shared" si="127"/>
        <v>#N/A</v>
      </c>
      <c r="AB639" s="41" t="e">
        <f t="shared" si="128"/>
        <v>#N/A</v>
      </c>
      <c r="AC639" s="41" t="e">
        <f t="shared" si="129"/>
        <v>#N/A</v>
      </c>
    </row>
    <row r="640" spans="1:30" hidden="1" x14ac:dyDescent="0.25">
      <c r="A640" s="24">
        <v>639</v>
      </c>
      <c r="B640" s="89" t="s">
        <v>444</v>
      </c>
      <c r="C640" s="4" t="str">
        <f t="shared" si="122"/>
        <v>LlaveD86466859565100010742</v>
      </c>
      <c r="D640" s="25" t="str">
        <f>VLOOKUP(E640,'NO MODIFICAR'!J:K,2,0)</f>
        <v>D864</v>
      </c>
      <c r="E640" s="102" t="s">
        <v>55</v>
      </c>
      <c r="F640" s="33" t="str">
        <f>VLOOKUP(D640,'NO MODIFICAR'!F:H,3,0)</f>
        <v xml:space="preserve">CENTRO </v>
      </c>
      <c r="G640" s="28">
        <v>66859565</v>
      </c>
      <c r="H640" s="93" t="s">
        <v>489</v>
      </c>
      <c r="I640" s="94">
        <v>10001074</v>
      </c>
      <c r="J640" s="4" t="str">
        <f>VLOOKUP(I640,'Materiales,canteras'!C:D,2,0)</f>
        <v>Grava Triturada Caliza 40 mm -</v>
      </c>
      <c r="K640" s="25">
        <f>VLOOKUP(I640,'Materiales,canteras'!C:E,3,0)</f>
        <v>1.4</v>
      </c>
      <c r="L640" s="105">
        <v>127</v>
      </c>
      <c r="M640" s="28" t="s">
        <v>93</v>
      </c>
      <c r="N640" s="57">
        <f t="shared" ca="1" si="102"/>
        <v>46267</v>
      </c>
      <c r="O640" s="43" t="s">
        <v>201</v>
      </c>
      <c r="Q640">
        <v>6.93</v>
      </c>
      <c r="R640">
        <v>3.36</v>
      </c>
      <c r="S640" s="82">
        <v>231</v>
      </c>
      <c r="T640" s="66">
        <f t="shared" si="115"/>
        <v>-93.70999999999998</v>
      </c>
      <c r="U640" s="46">
        <f t="shared" si="130"/>
        <v>127</v>
      </c>
      <c r="V640" s="82">
        <v>0</v>
      </c>
      <c r="W640" s="4">
        <v>2</v>
      </c>
      <c r="X640" s="195">
        <f t="shared" si="126"/>
        <v>127</v>
      </c>
      <c r="Y640" s="29" t="e">
        <f>IF(+VLOOKUP(I640,P.Referencia!E:S,3,FALSE)&lt;=L640,"Champion","Gerente")</f>
        <v>#N/A</v>
      </c>
      <c r="Z640" s="39" t="e">
        <f>VLOOKUP(I640,P.Referencia!E:S,3,0)</f>
        <v>#N/A</v>
      </c>
      <c r="AA640" s="40" t="e">
        <f t="shared" si="127"/>
        <v>#N/A</v>
      </c>
      <c r="AB640" s="41" t="e">
        <f t="shared" si="128"/>
        <v>#N/A</v>
      </c>
      <c r="AC640" s="41" t="e">
        <f t="shared" si="129"/>
        <v>#N/A</v>
      </c>
    </row>
    <row r="641" spans="1:29" hidden="1" x14ac:dyDescent="0.25">
      <c r="A641" s="24">
        <v>640</v>
      </c>
      <c r="B641" s="89" t="s">
        <v>444</v>
      </c>
      <c r="C641" s="4" t="str">
        <f t="shared" si="122"/>
        <v>LlaveD86466908488100010742</v>
      </c>
      <c r="D641" s="25" t="str">
        <f>VLOOKUP(E641,'NO MODIFICAR'!J:K,2,0)</f>
        <v>D864</v>
      </c>
      <c r="E641" s="102" t="s">
        <v>55</v>
      </c>
      <c r="F641" s="33" t="str">
        <f>VLOOKUP(D641,'NO MODIFICAR'!F:H,3,0)</f>
        <v xml:space="preserve">CENTRO </v>
      </c>
      <c r="G641" s="28">
        <v>66908488</v>
      </c>
      <c r="H641" s="93" t="s">
        <v>490</v>
      </c>
      <c r="I641" s="94">
        <v>10001074</v>
      </c>
      <c r="J641" s="4" t="str">
        <f>VLOOKUP(I641,'Materiales,canteras'!C:D,2,0)</f>
        <v>Grava Triturada Caliza 40 mm -</v>
      </c>
      <c r="K641" s="25">
        <f>VLOOKUP(I641,'Materiales,canteras'!C:E,3,0)</f>
        <v>1.4</v>
      </c>
      <c r="L641" s="105">
        <v>127</v>
      </c>
      <c r="M641" s="28" t="s">
        <v>93</v>
      </c>
      <c r="N641" s="57">
        <f t="shared" ref="N641:N708" ca="1" si="131">TODAY()</f>
        <v>46267</v>
      </c>
      <c r="O641" s="43" t="s">
        <v>201</v>
      </c>
      <c r="S641" s="82">
        <v>231</v>
      </c>
      <c r="T641" s="66">
        <f t="shared" si="115"/>
        <v>-104</v>
      </c>
      <c r="U641" s="46">
        <f t="shared" si="130"/>
        <v>127</v>
      </c>
      <c r="V641" s="82">
        <v>0</v>
      </c>
      <c r="W641" s="4">
        <v>2</v>
      </c>
      <c r="X641" s="195">
        <f t="shared" si="126"/>
        <v>127</v>
      </c>
      <c r="Y641" s="29" t="e">
        <f>IF(+VLOOKUP(I641,P.Referencia!E:S,3,FALSE)&lt;=L641,"Champion","Gerente")</f>
        <v>#N/A</v>
      </c>
      <c r="Z641" s="39" t="e">
        <f>VLOOKUP(I641,P.Referencia!E:S,3,0)</f>
        <v>#N/A</v>
      </c>
      <c r="AA641" s="40" t="e">
        <f t="shared" si="127"/>
        <v>#N/A</v>
      </c>
      <c r="AB641" s="41" t="e">
        <f t="shared" si="128"/>
        <v>#N/A</v>
      </c>
      <c r="AC641" s="41" t="e">
        <f t="shared" si="129"/>
        <v>#N/A</v>
      </c>
    </row>
    <row r="642" spans="1:29" hidden="1" x14ac:dyDescent="0.25">
      <c r="A642" s="24">
        <v>641</v>
      </c>
      <c r="B642" s="89" t="s">
        <v>444</v>
      </c>
      <c r="C642" s="4" t="str">
        <f t="shared" si="122"/>
        <v>LlaveD89367342830100512932</v>
      </c>
      <c r="D642" s="25" t="str">
        <f>VLOOKUP(E642,'NO MODIFICAR'!J:K,2,0)</f>
        <v>D893</v>
      </c>
      <c r="E642" s="102" t="s">
        <v>253</v>
      </c>
      <c r="F642" s="33" t="str">
        <f>VLOOKUP(D642,'NO MODIFICAR'!F:H,3,0)</f>
        <v>NORESTE</v>
      </c>
      <c r="G642" s="28">
        <v>67342830</v>
      </c>
      <c r="H642" s="93" t="s">
        <v>491</v>
      </c>
      <c r="I642" s="94">
        <v>10051293</v>
      </c>
      <c r="J642" s="4" t="str">
        <f>VLOOKUP(I642,'Materiales,canteras'!C:D,2,0)</f>
        <v>Grava Triturada Basalto 20 mm</v>
      </c>
      <c r="K642" s="25">
        <f>VLOOKUP(I642,'Materiales,canteras'!C:E,3,0)</f>
        <v>1.403</v>
      </c>
      <c r="L642" s="105">
        <v>236</v>
      </c>
      <c r="M642" s="28" t="s">
        <v>93</v>
      </c>
      <c r="N642" s="57">
        <f t="shared" ca="1" si="131"/>
        <v>46267</v>
      </c>
      <c r="O642" s="43" t="s">
        <v>201</v>
      </c>
      <c r="Q642">
        <v>4.13</v>
      </c>
      <c r="S642" s="82">
        <v>275</v>
      </c>
      <c r="T642" s="66">
        <f t="shared" si="115"/>
        <v>-34.870000000000005</v>
      </c>
      <c r="U642" s="46">
        <f t="shared" si="130"/>
        <v>236</v>
      </c>
      <c r="V642" s="82">
        <v>0</v>
      </c>
      <c r="W642" s="4">
        <v>2</v>
      </c>
      <c r="X642" s="195">
        <f t="shared" si="126"/>
        <v>236</v>
      </c>
      <c r="Y642" s="29" t="e">
        <f>IF(+VLOOKUP(I642,P.Referencia!E:S,3,FALSE)&lt;=L642,"Champion","Gerente")</f>
        <v>#N/A</v>
      </c>
      <c r="Z642" s="39" t="e">
        <f>VLOOKUP(I642,P.Referencia!E:S,3,0)</f>
        <v>#N/A</v>
      </c>
      <c r="AA642" s="40" t="e">
        <f t="shared" si="127"/>
        <v>#N/A</v>
      </c>
      <c r="AB642" s="41" t="e">
        <f t="shared" si="128"/>
        <v>#N/A</v>
      </c>
      <c r="AC642" s="41" t="e">
        <f t="shared" si="129"/>
        <v>#N/A</v>
      </c>
    </row>
    <row r="643" spans="1:29" hidden="1" x14ac:dyDescent="0.25">
      <c r="A643" s="24">
        <v>642</v>
      </c>
      <c r="B643" s="89" t="s">
        <v>444</v>
      </c>
      <c r="C643" s="4" t="str">
        <f t="shared" si="122"/>
        <v>LlaveD82467360626100231082</v>
      </c>
      <c r="D643" s="25" t="str">
        <f>VLOOKUP(E643,'NO MODIFICAR'!J:K,2,0)</f>
        <v>D824</v>
      </c>
      <c r="E643" s="102" t="s">
        <v>28</v>
      </c>
      <c r="F643" s="33" t="str">
        <f>VLOOKUP(D643,'NO MODIFICAR'!F:H,3,0)</f>
        <v>NORESTE</v>
      </c>
      <c r="G643" s="28">
        <v>67360626</v>
      </c>
      <c r="H643" s="93" t="s">
        <v>440</v>
      </c>
      <c r="I643" s="94">
        <v>10023108</v>
      </c>
      <c r="J643" s="4" t="str">
        <f>VLOOKUP(I643,'Materiales,canteras'!C:D,2,0)</f>
        <v>Base H Triturada Basalto  1 1/2" a Finos</v>
      </c>
      <c r="K643" s="25">
        <f>VLOOKUP(I643,'Materiales,canteras'!C:E,3,0)</f>
        <v>1.9690000000000001</v>
      </c>
      <c r="L643" s="105">
        <v>180</v>
      </c>
      <c r="M643" s="28" t="s">
        <v>93</v>
      </c>
      <c r="N643" s="57">
        <f t="shared" ca="1" si="131"/>
        <v>46267</v>
      </c>
      <c r="O643" s="43" t="s">
        <v>201</v>
      </c>
      <c r="Q643">
        <v>10.050000000000001</v>
      </c>
      <c r="R643">
        <v>2.86</v>
      </c>
      <c r="S643" s="82">
        <v>201</v>
      </c>
      <c r="T643" s="66">
        <f t="shared" si="115"/>
        <v>-8.089999999999975</v>
      </c>
      <c r="U643" s="46">
        <f t="shared" si="130"/>
        <v>180</v>
      </c>
      <c r="V643" s="82">
        <v>0</v>
      </c>
      <c r="W643" s="4">
        <v>2</v>
      </c>
      <c r="X643" s="195">
        <f t="shared" ref="X643:X654" si="132">U643+V643</f>
        <v>180</v>
      </c>
      <c r="Y643" s="29" t="e">
        <f>IF(+VLOOKUP(I643,P.Referencia!E:S,3,FALSE)&lt;=L643,"Champion","Gerente")</f>
        <v>#N/A</v>
      </c>
      <c r="Z643" s="39" t="e">
        <f>VLOOKUP(I643,P.Referencia!E:S,3,0)</f>
        <v>#N/A</v>
      </c>
      <c r="AA643" s="40" t="e">
        <f t="shared" ref="AA643:AA654" si="133">(Z643-U643)/U643</f>
        <v>#N/A</v>
      </c>
      <c r="AB643" s="41" t="e">
        <f t="shared" ref="AB643:AB654" si="134">U643*AA643</f>
        <v>#N/A</v>
      </c>
      <c r="AC643" s="41" t="e">
        <f t="shared" ref="AC643:AC654" si="135">U643+AB643</f>
        <v>#N/A</v>
      </c>
    </row>
    <row r="644" spans="1:29" hidden="1" x14ac:dyDescent="0.25">
      <c r="A644" s="24">
        <v>643</v>
      </c>
      <c r="B644" s="89" t="s">
        <v>444</v>
      </c>
      <c r="C644" s="4" t="str">
        <f t="shared" si="122"/>
        <v>LlaveD86467325663100002362</v>
      </c>
      <c r="D644" s="25" t="str">
        <f>VLOOKUP(E644,'NO MODIFICAR'!J:K,2,0)</f>
        <v>D864</v>
      </c>
      <c r="E644" s="102" t="s">
        <v>55</v>
      </c>
      <c r="F644" s="33" t="str">
        <f>VLOOKUP(D644,'NO MODIFICAR'!F:H,3,0)</f>
        <v xml:space="preserve">CENTRO </v>
      </c>
      <c r="G644" s="28">
        <v>67325663</v>
      </c>
      <c r="H644" s="93" t="s">
        <v>276</v>
      </c>
      <c r="I644" s="94">
        <v>10000236</v>
      </c>
      <c r="J644" s="4" t="str">
        <f>VLOOKUP(I644,'Materiales,canteras'!C:D,2,0)</f>
        <v>Grava Triturada Caliza 10 mm -</v>
      </c>
      <c r="K644" s="25">
        <f>VLOOKUP(I644,'Materiales,canteras'!C:E,3,0)</f>
        <v>1.41</v>
      </c>
      <c r="L644" s="105">
        <v>145.22</v>
      </c>
      <c r="M644" s="28" t="s">
        <v>93</v>
      </c>
      <c r="N644" s="57">
        <f t="shared" ca="1" si="131"/>
        <v>46267</v>
      </c>
      <c r="O644" s="43" t="s">
        <v>201</v>
      </c>
      <c r="R644">
        <v>3.78</v>
      </c>
      <c r="S644" s="82">
        <v>252</v>
      </c>
      <c r="T644" s="66">
        <f t="shared" si="115"/>
        <v>-103</v>
      </c>
      <c r="U644" s="46">
        <f t="shared" si="130"/>
        <v>145.22</v>
      </c>
      <c r="V644" s="82">
        <v>0</v>
      </c>
      <c r="W644" s="4">
        <v>2</v>
      </c>
      <c r="X644" s="195">
        <f t="shared" si="132"/>
        <v>145.22</v>
      </c>
      <c r="Y644" s="29" t="e">
        <f>IF(+VLOOKUP(I644,P.Referencia!E:S,3,FALSE)&lt;=L644,"Champion","Gerente")</f>
        <v>#N/A</v>
      </c>
      <c r="Z644" s="39" t="e">
        <f>VLOOKUP(I644,P.Referencia!E:S,3,0)</f>
        <v>#N/A</v>
      </c>
      <c r="AA644" s="40" t="e">
        <f t="shared" si="133"/>
        <v>#N/A</v>
      </c>
      <c r="AB644" s="41" t="e">
        <f t="shared" si="134"/>
        <v>#N/A</v>
      </c>
      <c r="AC644" s="41" t="e">
        <f t="shared" si="135"/>
        <v>#N/A</v>
      </c>
    </row>
    <row r="645" spans="1:29" hidden="1" x14ac:dyDescent="0.25">
      <c r="A645" s="24">
        <v>644</v>
      </c>
      <c r="B645" s="89" t="s">
        <v>444</v>
      </c>
      <c r="C645" s="4" t="str">
        <f t="shared" ref="C645:C662" si="136">_xlfn.CONCAT($C$1,D645,G645,I645,W645)</f>
        <v>LlaveD86467325663100002692</v>
      </c>
      <c r="D645" s="25" t="str">
        <f>VLOOKUP(E645,'NO MODIFICAR'!J:K,2,0)</f>
        <v>D864</v>
      </c>
      <c r="E645" s="102" t="s">
        <v>55</v>
      </c>
      <c r="F645" s="33" t="str">
        <f>VLOOKUP(D645,'NO MODIFICAR'!F:H,3,0)</f>
        <v xml:space="preserve">CENTRO </v>
      </c>
      <c r="G645" s="28">
        <v>67325663</v>
      </c>
      <c r="H645" s="93" t="s">
        <v>276</v>
      </c>
      <c r="I645" s="94">
        <v>10000269</v>
      </c>
      <c r="J645" s="4" t="str">
        <f>VLOOKUP(I645,'Materiales,canteras'!C:D,2,0)</f>
        <v>Grava Triturada Caliza 13 mm -</v>
      </c>
      <c r="K645" s="25">
        <f>VLOOKUP(I645,'Materiales,canteras'!C:E,3,0)</f>
        <v>1.423</v>
      </c>
      <c r="L645" s="105">
        <v>145.22</v>
      </c>
      <c r="M645" s="28" t="s">
        <v>93</v>
      </c>
      <c r="N645" s="57">
        <f t="shared" ca="1" si="131"/>
        <v>46267</v>
      </c>
      <c r="O645" s="43" t="s">
        <v>201</v>
      </c>
      <c r="R645">
        <v>3.95</v>
      </c>
      <c r="S645" s="82">
        <v>263</v>
      </c>
      <c r="T645" s="66">
        <f t="shared" si="115"/>
        <v>-113.83000000000001</v>
      </c>
      <c r="U645" s="46">
        <f t="shared" si="130"/>
        <v>145.22</v>
      </c>
      <c r="V645" s="82">
        <v>0</v>
      </c>
      <c r="W645" s="4">
        <v>2</v>
      </c>
      <c r="X645" s="195">
        <f t="shared" si="132"/>
        <v>145.22</v>
      </c>
      <c r="Y645" s="29" t="e">
        <f>IF(+VLOOKUP(I645,P.Referencia!E:S,3,FALSE)&lt;=L645,"Champion","Gerente")</f>
        <v>#N/A</v>
      </c>
      <c r="Z645" s="39" t="e">
        <f>VLOOKUP(I645,P.Referencia!E:S,3,0)</f>
        <v>#N/A</v>
      </c>
      <c r="AA645" s="40" t="e">
        <f t="shared" si="133"/>
        <v>#N/A</v>
      </c>
      <c r="AB645" s="41" t="e">
        <f t="shared" si="134"/>
        <v>#N/A</v>
      </c>
      <c r="AC645" s="41" t="e">
        <f t="shared" si="135"/>
        <v>#N/A</v>
      </c>
    </row>
    <row r="646" spans="1:29" hidden="1" x14ac:dyDescent="0.25">
      <c r="A646" s="24">
        <v>645</v>
      </c>
      <c r="B646" s="89" t="s">
        <v>444</v>
      </c>
      <c r="C646" s="4" t="str">
        <f t="shared" si="136"/>
        <v>LlaveD86467325663100010732</v>
      </c>
      <c r="D646" s="25" t="str">
        <f>VLOOKUP(E646,'NO MODIFICAR'!J:K,2,0)</f>
        <v>D864</v>
      </c>
      <c r="E646" s="102" t="s">
        <v>55</v>
      </c>
      <c r="F646" s="33" t="str">
        <f>VLOOKUP(D646,'NO MODIFICAR'!F:H,3,0)</f>
        <v xml:space="preserve">CENTRO </v>
      </c>
      <c r="G646" s="28">
        <v>67325663</v>
      </c>
      <c r="H646" s="93" t="s">
        <v>276</v>
      </c>
      <c r="I646" s="94">
        <v>10001073</v>
      </c>
      <c r="J646" s="4" t="str">
        <f>VLOOKUP(I646,'Materiales,canteras'!C:D,2,0)</f>
        <v>Arena Triturada Caliza Malla 4</v>
      </c>
      <c r="K646" s="25">
        <f>VLOOKUP(I646,'Materiales,canteras'!C:E,3,0)</f>
        <v>1.56</v>
      </c>
      <c r="L646" s="105">
        <v>96.16</v>
      </c>
      <c r="M646" s="28" t="s">
        <v>93</v>
      </c>
      <c r="N646" s="57">
        <f t="shared" ca="1" si="131"/>
        <v>46267</v>
      </c>
      <c r="O646" s="43" t="s">
        <v>201</v>
      </c>
      <c r="R646">
        <v>2.37</v>
      </c>
      <c r="S646" s="82">
        <v>158</v>
      </c>
      <c r="T646" s="66">
        <f t="shared" si="115"/>
        <v>-59.47</v>
      </c>
      <c r="U646" s="46">
        <f t="shared" si="130"/>
        <v>96.16</v>
      </c>
      <c r="V646" s="82">
        <v>0</v>
      </c>
      <c r="W646" s="4">
        <v>2</v>
      </c>
      <c r="X646" s="195">
        <f t="shared" si="132"/>
        <v>96.16</v>
      </c>
      <c r="Y646" s="29" t="e">
        <f>IF(+VLOOKUP(I646,P.Referencia!E:S,3,FALSE)&lt;=L646,"Champion","Gerente")</f>
        <v>#N/A</v>
      </c>
      <c r="Z646" s="39" t="e">
        <f>VLOOKUP(I646,P.Referencia!E:S,3,0)</f>
        <v>#N/A</v>
      </c>
      <c r="AA646" s="40" t="e">
        <f t="shared" si="133"/>
        <v>#N/A</v>
      </c>
      <c r="AB646" s="41" t="e">
        <f t="shared" si="134"/>
        <v>#N/A</v>
      </c>
      <c r="AC646" s="41" t="e">
        <f t="shared" si="135"/>
        <v>#N/A</v>
      </c>
    </row>
    <row r="647" spans="1:29" hidden="1" x14ac:dyDescent="0.25">
      <c r="A647" s="24">
        <v>646</v>
      </c>
      <c r="B647" s="89" t="s">
        <v>444</v>
      </c>
      <c r="C647" s="4" t="str">
        <f t="shared" si="136"/>
        <v>LlaveD82467332866100002872</v>
      </c>
      <c r="D647" s="25" t="str">
        <f>VLOOKUP(E647,'NO MODIFICAR'!J:K,2,0)</f>
        <v>D824</v>
      </c>
      <c r="E647" s="102" t="s">
        <v>28</v>
      </c>
      <c r="F647" s="33" t="str">
        <f>VLOOKUP(D647,'NO MODIFICAR'!F:H,3,0)</f>
        <v>NORESTE</v>
      </c>
      <c r="G647" s="28">
        <v>67332866</v>
      </c>
      <c r="H647" s="93" t="s">
        <v>492</v>
      </c>
      <c r="I647" s="94">
        <v>10000287</v>
      </c>
      <c r="J647" s="4" t="str">
        <f>VLOOKUP(I647,'Materiales,canteras'!C:D,2,0)</f>
        <v>Grava Triturada Basalto  40 mm</v>
      </c>
      <c r="K647" s="25">
        <f>VLOOKUP(I647,'Materiales,canteras'!C:E,3,0)</f>
        <v>1.44</v>
      </c>
      <c r="L647" s="105">
        <v>200</v>
      </c>
      <c r="M647" s="28" t="s">
        <v>93</v>
      </c>
      <c r="N647" s="57">
        <f t="shared" ca="1" si="131"/>
        <v>46267</v>
      </c>
      <c r="O647" s="43" t="s">
        <v>201</v>
      </c>
      <c r="Q647">
        <v>10.65</v>
      </c>
      <c r="R647">
        <v>3.04</v>
      </c>
      <c r="S647" s="82">
        <v>213</v>
      </c>
      <c r="T647" s="66">
        <f t="shared" si="115"/>
        <v>0.68999999999999773</v>
      </c>
      <c r="U647" s="46">
        <f t="shared" si="130"/>
        <v>200</v>
      </c>
      <c r="V647" s="82">
        <v>0</v>
      </c>
      <c r="W647" s="4">
        <v>2</v>
      </c>
      <c r="X647" s="195">
        <f t="shared" si="132"/>
        <v>200</v>
      </c>
      <c r="Y647" s="29" t="e">
        <f>IF(+VLOOKUP(I647,P.Referencia!E:S,3,FALSE)&lt;=L647,"Champion","Gerente")</f>
        <v>#N/A</v>
      </c>
      <c r="Z647" s="39" t="e">
        <f>VLOOKUP(I647,P.Referencia!E:S,3,0)</f>
        <v>#N/A</v>
      </c>
      <c r="AA647" s="40" t="e">
        <f t="shared" si="133"/>
        <v>#N/A</v>
      </c>
      <c r="AB647" s="41" t="e">
        <f t="shared" si="134"/>
        <v>#N/A</v>
      </c>
      <c r="AC647" s="41" t="e">
        <f t="shared" si="135"/>
        <v>#N/A</v>
      </c>
    </row>
    <row r="648" spans="1:29" hidden="1" x14ac:dyDescent="0.25">
      <c r="A648" s="24">
        <v>647</v>
      </c>
      <c r="B648" s="89" t="s">
        <v>444</v>
      </c>
      <c r="C648" s="4" t="str">
        <f t="shared" si="136"/>
        <v>LlaveD82467332866100002842</v>
      </c>
      <c r="D648" s="25" t="str">
        <f>VLOOKUP(E648,'NO MODIFICAR'!J:K,2,0)</f>
        <v>D824</v>
      </c>
      <c r="E648" s="102" t="s">
        <v>28</v>
      </c>
      <c r="F648" s="33" t="str">
        <f>VLOOKUP(D648,'NO MODIFICAR'!F:H,3,0)</f>
        <v>NORESTE</v>
      </c>
      <c r="G648" s="28">
        <v>67332866</v>
      </c>
      <c r="H648" s="93" t="s">
        <v>492</v>
      </c>
      <c r="I648" s="94">
        <v>10000284</v>
      </c>
      <c r="J648" s="4" t="str">
        <f>VLOOKUP(I648,'Materiales,canteras'!C:D,2,0)</f>
        <v>Grava Triturada Basalto  20 mm</v>
      </c>
      <c r="K648" s="25">
        <f>VLOOKUP(I648,'Materiales,canteras'!C:E,3,0)</f>
        <v>1.429</v>
      </c>
      <c r="L648" s="105">
        <v>200</v>
      </c>
      <c r="M648" s="28" t="s">
        <v>93</v>
      </c>
      <c r="N648" s="57">
        <f t="shared" ca="1" si="131"/>
        <v>46267</v>
      </c>
      <c r="O648" s="43" t="s">
        <v>201</v>
      </c>
      <c r="Q648">
        <v>10.65</v>
      </c>
      <c r="R648">
        <v>3.04</v>
      </c>
      <c r="S648" s="82">
        <v>213</v>
      </c>
      <c r="T648" s="66">
        <f t="shared" si="115"/>
        <v>0.68999999999999773</v>
      </c>
      <c r="U648" s="46">
        <f t="shared" si="130"/>
        <v>200</v>
      </c>
      <c r="V648" s="82">
        <v>0</v>
      </c>
      <c r="W648" s="4">
        <v>2</v>
      </c>
      <c r="X648" s="195">
        <f t="shared" si="132"/>
        <v>200</v>
      </c>
      <c r="Y648" s="29" t="e">
        <f>IF(+VLOOKUP(I648,P.Referencia!E:S,3,FALSE)&lt;=L648,"Champion","Gerente")</f>
        <v>#N/A</v>
      </c>
      <c r="Z648" s="39" t="e">
        <f>VLOOKUP(I648,P.Referencia!E:S,3,0)</f>
        <v>#N/A</v>
      </c>
      <c r="AA648" s="40" t="e">
        <f t="shared" si="133"/>
        <v>#N/A</v>
      </c>
      <c r="AB648" s="41" t="e">
        <f t="shared" si="134"/>
        <v>#N/A</v>
      </c>
      <c r="AC648" s="41" t="e">
        <f t="shared" si="135"/>
        <v>#N/A</v>
      </c>
    </row>
    <row r="649" spans="1:29" hidden="1" x14ac:dyDescent="0.25">
      <c r="A649" s="24">
        <v>648</v>
      </c>
      <c r="B649" s="89" t="s">
        <v>444</v>
      </c>
      <c r="C649" s="4" t="str">
        <f t="shared" si="136"/>
        <v>LlaveD82467332866100002852</v>
      </c>
      <c r="D649" s="25" t="str">
        <f>VLOOKUP(E649,'NO MODIFICAR'!J:K,2,0)</f>
        <v>D824</v>
      </c>
      <c r="E649" s="102" t="s">
        <v>28</v>
      </c>
      <c r="F649" s="33" t="str">
        <f>VLOOKUP(D649,'NO MODIFICAR'!F:H,3,0)</f>
        <v>NORESTE</v>
      </c>
      <c r="G649" s="28">
        <v>67332866</v>
      </c>
      <c r="H649" s="93" t="s">
        <v>492</v>
      </c>
      <c r="I649" s="94">
        <v>10000285</v>
      </c>
      <c r="J649" s="4" t="str">
        <f>VLOOKUP(I649,'Materiales,canteras'!C:D,2,0)</f>
        <v>Grava Triturada Basalto  10 mm</v>
      </c>
      <c r="K649" s="25">
        <f>VLOOKUP(I649,'Materiales,canteras'!C:E,3,0)</f>
        <v>1.46</v>
      </c>
      <c r="L649" s="105">
        <v>205</v>
      </c>
      <c r="M649" s="28" t="s">
        <v>93</v>
      </c>
      <c r="N649" s="57">
        <f t="shared" ca="1" si="131"/>
        <v>46267</v>
      </c>
      <c r="O649" s="43" t="s">
        <v>201</v>
      </c>
      <c r="Q649">
        <v>10.95</v>
      </c>
      <c r="R649">
        <v>3.12</v>
      </c>
      <c r="S649" s="82">
        <v>219</v>
      </c>
      <c r="T649" s="66">
        <f t="shared" si="115"/>
        <v>6.9999999999993179E-2</v>
      </c>
      <c r="U649" s="46">
        <f t="shared" si="130"/>
        <v>205</v>
      </c>
      <c r="V649" s="82">
        <v>0</v>
      </c>
      <c r="W649" s="4">
        <v>2</v>
      </c>
      <c r="X649" s="195">
        <f t="shared" si="132"/>
        <v>205</v>
      </c>
      <c r="Y649" s="29" t="e">
        <f>IF(+VLOOKUP(I649,P.Referencia!E:S,3,FALSE)&lt;=L649,"Champion","Gerente")</f>
        <v>#N/A</v>
      </c>
      <c r="Z649" s="39" t="e">
        <f>VLOOKUP(I649,P.Referencia!E:S,3,0)</f>
        <v>#N/A</v>
      </c>
      <c r="AA649" s="40" t="e">
        <f t="shared" si="133"/>
        <v>#N/A</v>
      </c>
      <c r="AB649" s="41" t="e">
        <f t="shared" si="134"/>
        <v>#N/A</v>
      </c>
      <c r="AC649" s="41" t="e">
        <f t="shared" si="135"/>
        <v>#N/A</v>
      </c>
    </row>
    <row r="650" spans="1:29" hidden="1" x14ac:dyDescent="0.25">
      <c r="A650" s="24">
        <v>649</v>
      </c>
      <c r="B650" s="89" t="s">
        <v>444</v>
      </c>
      <c r="C650" s="4" t="str">
        <f t="shared" si="136"/>
        <v>LlaveD82467332866100002342</v>
      </c>
      <c r="D650" s="25" t="str">
        <f>VLOOKUP(E650,'NO MODIFICAR'!J:K,2,0)</f>
        <v>D824</v>
      </c>
      <c r="E650" s="102" t="s">
        <v>28</v>
      </c>
      <c r="F650" s="33" t="str">
        <f>VLOOKUP(D650,'NO MODIFICAR'!F:H,3,0)</f>
        <v>NORESTE</v>
      </c>
      <c r="G650" s="28">
        <v>67332866</v>
      </c>
      <c r="H650" s="93" t="s">
        <v>492</v>
      </c>
      <c r="I650" s="94">
        <v>10000234</v>
      </c>
      <c r="J650" s="4" t="str">
        <f>VLOOKUP(I650,'Materiales,canteras'!C:D,2,0)</f>
        <v>Arena Triturada Basalto  Malla</v>
      </c>
      <c r="K650" s="25">
        <f>VLOOKUP(I650,'Materiales,canteras'!C:E,3,0)</f>
        <v>1.7789999999999999</v>
      </c>
      <c r="L650" s="105">
        <v>190</v>
      </c>
      <c r="M650" s="28" t="s">
        <v>93</v>
      </c>
      <c r="N650" s="57">
        <f t="shared" ca="1" si="131"/>
        <v>46267</v>
      </c>
      <c r="O650" s="43" t="s">
        <v>201</v>
      </c>
      <c r="Q650">
        <v>10.050000000000001</v>
      </c>
      <c r="R650">
        <v>2.86</v>
      </c>
      <c r="S650" s="82">
        <v>201</v>
      </c>
      <c r="T650" s="66">
        <f t="shared" si="115"/>
        <v>1.910000000000025</v>
      </c>
      <c r="U650" s="46">
        <f t="shared" si="130"/>
        <v>190</v>
      </c>
      <c r="V650" s="82">
        <v>0</v>
      </c>
      <c r="W650" s="4">
        <v>2</v>
      </c>
      <c r="X650" s="195">
        <f t="shared" si="132"/>
        <v>190</v>
      </c>
      <c r="Y650" s="29" t="e">
        <f>IF(+VLOOKUP(I650,P.Referencia!E:S,3,FALSE)&lt;=L650,"Champion","Gerente")</f>
        <v>#N/A</v>
      </c>
      <c r="Z650" s="39" t="e">
        <f>VLOOKUP(I650,P.Referencia!E:S,3,0)</f>
        <v>#N/A</v>
      </c>
      <c r="AA650" s="40" t="e">
        <f t="shared" si="133"/>
        <v>#N/A</v>
      </c>
      <c r="AB650" s="41" t="e">
        <f t="shared" si="134"/>
        <v>#N/A</v>
      </c>
      <c r="AC650" s="41" t="e">
        <f t="shared" si="135"/>
        <v>#N/A</v>
      </c>
    </row>
    <row r="651" spans="1:29" hidden="1" x14ac:dyDescent="0.25">
      <c r="A651" s="24">
        <v>650</v>
      </c>
      <c r="B651" s="89" t="s">
        <v>444</v>
      </c>
      <c r="C651" s="4" t="str">
        <f t="shared" si="136"/>
        <v>LlaveD82467332866100231082</v>
      </c>
      <c r="D651" s="25" t="str">
        <f>VLOOKUP(E651,'NO MODIFICAR'!J:K,2,0)</f>
        <v>D824</v>
      </c>
      <c r="E651" s="102" t="s">
        <v>28</v>
      </c>
      <c r="F651" s="33" t="str">
        <f>VLOOKUP(D651,'NO MODIFICAR'!F:H,3,0)</f>
        <v>NORESTE</v>
      </c>
      <c r="G651" s="28">
        <v>67332866</v>
      </c>
      <c r="H651" s="93" t="s">
        <v>492</v>
      </c>
      <c r="I651" s="94">
        <v>10023108</v>
      </c>
      <c r="J651" s="4" t="str">
        <f>VLOOKUP(I651,'Materiales,canteras'!C:D,2,0)</f>
        <v>Base H Triturada Basalto  1 1/2" a Finos</v>
      </c>
      <c r="K651" s="25">
        <f>VLOOKUP(I651,'Materiales,canteras'!C:E,3,0)</f>
        <v>1.9690000000000001</v>
      </c>
      <c r="L651" s="105">
        <v>185</v>
      </c>
      <c r="M651" s="28" t="s">
        <v>93</v>
      </c>
      <c r="N651" s="57">
        <f t="shared" ca="1" si="131"/>
        <v>46267</v>
      </c>
      <c r="O651" s="43" t="s">
        <v>201</v>
      </c>
      <c r="Q651">
        <v>10.050000000000001</v>
      </c>
      <c r="R651">
        <v>2.86</v>
      </c>
      <c r="S651" s="82">
        <v>201</v>
      </c>
      <c r="T651" s="66">
        <f t="shared" si="115"/>
        <v>-3.089999999999975</v>
      </c>
      <c r="U651" s="46">
        <f t="shared" si="130"/>
        <v>185</v>
      </c>
      <c r="V651" s="82">
        <v>0</v>
      </c>
      <c r="W651" s="4">
        <v>2</v>
      </c>
      <c r="X651" s="195">
        <f t="shared" si="132"/>
        <v>185</v>
      </c>
      <c r="Y651" s="29" t="e">
        <f>IF(+VLOOKUP(I651,P.Referencia!E:S,3,FALSE)&lt;=L651,"Champion","Gerente")</f>
        <v>#N/A</v>
      </c>
      <c r="Z651" s="39" t="e">
        <f>VLOOKUP(I651,P.Referencia!E:S,3,0)</f>
        <v>#N/A</v>
      </c>
      <c r="AA651" s="40" t="e">
        <f t="shared" si="133"/>
        <v>#N/A</v>
      </c>
      <c r="AB651" s="41" t="e">
        <f t="shared" si="134"/>
        <v>#N/A</v>
      </c>
      <c r="AC651" s="41" t="e">
        <f t="shared" si="135"/>
        <v>#N/A</v>
      </c>
    </row>
    <row r="652" spans="1:29" hidden="1" x14ac:dyDescent="0.25">
      <c r="A652" s="24">
        <v>651</v>
      </c>
      <c r="B652" s="89" t="s">
        <v>444</v>
      </c>
      <c r="C652" s="4" t="str">
        <f t="shared" si="136"/>
        <v>LlaveD82467332866100010772</v>
      </c>
      <c r="D652" s="25" t="str">
        <f>VLOOKUP(E652,'NO MODIFICAR'!J:K,2,0)</f>
        <v>D824</v>
      </c>
      <c r="E652" s="102" t="s">
        <v>28</v>
      </c>
      <c r="F652" s="33" t="str">
        <f>VLOOKUP(D652,'NO MODIFICAR'!F:H,3,0)</f>
        <v>NORESTE</v>
      </c>
      <c r="G652" s="28">
        <v>67332866</v>
      </c>
      <c r="H652" s="93" t="s">
        <v>492</v>
      </c>
      <c r="I652" s="94">
        <v>10001077</v>
      </c>
      <c r="J652" s="4" t="str">
        <f>VLOOKUP(I652,'Materiales,canteras'!C:D,2,0)</f>
        <v>Crudo Basalto</v>
      </c>
      <c r="K652" s="25">
        <f>VLOOKUP(I652,'Materiales,canteras'!C:E,3,0)</f>
        <v>1.35</v>
      </c>
      <c r="L652" s="105">
        <v>130</v>
      </c>
      <c r="M652" s="28" t="s">
        <v>93</v>
      </c>
      <c r="N652" s="57">
        <f t="shared" ca="1" si="131"/>
        <v>46267</v>
      </c>
      <c r="O652" s="43" t="s">
        <v>201</v>
      </c>
      <c r="Q652">
        <v>6.9</v>
      </c>
      <c r="R652">
        <v>1.97</v>
      </c>
      <c r="S652" s="82">
        <v>138</v>
      </c>
      <c r="T652" s="66">
        <f t="shared" si="115"/>
        <v>0.87000000000000455</v>
      </c>
      <c r="U652" s="46">
        <f t="shared" si="130"/>
        <v>130</v>
      </c>
      <c r="V652" s="82">
        <v>0</v>
      </c>
      <c r="W652" s="4">
        <v>2</v>
      </c>
      <c r="X652" s="195">
        <f t="shared" si="132"/>
        <v>130</v>
      </c>
      <c r="Y652" s="29" t="e">
        <f>IF(+VLOOKUP(I652,P.Referencia!E:S,3,FALSE)&lt;=L652,"Champion","Gerente")</f>
        <v>#N/A</v>
      </c>
      <c r="Z652" s="39" t="e">
        <f>VLOOKUP(I652,P.Referencia!E:S,3,0)</f>
        <v>#N/A</v>
      </c>
      <c r="AA652" s="40" t="e">
        <f t="shared" si="133"/>
        <v>#N/A</v>
      </c>
      <c r="AB652" s="41" t="e">
        <f t="shared" si="134"/>
        <v>#N/A</v>
      </c>
      <c r="AC652" s="41" t="e">
        <f t="shared" si="135"/>
        <v>#N/A</v>
      </c>
    </row>
    <row r="653" spans="1:29" hidden="1" x14ac:dyDescent="0.25">
      <c r="A653" s="24">
        <v>652</v>
      </c>
      <c r="B653" s="89" t="s">
        <v>444</v>
      </c>
      <c r="C653" s="4" t="str">
        <f t="shared" si="136"/>
        <v>LlaveD82467332866101916472</v>
      </c>
      <c r="D653" s="25" t="str">
        <f>VLOOKUP(E653,'NO MODIFICAR'!J:K,2,0)</f>
        <v>D824</v>
      </c>
      <c r="E653" s="102" t="s">
        <v>28</v>
      </c>
      <c r="F653" s="33" t="str">
        <f>VLOOKUP(D653,'NO MODIFICAR'!F:H,3,0)</f>
        <v>NORESTE</v>
      </c>
      <c r="G653" s="28">
        <v>67332866</v>
      </c>
      <c r="H653" s="93" t="s">
        <v>492</v>
      </c>
      <c r="I653" s="94">
        <v>10191647</v>
      </c>
      <c r="J653" s="4" t="str">
        <f>VLOOKUP(I653,'Materiales,canteras'!C:D,2,0)</f>
        <v>BALASTO 6# A 3#</v>
      </c>
      <c r="K653" s="25">
        <f>VLOOKUP(I653,'Materiales,canteras'!C:E,3,0)</f>
        <v>1.4410000000000001</v>
      </c>
      <c r="L653" s="105">
        <v>155</v>
      </c>
      <c r="M653" s="28" t="s">
        <v>93</v>
      </c>
      <c r="N653" s="57">
        <f t="shared" ca="1" si="131"/>
        <v>46267</v>
      </c>
      <c r="O653" s="43" t="s">
        <v>201</v>
      </c>
      <c r="Q653">
        <v>8.65</v>
      </c>
      <c r="R653">
        <v>2.4700000000000002</v>
      </c>
      <c r="S653" s="82">
        <v>173</v>
      </c>
      <c r="T653" s="66">
        <f t="shared" si="115"/>
        <v>-6.8799999999999955</v>
      </c>
      <c r="U653" s="46">
        <f t="shared" si="130"/>
        <v>155</v>
      </c>
      <c r="V653" s="82">
        <v>0</v>
      </c>
      <c r="W653" s="4">
        <v>2</v>
      </c>
      <c r="X653" s="195">
        <f t="shared" si="132"/>
        <v>155</v>
      </c>
      <c r="Y653" s="29" t="e">
        <f>IF(+VLOOKUP(I653,P.Referencia!E:S,3,FALSE)&lt;=L653,"Champion","Gerente")</f>
        <v>#N/A</v>
      </c>
      <c r="Z653" s="39" t="e">
        <f>VLOOKUP(I653,P.Referencia!E:S,3,0)</f>
        <v>#N/A</v>
      </c>
      <c r="AA653" s="40" t="e">
        <f t="shared" si="133"/>
        <v>#N/A</v>
      </c>
      <c r="AB653" s="41" t="e">
        <f t="shared" si="134"/>
        <v>#N/A</v>
      </c>
      <c r="AC653" s="41" t="e">
        <f t="shared" si="135"/>
        <v>#N/A</v>
      </c>
    </row>
    <row r="654" spans="1:29" hidden="1" x14ac:dyDescent="0.25">
      <c r="A654" s="24">
        <v>653</v>
      </c>
      <c r="B654" s="89" t="s">
        <v>444</v>
      </c>
      <c r="C654" s="4" t="str">
        <f t="shared" si="136"/>
        <v>LlaveD82467332866100002892</v>
      </c>
      <c r="D654" s="25" t="str">
        <f>VLOOKUP(E654,'NO MODIFICAR'!J:K,2,0)</f>
        <v>D824</v>
      </c>
      <c r="E654" s="102" t="s">
        <v>28</v>
      </c>
      <c r="F654" s="33" t="str">
        <f>VLOOKUP(D654,'NO MODIFICAR'!F:H,3,0)</f>
        <v>NORESTE</v>
      </c>
      <c r="G654" s="28">
        <v>67332866</v>
      </c>
      <c r="H654" s="93" t="s">
        <v>492</v>
      </c>
      <c r="I654" s="94">
        <v>10000289</v>
      </c>
      <c r="J654" s="4" t="str">
        <f>VLOOKUP(I654,'Materiales,canteras'!C:D,2,0)</f>
        <v>Desperdicio Triturado Basalto</v>
      </c>
      <c r="K654" s="25">
        <f>VLOOKUP(I654,'Materiales,canteras'!C:E,3,0)</f>
        <v>1.55</v>
      </c>
      <c r="L654" s="105">
        <v>55</v>
      </c>
      <c r="M654" s="28" t="s">
        <v>93</v>
      </c>
      <c r="N654" s="57">
        <f t="shared" ca="1" si="131"/>
        <v>46267</v>
      </c>
      <c r="O654" s="43" t="s">
        <v>201</v>
      </c>
      <c r="Q654">
        <v>3.45</v>
      </c>
      <c r="R654">
        <v>0.98</v>
      </c>
      <c r="S654" s="82">
        <v>69</v>
      </c>
      <c r="T654" s="66">
        <f t="shared" si="115"/>
        <v>-9.5699999999999932</v>
      </c>
      <c r="U654" s="46">
        <f t="shared" si="130"/>
        <v>55</v>
      </c>
      <c r="V654" s="82">
        <v>0</v>
      </c>
      <c r="W654" s="4">
        <v>2</v>
      </c>
      <c r="X654" s="195">
        <f t="shared" si="132"/>
        <v>55</v>
      </c>
      <c r="Y654" s="29" t="e">
        <f>IF(+VLOOKUP(I654,P.Referencia!E:S,3,FALSE)&lt;=L654,"Champion","Gerente")</f>
        <v>#N/A</v>
      </c>
      <c r="Z654" s="39" t="e">
        <f>VLOOKUP(I654,P.Referencia!E:S,3,0)</f>
        <v>#N/A</v>
      </c>
      <c r="AA654" s="40" t="e">
        <f t="shared" si="133"/>
        <v>#N/A</v>
      </c>
      <c r="AB654" s="41" t="e">
        <f t="shared" si="134"/>
        <v>#N/A</v>
      </c>
      <c r="AC654" s="41" t="e">
        <f t="shared" si="135"/>
        <v>#N/A</v>
      </c>
    </row>
    <row r="655" spans="1:29" hidden="1" x14ac:dyDescent="0.25">
      <c r="A655" s="24">
        <v>654</v>
      </c>
      <c r="B655" s="89" t="s">
        <v>444</v>
      </c>
      <c r="C655" s="4" t="str">
        <f t="shared" si="136"/>
        <v>LlaveD82467363805100002872</v>
      </c>
      <c r="D655" s="25" t="str">
        <f>VLOOKUP(E655,'NO MODIFICAR'!J:K,2,0)</f>
        <v>D824</v>
      </c>
      <c r="E655" s="102" t="s">
        <v>28</v>
      </c>
      <c r="F655" s="33" t="str">
        <f>VLOOKUP(D655,'NO MODIFICAR'!F:H,3,0)</f>
        <v>NORESTE</v>
      </c>
      <c r="G655" s="28">
        <v>67363805</v>
      </c>
      <c r="H655" s="93" t="s">
        <v>493</v>
      </c>
      <c r="I655" s="94">
        <v>10000287</v>
      </c>
      <c r="J655" s="4" t="str">
        <f>VLOOKUP(I655,'Materiales,canteras'!C:D,2,0)</f>
        <v>Grava Triturada Basalto  40 mm</v>
      </c>
      <c r="K655" s="25">
        <f>VLOOKUP(I655,'Materiales,canteras'!C:E,3,0)</f>
        <v>1.44</v>
      </c>
      <c r="L655" s="105">
        <v>200</v>
      </c>
      <c r="M655" s="28" t="s">
        <v>93</v>
      </c>
      <c r="N655" s="57">
        <f t="shared" ca="1" si="131"/>
        <v>46267</v>
      </c>
      <c r="O655" s="43" t="s">
        <v>201</v>
      </c>
      <c r="Q655">
        <v>10.65</v>
      </c>
      <c r="R655">
        <v>3.04</v>
      </c>
      <c r="S655" s="82">
        <v>213</v>
      </c>
      <c r="T655" s="66">
        <f t="shared" ref="T655:T687" si="137">L655-((S655-P655)-(Q655)-(R655))</f>
        <v>0.68999999999999773</v>
      </c>
      <c r="U655" s="46">
        <f t="shared" ref="U655:U687" si="138">L655</f>
        <v>200</v>
      </c>
      <c r="V655" s="82">
        <v>0</v>
      </c>
      <c r="W655" s="4">
        <v>2</v>
      </c>
      <c r="X655" s="195">
        <f t="shared" ref="X655:X662" si="139">U655+V655</f>
        <v>200</v>
      </c>
      <c r="Y655" s="29" t="e">
        <f>IF(+VLOOKUP(I655,P.Referencia!E:S,3,FALSE)&lt;=L655,"Champion","Gerente")</f>
        <v>#N/A</v>
      </c>
      <c r="Z655" s="39" t="e">
        <f>VLOOKUP(I655,P.Referencia!E:S,3,0)</f>
        <v>#N/A</v>
      </c>
      <c r="AA655" s="40" t="e">
        <f t="shared" ref="AA655:AA662" si="140">(Z655-U655)/U655</f>
        <v>#N/A</v>
      </c>
      <c r="AB655" s="41" t="e">
        <f t="shared" ref="AB655:AB662" si="141">U655*AA655</f>
        <v>#N/A</v>
      </c>
      <c r="AC655" s="41" t="e">
        <f t="shared" ref="AC655:AC662" si="142">U655+AB655</f>
        <v>#N/A</v>
      </c>
    </row>
    <row r="656" spans="1:29" hidden="1" x14ac:dyDescent="0.25">
      <c r="A656" s="24">
        <v>655</v>
      </c>
      <c r="B656" s="89" t="s">
        <v>444</v>
      </c>
      <c r="C656" s="4" t="str">
        <f t="shared" si="136"/>
        <v>LlaveD82467363805100002842</v>
      </c>
      <c r="D656" s="25" t="str">
        <f>VLOOKUP(E656,'NO MODIFICAR'!J:K,2,0)</f>
        <v>D824</v>
      </c>
      <c r="E656" s="102" t="s">
        <v>28</v>
      </c>
      <c r="F656" s="33" t="str">
        <f>VLOOKUP(D656,'NO MODIFICAR'!F:H,3,0)</f>
        <v>NORESTE</v>
      </c>
      <c r="G656" s="28">
        <v>67363805</v>
      </c>
      <c r="H656" s="93" t="s">
        <v>493</v>
      </c>
      <c r="I656" s="94">
        <v>10000284</v>
      </c>
      <c r="J656" s="4" t="str">
        <f>VLOOKUP(I656,'Materiales,canteras'!C:D,2,0)</f>
        <v>Grava Triturada Basalto  20 mm</v>
      </c>
      <c r="K656" s="25">
        <f>VLOOKUP(I656,'Materiales,canteras'!C:E,3,0)</f>
        <v>1.429</v>
      </c>
      <c r="L656" s="105">
        <v>200</v>
      </c>
      <c r="M656" s="28" t="s">
        <v>93</v>
      </c>
      <c r="N656" s="57">
        <f t="shared" ca="1" si="131"/>
        <v>46267</v>
      </c>
      <c r="O656" s="43" t="s">
        <v>201</v>
      </c>
      <c r="Q656">
        <v>10.65</v>
      </c>
      <c r="R656">
        <v>3.04</v>
      </c>
      <c r="S656" s="82">
        <v>213</v>
      </c>
      <c r="T656" s="66">
        <f t="shared" si="137"/>
        <v>0.68999999999999773</v>
      </c>
      <c r="U656" s="46">
        <f t="shared" si="138"/>
        <v>200</v>
      </c>
      <c r="V656" s="82">
        <v>0</v>
      </c>
      <c r="W656" s="4">
        <v>2</v>
      </c>
      <c r="X656" s="195">
        <f t="shared" si="139"/>
        <v>200</v>
      </c>
      <c r="Y656" s="29" t="e">
        <f>IF(+VLOOKUP(I656,P.Referencia!E:S,3,FALSE)&lt;=L656,"Champion","Gerente")</f>
        <v>#N/A</v>
      </c>
      <c r="Z656" s="39" t="e">
        <f>VLOOKUP(I656,P.Referencia!E:S,3,0)</f>
        <v>#N/A</v>
      </c>
      <c r="AA656" s="40" t="e">
        <f t="shared" si="140"/>
        <v>#N/A</v>
      </c>
      <c r="AB656" s="41" t="e">
        <f t="shared" si="141"/>
        <v>#N/A</v>
      </c>
      <c r="AC656" s="41" t="e">
        <f t="shared" si="142"/>
        <v>#N/A</v>
      </c>
    </row>
    <row r="657" spans="1:30" hidden="1" x14ac:dyDescent="0.25">
      <c r="A657" s="24">
        <v>656</v>
      </c>
      <c r="B657" s="89" t="s">
        <v>444</v>
      </c>
      <c r="C657" s="4" t="str">
        <f t="shared" si="136"/>
        <v>LlaveD82467363805100002852</v>
      </c>
      <c r="D657" s="25" t="str">
        <f>VLOOKUP(E657,'NO MODIFICAR'!J:K,2,0)</f>
        <v>D824</v>
      </c>
      <c r="E657" s="102" t="s">
        <v>28</v>
      </c>
      <c r="F657" s="33" t="str">
        <f>VLOOKUP(D657,'NO MODIFICAR'!F:H,3,0)</f>
        <v>NORESTE</v>
      </c>
      <c r="G657" s="28">
        <v>67363805</v>
      </c>
      <c r="H657" s="93" t="s">
        <v>493</v>
      </c>
      <c r="I657" s="94">
        <v>10000285</v>
      </c>
      <c r="J657" s="4" t="str">
        <f>VLOOKUP(I657,'Materiales,canteras'!C:D,2,0)</f>
        <v>Grava Triturada Basalto  10 mm</v>
      </c>
      <c r="K657" s="25">
        <f>VLOOKUP(I657,'Materiales,canteras'!C:E,3,0)</f>
        <v>1.46</v>
      </c>
      <c r="L657" s="105">
        <v>205</v>
      </c>
      <c r="M657" s="28" t="s">
        <v>93</v>
      </c>
      <c r="N657" s="57">
        <f t="shared" ca="1" si="131"/>
        <v>46267</v>
      </c>
      <c r="O657" s="43" t="s">
        <v>201</v>
      </c>
      <c r="Q657">
        <v>10.95</v>
      </c>
      <c r="R657">
        <v>3.12</v>
      </c>
      <c r="S657" s="82">
        <v>219</v>
      </c>
      <c r="T657" s="66">
        <f t="shared" si="137"/>
        <v>6.9999999999993179E-2</v>
      </c>
      <c r="U657" s="46">
        <f t="shared" si="138"/>
        <v>205</v>
      </c>
      <c r="V657" s="82">
        <v>0</v>
      </c>
      <c r="W657" s="4">
        <v>2</v>
      </c>
      <c r="X657" s="195">
        <f t="shared" si="139"/>
        <v>205</v>
      </c>
      <c r="Y657" s="29" t="e">
        <f>IF(+VLOOKUP(I657,P.Referencia!E:S,3,FALSE)&lt;=L657,"Champion","Gerente")</f>
        <v>#N/A</v>
      </c>
      <c r="Z657" s="39" t="e">
        <f>VLOOKUP(I657,P.Referencia!E:S,3,0)</f>
        <v>#N/A</v>
      </c>
      <c r="AA657" s="40" t="e">
        <f t="shared" si="140"/>
        <v>#N/A</v>
      </c>
      <c r="AB657" s="41" t="e">
        <f t="shared" si="141"/>
        <v>#N/A</v>
      </c>
      <c r="AC657" s="41" t="e">
        <f t="shared" si="142"/>
        <v>#N/A</v>
      </c>
    </row>
    <row r="658" spans="1:30" hidden="1" x14ac:dyDescent="0.25">
      <c r="A658" s="24">
        <v>657</v>
      </c>
      <c r="B658" s="89" t="s">
        <v>444</v>
      </c>
      <c r="C658" s="4" t="str">
        <f t="shared" si="136"/>
        <v>LlaveD82467363805100002342</v>
      </c>
      <c r="D658" s="25" t="str">
        <f>VLOOKUP(E658,'NO MODIFICAR'!J:K,2,0)</f>
        <v>D824</v>
      </c>
      <c r="E658" s="102" t="s">
        <v>28</v>
      </c>
      <c r="F658" s="33" t="str">
        <f>VLOOKUP(D658,'NO MODIFICAR'!F:H,3,0)</f>
        <v>NORESTE</v>
      </c>
      <c r="G658" s="28">
        <v>67363805</v>
      </c>
      <c r="H658" s="93" t="s">
        <v>493</v>
      </c>
      <c r="I658" s="94">
        <v>10000234</v>
      </c>
      <c r="J658" s="4" t="str">
        <f>VLOOKUP(I658,'Materiales,canteras'!C:D,2,0)</f>
        <v>Arena Triturada Basalto  Malla</v>
      </c>
      <c r="K658" s="25">
        <f>VLOOKUP(I658,'Materiales,canteras'!C:E,3,0)</f>
        <v>1.7789999999999999</v>
      </c>
      <c r="L658" s="105">
        <v>190</v>
      </c>
      <c r="M658" s="28" t="s">
        <v>93</v>
      </c>
      <c r="N658" s="57">
        <f t="shared" ca="1" si="131"/>
        <v>46267</v>
      </c>
      <c r="O658" s="43" t="s">
        <v>201</v>
      </c>
      <c r="Q658">
        <v>10.050000000000001</v>
      </c>
      <c r="R658">
        <v>2.86</v>
      </c>
      <c r="S658" s="82">
        <v>201</v>
      </c>
      <c r="T658" s="66">
        <f t="shared" si="137"/>
        <v>1.910000000000025</v>
      </c>
      <c r="U658" s="46">
        <f t="shared" si="138"/>
        <v>190</v>
      </c>
      <c r="V658" s="82">
        <v>0</v>
      </c>
      <c r="W658" s="4">
        <v>2</v>
      </c>
      <c r="X658" s="195">
        <f t="shared" si="139"/>
        <v>190</v>
      </c>
      <c r="Y658" s="29" t="e">
        <f>IF(+VLOOKUP(I658,P.Referencia!E:S,3,FALSE)&lt;=L658,"Champion","Gerente")</f>
        <v>#N/A</v>
      </c>
      <c r="Z658" s="39" t="e">
        <f>VLOOKUP(I658,P.Referencia!E:S,3,0)</f>
        <v>#N/A</v>
      </c>
      <c r="AA658" s="40" t="e">
        <f t="shared" si="140"/>
        <v>#N/A</v>
      </c>
      <c r="AB658" s="41" t="e">
        <f t="shared" si="141"/>
        <v>#N/A</v>
      </c>
      <c r="AC658" s="41" t="e">
        <f t="shared" si="142"/>
        <v>#N/A</v>
      </c>
    </row>
    <row r="659" spans="1:30" hidden="1" x14ac:dyDescent="0.25">
      <c r="A659" s="24">
        <v>658</v>
      </c>
      <c r="B659" s="89" t="s">
        <v>444</v>
      </c>
      <c r="C659" s="4" t="str">
        <f t="shared" si="136"/>
        <v>LlaveD82467363805100231082</v>
      </c>
      <c r="D659" s="25" t="str">
        <f>VLOOKUP(E659,'NO MODIFICAR'!J:K,2,0)</f>
        <v>D824</v>
      </c>
      <c r="E659" s="102" t="s">
        <v>28</v>
      </c>
      <c r="F659" s="33" t="str">
        <f>VLOOKUP(D659,'NO MODIFICAR'!F:H,3,0)</f>
        <v>NORESTE</v>
      </c>
      <c r="G659" s="28">
        <v>67363805</v>
      </c>
      <c r="H659" s="93" t="s">
        <v>493</v>
      </c>
      <c r="I659" s="94">
        <v>10023108</v>
      </c>
      <c r="J659" s="4" t="str">
        <f>VLOOKUP(I659,'Materiales,canteras'!C:D,2,0)</f>
        <v>Base H Triturada Basalto  1 1/2" a Finos</v>
      </c>
      <c r="K659" s="25">
        <f>VLOOKUP(I659,'Materiales,canteras'!C:E,3,0)</f>
        <v>1.9690000000000001</v>
      </c>
      <c r="L659" s="105">
        <v>190</v>
      </c>
      <c r="M659" s="28" t="s">
        <v>93</v>
      </c>
      <c r="N659" s="57">
        <f t="shared" ca="1" si="131"/>
        <v>46267</v>
      </c>
      <c r="O659" s="43" t="s">
        <v>201</v>
      </c>
      <c r="Q659">
        <v>10.050000000000001</v>
      </c>
      <c r="R659">
        <v>2.86</v>
      </c>
      <c r="S659" s="82">
        <v>201</v>
      </c>
      <c r="T659" s="66">
        <f t="shared" si="137"/>
        <v>1.910000000000025</v>
      </c>
      <c r="U659" s="46">
        <f t="shared" si="138"/>
        <v>190</v>
      </c>
      <c r="V659" s="82">
        <v>0</v>
      </c>
      <c r="W659" s="4">
        <v>2</v>
      </c>
      <c r="X659" s="195">
        <f t="shared" si="139"/>
        <v>190</v>
      </c>
      <c r="Y659" s="29" t="e">
        <f>IF(+VLOOKUP(I659,P.Referencia!E:S,3,FALSE)&lt;=L659,"Champion","Gerente")</f>
        <v>#N/A</v>
      </c>
      <c r="Z659" s="39" t="e">
        <f>VLOOKUP(I659,P.Referencia!E:S,3,0)</f>
        <v>#N/A</v>
      </c>
      <c r="AA659" s="40" t="e">
        <f t="shared" si="140"/>
        <v>#N/A</v>
      </c>
      <c r="AB659" s="41" t="e">
        <f t="shared" si="141"/>
        <v>#N/A</v>
      </c>
      <c r="AC659" s="41" t="e">
        <f t="shared" si="142"/>
        <v>#N/A</v>
      </c>
    </row>
    <row r="660" spans="1:30" hidden="1" x14ac:dyDescent="0.25">
      <c r="A660" s="24">
        <v>659</v>
      </c>
      <c r="B660" s="89" t="s">
        <v>444</v>
      </c>
      <c r="C660" s="4" t="str">
        <f t="shared" si="136"/>
        <v>LlaveD82467363805100010772</v>
      </c>
      <c r="D660" s="25" t="str">
        <f>VLOOKUP(E660,'NO MODIFICAR'!J:K,2,0)</f>
        <v>D824</v>
      </c>
      <c r="E660" s="102" t="s">
        <v>28</v>
      </c>
      <c r="F660" s="33" t="str">
        <f>VLOOKUP(D660,'NO MODIFICAR'!F:H,3,0)</f>
        <v>NORESTE</v>
      </c>
      <c r="G660" s="28">
        <v>67363805</v>
      </c>
      <c r="H660" s="93" t="s">
        <v>493</v>
      </c>
      <c r="I660" s="94">
        <v>10001077</v>
      </c>
      <c r="J660" s="4" t="str">
        <f>VLOOKUP(I660,'Materiales,canteras'!C:D,2,0)</f>
        <v>Crudo Basalto</v>
      </c>
      <c r="K660" s="25">
        <f>VLOOKUP(I660,'Materiales,canteras'!C:E,3,0)</f>
        <v>1.35</v>
      </c>
      <c r="L660" s="105">
        <v>130</v>
      </c>
      <c r="M660" s="28" t="s">
        <v>93</v>
      </c>
      <c r="N660" s="57">
        <f t="shared" ca="1" si="131"/>
        <v>46267</v>
      </c>
      <c r="O660" s="43" t="s">
        <v>201</v>
      </c>
      <c r="Q660">
        <v>6.9</v>
      </c>
      <c r="R660">
        <v>1.97</v>
      </c>
      <c r="S660" s="82">
        <v>138</v>
      </c>
      <c r="T660" s="66">
        <f t="shared" si="137"/>
        <v>0.87000000000000455</v>
      </c>
      <c r="U660" s="46">
        <f t="shared" si="138"/>
        <v>130</v>
      </c>
      <c r="V660" s="82">
        <v>0</v>
      </c>
      <c r="W660" s="4">
        <v>2</v>
      </c>
      <c r="X660" s="195">
        <f t="shared" si="139"/>
        <v>130</v>
      </c>
      <c r="Y660" s="29" t="e">
        <f>IF(+VLOOKUP(I660,P.Referencia!E:S,3,FALSE)&lt;=L660,"Champion","Gerente")</f>
        <v>#N/A</v>
      </c>
      <c r="Z660" s="39" t="e">
        <f>VLOOKUP(I660,P.Referencia!E:S,3,0)</f>
        <v>#N/A</v>
      </c>
      <c r="AA660" s="40" t="e">
        <f t="shared" si="140"/>
        <v>#N/A</v>
      </c>
      <c r="AB660" s="41" t="e">
        <f t="shared" si="141"/>
        <v>#N/A</v>
      </c>
      <c r="AC660" s="41" t="e">
        <f t="shared" si="142"/>
        <v>#N/A</v>
      </c>
    </row>
    <row r="661" spans="1:30" hidden="1" x14ac:dyDescent="0.25">
      <c r="A661" s="24">
        <v>660</v>
      </c>
      <c r="B661" s="89" t="s">
        <v>444</v>
      </c>
      <c r="C661" s="4" t="str">
        <f t="shared" si="136"/>
        <v>LlaveD82467363805101916472</v>
      </c>
      <c r="D661" s="25" t="str">
        <f>VLOOKUP(E661,'NO MODIFICAR'!J:K,2,0)</f>
        <v>D824</v>
      </c>
      <c r="E661" s="102" t="s">
        <v>28</v>
      </c>
      <c r="F661" s="33" t="str">
        <f>VLOOKUP(D661,'NO MODIFICAR'!F:H,3,0)</f>
        <v>NORESTE</v>
      </c>
      <c r="G661" s="28">
        <v>67363805</v>
      </c>
      <c r="H661" s="93" t="s">
        <v>493</v>
      </c>
      <c r="I661" s="94">
        <v>10191647</v>
      </c>
      <c r="J661" s="4" t="str">
        <f>VLOOKUP(I661,'Materiales,canteras'!C:D,2,0)</f>
        <v>BALASTO 6# A 3#</v>
      </c>
      <c r="K661" s="25">
        <f>VLOOKUP(I661,'Materiales,canteras'!C:E,3,0)</f>
        <v>1.4410000000000001</v>
      </c>
      <c r="L661" s="105">
        <v>155</v>
      </c>
      <c r="M661" s="28" t="s">
        <v>93</v>
      </c>
      <c r="N661" s="57">
        <f t="shared" ca="1" si="131"/>
        <v>46267</v>
      </c>
      <c r="O661" s="43" t="s">
        <v>201</v>
      </c>
      <c r="Q661">
        <v>8.65</v>
      </c>
      <c r="R661">
        <v>2.4700000000000002</v>
      </c>
      <c r="S661" s="82">
        <v>173</v>
      </c>
      <c r="T661" s="66">
        <f t="shared" si="137"/>
        <v>-6.8799999999999955</v>
      </c>
      <c r="U661" s="46">
        <f t="shared" si="138"/>
        <v>155</v>
      </c>
      <c r="V661" s="82">
        <v>0</v>
      </c>
      <c r="W661" s="4">
        <v>2</v>
      </c>
      <c r="X661" s="195">
        <f t="shared" si="139"/>
        <v>155</v>
      </c>
      <c r="Y661" s="29" t="e">
        <f>IF(+VLOOKUP(I661,P.Referencia!E:S,3,FALSE)&lt;=L661,"Champion","Gerente")</f>
        <v>#N/A</v>
      </c>
      <c r="Z661" s="39" t="e">
        <f>VLOOKUP(I661,P.Referencia!E:S,3,0)</f>
        <v>#N/A</v>
      </c>
      <c r="AA661" s="40" t="e">
        <f t="shared" si="140"/>
        <v>#N/A</v>
      </c>
      <c r="AB661" s="41" t="e">
        <f t="shared" si="141"/>
        <v>#N/A</v>
      </c>
      <c r="AC661" s="41" t="e">
        <f t="shared" si="142"/>
        <v>#N/A</v>
      </c>
    </row>
    <row r="662" spans="1:30" hidden="1" x14ac:dyDescent="0.25">
      <c r="A662" s="24">
        <v>661</v>
      </c>
      <c r="B662" s="89" t="s">
        <v>444</v>
      </c>
      <c r="C662" s="4" t="str">
        <f t="shared" si="136"/>
        <v>LlaveD8246736380510000289</v>
      </c>
      <c r="D662" s="25" t="str">
        <f>VLOOKUP(E662,'NO MODIFICAR'!J:K,2,0)</f>
        <v>D824</v>
      </c>
      <c r="E662" s="102" t="s">
        <v>28</v>
      </c>
      <c r="F662" s="33" t="str">
        <f>VLOOKUP(D662,'NO MODIFICAR'!F:H,3,0)</f>
        <v>NORESTE</v>
      </c>
      <c r="G662" s="28">
        <v>67363805</v>
      </c>
      <c r="H662" s="93" t="s">
        <v>493</v>
      </c>
      <c r="I662" s="94">
        <v>10000289</v>
      </c>
      <c r="J662" s="4" t="str">
        <f>VLOOKUP(I662,'Materiales,canteras'!C:D,2,0)</f>
        <v>Desperdicio Triturado Basalto</v>
      </c>
      <c r="K662" s="25">
        <f>VLOOKUP(I662,'Materiales,canteras'!C:E,3,0)</f>
        <v>1.55</v>
      </c>
      <c r="L662" s="105">
        <v>60</v>
      </c>
      <c r="M662" s="28" t="s">
        <v>93</v>
      </c>
      <c r="N662" s="57">
        <f t="shared" ca="1" si="131"/>
        <v>46267</v>
      </c>
      <c r="O662" s="43" t="s">
        <v>201</v>
      </c>
      <c r="Q662">
        <v>3.45</v>
      </c>
      <c r="R662">
        <v>0.98</v>
      </c>
      <c r="S662" s="82">
        <v>69</v>
      </c>
      <c r="T662" s="66">
        <f t="shared" si="137"/>
        <v>-4.5699999999999932</v>
      </c>
      <c r="U662" s="46">
        <f t="shared" si="138"/>
        <v>60</v>
      </c>
      <c r="V662" s="82"/>
      <c r="X662" s="195">
        <f t="shared" si="139"/>
        <v>60</v>
      </c>
      <c r="Y662" s="29" t="e">
        <f>IF(+VLOOKUP(I662,P.Referencia!E:S,3,FALSE)&lt;=L662,"Champion","Gerente")</f>
        <v>#N/A</v>
      </c>
      <c r="Z662" s="39" t="e">
        <f>VLOOKUP(I662,P.Referencia!E:S,3,0)</f>
        <v>#N/A</v>
      </c>
      <c r="AA662" s="40" t="e">
        <f t="shared" si="140"/>
        <v>#N/A</v>
      </c>
      <c r="AB662" s="41" t="e">
        <f t="shared" si="141"/>
        <v>#N/A</v>
      </c>
      <c r="AC662" s="41" t="e">
        <f t="shared" si="142"/>
        <v>#N/A</v>
      </c>
    </row>
    <row r="663" spans="1:30" hidden="1" x14ac:dyDescent="0.25">
      <c r="A663" s="24">
        <v>662</v>
      </c>
      <c r="B663" s="89" t="s">
        <v>444</v>
      </c>
      <c r="C663" s="4" t="e">
        <f t="shared" ref="C663:C705" si="143">_xlfn.CONCAT($C$1,D663,G663,I663,W663)</f>
        <v>#N/A</v>
      </c>
      <c r="D663" s="25" t="e">
        <f>VLOOKUP(E663,'NO MODIFICAR'!J:K,2,0)</f>
        <v>#N/A</v>
      </c>
      <c r="E663" s="102"/>
      <c r="F663" s="33" t="e">
        <f>VLOOKUP(D663,'NO MODIFICAR'!F:H,3,0)</f>
        <v>#N/A</v>
      </c>
      <c r="G663" s="28">
        <v>67363918</v>
      </c>
      <c r="H663" s="93" t="s">
        <v>494</v>
      </c>
      <c r="I663" s="94">
        <v>10023108</v>
      </c>
      <c r="J663" s="4" t="str">
        <f>VLOOKUP(I663,'Materiales,canteras'!C:D,2,0)</f>
        <v>Base H Triturada Basalto  1 1/2" a Finos</v>
      </c>
      <c r="K663" s="25">
        <f>VLOOKUP(I663,'Materiales,canteras'!C:E,3,0)</f>
        <v>1.9690000000000001</v>
      </c>
      <c r="L663" s="105">
        <v>180</v>
      </c>
      <c r="M663" s="28" t="s">
        <v>93</v>
      </c>
      <c r="N663" s="57">
        <f t="shared" ca="1" si="131"/>
        <v>46267</v>
      </c>
      <c r="O663" s="43" t="s">
        <v>201</v>
      </c>
      <c r="S663" s="82"/>
      <c r="T663" s="66">
        <f t="shared" si="137"/>
        <v>180</v>
      </c>
      <c r="U663" s="46">
        <f t="shared" si="138"/>
        <v>180</v>
      </c>
      <c r="V663" s="82"/>
      <c r="X663" s="195">
        <f t="shared" ref="X663:X671" si="144">U663+V663</f>
        <v>180</v>
      </c>
      <c r="Y663" s="29" t="e">
        <f>IF(+VLOOKUP(I663,P.Referencia!E:S,3,FALSE)&lt;=L663,"Champion","Gerente")</f>
        <v>#N/A</v>
      </c>
      <c r="Z663" s="39" t="e">
        <f>VLOOKUP(I663,P.Referencia!E:S,3,0)</f>
        <v>#N/A</v>
      </c>
      <c r="AA663" s="40" t="e">
        <f t="shared" ref="AA663:AA688" si="145">(Z663-U663)/U663</f>
        <v>#N/A</v>
      </c>
      <c r="AB663" s="41" t="e">
        <f t="shared" ref="AB663:AB688" si="146">U663*AA663</f>
        <v>#N/A</v>
      </c>
      <c r="AC663" s="41" t="e">
        <f t="shared" ref="AC663:AC688" si="147">U663+AB663</f>
        <v>#N/A</v>
      </c>
      <c r="AD663" t="s">
        <v>498</v>
      </c>
    </row>
    <row r="664" spans="1:30" hidden="1" x14ac:dyDescent="0.25">
      <c r="A664" s="24">
        <v>663</v>
      </c>
      <c r="B664" s="89" t="s">
        <v>444</v>
      </c>
      <c r="C664" s="4" t="str">
        <f t="shared" si="143"/>
        <v>LlaveD81366864540100002531</v>
      </c>
      <c r="D664" s="25" t="str">
        <f>VLOOKUP(E664,'NO MODIFICAR'!J:K,2,0)</f>
        <v>D813</v>
      </c>
      <c r="E664" s="102" t="s">
        <v>6</v>
      </c>
      <c r="F664" s="33" t="str">
        <f>VLOOKUP(D664,'NO MODIFICAR'!F:H,3,0)</f>
        <v xml:space="preserve">CENTRO </v>
      </c>
      <c r="G664" s="28">
        <v>66864540</v>
      </c>
      <c r="H664" s="93" t="s">
        <v>181</v>
      </c>
      <c r="I664" s="94">
        <v>10000253</v>
      </c>
      <c r="J664" s="4" t="str">
        <f>VLOOKUP(I664,'Materiales,canteras'!C:D,2,0)</f>
        <v>Grava Triturada Andesita 20 mm</v>
      </c>
      <c r="K664" s="25">
        <f>VLOOKUP(I664,'Materiales,canteras'!C:E,3,0)</f>
        <v>1.385</v>
      </c>
      <c r="L664" s="105">
        <v>0</v>
      </c>
      <c r="M664" s="28" t="s">
        <v>93</v>
      </c>
      <c r="N664" s="57">
        <f t="shared" ca="1" si="131"/>
        <v>46267</v>
      </c>
      <c r="O664" s="43" t="s">
        <v>201</v>
      </c>
      <c r="S664" s="82"/>
      <c r="T664" s="66">
        <f t="shared" si="137"/>
        <v>0</v>
      </c>
      <c r="U664" s="46">
        <f t="shared" si="138"/>
        <v>0</v>
      </c>
      <c r="V664" s="82">
        <v>164.32900000000001</v>
      </c>
      <c r="W664" s="4">
        <v>1</v>
      </c>
      <c r="X664" s="195">
        <f t="shared" si="144"/>
        <v>164.32900000000001</v>
      </c>
      <c r="Y664" s="29" t="e">
        <f>IF(+VLOOKUP(I664,P.Referencia!E:S,3,FALSE)&lt;=L664,"Champion","Gerente")</f>
        <v>#N/A</v>
      </c>
      <c r="Z664" s="39" t="e">
        <f>VLOOKUP(I664,P.Referencia!E:S,3,0)</f>
        <v>#N/A</v>
      </c>
      <c r="AA664" s="40" t="e">
        <f t="shared" si="145"/>
        <v>#N/A</v>
      </c>
      <c r="AB664" s="41" t="e">
        <f t="shared" si="146"/>
        <v>#N/A</v>
      </c>
      <c r="AC664" s="41" t="e">
        <f t="shared" si="147"/>
        <v>#N/A</v>
      </c>
    </row>
    <row r="665" spans="1:30" hidden="1" x14ac:dyDescent="0.25">
      <c r="A665" s="24">
        <v>664</v>
      </c>
      <c r="B665" s="89" t="s">
        <v>444</v>
      </c>
      <c r="C665" s="4" t="str">
        <f t="shared" si="143"/>
        <v>LlaveD81366864540100002551</v>
      </c>
      <c r="D665" s="25" t="str">
        <f>VLOOKUP(E665,'NO MODIFICAR'!J:K,2,0)</f>
        <v>D813</v>
      </c>
      <c r="E665" s="102" t="s">
        <v>6</v>
      </c>
      <c r="F665" s="33" t="str">
        <f>VLOOKUP(D665,'NO MODIFICAR'!F:H,3,0)</f>
        <v xml:space="preserve">CENTRO </v>
      </c>
      <c r="G665" s="28">
        <v>66864540</v>
      </c>
      <c r="H665" s="93" t="s">
        <v>181</v>
      </c>
      <c r="I665" s="94">
        <v>10000255</v>
      </c>
      <c r="J665" s="4" t="str">
        <f>VLOOKUP(I665,'Materiales,canteras'!C:D,2,0)</f>
        <v>Arena Triturada Andesita Malla</v>
      </c>
      <c r="K665" s="25">
        <f>VLOOKUP(I665,'Materiales,canteras'!C:E,3,0)</f>
        <v>1.5349999999999999</v>
      </c>
      <c r="L665" s="105">
        <v>0</v>
      </c>
      <c r="M665" s="28" t="s">
        <v>93</v>
      </c>
      <c r="N665" s="57">
        <f t="shared" ca="1" si="131"/>
        <v>46267</v>
      </c>
      <c r="O665" s="43" t="s">
        <v>201</v>
      </c>
      <c r="S665" s="82"/>
      <c r="T665" s="66">
        <f t="shared" si="137"/>
        <v>0</v>
      </c>
      <c r="U665" s="46">
        <f t="shared" si="138"/>
        <v>0</v>
      </c>
      <c r="V665" s="82">
        <v>148.26900000000001</v>
      </c>
      <c r="W665" s="4">
        <v>1</v>
      </c>
      <c r="X665" s="195">
        <f t="shared" si="144"/>
        <v>148.26900000000001</v>
      </c>
      <c r="Y665" s="29" t="e">
        <f>IF(+VLOOKUP(I665,P.Referencia!E:S,3,FALSE)&lt;=L665,"Champion","Gerente")</f>
        <v>#N/A</v>
      </c>
      <c r="Z665" s="39" t="e">
        <f>VLOOKUP(I665,P.Referencia!E:S,3,0)</f>
        <v>#N/A</v>
      </c>
      <c r="AA665" s="40" t="e">
        <f t="shared" si="145"/>
        <v>#N/A</v>
      </c>
      <c r="AB665" s="41" t="e">
        <f t="shared" si="146"/>
        <v>#N/A</v>
      </c>
      <c r="AC665" s="41" t="e">
        <f t="shared" si="147"/>
        <v>#N/A</v>
      </c>
    </row>
    <row r="666" spans="1:30" hidden="1" x14ac:dyDescent="0.25">
      <c r="A666" s="24">
        <v>665</v>
      </c>
      <c r="B666" s="89" t="s">
        <v>444</v>
      </c>
      <c r="C666" s="4" t="str">
        <f t="shared" si="143"/>
        <v>LlaveD81366864540100023501</v>
      </c>
      <c r="D666" s="25" t="str">
        <f>VLOOKUP(E666,'NO MODIFICAR'!J:K,2,0)</f>
        <v>D813</v>
      </c>
      <c r="E666" s="102" t="s">
        <v>6</v>
      </c>
      <c r="F666" s="33" t="str">
        <f>VLOOKUP(D666,'NO MODIFICAR'!F:H,3,0)</f>
        <v xml:space="preserve">CENTRO </v>
      </c>
      <c r="G666" s="28">
        <v>66864540</v>
      </c>
      <c r="H666" s="93" t="s">
        <v>181</v>
      </c>
      <c r="I666" s="94">
        <v>10002350</v>
      </c>
      <c r="J666" s="4" t="str">
        <f>VLOOKUP(I666,'Materiales,canteras'!C:D,2,0)</f>
        <v>Grava Triturada Andesita 10mm-</v>
      </c>
      <c r="K666" s="25">
        <f>VLOOKUP(I666,'Materiales,canteras'!C:E,3,0)</f>
        <v>1.246</v>
      </c>
      <c r="L666" s="105">
        <v>0</v>
      </c>
      <c r="M666" s="28" t="s">
        <v>93</v>
      </c>
      <c r="N666" s="57">
        <f t="shared" ca="1" si="131"/>
        <v>46267</v>
      </c>
      <c r="O666" s="43" t="s">
        <v>201</v>
      </c>
      <c r="S666" s="82"/>
      <c r="T666" s="66">
        <f t="shared" si="137"/>
        <v>0</v>
      </c>
      <c r="U666" s="46">
        <f t="shared" si="138"/>
        <v>0</v>
      </c>
      <c r="V666" s="82">
        <v>182.66600000000003</v>
      </c>
      <c r="W666" s="4">
        <v>1</v>
      </c>
      <c r="X666" s="195">
        <f t="shared" si="144"/>
        <v>182.66600000000003</v>
      </c>
      <c r="Y666" s="29" t="e">
        <f>IF(+VLOOKUP(I666,P.Referencia!E:S,3,FALSE)&lt;=L666,"Champion","Gerente")</f>
        <v>#N/A</v>
      </c>
      <c r="Z666" s="39" t="e">
        <f>VLOOKUP(I666,P.Referencia!E:S,3,0)</f>
        <v>#N/A</v>
      </c>
      <c r="AA666" s="40" t="e">
        <f t="shared" si="145"/>
        <v>#N/A</v>
      </c>
      <c r="AB666" s="41" t="e">
        <f t="shared" si="146"/>
        <v>#N/A</v>
      </c>
      <c r="AC666" s="41" t="e">
        <f t="shared" si="147"/>
        <v>#N/A</v>
      </c>
    </row>
    <row r="667" spans="1:30" hidden="1" x14ac:dyDescent="0.25">
      <c r="A667" s="24">
        <v>666</v>
      </c>
      <c r="B667" s="89" t="s">
        <v>444</v>
      </c>
      <c r="C667" s="4" t="str">
        <f t="shared" si="143"/>
        <v>LlaveD81367019979100002531</v>
      </c>
      <c r="D667" s="25" t="str">
        <f>VLOOKUP(E667,'NO MODIFICAR'!J:K,2,0)</f>
        <v>D813</v>
      </c>
      <c r="E667" s="102" t="s">
        <v>6</v>
      </c>
      <c r="F667" s="33" t="str">
        <f>VLOOKUP(D667,'NO MODIFICAR'!F:H,3,0)</f>
        <v xml:space="preserve">CENTRO </v>
      </c>
      <c r="G667" s="28">
        <v>67019979</v>
      </c>
      <c r="H667" s="93" t="s">
        <v>170</v>
      </c>
      <c r="I667" s="94">
        <v>10000253</v>
      </c>
      <c r="J667" s="4" t="str">
        <f>VLOOKUP(I667,'Materiales,canteras'!C:D,2,0)</f>
        <v>Grava Triturada Andesita 20 mm</v>
      </c>
      <c r="K667" s="25">
        <f>VLOOKUP(I667,'Materiales,canteras'!C:E,3,0)</f>
        <v>1.385</v>
      </c>
      <c r="L667" s="105">
        <v>0</v>
      </c>
      <c r="M667" s="28" t="s">
        <v>93</v>
      </c>
      <c r="N667" s="57">
        <f t="shared" ca="1" si="131"/>
        <v>46267</v>
      </c>
      <c r="O667" s="43" t="s">
        <v>201</v>
      </c>
      <c r="S667" s="82"/>
      <c r="T667" s="66">
        <f t="shared" si="137"/>
        <v>0</v>
      </c>
      <c r="U667" s="46">
        <f t="shared" si="138"/>
        <v>0</v>
      </c>
      <c r="V667" s="82">
        <v>248.84200000000001</v>
      </c>
      <c r="W667" s="4">
        <v>1</v>
      </c>
      <c r="X667" s="195">
        <f t="shared" si="144"/>
        <v>248.84200000000001</v>
      </c>
      <c r="Y667" s="29" t="e">
        <f>IF(+VLOOKUP(I667,P.Referencia!E:S,3,FALSE)&lt;=L667,"Champion","Gerente")</f>
        <v>#N/A</v>
      </c>
      <c r="Z667" s="39" t="e">
        <f>VLOOKUP(I667,P.Referencia!E:S,3,0)</f>
        <v>#N/A</v>
      </c>
      <c r="AA667" s="40" t="e">
        <f t="shared" si="145"/>
        <v>#N/A</v>
      </c>
      <c r="AB667" s="41" t="e">
        <f t="shared" si="146"/>
        <v>#N/A</v>
      </c>
      <c r="AC667" s="41" t="e">
        <f t="shared" si="147"/>
        <v>#N/A</v>
      </c>
    </row>
    <row r="668" spans="1:30" hidden="1" x14ac:dyDescent="0.25">
      <c r="A668" s="24">
        <v>667</v>
      </c>
      <c r="B668" s="89" t="s">
        <v>444</v>
      </c>
      <c r="C668" s="4" t="str">
        <f t="shared" si="143"/>
        <v>LlaveD81367019979100002551</v>
      </c>
      <c r="D668" s="25" t="str">
        <f>VLOOKUP(E668,'NO MODIFICAR'!J:K,2,0)</f>
        <v>D813</v>
      </c>
      <c r="E668" s="102" t="s">
        <v>6</v>
      </c>
      <c r="F668" s="33" t="str">
        <f>VLOOKUP(D668,'NO MODIFICAR'!F:H,3,0)</f>
        <v xml:space="preserve">CENTRO </v>
      </c>
      <c r="G668" s="28">
        <v>67019979</v>
      </c>
      <c r="H668" s="93" t="s">
        <v>170</v>
      </c>
      <c r="I668" s="94">
        <v>10000255</v>
      </c>
      <c r="J668" s="4" t="str">
        <f>VLOOKUP(I668,'Materiales,canteras'!C:D,2,0)</f>
        <v>Arena Triturada Andesita Malla</v>
      </c>
      <c r="K668" s="25">
        <f>VLOOKUP(I668,'Materiales,canteras'!C:E,3,0)</f>
        <v>1.5349999999999999</v>
      </c>
      <c r="L668" s="105">
        <v>0</v>
      </c>
      <c r="M668" s="28" t="s">
        <v>93</v>
      </c>
      <c r="N668" s="57">
        <f t="shared" ca="1" si="131"/>
        <v>46267</v>
      </c>
      <c r="O668" s="43" t="s">
        <v>201</v>
      </c>
      <c r="S668" s="82"/>
      <c r="T668" s="66">
        <f t="shared" si="137"/>
        <v>0</v>
      </c>
      <c r="U668" s="46">
        <f t="shared" si="138"/>
        <v>0</v>
      </c>
      <c r="V668" s="82">
        <v>224.53200000000001</v>
      </c>
      <c r="W668" s="4">
        <v>1</v>
      </c>
      <c r="X668" s="195">
        <f t="shared" si="144"/>
        <v>224.53200000000001</v>
      </c>
      <c r="Y668" s="29" t="e">
        <f>IF(+VLOOKUP(I668,P.Referencia!E:S,3,FALSE)&lt;=L668,"Champion","Gerente")</f>
        <v>#N/A</v>
      </c>
      <c r="Z668" s="39" t="e">
        <f>VLOOKUP(I668,P.Referencia!E:S,3,0)</f>
        <v>#N/A</v>
      </c>
      <c r="AA668" s="40" t="e">
        <f t="shared" si="145"/>
        <v>#N/A</v>
      </c>
      <c r="AB668" s="41" t="e">
        <f t="shared" si="146"/>
        <v>#N/A</v>
      </c>
      <c r="AC668" s="41" t="e">
        <f t="shared" si="147"/>
        <v>#N/A</v>
      </c>
    </row>
    <row r="669" spans="1:30" hidden="1" x14ac:dyDescent="0.25">
      <c r="A669" s="24">
        <v>668</v>
      </c>
      <c r="B669" s="89" t="s">
        <v>444</v>
      </c>
      <c r="C669" s="4" t="str">
        <f t="shared" si="143"/>
        <v>LlaveD81367019979100023501</v>
      </c>
      <c r="D669" s="25" t="str">
        <f>VLOOKUP(E669,'NO MODIFICAR'!J:K,2,0)</f>
        <v>D813</v>
      </c>
      <c r="E669" s="102" t="s">
        <v>6</v>
      </c>
      <c r="F669" s="33" t="str">
        <f>VLOOKUP(D669,'NO MODIFICAR'!F:H,3,0)</f>
        <v xml:space="preserve">CENTRO </v>
      </c>
      <c r="G669" s="28">
        <v>67019979</v>
      </c>
      <c r="H669" s="93" t="s">
        <v>170</v>
      </c>
      <c r="I669" s="94">
        <v>10002350</v>
      </c>
      <c r="J669" s="4" t="str">
        <f>VLOOKUP(I669,'Materiales,canteras'!C:D,2,0)</f>
        <v>Grava Triturada Andesita 10mm-</v>
      </c>
      <c r="K669" s="25">
        <f>VLOOKUP(I669,'Materiales,canteras'!C:E,3,0)</f>
        <v>1.246</v>
      </c>
      <c r="L669" s="105">
        <v>0</v>
      </c>
      <c r="M669" s="28" t="s">
        <v>93</v>
      </c>
      <c r="N669" s="57">
        <f t="shared" ca="1" si="131"/>
        <v>46267</v>
      </c>
      <c r="O669" s="43" t="s">
        <v>201</v>
      </c>
      <c r="S669" s="82"/>
      <c r="T669" s="66">
        <f t="shared" si="137"/>
        <v>0</v>
      </c>
      <c r="U669" s="46">
        <f t="shared" si="138"/>
        <v>0</v>
      </c>
      <c r="V669" s="82">
        <v>276.60600000000005</v>
      </c>
      <c r="W669" s="4">
        <v>1</v>
      </c>
      <c r="X669" s="195">
        <f t="shared" si="144"/>
        <v>276.60600000000005</v>
      </c>
      <c r="Y669" s="29" t="e">
        <f>IF(+VLOOKUP(I669,P.Referencia!E:S,3,FALSE)&lt;=L669,"Champion","Gerente")</f>
        <v>#N/A</v>
      </c>
      <c r="Z669" s="39" t="e">
        <f>VLOOKUP(I669,P.Referencia!E:S,3,0)</f>
        <v>#N/A</v>
      </c>
      <c r="AA669" s="40" t="e">
        <f t="shared" si="145"/>
        <v>#N/A</v>
      </c>
      <c r="AB669" s="41" t="e">
        <f t="shared" si="146"/>
        <v>#N/A</v>
      </c>
      <c r="AC669" s="41" t="e">
        <f t="shared" si="147"/>
        <v>#N/A</v>
      </c>
    </row>
    <row r="670" spans="1:30" hidden="1" x14ac:dyDescent="0.25">
      <c r="A670" s="24">
        <v>669</v>
      </c>
      <c r="B670" s="89" t="s">
        <v>444</v>
      </c>
      <c r="C670" s="4" t="str">
        <f t="shared" si="143"/>
        <v>LlaveD81367243408100002551</v>
      </c>
      <c r="D670" s="25" t="str">
        <f>VLOOKUP(E670,'NO MODIFICAR'!J:K,2,0)</f>
        <v>D813</v>
      </c>
      <c r="E670" s="102" t="s">
        <v>6</v>
      </c>
      <c r="F670" s="33" t="str">
        <f>VLOOKUP(D670,'NO MODIFICAR'!F:H,3,0)</f>
        <v xml:space="preserve">CENTRO </v>
      </c>
      <c r="G670" s="28">
        <v>67243408</v>
      </c>
      <c r="H670" s="93" t="s">
        <v>495</v>
      </c>
      <c r="I670" s="94">
        <v>10000255</v>
      </c>
      <c r="J670" s="4" t="str">
        <f>VLOOKUP(I670,'Materiales,canteras'!C:D,2,0)</f>
        <v>Arena Triturada Andesita Malla</v>
      </c>
      <c r="K670" s="25">
        <f>VLOOKUP(I670,'Materiales,canteras'!C:E,3,0)</f>
        <v>1.5349999999999999</v>
      </c>
      <c r="L670" s="105">
        <v>0</v>
      </c>
      <c r="M670" s="28" t="s">
        <v>93</v>
      </c>
      <c r="N670" s="57">
        <f t="shared" ca="1" si="131"/>
        <v>46267</v>
      </c>
      <c r="O670" s="43" t="s">
        <v>201</v>
      </c>
      <c r="S670" s="82"/>
      <c r="T670" s="66">
        <f t="shared" si="137"/>
        <v>0</v>
      </c>
      <c r="U670" s="46">
        <f t="shared" si="138"/>
        <v>0</v>
      </c>
      <c r="V670" s="82">
        <v>190.64100000000002</v>
      </c>
      <c r="W670" s="4">
        <v>1</v>
      </c>
      <c r="X670" s="195">
        <f t="shared" si="144"/>
        <v>190.64100000000002</v>
      </c>
      <c r="Y670" s="29" t="e">
        <f>IF(+VLOOKUP(I670,P.Referencia!E:S,3,FALSE)&lt;=L670,"Champion","Gerente")</f>
        <v>#N/A</v>
      </c>
      <c r="Z670" s="39" t="e">
        <f>VLOOKUP(I670,P.Referencia!E:S,3,0)</f>
        <v>#N/A</v>
      </c>
      <c r="AA670" s="40" t="e">
        <f t="shared" si="145"/>
        <v>#N/A</v>
      </c>
      <c r="AB670" s="41" t="e">
        <f t="shared" si="146"/>
        <v>#N/A</v>
      </c>
      <c r="AC670" s="41" t="e">
        <f t="shared" si="147"/>
        <v>#N/A</v>
      </c>
    </row>
    <row r="671" spans="1:30" hidden="1" x14ac:dyDescent="0.25">
      <c r="A671" s="24">
        <v>670</v>
      </c>
      <c r="B671" s="89" t="s">
        <v>444</v>
      </c>
      <c r="C671" s="4" t="str">
        <f t="shared" si="143"/>
        <v>LlaveD81366864508100002531</v>
      </c>
      <c r="D671" s="25" t="str">
        <f>VLOOKUP(E671,'NO MODIFICAR'!J:K,2,0)</f>
        <v>D813</v>
      </c>
      <c r="E671" s="102" t="s">
        <v>6</v>
      </c>
      <c r="F671" s="33" t="str">
        <f>VLOOKUP(D671,'NO MODIFICAR'!F:H,3,0)</f>
        <v xml:space="preserve">CENTRO </v>
      </c>
      <c r="G671" s="28">
        <v>66864508</v>
      </c>
      <c r="H671" s="93" t="s">
        <v>496</v>
      </c>
      <c r="I671" s="94">
        <v>10000253</v>
      </c>
      <c r="J671" s="4" t="str">
        <f>VLOOKUP(I671,'Materiales,canteras'!C:D,2,0)</f>
        <v>Grava Triturada Andesita 20 mm</v>
      </c>
      <c r="K671" s="25">
        <f>VLOOKUP(I671,'Materiales,canteras'!C:E,3,0)</f>
        <v>1.385</v>
      </c>
      <c r="L671" s="105">
        <v>0</v>
      </c>
      <c r="M671" s="28" t="s">
        <v>93</v>
      </c>
      <c r="N671" s="57">
        <f t="shared" ca="1" si="131"/>
        <v>46267</v>
      </c>
      <c r="O671" s="43" t="s">
        <v>201</v>
      </c>
      <c r="S671" s="82"/>
      <c r="T671" s="66">
        <f t="shared" si="137"/>
        <v>0</v>
      </c>
      <c r="U671" s="46">
        <f t="shared" si="138"/>
        <v>0</v>
      </c>
      <c r="V671" s="82">
        <v>164.32900000000001</v>
      </c>
      <c r="W671" s="4">
        <v>1</v>
      </c>
      <c r="X671" s="195">
        <f t="shared" si="144"/>
        <v>164.32900000000001</v>
      </c>
      <c r="Y671" s="29" t="e">
        <f>IF(+VLOOKUP(I671,P.Referencia!E:S,3,FALSE)&lt;=L671,"Champion","Gerente")</f>
        <v>#N/A</v>
      </c>
      <c r="Z671" s="39" t="e">
        <f>VLOOKUP(I671,P.Referencia!E:S,3,0)</f>
        <v>#N/A</v>
      </c>
      <c r="AA671" s="40" t="e">
        <f t="shared" si="145"/>
        <v>#N/A</v>
      </c>
      <c r="AB671" s="41" t="e">
        <f t="shared" si="146"/>
        <v>#N/A</v>
      </c>
      <c r="AC671" s="41" t="e">
        <f t="shared" si="147"/>
        <v>#N/A</v>
      </c>
    </row>
    <row r="672" spans="1:30" hidden="1" x14ac:dyDescent="0.25">
      <c r="A672" s="24">
        <v>671</v>
      </c>
      <c r="B672" s="89" t="s">
        <v>444</v>
      </c>
      <c r="C672" s="4" t="str">
        <f t="shared" si="143"/>
        <v>LlaveD81366864508100002551</v>
      </c>
      <c r="D672" s="25" t="str">
        <f>VLOOKUP(E672,'NO MODIFICAR'!J:K,2,0)</f>
        <v>D813</v>
      </c>
      <c r="E672" s="102" t="s">
        <v>6</v>
      </c>
      <c r="F672" s="33" t="str">
        <f>VLOOKUP(D672,'NO MODIFICAR'!F:H,3,0)</f>
        <v xml:space="preserve">CENTRO </v>
      </c>
      <c r="G672" s="28">
        <v>66864508</v>
      </c>
      <c r="H672" s="93" t="s">
        <v>496</v>
      </c>
      <c r="I672" s="94">
        <v>10000255</v>
      </c>
      <c r="J672" s="4" t="str">
        <f>VLOOKUP(I672,'Materiales,canteras'!C:D,2,0)</f>
        <v>Arena Triturada Andesita Malla</v>
      </c>
      <c r="K672" s="25">
        <f>VLOOKUP(I672,'Materiales,canteras'!C:E,3,0)</f>
        <v>1.5349999999999999</v>
      </c>
      <c r="L672" s="105">
        <v>0</v>
      </c>
      <c r="M672" s="28" t="s">
        <v>93</v>
      </c>
      <c r="N672" s="57">
        <f t="shared" ca="1" si="131"/>
        <v>46267</v>
      </c>
      <c r="O672" s="43" t="s">
        <v>201</v>
      </c>
      <c r="S672" s="82"/>
      <c r="T672" s="66">
        <f t="shared" si="137"/>
        <v>0</v>
      </c>
      <c r="U672" s="46">
        <f t="shared" si="138"/>
        <v>0</v>
      </c>
      <c r="V672" s="82">
        <v>148.26900000000001</v>
      </c>
      <c r="W672" s="4">
        <v>1</v>
      </c>
      <c r="X672" s="195">
        <f t="shared" ref="X672:X735" si="148">U672+V672</f>
        <v>148.26900000000001</v>
      </c>
      <c r="Y672" s="29" t="e">
        <f>IF(+VLOOKUP(I672,P.Referencia!E:S,3,FALSE)&lt;=L672,"Champion","Gerente")</f>
        <v>#N/A</v>
      </c>
      <c r="Z672" s="39" t="e">
        <f>VLOOKUP(I672,P.Referencia!E:S,3,0)</f>
        <v>#N/A</v>
      </c>
      <c r="AA672" s="40" t="e">
        <f t="shared" si="145"/>
        <v>#N/A</v>
      </c>
      <c r="AB672" s="41" t="e">
        <f t="shared" si="146"/>
        <v>#N/A</v>
      </c>
      <c r="AC672" s="41" t="e">
        <f t="shared" si="147"/>
        <v>#N/A</v>
      </c>
    </row>
    <row r="673" spans="1:29" hidden="1" x14ac:dyDescent="0.25">
      <c r="A673" s="24">
        <v>672</v>
      </c>
      <c r="B673" s="89" t="s">
        <v>444</v>
      </c>
      <c r="C673" s="4" t="str">
        <f t="shared" si="143"/>
        <v>LlaveD81366864508100023501</v>
      </c>
      <c r="D673" s="25" t="str">
        <f>VLOOKUP(E673,'NO MODIFICAR'!J:K,2,0)</f>
        <v>D813</v>
      </c>
      <c r="E673" s="102" t="s">
        <v>6</v>
      </c>
      <c r="F673" s="33" t="str">
        <f>VLOOKUP(D673,'NO MODIFICAR'!F:H,3,0)</f>
        <v xml:space="preserve">CENTRO </v>
      </c>
      <c r="G673" s="28">
        <v>66864508</v>
      </c>
      <c r="H673" s="93" t="s">
        <v>496</v>
      </c>
      <c r="I673" s="94">
        <v>10002350</v>
      </c>
      <c r="J673" s="4" t="str">
        <f>VLOOKUP(I673,'Materiales,canteras'!C:D,2,0)</f>
        <v>Grava Triturada Andesita 10mm-</v>
      </c>
      <c r="K673" s="25">
        <f>VLOOKUP(I673,'Materiales,canteras'!C:E,3,0)</f>
        <v>1.246</v>
      </c>
      <c r="L673" s="105">
        <v>0</v>
      </c>
      <c r="M673" s="28" t="s">
        <v>93</v>
      </c>
      <c r="N673" s="57">
        <f t="shared" ca="1" si="131"/>
        <v>46267</v>
      </c>
      <c r="O673" s="43" t="s">
        <v>201</v>
      </c>
      <c r="S673" s="82"/>
      <c r="T673" s="66">
        <f t="shared" si="137"/>
        <v>0</v>
      </c>
      <c r="U673" s="46">
        <f t="shared" si="138"/>
        <v>0</v>
      </c>
      <c r="V673" s="82">
        <v>182.66600000000003</v>
      </c>
      <c r="W673" s="4">
        <v>1</v>
      </c>
      <c r="X673" s="195">
        <f t="shared" si="148"/>
        <v>182.66600000000003</v>
      </c>
      <c r="Y673" s="29" t="e">
        <f>IF(+VLOOKUP(I673,P.Referencia!E:S,3,FALSE)&lt;=L673,"Champion","Gerente")</f>
        <v>#N/A</v>
      </c>
      <c r="Z673" s="39" t="e">
        <f>VLOOKUP(I673,P.Referencia!E:S,3,0)</f>
        <v>#N/A</v>
      </c>
      <c r="AA673" s="40" t="e">
        <f t="shared" si="145"/>
        <v>#N/A</v>
      </c>
      <c r="AB673" s="41" t="e">
        <f t="shared" si="146"/>
        <v>#N/A</v>
      </c>
      <c r="AC673" s="41" t="e">
        <f t="shared" si="147"/>
        <v>#N/A</v>
      </c>
    </row>
    <row r="674" spans="1:29" s="131" customFormat="1" hidden="1" x14ac:dyDescent="0.25">
      <c r="A674" s="204">
        <v>673</v>
      </c>
      <c r="B674" s="181" t="s">
        <v>444</v>
      </c>
      <c r="C674" s="131" t="str">
        <f t="shared" si="143"/>
        <v>LlaveD81366982053100002531</v>
      </c>
      <c r="D674" s="217" t="str">
        <f>VLOOKUP(E674,'NO MODIFICAR'!J:K,2,0)</f>
        <v>D813</v>
      </c>
      <c r="E674" s="218" t="s">
        <v>6</v>
      </c>
      <c r="F674" s="217" t="str">
        <f>VLOOKUP(D674,'NO MODIFICAR'!F:H,3,0)</f>
        <v xml:space="preserve">CENTRO </v>
      </c>
      <c r="G674" s="219">
        <v>66982053</v>
      </c>
      <c r="H674" s="220" t="s">
        <v>497</v>
      </c>
      <c r="I674" s="221">
        <v>10000253</v>
      </c>
      <c r="J674" s="131" t="str">
        <f>VLOOKUP(I674,'Materiales,canteras'!C:D,2,0)</f>
        <v>Grava Triturada Andesita 20 mm</v>
      </c>
      <c r="K674" s="217">
        <f>VLOOKUP(I674,'Materiales,canteras'!C:E,3,0)</f>
        <v>1.385</v>
      </c>
      <c r="L674" s="222">
        <v>0</v>
      </c>
      <c r="M674" s="28" t="s">
        <v>93</v>
      </c>
      <c r="N674" s="223">
        <f t="shared" ca="1" si="131"/>
        <v>46267</v>
      </c>
      <c r="O674" s="204" t="s">
        <v>201</v>
      </c>
      <c r="S674" s="224"/>
      <c r="T674" s="225">
        <f t="shared" si="137"/>
        <v>0</v>
      </c>
      <c r="U674" s="213">
        <f t="shared" si="138"/>
        <v>0</v>
      </c>
      <c r="V674" s="224">
        <v>187.803</v>
      </c>
      <c r="W674" s="131">
        <v>1</v>
      </c>
      <c r="X674" s="226">
        <f t="shared" si="148"/>
        <v>187.803</v>
      </c>
      <c r="Y674" s="227" t="e">
        <f>IF(+VLOOKUP(I674,P.Referencia!E:S,3,FALSE)&lt;=L674,"Champion","Gerente")</f>
        <v>#N/A</v>
      </c>
      <c r="Z674" s="228" t="e">
        <f>VLOOKUP(I674,P.Referencia!E:S,3,0)</f>
        <v>#N/A</v>
      </c>
      <c r="AA674" s="229" t="e">
        <f t="shared" si="145"/>
        <v>#N/A</v>
      </c>
      <c r="AB674" s="230" t="e">
        <f t="shared" si="146"/>
        <v>#N/A</v>
      </c>
      <c r="AC674" s="230" t="e">
        <f t="shared" si="147"/>
        <v>#N/A</v>
      </c>
    </row>
    <row r="675" spans="1:29" s="131" customFormat="1" hidden="1" x14ac:dyDescent="0.25">
      <c r="A675" s="204">
        <v>674</v>
      </c>
      <c r="B675" s="181" t="s">
        <v>444</v>
      </c>
      <c r="C675" s="131" t="str">
        <f t="shared" si="143"/>
        <v>LlaveD81366982053100002551</v>
      </c>
      <c r="D675" s="217" t="str">
        <f>VLOOKUP(E675,'NO MODIFICAR'!J:K,2,0)</f>
        <v>D813</v>
      </c>
      <c r="E675" s="218" t="s">
        <v>6</v>
      </c>
      <c r="F675" s="217" t="str">
        <f>VLOOKUP(D675,'NO MODIFICAR'!F:H,3,0)</f>
        <v xml:space="preserve">CENTRO </v>
      </c>
      <c r="G675" s="219">
        <v>66982053</v>
      </c>
      <c r="H675" s="220" t="s">
        <v>497</v>
      </c>
      <c r="I675" s="221">
        <v>10000255</v>
      </c>
      <c r="J675" s="131" t="str">
        <f>VLOOKUP(I675,'Materiales,canteras'!C:D,2,0)</f>
        <v>Arena Triturada Andesita Malla</v>
      </c>
      <c r="K675" s="217">
        <f>VLOOKUP(I675,'Materiales,canteras'!C:E,3,0)</f>
        <v>1.5349999999999999</v>
      </c>
      <c r="L675" s="222">
        <v>0</v>
      </c>
      <c r="M675" s="28" t="s">
        <v>93</v>
      </c>
      <c r="N675" s="223">
        <f t="shared" ca="1" si="131"/>
        <v>46267</v>
      </c>
      <c r="O675" s="204" t="s">
        <v>201</v>
      </c>
      <c r="S675" s="224"/>
      <c r="T675" s="225">
        <f t="shared" si="137"/>
        <v>0</v>
      </c>
      <c r="U675" s="213">
        <f t="shared" si="138"/>
        <v>0</v>
      </c>
      <c r="V675" s="224">
        <v>169.45500000000001</v>
      </c>
      <c r="W675" s="131">
        <v>1</v>
      </c>
      <c r="X675" s="226">
        <f t="shared" si="148"/>
        <v>169.45500000000001</v>
      </c>
      <c r="Y675" s="227" t="e">
        <f>IF(+VLOOKUP(I675,P.Referencia!E:S,3,FALSE)&lt;=L675,"Champion","Gerente")</f>
        <v>#N/A</v>
      </c>
      <c r="Z675" s="228" t="e">
        <f>VLOOKUP(I675,P.Referencia!E:S,3,0)</f>
        <v>#N/A</v>
      </c>
      <c r="AA675" s="229" t="e">
        <f t="shared" si="145"/>
        <v>#N/A</v>
      </c>
      <c r="AB675" s="230" t="e">
        <f t="shared" si="146"/>
        <v>#N/A</v>
      </c>
      <c r="AC675" s="230" t="e">
        <f t="shared" si="147"/>
        <v>#N/A</v>
      </c>
    </row>
    <row r="676" spans="1:29" hidden="1" x14ac:dyDescent="0.25">
      <c r="A676" s="24">
        <v>675</v>
      </c>
      <c r="B676" s="89" t="s">
        <v>444</v>
      </c>
      <c r="C676" s="4" t="str">
        <f t="shared" si="143"/>
        <v>LlaveD86466864540100002361</v>
      </c>
      <c r="D676" s="25" t="str">
        <f>VLOOKUP(E676,'NO MODIFICAR'!J:K,2,0)</f>
        <v>D864</v>
      </c>
      <c r="E676" s="102" t="s">
        <v>55</v>
      </c>
      <c r="F676" s="33" t="str">
        <f>VLOOKUP(D676,'NO MODIFICAR'!F:H,3,0)</f>
        <v xml:space="preserve">CENTRO </v>
      </c>
      <c r="G676" s="28">
        <v>66864540</v>
      </c>
      <c r="H676" s="93" t="s">
        <v>181</v>
      </c>
      <c r="I676" s="94">
        <v>10000236</v>
      </c>
      <c r="J676" s="4" t="str">
        <f>VLOOKUP(I676,'Materiales,canteras'!C:D,2,0)</f>
        <v>Grava Triturada Caliza 10 mm -</v>
      </c>
      <c r="K676" s="25">
        <f>VLOOKUP(I676,'Materiales,canteras'!C:E,3,0)</f>
        <v>1.41</v>
      </c>
      <c r="L676" s="105">
        <v>0</v>
      </c>
      <c r="M676" s="28" t="s">
        <v>93</v>
      </c>
      <c r="N676" s="57">
        <f t="shared" ca="1" si="131"/>
        <v>46267</v>
      </c>
      <c r="O676" s="43" t="s">
        <v>201</v>
      </c>
      <c r="S676" s="82"/>
      <c r="T676" s="66">
        <f t="shared" si="137"/>
        <v>0</v>
      </c>
      <c r="U676" s="46">
        <f t="shared" si="138"/>
        <v>0</v>
      </c>
      <c r="V676" s="82">
        <v>276.71600000000001</v>
      </c>
      <c r="W676" s="4">
        <v>1</v>
      </c>
      <c r="X676" s="195">
        <f t="shared" si="148"/>
        <v>276.71600000000001</v>
      </c>
      <c r="Y676" s="29" t="e">
        <f>IF(+VLOOKUP(I676,P.Referencia!E:S,3,FALSE)&lt;=L676,"Champion","Gerente")</f>
        <v>#N/A</v>
      </c>
      <c r="Z676" s="39" t="e">
        <f>VLOOKUP(I676,P.Referencia!E:S,3,0)</f>
        <v>#N/A</v>
      </c>
      <c r="AA676" s="40" t="e">
        <f t="shared" si="145"/>
        <v>#N/A</v>
      </c>
      <c r="AB676" s="41" t="e">
        <f t="shared" si="146"/>
        <v>#N/A</v>
      </c>
      <c r="AC676" s="41" t="e">
        <f t="shared" si="147"/>
        <v>#N/A</v>
      </c>
    </row>
    <row r="677" spans="1:29" hidden="1" x14ac:dyDescent="0.25">
      <c r="A677" s="24">
        <v>676</v>
      </c>
      <c r="B677" s="89" t="s">
        <v>444</v>
      </c>
      <c r="C677" s="4" t="str">
        <f t="shared" si="143"/>
        <v>LlaveD86466864540100002401</v>
      </c>
      <c r="D677" s="25" t="str">
        <f>VLOOKUP(E677,'NO MODIFICAR'!J:K,2,0)</f>
        <v>D864</v>
      </c>
      <c r="E677" s="102" t="s">
        <v>55</v>
      </c>
      <c r="F677" s="33" t="str">
        <f>VLOOKUP(D677,'NO MODIFICAR'!F:H,3,0)</f>
        <v xml:space="preserve">CENTRO </v>
      </c>
      <c r="G677" s="28">
        <v>66864540</v>
      </c>
      <c r="H677" s="93" t="s">
        <v>181</v>
      </c>
      <c r="I677" s="94">
        <v>10000240</v>
      </c>
      <c r="J677" s="4" t="str">
        <f>VLOOKUP(I677,'Materiales,canteras'!C:D,2,0)</f>
        <v>Grava Triturada Caliza 20 mm -</v>
      </c>
      <c r="K677" s="25">
        <f>VLOOKUP(I677,'Materiales,canteras'!C:E,3,0)</f>
        <v>1.462</v>
      </c>
      <c r="L677" s="105">
        <v>0</v>
      </c>
      <c r="M677" s="28" t="s">
        <v>93</v>
      </c>
      <c r="N677" s="57">
        <f t="shared" ca="1" si="131"/>
        <v>46267</v>
      </c>
      <c r="O677" s="43" t="s">
        <v>201</v>
      </c>
      <c r="S677" s="82"/>
      <c r="T677" s="66">
        <f t="shared" si="137"/>
        <v>0</v>
      </c>
      <c r="U677" s="46">
        <f t="shared" si="138"/>
        <v>0</v>
      </c>
      <c r="V677" s="82">
        <v>266.87100000000004</v>
      </c>
      <c r="W677" s="4">
        <v>1</v>
      </c>
      <c r="X677" s="195">
        <f t="shared" si="148"/>
        <v>266.87100000000004</v>
      </c>
      <c r="Y677" s="29" t="e">
        <f>IF(+VLOOKUP(I677,P.Referencia!E:S,3,FALSE)&lt;=L677,"Champion","Gerente")</f>
        <v>#N/A</v>
      </c>
      <c r="Z677" s="39" t="e">
        <f>VLOOKUP(I677,P.Referencia!E:S,3,0)</f>
        <v>#N/A</v>
      </c>
      <c r="AA677" s="40" t="e">
        <f t="shared" si="145"/>
        <v>#N/A</v>
      </c>
      <c r="AB677" s="41" t="e">
        <f t="shared" si="146"/>
        <v>#N/A</v>
      </c>
      <c r="AC677" s="41" t="e">
        <f t="shared" si="147"/>
        <v>#N/A</v>
      </c>
    </row>
    <row r="678" spans="1:29" hidden="1" x14ac:dyDescent="0.25">
      <c r="A678" s="24">
        <v>677</v>
      </c>
      <c r="B678" s="89" t="s">
        <v>444</v>
      </c>
      <c r="C678" s="4" t="str">
        <f t="shared" si="143"/>
        <v>LlaveD86466864540100010731</v>
      </c>
      <c r="D678" s="25" t="str">
        <f>VLOOKUP(E678,'NO MODIFICAR'!J:K,2,0)</f>
        <v>D864</v>
      </c>
      <c r="E678" s="102" t="s">
        <v>55</v>
      </c>
      <c r="F678" s="33" t="str">
        <f>VLOOKUP(D678,'NO MODIFICAR'!F:H,3,0)</f>
        <v xml:space="preserve">CENTRO </v>
      </c>
      <c r="G678" s="28">
        <v>66864540</v>
      </c>
      <c r="H678" s="93" t="s">
        <v>181</v>
      </c>
      <c r="I678" s="94">
        <v>10001073</v>
      </c>
      <c r="J678" s="4" t="str">
        <f>VLOOKUP(I678,'Materiales,canteras'!C:D,2,0)</f>
        <v>Arena Triturada Caliza Malla 4</v>
      </c>
      <c r="K678" s="25">
        <f>VLOOKUP(I678,'Materiales,canteras'!C:E,3,0)</f>
        <v>1.56</v>
      </c>
      <c r="L678" s="105">
        <v>0</v>
      </c>
      <c r="M678" s="28" t="s">
        <v>93</v>
      </c>
      <c r="N678" s="57">
        <f t="shared" ca="1" si="131"/>
        <v>46267</v>
      </c>
      <c r="O678" s="43" t="s">
        <v>201</v>
      </c>
      <c r="S678" s="82"/>
      <c r="T678" s="66">
        <f t="shared" si="137"/>
        <v>0</v>
      </c>
      <c r="U678" s="46">
        <f t="shared" si="138"/>
        <v>0</v>
      </c>
      <c r="V678" s="82">
        <v>250.10700000000003</v>
      </c>
      <c r="W678" s="4">
        <v>1</v>
      </c>
      <c r="X678" s="195">
        <f t="shared" si="148"/>
        <v>250.10700000000003</v>
      </c>
      <c r="Y678" s="29" t="e">
        <f>IF(+VLOOKUP(I678,P.Referencia!E:S,3,FALSE)&lt;=L678,"Champion","Gerente")</f>
        <v>#N/A</v>
      </c>
      <c r="Z678" s="39" t="e">
        <f>VLOOKUP(I678,P.Referencia!E:S,3,0)</f>
        <v>#N/A</v>
      </c>
      <c r="AA678" s="40" t="e">
        <f t="shared" si="145"/>
        <v>#N/A</v>
      </c>
      <c r="AB678" s="41" t="e">
        <f t="shared" si="146"/>
        <v>#N/A</v>
      </c>
      <c r="AC678" s="41" t="e">
        <f t="shared" si="147"/>
        <v>#N/A</v>
      </c>
    </row>
    <row r="679" spans="1:29" hidden="1" x14ac:dyDescent="0.25">
      <c r="A679" s="24">
        <v>678</v>
      </c>
      <c r="B679" s="89" t="s">
        <v>444</v>
      </c>
      <c r="C679" s="4" t="str">
        <f t="shared" si="143"/>
        <v>LlaveD86467019979100002361</v>
      </c>
      <c r="D679" s="25" t="str">
        <f>VLOOKUP(E679,'NO MODIFICAR'!J:K,2,0)</f>
        <v>D864</v>
      </c>
      <c r="E679" s="102" t="s">
        <v>55</v>
      </c>
      <c r="F679" s="33" t="str">
        <f>VLOOKUP(D679,'NO MODIFICAR'!F:H,3,0)</f>
        <v xml:space="preserve">CENTRO </v>
      </c>
      <c r="G679" s="28">
        <v>67019979</v>
      </c>
      <c r="H679" s="93" t="s">
        <v>170</v>
      </c>
      <c r="I679" s="94">
        <v>10000236</v>
      </c>
      <c r="J679" s="4" t="str">
        <f>VLOOKUP(I679,'Materiales,canteras'!C:D,2,0)</f>
        <v>Grava Triturada Caliza 10 mm -</v>
      </c>
      <c r="K679" s="25">
        <f>VLOOKUP(I679,'Materiales,canteras'!C:E,3,0)</f>
        <v>1.41</v>
      </c>
      <c r="L679" s="105">
        <v>0</v>
      </c>
      <c r="M679" s="28" t="s">
        <v>93</v>
      </c>
      <c r="N679" s="57">
        <f t="shared" ca="1" si="131"/>
        <v>46267</v>
      </c>
      <c r="O679" s="43" t="s">
        <v>201</v>
      </c>
      <c r="S679" s="82"/>
      <c r="T679" s="66">
        <f t="shared" si="137"/>
        <v>0</v>
      </c>
      <c r="U679" s="46">
        <f t="shared" si="138"/>
        <v>0</v>
      </c>
      <c r="V679" s="82">
        <v>232.001</v>
      </c>
      <c r="W679" s="4">
        <v>1</v>
      </c>
      <c r="X679" s="195">
        <f t="shared" si="148"/>
        <v>232.001</v>
      </c>
      <c r="Y679" s="29" t="e">
        <f>IF(+VLOOKUP(I679,P.Referencia!E:S,3,FALSE)&lt;=L679,"Champion","Gerente")</f>
        <v>#N/A</v>
      </c>
      <c r="Z679" s="39" t="e">
        <f>VLOOKUP(I679,P.Referencia!E:S,3,0)</f>
        <v>#N/A</v>
      </c>
      <c r="AA679" s="40" t="e">
        <f t="shared" si="145"/>
        <v>#N/A</v>
      </c>
      <c r="AB679" s="41" t="e">
        <f t="shared" si="146"/>
        <v>#N/A</v>
      </c>
      <c r="AC679" s="41" t="e">
        <f t="shared" si="147"/>
        <v>#N/A</v>
      </c>
    </row>
    <row r="680" spans="1:29" hidden="1" x14ac:dyDescent="0.25">
      <c r="A680" s="24">
        <v>679</v>
      </c>
      <c r="B680" s="89" t="s">
        <v>444</v>
      </c>
      <c r="C680" s="4" t="str">
        <f t="shared" si="143"/>
        <v>LlaveD86467019979100002401</v>
      </c>
      <c r="D680" s="25" t="str">
        <f>VLOOKUP(E680,'NO MODIFICAR'!J:K,2,0)</f>
        <v>D864</v>
      </c>
      <c r="E680" s="102" t="s">
        <v>55</v>
      </c>
      <c r="F680" s="33" t="str">
        <f>VLOOKUP(D680,'NO MODIFICAR'!F:H,3,0)</f>
        <v xml:space="preserve">CENTRO </v>
      </c>
      <c r="G680" s="28">
        <v>67019979</v>
      </c>
      <c r="H680" s="93" t="s">
        <v>170</v>
      </c>
      <c r="I680" s="94">
        <v>10000240</v>
      </c>
      <c r="J680" s="4" t="str">
        <f>VLOOKUP(I680,'Materiales,canteras'!C:D,2,0)</f>
        <v>Grava Triturada Caliza 20 mm -</v>
      </c>
      <c r="K680" s="25">
        <f>VLOOKUP(I680,'Materiales,canteras'!C:E,3,0)</f>
        <v>1.462</v>
      </c>
      <c r="L680" s="105">
        <v>0</v>
      </c>
      <c r="M680" s="28" t="s">
        <v>93</v>
      </c>
      <c r="N680" s="57">
        <f t="shared" ca="1" si="131"/>
        <v>46267</v>
      </c>
      <c r="O680" s="43" t="s">
        <v>201</v>
      </c>
      <c r="S680" s="82"/>
      <c r="T680" s="66">
        <f t="shared" si="137"/>
        <v>0</v>
      </c>
      <c r="U680" s="46">
        <f t="shared" si="138"/>
        <v>0</v>
      </c>
      <c r="V680" s="82">
        <v>223.751</v>
      </c>
      <c r="W680" s="4">
        <v>1</v>
      </c>
      <c r="X680" s="195">
        <f t="shared" si="148"/>
        <v>223.751</v>
      </c>
      <c r="Y680" s="29" t="e">
        <f>IF(+VLOOKUP(I680,P.Referencia!E:S,3,FALSE)&lt;=L680,"Champion","Gerente")</f>
        <v>#N/A</v>
      </c>
      <c r="Z680" s="39" t="e">
        <f>VLOOKUP(I680,P.Referencia!E:S,3,0)</f>
        <v>#N/A</v>
      </c>
      <c r="AA680" s="40" t="e">
        <f t="shared" si="145"/>
        <v>#N/A</v>
      </c>
      <c r="AB680" s="41" t="e">
        <f t="shared" si="146"/>
        <v>#N/A</v>
      </c>
      <c r="AC680" s="41" t="e">
        <f t="shared" si="147"/>
        <v>#N/A</v>
      </c>
    </row>
    <row r="681" spans="1:29" hidden="1" x14ac:dyDescent="0.25">
      <c r="A681" s="24">
        <v>680</v>
      </c>
      <c r="B681" s="89" t="s">
        <v>444</v>
      </c>
      <c r="C681" s="4" t="str">
        <f t="shared" si="143"/>
        <v>LlaveD86467019979100010731</v>
      </c>
      <c r="D681" s="25" t="str">
        <f>VLOOKUP(E681,'NO MODIFICAR'!J:K,2,0)</f>
        <v>D864</v>
      </c>
      <c r="E681" s="102" t="s">
        <v>55</v>
      </c>
      <c r="F681" s="33" t="str">
        <f>VLOOKUP(D681,'NO MODIFICAR'!F:H,3,0)</f>
        <v xml:space="preserve">CENTRO </v>
      </c>
      <c r="G681" s="28">
        <v>67019979</v>
      </c>
      <c r="H681" s="93" t="s">
        <v>170</v>
      </c>
      <c r="I681" s="94">
        <v>10001073</v>
      </c>
      <c r="J681" s="4" t="str">
        <f>VLOOKUP(I681,'Materiales,canteras'!C:D,2,0)</f>
        <v>Arena Triturada Caliza Malla 4</v>
      </c>
      <c r="K681" s="25">
        <f>VLOOKUP(I681,'Materiales,canteras'!C:E,3,0)</f>
        <v>1.56</v>
      </c>
      <c r="L681" s="105">
        <v>0</v>
      </c>
      <c r="M681" s="28" t="s">
        <v>93</v>
      </c>
      <c r="N681" s="57">
        <f t="shared" ca="1" si="131"/>
        <v>46267</v>
      </c>
      <c r="O681" s="43" t="s">
        <v>201</v>
      </c>
      <c r="S681" s="82"/>
      <c r="T681" s="66">
        <f t="shared" si="137"/>
        <v>0</v>
      </c>
      <c r="U681" s="46">
        <f t="shared" si="138"/>
        <v>0</v>
      </c>
      <c r="V681" s="82">
        <v>209.69300000000001</v>
      </c>
      <c r="W681" s="4">
        <v>1</v>
      </c>
      <c r="X681" s="195">
        <f t="shared" si="148"/>
        <v>209.69300000000001</v>
      </c>
      <c r="Y681" s="29" t="e">
        <f>IF(+VLOOKUP(I681,P.Referencia!E:S,3,FALSE)&lt;=L681,"Champion","Gerente")</f>
        <v>#N/A</v>
      </c>
      <c r="Z681" s="39" t="e">
        <f>VLOOKUP(I681,P.Referencia!E:S,3,0)</f>
        <v>#N/A</v>
      </c>
      <c r="AA681" s="40" t="e">
        <f t="shared" si="145"/>
        <v>#N/A</v>
      </c>
      <c r="AB681" s="41" t="e">
        <f t="shared" si="146"/>
        <v>#N/A</v>
      </c>
      <c r="AC681" s="41" t="e">
        <f t="shared" si="147"/>
        <v>#N/A</v>
      </c>
    </row>
    <row r="682" spans="1:29" hidden="1" x14ac:dyDescent="0.25">
      <c r="A682" s="24">
        <v>681</v>
      </c>
      <c r="B682" s="89" t="s">
        <v>444</v>
      </c>
      <c r="C682" s="4" t="str">
        <f t="shared" si="143"/>
        <v>LlaveD86467019979100010741</v>
      </c>
      <c r="D682" s="25" t="str">
        <f>VLOOKUP(E682,'NO MODIFICAR'!J:K,2,0)</f>
        <v>D864</v>
      </c>
      <c r="E682" s="102" t="s">
        <v>55</v>
      </c>
      <c r="F682" s="33" t="str">
        <f>VLOOKUP(D682,'NO MODIFICAR'!F:H,3,0)</f>
        <v xml:space="preserve">CENTRO </v>
      </c>
      <c r="G682" s="28">
        <v>67019979</v>
      </c>
      <c r="H682" s="93" t="s">
        <v>170</v>
      </c>
      <c r="I682" s="94">
        <v>10001074</v>
      </c>
      <c r="J682" s="4" t="str">
        <f>VLOOKUP(I682,'Materiales,canteras'!C:D,2,0)</f>
        <v>Grava Triturada Caliza 40 mm -</v>
      </c>
      <c r="K682" s="25">
        <f>VLOOKUP(I682,'Materiales,canteras'!C:E,3,0)</f>
        <v>1.4</v>
      </c>
      <c r="L682" s="105">
        <v>0</v>
      </c>
      <c r="M682" s="28" t="s">
        <v>93</v>
      </c>
      <c r="N682" s="57">
        <f t="shared" ca="1" si="131"/>
        <v>46267</v>
      </c>
      <c r="O682" s="43" t="s">
        <v>201</v>
      </c>
      <c r="S682" s="82"/>
      <c r="T682" s="66">
        <f t="shared" si="137"/>
        <v>0</v>
      </c>
      <c r="U682" s="46">
        <f t="shared" si="138"/>
        <v>0</v>
      </c>
      <c r="V682" s="82">
        <v>233.66200000000001</v>
      </c>
      <c r="W682" s="4">
        <v>1</v>
      </c>
      <c r="X682" s="195">
        <f t="shared" si="148"/>
        <v>233.66200000000001</v>
      </c>
      <c r="Y682" s="29" t="e">
        <f>IF(+VLOOKUP(I682,P.Referencia!E:S,3,FALSE)&lt;=L682,"Champion","Gerente")</f>
        <v>#N/A</v>
      </c>
      <c r="Z682" s="39" t="e">
        <f>VLOOKUP(I682,P.Referencia!E:S,3,0)</f>
        <v>#N/A</v>
      </c>
      <c r="AA682" s="40" t="e">
        <f t="shared" si="145"/>
        <v>#N/A</v>
      </c>
      <c r="AB682" s="41" t="e">
        <f t="shared" si="146"/>
        <v>#N/A</v>
      </c>
      <c r="AC682" s="41" t="e">
        <f t="shared" si="147"/>
        <v>#N/A</v>
      </c>
    </row>
    <row r="683" spans="1:29" hidden="1" x14ac:dyDescent="0.25">
      <c r="A683" s="24">
        <v>682</v>
      </c>
      <c r="B683" s="89" t="s">
        <v>444</v>
      </c>
      <c r="C683" s="4" t="str">
        <f t="shared" si="143"/>
        <v>LlaveD86467243408100002361</v>
      </c>
      <c r="D683" s="25" t="str">
        <f>VLOOKUP(E683,'NO MODIFICAR'!J:K,2,0)</f>
        <v>D864</v>
      </c>
      <c r="E683" s="102" t="s">
        <v>55</v>
      </c>
      <c r="F683" s="33" t="str">
        <f>VLOOKUP(D683,'NO MODIFICAR'!F:H,3,0)</f>
        <v xml:space="preserve">CENTRO </v>
      </c>
      <c r="G683" s="28">
        <v>67243408</v>
      </c>
      <c r="H683" s="93" t="s">
        <v>495</v>
      </c>
      <c r="I683" s="94">
        <v>10000236</v>
      </c>
      <c r="J683" s="4" t="str">
        <f>VLOOKUP(I683,'Materiales,canteras'!C:D,2,0)</f>
        <v>Grava Triturada Caliza 10 mm -</v>
      </c>
      <c r="K683" s="25">
        <f>VLOOKUP(I683,'Materiales,canteras'!C:E,3,0)</f>
        <v>1.41</v>
      </c>
      <c r="L683" s="105">
        <v>0</v>
      </c>
      <c r="M683" s="28" t="s">
        <v>93</v>
      </c>
      <c r="N683" s="57">
        <f t="shared" ca="1" si="131"/>
        <v>46267</v>
      </c>
      <c r="O683" s="43" t="s">
        <v>201</v>
      </c>
      <c r="S683" s="82"/>
      <c r="T683" s="66">
        <f t="shared" si="137"/>
        <v>0</v>
      </c>
      <c r="U683" s="46">
        <f t="shared" si="138"/>
        <v>0</v>
      </c>
      <c r="V683" s="82">
        <v>270.12700000000001</v>
      </c>
      <c r="W683" s="4">
        <v>1</v>
      </c>
      <c r="X683" s="195">
        <f t="shared" si="148"/>
        <v>270.12700000000001</v>
      </c>
      <c r="Y683" s="29" t="e">
        <f>IF(+VLOOKUP(I683,P.Referencia!E:S,3,FALSE)&lt;=L683,"Champion","Gerente")</f>
        <v>#N/A</v>
      </c>
      <c r="Z683" s="39" t="e">
        <f>VLOOKUP(I683,P.Referencia!E:S,3,0)</f>
        <v>#N/A</v>
      </c>
      <c r="AA683" s="40" t="e">
        <f t="shared" si="145"/>
        <v>#N/A</v>
      </c>
      <c r="AB683" s="41" t="e">
        <f t="shared" si="146"/>
        <v>#N/A</v>
      </c>
      <c r="AC683" s="41" t="e">
        <f t="shared" si="147"/>
        <v>#N/A</v>
      </c>
    </row>
    <row r="684" spans="1:29" hidden="1" x14ac:dyDescent="0.25">
      <c r="A684" s="24">
        <v>683</v>
      </c>
      <c r="B684" s="89" t="s">
        <v>444</v>
      </c>
      <c r="C684" s="4" t="str">
        <f t="shared" si="143"/>
        <v>LlaveD86467243408100002401</v>
      </c>
      <c r="D684" s="25" t="str">
        <f>VLOOKUP(E684,'NO MODIFICAR'!J:K,2,0)</f>
        <v>D864</v>
      </c>
      <c r="E684" s="102" t="s">
        <v>55</v>
      </c>
      <c r="F684" s="33" t="str">
        <f>VLOOKUP(D684,'NO MODIFICAR'!F:H,3,0)</f>
        <v xml:space="preserve">CENTRO </v>
      </c>
      <c r="G684" s="28">
        <v>67243408</v>
      </c>
      <c r="H684" s="93" t="s">
        <v>495</v>
      </c>
      <c r="I684" s="94">
        <v>10000240</v>
      </c>
      <c r="J684" s="4" t="str">
        <f>VLOOKUP(I684,'Materiales,canteras'!C:D,2,0)</f>
        <v>Grava Triturada Caliza 20 mm -</v>
      </c>
      <c r="K684" s="25">
        <f>VLOOKUP(I684,'Materiales,canteras'!C:E,3,0)</f>
        <v>1.462</v>
      </c>
      <c r="L684" s="105">
        <v>0</v>
      </c>
      <c r="M684" s="28" t="s">
        <v>93</v>
      </c>
      <c r="N684" s="57">
        <f t="shared" ca="1" si="131"/>
        <v>46267</v>
      </c>
      <c r="O684" s="43" t="s">
        <v>201</v>
      </c>
      <c r="S684" s="82"/>
      <c r="T684" s="66">
        <f t="shared" si="137"/>
        <v>0</v>
      </c>
      <c r="U684" s="46">
        <f t="shared" si="138"/>
        <v>0</v>
      </c>
      <c r="V684" s="82">
        <v>260.524</v>
      </c>
      <c r="W684" s="4">
        <v>1</v>
      </c>
      <c r="X684" s="195">
        <f t="shared" si="148"/>
        <v>260.524</v>
      </c>
      <c r="Y684" s="29" t="e">
        <f>IF(+VLOOKUP(I684,P.Referencia!E:S,3,FALSE)&lt;=L684,"Champion","Gerente")</f>
        <v>#N/A</v>
      </c>
      <c r="Z684" s="39" t="e">
        <f>VLOOKUP(I684,P.Referencia!E:S,3,0)</f>
        <v>#N/A</v>
      </c>
      <c r="AA684" s="40" t="e">
        <f t="shared" si="145"/>
        <v>#N/A</v>
      </c>
      <c r="AB684" s="41" t="e">
        <f t="shared" si="146"/>
        <v>#N/A</v>
      </c>
      <c r="AC684" s="41" t="e">
        <f t="shared" si="147"/>
        <v>#N/A</v>
      </c>
    </row>
    <row r="685" spans="1:29" hidden="1" x14ac:dyDescent="0.25">
      <c r="A685" s="24">
        <v>684</v>
      </c>
      <c r="B685" s="89" t="s">
        <v>444</v>
      </c>
      <c r="C685" s="4" t="str">
        <f t="shared" si="143"/>
        <v>LlaveD86467243408100010731</v>
      </c>
      <c r="D685" s="25" t="str">
        <f>VLOOKUP(E685,'NO MODIFICAR'!J:K,2,0)</f>
        <v>D864</v>
      </c>
      <c r="E685" s="102" t="s">
        <v>55</v>
      </c>
      <c r="F685" s="33" t="str">
        <f>VLOOKUP(D685,'NO MODIFICAR'!F:H,3,0)</f>
        <v xml:space="preserve">CENTRO </v>
      </c>
      <c r="G685" s="28">
        <v>67243408</v>
      </c>
      <c r="H685" s="93" t="s">
        <v>495</v>
      </c>
      <c r="I685" s="94">
        <v>10001073</v>
      </c>
      <c r="J685" s="4" t="str">
        <f>VLOOKUP(I685,'Materiales,canteras'!C:D,2,0)</f>
        <v>Arena Triturada Caliza Malla 4</v>
      </c>
      <c r="K685" s="25">
        <f>VLOOKUP(I685,'Materiales,canteras'!C:E,3,0)</f>
        <v>1.56</v>
      </c>
      <c r="L685" s="105">
        <v>0</v>
      </c>
      <c r="M685" s="28" t="s">
        <v>93</v>
      </c>
      <c r="N685" s="57">
        <f t="shared" ca="1" si="131"/>
        <v>46267</v>
      </c>
      <c r="O685" s="43" t="s">
        <v>201</v>
      </c>
      <c r="S685" s="82"/>
      <c r="T685" s="66">
        <f t="shared" si="137"/>
        <v>0</v>
      </c>
      <c r="U685" s="46">
        <f t="shared" si="138"/>
        <v>0</v>
      </c>
      <c r="V685" s="82">
        <v>244.15600000000003</v>
      </c>
      <c r="W685" s="4">
        <v>1</v>
      </c>
      <c r="X685" s="195">
        <f t="shared" si="148"/>
        <v>244.15600000000003</v>
      </c>
      <c r="Y685" s="29" t="e">
        <f>IF(+VLOOKUP(I685,P.Referencia!E:S,3,FALSE)&lt;=L685,"Champion","Gerente")</f>
        <v>#N/A</v>
      </c>
      <c r="Z685" s="39" t="e">
        <f>VLOOKUP(I685,P.Referencia!E:S,3,0)</f>
        <v>#N/A</v>
      </c>
      <c r="AA685" s="40" t="e">
        <f t="shared" si="145"/>
        <v>#N/A</v>
      </c>
      <c r="AB685" s="41" t="e">
        <f t="shared" si="146"/>
        <v>#N/A</v>
      </c>
      <c r="AC685" s="41" t="e">
        <f t="shared" si="147"/>
        <v>#N/A</v>
      </c>
    </row>
    <row r="686" spans="1:29" hidden="1" x14ac:dyDescent="0.25">
      <c r="A686" s="24">
        <v>685</v>
      </c>
      <c r="B686" s="89" t="s">
        <v>444</v>
      </c>
      <c r="C686" s="4" t="str">
        <f t="shared" si="143"/>
        <v>LlaveD86466864508100002361</v>
      </c>
      <c r="D686" s="25" t="str">
        <f>VLOOKUP(E686,'NO MODIFICAR'!J:K,2,0)</f>
        <v>D864</v>
      </c>
      <c r="E686" s="102" t="s">
        <v>55</v>
      </c>
      <c r="F686" s="33" t="str">
        <f>VLOOKUP(D686,'NO MODIFICAR'!F:H,3,0)</f>
        <v xml:space="preserve">CENTRO </v>
      </c>
      <c r="G686" s="28">
        <v>66864508</v>
      </c>
      <c r="H686" s="93" t="s">
        <v>496</v>
      </c>
      <c r="I686" s="94">
        <v>10000236</v>
      </c>
      <c r="J686" s="4" t="str">
        <f>VLOOKUP(I686,'Materiales,canteras'!C:D,2,0)</f>
        <v>Grava Triturada Caliza 10 mm -</v>
      </c>
      <c r="K686" s="25">
        <f>VLOOKUP(I686,'Materiales,canteras'!C:E,3,0)</f>
        <v>1.41</v>
      </c>
      <c r="L686" s="105">
        <v>0</v>
      </c>
      <c r="M686" s="28" t="s">
        <v>93</v>
      </c>
      <c r="N686" s="57">
        <f t="shared" ca="1" si="131"/>
        <v>46267</v>
      </c>
      <c r="O686" s="43" t="s">
        <v>201</v>
      </c>
      <c r="S686" s="82"/>
      <c r="T686" s="66">
        <f t="shared" si="137"/>
        <v>0</v>
      </c>
      <c r="U686" s="46">
        <f t="shared" si="138"/>
        <v>0</v>
      </c>
      <c r="V686" s="82">
        <v>237.18200000000002</v>
      </c>
      <c r="W686" s="4">
        <v>1</v>
      </c>
      <c r="X686" s="195">
        <f t="shared" si="148"/>
        <v>237.18200000000002</v>
      </c>
      <c r="Y686" s="29" t="e">
        <f>IF(+VLOOKUP(I686,P.Referencia!E:S,3,FALSE)&lt;=L686,"Champion","Gerente")</f>
        <v>#N/A</v>
      </c>
      <c r="Z686" s="39" t="e">
        <f>VLOOKUP(I686,P.Referencia!E:S,3,0)</f>
        <v>#N/A</v>
      </c>
      <c r="AA686" s="40" t="e">
        <f t="shared" si="145"/>
        <v>#N/A</v>
      </c>
      <c r="AB686" s="41" t="e">
        <f t="shared" si="146"/>
        <v>#N/A</v>
      </c>
      <c r="AC686" s="41" t="e">
        <f t="shared" si="147"/>
        <v>#N/A</v>
      </c>
    </row>
    <row r="687" spans="1:29" hidden="1" x14ac:dyDescent="0.25">
      <c r="A687" s="24">
        <v>686</v>
      </c>
      <c r="B687" s="89" t="s">
        <v>444</v>
      </c>
      <c r="C687" s="4" t="str">
        <f t="shared" si="143"/>
        <v>LlaveD86466864508100002401</v>
      </c>
      <c r="D687" s="25" t="str">
        <f>VLOOKUP(E687,'NO MODIFICAR'!J:K,2,0)</f>
        <v>D864</v>
      </c>
      <c r="E687" s="102" t="s">
        <v>55</v>
      </c>
      <c r="F687" s="33" t="str">
        <f>VLOOKUP(D687,'NO MODIFICAR'!F:H,3,0)</f>
        <v xml:space="preserve">CENTRO </v>
      </c>
      <c r="G687" s="28">
        <v>66864508</v>
      </c>
      <c r="H687" s="93" t="s">
        <v>496</v>
      </c>
      <c r="I687" s="94">
        <v>10000240</v>
      </c>
      <c r="J687" s="4" t="str">
        <f>VLOOKUP(I687,'Materiales,canteras'!C:D,2,0)</f>
        <v>Grava Triturada Caliza 20 mm -</v>
      </c>
      <c r="K687" s="25">
        <f>VLOOKUP(I687,'Materiales,canteras'!C:E,3,0)</f>
        <v>1.462</v>
      </c>
      <c r="L687" s="105">
        <v>0</v>
      </c>
      <c r="M687" s="28" t="s">
        <v>93</v>
      </c>
      <c r="N687" s="57">
        <f t="shared" ca="1" si="131"/>
        <v>46267</v>
      </c>
      <c r="O687" s="43" t="s">
        <v>201</v>
      </c>
      <c r="S687" s="82"/>
      <c r="T687" s="66">
        <f t="shared" si="137"/>
        <v>0</v>
      </c>
      <c r="U687" s="46">
        <f t="shared" si="138"/>
        <v>0</v>
      </c>
      <c r="V687" s="82">
        <v>228.745</v>
      </c>
      <c r="W687" s="4">
        <v>1</v>
      </c>
      <c r="X687" s="195">
        <f t="shared" si="148"/>
        <v>228.745</v>
      </c>
      <c r="Y687" s="29" t="e">
        <f>IF(+VLOOKUP(I687,P.Referencia!E:S,3,FALSE)&lt;=L687,"Champion","Gerente")</f>
        <v>#N/A</v>
      </c>
      <c r="Z687" s="39" t="e">
        <f>VLOOKUP(I687,P.Referencia!E:S,3,0)</f>
        <v>#N/A</v>
      </c>
      <c r="AA687" s="40" t="e">
        <f t="shared" si="145"/>
        <v>#N/A</v>
      </c>
      <c r="AB687" s="41" t="e">
        <f t="shared" si="146"/>
        <v>#N/A</v>
      </c>
      <c r="AC687" s="41" t="e">
        <f t="shared" si="147"/>
        <v>#N/A</v>
      </c>
    </row>
    <row r="688" spans="1:29" hidden="1" x14ac:dyDescent="0.25">
      <c r="A688" s="24">
        <v>687</v>
      </c>
      <c r="B688" s="89" t="s">
        <v>444</v>
      </c>
      <c r="C688" s="4" t="str">
        <f t="shared" si="143"/>
        <v>LlaveD86466864508100010731</v>
      </c>
      <c r="D688" s="25" t="str">
        <f>VLOOKUP(E688,'NO MODIFICAR'!J:K,2,0)</f>
        <v>D864</v>
      </c>
      <c r="E688" s="102" t="s">
        <v>55</v>
      </c>
      <c r="F688" s="33" t="str">
        <f>VLOOKUP(D688,'NO MODIFICAR'!F:H,3,0)</f>
        <v xml:space="preserve">CENTRO </v>
      </c>
      <c r="G688" s="28">
        <v>66864508</v>
      </c>
      <c r="H688" s="93" t="s">
        <v>496</v>
      </c>
      <c r="I688" s="94">
        <v>10001073</v>
      </c>
      <c r="J688" s="4" t="str">
        <f>VLOOKUP(I688,'Materiales,canteras'!C:D,2,0)</f>
        <v>Arena Triturada Caliza Malla 4</v>
      </c>
      <c r="K688" s="25">
        <f>VLOOKUP(I688,'Materiales,canteras'!C:E,3,0)</f>
        <v>1.56</v>
      </c>
      <c r="L688" s="105">
        <v>0</v>
      </c>
      <c r="M688" s="28" t="s">
        <v>93</v>
      </c>
      <c r="N688" s="57">
        <f t="shared" ca="1" si="131"/>
        <v>46267</v>
      </c>
      <c r="O688" s="43" t="s">
        <v>201</v>
      </c>
      <c r="S688" s="82"/>
      <c r="T688" s="66">
        <f t="shared" ref="T688:T751" si="149">L688-((S688-P688)-(Q688)-(R688))</f>
        <v>0</v>
      </c>
      <c r="U688" s="46">
        <f t="shared" ref="U688:U699" si="150">L688</f>
        <v>0</v>
      </c>
      <c r="V688" s="82">
        <v>214.37899999999999</v>
      </c>
      <c r="W688" s="4">
        <v>1</v>
      </c>
      <c r="X688" s="195">
        <f t="shared" si="148"/>
        <v>214.37899999999999</v>
      </c>
      <c r="Y688" s="29" t="e">
        <f>IF(+VLOOKUP(I688,P.Referencia!E:S,3,FALSE)&lt;=L688,"Champion","Gerente")</f>
        <v>#N/A</v>
      </c>
      <c r="Z688" s="39" t="e">
        <f>VLOOKUP(I688,P.Referencia!E:S,3,0)</f>
        <v>#N/A</v>
      </c>
      <c r="AA688" s="40" t="e">
        <f t="shared" si="145"/>
        <v>#N/A</v>
      </c>
      <c r="AB688" s="41" t="e">
        <f t="shared" si="146"/>
        <v>#N/A</v>
      </c>
      <c r="AC688" s="41" t="e">
        <f t="shared" si="147"/>
        <v>#N/A</v>
      </c>
    </row>
    <row r="689" spans="1:30" hidden="1" x14ac:dyDescent="0.25">
      <c r="A689" s="24">
        <v>688</v>
      </c>
      <c r="B689" s="89" t="s">
        <v>444</v>
      </c>
      <c r="C689" s="4" t="str">
        <f t="shared" si="143"/>
        <v>LlaveD86466864508100010741</v>
      </c>
      <c r="D689" s="25" t="str">
        <f>VLOOKUP(E689,'NO MODIFICAR'!J:K,2,0)</f>
        <v>D864</v>
      </c>
      <c r="E689" s="102" t="s">
        <v>55</v>
      </c>
      <c r="F689" s="33" t="str">
        <f>VLOOKUP(D689,'NO MODIFICAR'!F:H,3,0)</f>
        <v xml:space="preserve">CENTRO </v>
      </c>
      <c r="G689" s="28">
        <v>66864508</v>
      </c>
      <c r="H689" s="93" t="s">
        <v>496</v>
      </c>
      <c r="I689" s="94">
        <v>10001074</v>
      </c>
      <c r="J689" s="4" t="str">
        <f>VLOOKUP(I689,'Materiales,canteras'!C:D,2,0)</f>
        <v>Grava Triturada Caliza 40 mm -</v>
      </c>
      <c r="K689" s="25">
        <f>VLOOKUP(I689,'Materiales,canteras'!C:E,3,0)</f>
        <v>1.4</v>
      </c>
      <c r="L689" s="105">
        <v>0</v>
      </c>
      <c r="M689" s="28" t="s">
        <v>93</v>
      </c>
      <c r="N689" s="57">
        <f t="shared" ca="1" si="131"/>
        <v>46267</v>
      </c>
      <c r="O689" s="43" t="s">
        <v>201</v>
      </c>
      <c r="S689" s="82"/>
      <c r="T689" s="66">
        <f t="shared" si="149"/>
        <v>0</v>
      </c>
      <c r="U689" s="46">
        <f t="shared" si="150"/>
        <v>0</v>
      </c>
      <c r="V689" s="82">
        <v>238.876</v>
      </c>
      <c r="W689" s="4">
        <v>1</v>
      </c>
      <c r="X689" s="195">
        <f t="shared" si="148"/>
        <v>238.876</v>
      </c>
      <c r="Y689" s="29" t="e">
        <f>IF(+VLOOKUP(I689,P.Referencia!E:S,3,FALSE)&lt;=L689,"Champion","Gerente")</f>
        <v>#N/A</v>
      </c>
      <c r="Z689" s="39" t="e">
        <f>VLOOKUP(I689,P.Referencia!E:S,3,0)</f>
        <v>#N/A</v>
      </c>
      <c r="AA689" s="40" t="e">
        <f t="shared" ref="AA689:AA712" si="151">(Z689-U689)/U689</f>
        <v>#N/A</v>
      </c>
      <c r="AB689" s="41" t="e">
        <f t="shared" ref="AB689:AB709" si="152">U689*AA689</f>
        <v>#N/A</v>
      </c>
      <c r="AC689" s="41" t="e">
        <f t="shared" ref="AC689:AC709" si="153">U689+AB689</f>
        <v>#N/A</v>
      </c>
    </row>
    <row r="690" spans="1:30" hidden="1" x14ac:dyDescent="0.25">
      <c r="A690" s="24">
        <v>689</v>
      </c>
      <c r="B690" s="89" t="s">
        <v>444</v>
      </c>
      <c r="C690" s="4" t="str">
        <f t="shared" si="143"/>
        <v>LlaveD86466982053100002361</v>
      </c>
      <c r="D690" s="25" t="str">
        <f>VLOOKUP(E690,'NO MODIFICAR'!J:K,2,0)</f>
        <v>D864</v>
      </c>
      <c r="E690" s="102" t="s">
        <v>55</v>
      </c>
      <c r="F690" s="33" t="str">
        <f>VLOOKUP(D690,'NO MODIFICAR'!F:H,3,0)</f>
        <v xml:space="preserve">CENTRO </v>
      </c>
      <c r="G690" s="28">
        <v>66982053</v>
      </c>
      <c r="H690" s="93" t="s">
        <v>497</v>
      </c>
      <c r="I690" s="94">
        <v>10000236</v>
      </c>
      <c r="J690" s="4" t="str">
        <f>VLOOKUP(I690,'Materiales,canteras'!C:D,2,0)</f>
        <v>Grava Triturada Caliza 10 mm -</v>
      </c>
      <c r="K690" s="25">
        <f>VLOOKUP(I690,'Materiales,canteras'!C:E,3,0)</f>
        <v>1.41</v>
      </c>
      <c r="L690" s="105">
        <v>0</v>
      </c>
      <c r="M690" s="28" t="s">
        <v>93</v>
      </c>
      <c r="N690" s="57">
        <f t="shared" ca="1" si="131"/>
        <v>46267</v>
      </c>
      <c r="O690" s="43" t="s">
        <v>201</v>
      </c>
      <c r="S690" s="82"/>
      <c r="T690" s="66">
        <f t="shared" si="149"/>
        <v>0</v>
      </c>
      <c r="U690" s="46">
        <f t="shared" si="150"/>
        <v>0</v>
      </c>
      <c r="V690" s="82">
        <v>243.77100000000004</v>
      </c>
      <c r="W690" s="4">
        <v>1</v>
      </c>
      <c r="X690" s="195">
        <f t="shared" si="148"/>
        <v>243.77100000000004</v>
      </c>
      <c r="Y690" s="29" t="e">
        <f>IF(+VLOOKUP(I690,P.Referencia!E:S,3,FALSE)&lt;=L690,"Champion","Gerente")</f>
        <v>#N/A</v>
      </c>
      <c r="Z690" s="39" t="e">
        <f>VLOOKUP(I690,P.Referencia!E:S,3,0)</f>
        <v>#N/A</v>
      </c>
      <c r="AA690" s="40" t="e">
        <f t="shared" si="151"/>
        <v>#N/A</v>
      </c>
      <c r="AB690" s="41" t="e">
        <f t="shared" si="152"/>
        <v>#N/A</v>
      </c>
      <c r="AC690" s="41" t="e">
        <f t="shared" si="153"/>
        <v>#N/A</v>
      </c>
    </row>
    <row r="691" spans="1:30" hidden="1" x14ac:dyDescent="0.25">
      <c r="A691" s="24">
        <v>690</v>
      </c>
      <c r="B691" s="89" t="s">
        <v>444</v>
      </c>
      <c r="C691" s="4" t="str">
        <f t="shared" si="143"/>
        <v>LlaveD86466982053100002401</v>
      </c>
      <c r="D691" s="25" t="str">
        <f>VLOOKUP(E691,'NO MODIFICAR'!J:K,2,0)</f>
        <v>D864</v>
      </c>
      <c r="E691" s="102" t="s">
        <v>55</v>
      </c>
      <c r="F691" s="33" t="str">
        <f>VLOOKUP(D691,'NO MODIFICAR'!F:H,3,0)</f>
        <v xml:space="preserve">CENTRO </v>
      </c>
      <c r="G691" s="28">
        <v>66982053</v>
      </c>
      <c r="H691" s="93" t="s">
        <v>497</v>
      </c>
      <c r="I691" s="94">
        <v>10000240</v>
      </c>
      <c r="J691" s="4" t="str">
        <f>VLOOKUP(I691,'Materiales,canteras'!C:D,2,0)</f>
        <v>Grava Triturada Caliza 20 mm -</v>
      </c>
      <c r="K691" s="25">
        <f>VLOOKUP(I691,'Materiales,canteras'!C:E,3,0)</f>
        <v>1.462</v>
      </c>
      <c r="L691" s="105">
        <v>0</v>
      </c>
      <c r="M691" s="28" t="s">
        <v>93</v>
      </c>
      <c r="N691" s="57">
        <f t="shared" ca="1" si="131"/>
        <v>46267</v>
      </c>
      <c r="O691" s="43" t="s">
        <v>201</v>
      </c>
      <c r="S691" s="82"/>
      <c r="T691" s="66">
        <f t="shared" si="149"/>
        <v>0</v>
      </c>
      <c r="U691" s="46">
        <f t="shared" si="150"/>
        <v>0</v>
      </c>
      <c r="V691" s="82">
        <v>235.10300000000001</v>
      </c>
      <c r="W691" s="4">
        <v>1</v>
      </c>
      <c r="X691" s="195">
        <f t="shared" si="148"/>
        <v>235.10300000000001</v>
      </c>
      <c r="Y691" s="29" t="e">
        <f>IF(+VLOOKUP(I691,P.Referencia!E:S,3,FALSE)&lt;=L691,"Champion","Gerente")</f>
        <v>#N/A</v>
      </c>
      <c r="Z691" s="39" t="e">
        <f>VLOOKUP(I691,P.Referencia!E:S,3,0)</f>
        <v>#N/A</v>
      </c>
      <c r="AA691" s="40" t="e">
        <f t="shared" si="151"/>
        <v>#N/A</v>
      </c>
      <c r="AB691" s="41" t="e">
        <f t="shared" si="152"/>
        <v>#N/A</v>
      </c>
      <c r="AC691" s="41" t="e">
        <f t="shared" si="153"/>
        <v>#N/A</v>
      </c>
    </row>
    <row r="692" spans="1:30" hidden="1" x14ac:dyDescent="0.25">
      <c r="A692" s="24">
        <v>691</v>
      </c>
      <c r="B692" s="89" t="s">
        <v>444</v>
      </c>
      <c r="C692" s="4" t="str">
        <f t="shared" si="143"/>
        <v>LlaveD86466982053100010731</v>
      </c>
      <c r="D692" s="25" t="str">
        <f>VLOOKUP(E692,'NO MODIFICAR'!J:K,2,0)</f>
        <v>D864</v>
      </c>
      <c r="E692" s="102" t="s">
        <v>55</v>
      </c>
      <c r="F692" s="33" t="str">
        <f>VLOOKUP(D692,'NO MODIFICAR'!F:H,3,0)</f>
        <v xml:space="preserve">CENTRO </v>
      </c>
      <c r="G692" s="28">
        <v>66982053</v>
      </c>
      <c r="H692" s="93" t="s">
        <v>497</v>
      </c>
      <c r="I692" s="94">
        <v>10001073</v>
      </c>
      <c r="J692" s="4" t="str">
        <f>VLOOKUP(I692,'Materiales,canteras'!C:D,2,0)</f>
        <v>Arena Triturada Caliza Malla 4</v>
      </c>
      <c r="K692" s="25">
        <f>VLOOKUP(I692,'Materiales,canteras'!C:E,3,0)</f>
        <v>1.56</v>
      </c>
      <c r="L692" s="105">
        <v>0</v>
      </c>
      <c r="M692" s="28" t="s">
        <v>93</v>
      </c>
      <c r="N692" s="57">
        <f t="shared" ca="1" si="131"/>
        <v>46267</v>
      </c>
      <c r="O692" s="43" t="s">
        <v>201</v>
      </c>
      <c r="S692" s="82"/>
      <c r="T692" s="66">
        <f t="shared" si="149"/>
        <v>0</v>
      </c>
      <c r="U692" s="46">
        <f t="shared" si="150"/>
        <v>0</v>
      </c>
      <c r="V692" s="82">
        <v>220.33000000000004</v>
      </c>
      <c r="W692" s="4">
        <v>1</v>
      </c>
      <c r="X692" s="195">
        <f t="shared" si="148"/>
        <v>220.33000000000004</v>
      </c>
      <c r="Y692" s="29" t="e">
        <f>IF(+VLOOKUP(I692,P.Referencia!E:S,3,FALSE)&lt;=L692,"Champion","Gerente")</f>
        <v>#N/A</v>
      </c>
      <c r="Z692" s="39" t="e">
        <f>VLOOKUP(I692,P.Referencia!E:S,3,0)</f>
        <v>#N/A</v>
      </c>
      <c r="AA692" s="40" t="e">
        <f t="shared" si="151"/>
        <v>#N/A</v>
      </c>
      <c r="AB692" s="41" t="e">
        <f t="shared" si="152"/>
        <v>#N/A</v>
      </c>
      <c r="AC692" s="41" t="e">
        <f t="shared" si="153"/>
        <v>#N/A</v>
      </c>
    </row>
    <row r="693" spans="1:30" s="181" customFormat="1" hidden="1" x14ac:dyDescent="0.25">
      <c r="A693" s="204">
        <v>692</v>
      </c>
      <c r="B693" s="181" t="s">
        <v>503</v>
      </c>
      <c r="C693" s="181" t="str">
        <f t="shared" si="143"/>
        <v>LlaveD86467162298100002692</v>
      </c>
      <c r="D693" s="205" t="str">
        <f>VLOOKUP(E693,'NO MODIFICAR'!J:K,2,0)</f>
        <v>D864</v>
      </c>
      <c r="E693" s="205" t="s">
        <v>55</v>
      </c>
      <c r="F693" s="205" t="str">
        <f>VLOOKUP(D693,'NO MODIFICAR'!F:H,3,0)</f>
        <v xml:space="preserve">CENTRO </v>
      </c>
      <c r="G693" s="206">
        <v>67162298</v>
      </c>
      <c r="H693" s="207" t="s">
        <v>499</v>
      </c>
      <c r="I693" s="208">
        <v>10000269</v>
      </c>
      <c r="J693" s="181" t="str">
        <f>VLOOKUP(I693,'Materiales,canteras'!C:D,2,0)</f>
        <v>Grava Triturada Caliza 13 mm -</v>
      </c>
      <c r="K693" s="205">
        <f>VLOOKUP(I693,'Materiales,canteras'!C:E,3,0)</f>
        <v>1.423</v>
      </c>
      <c r="L693" s="209">
        <v>143.85</v>
      </c>
      <c r="M693" s="28" t="s">
        <v>93</v>
      </c>
      <c r="N693" s="210">
        <f t="shared" ca="1" si="131"/>
        <v>46267</v>
      </c>
      <c r="O693" s="204" t="s">
        <v>201</v>
      </c>
      <c r="R693" s="181">
        <v>3.95</v>
      </c>
      <c r="S693" s="211">
        <v>263</v>
      </c>
      <c r="T693" s="212">
        <f t="shared" si="149"/>
        <v>-115.20000000000002</v>
      </c>
      <c r="U693" s="213">
        <f t="shared" si="150"/>
        <v>143.85</v>
      </c>
      <c r="V693" s="211">
        <v>0</v>
      </c>
      <c r="W693" s="181">
        <v>2</v>
      </c>
      <c r="X693" s="214">
        <f t="shared" si="148"/>
        <v>143.85</v>
      </c>
      <c r="Y693" s="204" t="e">
        <f>IF(+VLOOKUP(I693,P.Referencia!E:S,3,FALSE)&lt;=L693,"Champion","Gerente")</f>
        <v>#N/A</v>
      </c>
      <c r="Z693" s="211" t="e">
        <f>VLOOKUP(I693,P.Referencia!E:S,3,0)</f>
        <v>#N/A</v>
      </c>
      <c r="AA693" s="215" t="e">
        <f t="shared" si="151"/>
        <v>#N/A</v>
      </c>
      <c r="AB693" s="216" t="e">
        <f t="shared" si="152"/>
        <v>#N/A</v>
      </c>
      <c r="AC693" s="216" t="e">
        <f t="shared" si="153"/>
        <v>#N/A</v>
      </c>
    </row>
    <row r="694" spans="1:30" hidden="1" x14ac:dyDescent="0.25">
      <c r="A694" s="24">
        <v>693</v>
      </c>
      <c r="B694" s="89" t="s">
        <v>503</v>
      </c>
      <c r="C694" s="4" t="str">
        <f t="shared" si="143"/>
        <v>LlaveD86467347709100002692</v>
      </c>
      <c r="D694" s="25" t="str">
        <f>VLOOKUP(E694,'NO MODIFICAR'!J:K,2,0)</f>
        <v>D864</v>
      </c>
      <c r="E694" s="102" t="s">
        <v>55</v>
      </c>
      <c r="F694" s="33" t="str">
        <f>VLOOKUP(D694,'NO MODIFICAR'!F:H,3,0)</f>
        <v xml:space="preserve">CENTRO </v>
      </c>
      <c r="G694" s="28">
        <v>67347709</v>
      </c>
      <c r="H694" s="93" t="s">
        <v>350</v>
      </c>
      <c r="I694" s="94">
        <v>10000269</v>
      </c>
      <c r="J694" s="4" t="str">
        <f>VLOOKUP(I694,'Materiales,canteras'!C:D,2,0)</f>
        <v>Grava Triturada Caliza 13 mm -</v>
      </c>
      <c r="K694" s="25">
        <f>VLOOKUP(I694,'Materiales,canteras'!C:E,3,0)</f>
        <v>1.423</v>
      </c>
      <c r="L694" s="105">
        <v>136.5</v>
      </c>
      <c r="M694" s="28" t="s">
        <v>93</v>
      </c>
      <c r="N694" s="57">
        <f t="shared" ca="1" si="131"/>
        <v>46267</v>
      </c>
      <c r="O694" s="43" t="s">
        <v>201</v>
      </c>
      <c r="R694" s="181">
        <v>3.95</v>
      </c>
      <c r="S694" s="82">
        <v>263</v>
      </c>
      <c r="T694" s="66">
        <f t="shared" si="149"/>
        <v>-122.55000000000001</v>
      </c>
      <c r="U694" s="46">
        <f t="shared" si="150"/>
        <v>136.5</v>
      </c>
      <c r="V694" s="82">
        <v>0</v>
      </c>
      <c r="W694" s="4">
        <v>2</v>
      </c>
      <c r="X694" s="195">
        <f t="shared" si="148"/>
        <v>136.5</v>
      </c>
      <c r="Y694" s="29" t="e">
        <f>IF(+VLOOKUP(I694,P.Referencia!E:S,3,FALSE)&lt;=L694,"Champion","Gerente")</f>
        <v>#N/A</v>
      </c>
      <c r="Z694" s="39" t="e">
        <f>VLOOKUP(I694,P.Referencia!E:S,3,0)</f>
        <v>#N/A</v>
      </c>
      <c r="AA694" s="40" t="e">
        <f t="shared" si="151"/>
        <v>#N/A</v>
      </c>
      <c r="AB694" s="41" t="e">
        <f t="shared" si="152"/>
        <v>#N/A</v>
      </c>
      <c r="AC694" s="41" t="e">
        <f t="shared" si="153"/>
        <v>#N/A</v>
      </c>
    </row>
    <row r="695" spans="1:30" hidden="1" x14ac:dyDescent="0.25">
      <c r="A695" s="24">
        <v>694</v>
      </c>
      <c r="B695" s="89" t="s">
        <v>503</v>
      </c>
      <c r="C695" s="4" t="str">
        <f t="shared" si="143"/>
        <v>LlaveD86467347709100010742</v>
      </c>
      <c r="D695" s="25" t="str">
        <f>VLOOKUP(E695,'NO MODIFICAR'!J:K,2,0)</f>
        <v>D864</v>
      </c>
      <c r="E695" s="102" t="s">
        <v>55</v>
      </c>
      <c r="F695" s="33" t="str">
        <f>VLOOKUP(D695,'NO MODIFICAR'!F:H,3,0)</f>
        <v xml:space="preserve">CENTRO </v>
      </c>
      <c r="G695" s="28">
        <v>67347709</v>
      </c>
      <c r="H695" s="93" t="s">
        <v>350</v>
      </c>
      <c r="I695" s="94">
        <v>10001074</v>
      </c>
      <c r="J695" s="4" t="str">
        <f>VLOOKUP(I695,'Materiales,canteras'!C:D,2,0)</f>
        <v>Grava Triturada Caliza 40 mm -</v>
      </c>
      <c r="K695" s="25">
        <f>VLOOKUP(I695,'Materiales,canteras'!C:E,3,0)</f>
        <v>1.4</v>
      </c>
      <c r="L695" s="105">
        <v>115.5</v>
      </c>
      <c r="M695" s="28" t="s">
        <v>93</v>
      </c>
      <c r="N695" s="57">
        <f t="shared" ca="1" si="131"/>
        <v>46267</v>
      </c>
      <c r="O695" s="43" t="s">
        <v>201</v>
      </c>
      <c r="R695">
        <v>3.47</v>
      </c>
      <c r="S695" s="82">
        <v>231</v>
      </c>
      <c r="T695" s="66">
        <f t="shared" si="149"/>
        <v>-112.03</v>
      </c>
      <c r="U695" s="46">
        <f t="shared" si="150"/>
        <v>115.5</v>
      </c>
      <c r="V695" s="82">
        <v>0</v>
      </c>
      <c r="W695" s="4">
        <v>2</v>
      </c>
      <c r="X695" s="195">
        <f t="shared" si="148"/>
        <v>115.5</v>
      </c>
      <c r="Y695" s="29" t="e">
        <f>IF(+VLOOKUP(I695,P.Referencia!E:S,3,FALSE)&lt;=L695,"Champion","Gerente")</f>
        <v>#N/A</v>
      </c>
      <c r="Z695" s="39" t="e">
        <f>VLOOKUP(I695,P.Referencia!E:S,3,0)</f>
        <v>#N/A</v>
      </c>
      <c r="AA695" s="40" t="e">
        <f t="shared" si="151"/>
        <v>#N/A</v>
      </c>
      <c r="AB695" s="41" t="e">
        <f t="shared" si="152"/>
        <v>#N/A</v>
      </c>
      <c r="AC695" s="41" t="e">
        <f t="shared" si="153"/>
        <v>#N/A</v>
      </c>
    </row>
    <row r="696" spans="1:30" hidden="1" x14ac:dyDescent="0.25">
      <c r="A696" s="24">
        <v>695</v>
      </c>
      <c r="B696" s="89" t="s">
        <v>503</v>
      </c>
      <c r="C696" s="4" t="str">
        <f t="shared" si="143"/>
        <v>LlaveD81367347709100002552</v>
      </c>
      <c r="D696" s="25" t="str">
        <f>VLOOKUP(E696,'NO MODIFICAR'!J:K,2,0)</f>
        <v>D813</v>
      </c>
      <c r="E696" s="102" t="s">
        <v>6</v>
      </c>
      <c r="F696" s="33" t="str">
        <f>VLOOKUP(D696,'NO MODIFICAR'!F:H,3,0)</f>
        <v xml:space="preserve">CENTRO </v>
      </c>
      <c r="G696" s="28">
        <v>67347709</v>
      </c>
      <c r="H696" s="93" t="s">
        <v>350</v>
      </c>
      <c r="I696" s="94">
        <v>10000255</v>
      </c>
      <c r="J696" s="4" t="str">
        <f>VLOOKUP(I696,'Materiales,canteras'!C:D,2,0)</f>
        <v>Arena Triturada Andesita Malla</v>
      </c>
      <c r="K696" s="25">
        <f>VLOOKUP(I696,'Materiales,canteras'!C:E,3,0)</f>
        <v>1.5349999999999999</v>
      </c>
      <c r="L696" s="105">
        <v>84</v>
      </c>
      <c r="M696" s="28" t="s">
        <v>93</v>
      </c>
      <c r="N696" s="57">
        <f t="shared" ca="1" si="131"/>
        <v>46267</v>
      </c>
      <c r="O696" s="43" t="s">
        <v>201</v>
      </c>
      <c r="R696">
        <v>2.37</v>
      </c>
      <c r="S696" s="82">
        <v>158</v>
      </c>
      <c r="T696" s="66">
        <f t="shared" si="149"/>
        <v>-71.63</v>
      </c>
      <c r="U696" s="46">
        <f t="shared" si="150"/>
        <v>84</v>
      </c>
      <c r="V696" s="82">
        <v>0</v>
      </c>
      <c r="W696" s="4">
        <v>2</v>
      </c>
      <c r="X696" s="195">
        <f t="shared" si="148"/>
        <v>84</v>
      </c>
      <c r="Y696" s="29" t="e">
        <f>IF(+VLOOKUP(I696,P.Referencia!E:S,3,FALSE)&lt;=L696,"Champion","Gerente")</f>
        <v>#N/A</v>
      </c>
      <c r="Z696" s="39" t="e">
        <f>VLOOKUP(I696,P.Referencia!E:S,3,0)</f>
        <v>#N/A</v>
      </c>
      <c r="AA696" s="40" t="e">
        <f t="shared" si="151"/>
        <v>#N/A</v>
      </c>
      <c r="AB696" s="41" t="e">
        <f t="shared" si="152"/>
        <v>#N/A</v>
      </c>
      <c r="AC696" s="41" t="e">
        <f t="shared" si="153"/>
        <v>#N/A</v>
      </c>
    </row>
    <row r="697" spans="1:30" hidden="1" x14ac:dyDescent="0.25">
      <c r="A697" s="24">
        <v>696</v>
      </c>
      <c r="B697" s="89" t="s">
        <v>503</v>
      </c>
      <c r="C697" s="4" t="str">
        <f t="shared" si="143"/>
        <v>LlaveD86466859565100002402</v>
      </c>
      <c r="D697" s="25" t="str">
        <f>VLOOKUP(E697,'NO MODIFICAR'!J:K,2,0)</f>
        <v>D864</v>
      </c>
      <c r="E697" s="102" t="s">
        <v>55</v>
      </c>
      <c r="F697" s="33" t="str">
        <f>VLOOKUP(D697,'NO MODIFICAR'!F:H,3,0)</f>
        <v xml:space="preserve">CENTRO </v>
      </c>
      <c r="G697" s="28">
        <v>66859565</v>
      </c>
      <c r="H697" s="93" t="s">
        <v>489</v>
      </c>
      <c r="I697" s="94">
        <v>10000240</v>
      </c>
      <c r="J697" s="4" t="str">
        <f>VLOOKUP(I697,'Materiales,canteras'!C:D,2,0)</f>
        <v>Grava Triturada Caliza 20 mm -</v>
      </c>
      <c r="K697" s="25">
        <f>VLOOKUP(I697,'Materiales,canteras'!C:E,3,0)</f>
        <v>1.462</v>
      </c>
      <c r="L697" s="105">
        <v>134.62</v>
      </c>
      <c r="M697" s="28" t="s">
        <v>93</v>
      </c>
      <c r="N697" s="57">
        <f t="shared" ca="1" si="131"/>
        <v>46267</v>
      </c>
      <c r="O697" s="43" t="s">
        <v>201</v>
      </c>
      <c r="Q697">
        <v>8.82</v>
      </c>
      <c r="R697">
        <v>4.28</v>
      </c>
      <c r="S697" s="82">
        <v>294</v>
      </c>
      <c r="T697" s="66">
        <f t="shared" si="149"/>
        <v>-146.28000000000003</v>
      </c>
      <c r="U697" s="46">
        <f t="shared" si="150"/>
        <v>134.62</v>
      </c>
      <c r="V697" s="82">
        <v>0</v>
      </c>
      <c r="W697" s="4">
        <v>2</v>
      </c>
      <c r="X697" s="195">
        <f t="shared" si="148"/>
        <v>134.62</v>
      </c>
      <c r="Y697" s="29" t="e">
        <f>IF(+VLOOKUP(I697,P.Referencia!E:S,3,FALSE)&lt;=L697,"Champion","Gerente")</f>
        <v>#N/A</v>
      </c>
      <c r="Z697" s="39" t="e">
        <f>VLOOKUP(I697,P.Referencia!E:S,3,0)</f>
        <v>#N/A</v>
      </c>
      <c r="AA697" s="40" t="e">
        <f t="shared" si="151"/>
        <v>#N/A</v>
      </c>
      <c r="AB697" s="41" t="e">
        <f t="shared" si="152"/>
        <v>#N/A</v>
      </c>
      <c r="AC697" s="41" t="e">
        <f t="shared" si="153"/>
        <v>#N/A</v>
      </c>
    </row>
    <row r="698" spans="1:30" hidden="1" x14ac:dyDescent="0.25">
      <c r="A698" s="24">
        <v>697</v>
      </c>
      <c r="B698" s="89" t="s">
        <v>503</v>
      </c>
      <c r="C698" s="4" t="str">
        <f t="shared" si="143"/>
        <v>LlaveD86466859565100002692</v>
      </c>
      <c r="D698" s="25" t="str">
        <f>VLOOKUP(E698,'NO MODIFICAR'!J:K,2,0)</f>
        <v>D864</v>
      </c>
      <c r="E698" s="102" t="s">
        <v>55</v>
      </c>
      <c r="F698" s="33" t="str">
        <f>VLOOKUP(D698,'NO MODIFICAR'!F:H,3,0)</f>
        <v xml:space="preserve">CENTRO </v>
      </c>
      <c r="G698" s="28">
        <v>66859565</v>
      </c>
      <c r="H698" s="93" t="s">
        <v>489</v>
      </c>
      <c r="I698" s="94">
        <v>10000269</v>
      </c>
      <c r="J698" s="4" t="str">
        <f>VLOOKUP(I698,'Materiales,canteras'!C:D,2,0)</f>
        <v>Grava Triturada Caliza 13 mm -</v>
      </c>
      <c r="K698" s="25">
        <f>VLOOKUP(I698,'Materiales,canteras'!C:E,3,0)</f>
        <v>1.423</v>
      </c>
      <c r="L698" s="105">
        <v>145.22</v>
      </c>
      <c r="M698" s="28" t="s">
        <v>93</v>
      </c>
      <c r="N698" s="57">
        <f t="shared" ca="1" si="131"/>
        <v>46267</v>
      </c>
      <c r="O698" s="43" t="s">
        <v>201</v>
      </c>
      <c r="Q698">
        <v>7.89</v>
      </c>
      <c r="R698">
        <v>3.83</v>
      </c>
      <c r="S698" s="82">
        <v>263</v>
      </c>
      <c r="T698" s="66">
        <f t="shared" si="149"/>
        <v>-106.06</v>
      </c>
      <c r="U698" s="46">
        <f t="shared" si="150"/>
        <v>145.22</v>
      </c>
      <c r="V698" s="82">
        <v>0</v>
      </c>
      <c r="W698" s="4">
        <v>2</v>
      </c>
      <c r="X698" s="195">
        <f t="shared" si="148"/>
        <v>145.22</v>
      </c>
      <c r="Y698" s="29" t="e">
        <f>IF(+VLOOKUP(I698,P.Referencia!E:S,3,FALSE)&lt;=L698,"Champion","Gerente")</f>
        <v>#N/A</v>
      </c>
      <c r="Z698" s="39" t="e">
        <f>VLOOKUP(I698,P.Referencia!E:S,3,0)</f>
        <v>#N/A</v>
      </c>
      <c r="AA698" s="40" t="e">
        <f t="shared" si="151"/>
        <v>#N/A</v>
      </c>
      <c r="AB698" s="41" t="e">
        <f t="shared" si="152"/>
        <v>#N/A</v>
      </c>
      <c r="AC698" s="41" t="e">
        <f t="shared" si="153"/>
        <v>#N/A</v>
      </c>
    </row>
    <row r="699" spans="1:30" hidden="1" x14ac:dyDescent="0.25">
      <c r="A699" s="24">
        <v>698</v>
      </c>
      <c r="B699" s="89" t="s">
        <v>503</v>
      </c>
      <c r="C699" s="4" t="str">
        <f t="shared" si="143"/>
        <v>LlaveD86466859565100010742</v>
      </c>
      <c r="D699" s="25" t="str">
        <f>VLOOKUP(E699,'NO MODIFICAR'!J:K,2,0)</f>
        <v>D864</v>
      </c>
      <c r="E699" s="102" t="s">
        <v>55</v>
      </c>
      <c r="F699" s="33" t="str">
        <f>VLOOKUP(D699,'NO MODIFICAR'!F:H,3,0)</f>
        <v xml:space="preserve">CENTRO </v>
      </c>
      <c r="G699" s="28">
        <v>66859565</v>
      </c>
      <c r="H699" s="93" t="s">
        <v>489</v>
      </c>
      <c r="I699" s="94">
        <v>10001074</v>
      </c>
      <c r="J699" s="4" t="str">
        <f>VLOOKUP(I699,'Materiales,canteras'!C:D,2,0)</f>
        <v>Grava Triturada Caliza 40 mm -</v>
      </c>
      <c r="K699" s="25">
        <f>VLOOKUP(I699,'Materiales,canteras'!C:E,3,0)</f>
        <v>1.4</v>
      </c>
      <c r="L699" s="105">
        <v>134.62</v>
      </c>
      <c r="M699" s="28" t="s">
        <v>93</v>
      </c>
      <c r="N699" s="57">
        <f t="shared" ca="1" si="131"/>
        <v>46267</v>
      </c>
      <c r="O699" s="43" t="s">
        <v>201</v>
      </c>
      <c r="Q699">
        <v>6.93</v>
      </c>
      <c r="R699">
        <v>3.36</v>
      </c>
      <c r="S699" s="82">
        <v>231</v>
      </c>
      <c r="T699" s="66">
        <f t="shared" si="149"/>
        <v>-86.089999999999975</v>
      </c>
      <c r="U699" s="46">
        <f t="shared" si="150"/>
        <v>134.62</v>
      </c>
      <c r="V699" s="82">
        <v>0</v>
      </c>
      <c r="W699" s="4">
        <v>2</v>
      </c>
      <c r="X699" s="195">
        <f t="shared" si="148"/>
        <v>134.62</v>
      </c>
      <c r="Y699" s="29" t="e">
        <f>IF(+VLOOKUP(I699,P.Referencia!E:S,3,FALSE)&lt;=L699,"Champion","Gerente")</f>
        <v>#N/A</v>
      </c>
      <c r="Z699" s="39" t="e">
        <f>VLOOKUP(I699,P.Referencia!E:S,3,0)</f>
        <v>#N/A</v>
      </c>
      <c r="AA699" s="40" t="e">
        <f t="shared" si="151"/>
        <v>#N/A</v>
      </c>
      <c r="AB699" s="41" t="e">
        <f t="shared" si="152"/>
        <v>#N/A</v>
      </c>
      <c r="AC699" s="41" t="e">
        <f t="shared" si="153"/>
        <v>#N/A</v>
      </c>
    </row>
    <row r="700" spans="1:30" hidden="1" x14ac:dyDescent="0.25">
      <c r="A700" s="24">
        <v>699</v>
      </c>
      <c r="B700" s="89" t="s">
        <v>503</v>
      </c>
      <c r="C700" s="4" t="str">
        <f t="shared" si="143"/>
        <v>LlaveD82467363918100002842</v>
      </c>
      <c r="D700" s="25" t="str">
        <f>VLOOKUP(E700,'NO MODIFICAR'!J:K,2,0)</f>
        <v>D824</v>
      </c>
      <c r="E700" s="102" t="s">
        <v>28</v>
      </c>
      <c r="F700" s="33" t="str">
        <f>VLOOKUP(D700,'NO MODIFICAR'!F:H,3,0)</f>
        <v>NORESTE</v>
      </c>
      <c r="G700" s="28">
        <v>67363918</v>
      </c>
      <c r="H700" s="93" t="s">
        <v>494</v>
      </c>
      <c r="I700" s="94">
        <v>10000284</v>
      </c>
      <c r="J700" s="4" t="str">
        <f>VLOOKUP(I700,'Materiales,canteras'!C:D,2,0)</f>
        <v>Grava Triturada Basalto  20 mm</v>
      </c>
      <c r="K700" s="25">
        <f>VLOOKUP(I700,'Materiales,canteras'!C:E,3,0)</f>
        <v>1.429</v>
      </c>
      <c r="L700" s="105">
        <v>200</v>
      </c>
      <c r="M700" s="28" t="s">
        <v>93</v>
      </c>
      <c r="N700" s="57">
        <f t="shared" ca="1" si="131"/>
        <v>46267</v>
      </c>
      <c r="O700" s="43" t="s">
        <v>201</v>
      </c>
      <c r="Q700">
        <v>10.65</v>
      </c>
      <c r="R700">
        <v>3.04</v>
      </c>
      <c r="S700" s="82">
        <v>213</v>
      </c>
      <c r="T700" s="66">
        <f t="shared" si="149"/>
        <v>0.68999999999999773</v>
      </c>
      <c r="U700" s="46">
        <f t="shared" ref="U700:U763" si="154">L700</f>
        <v>200</v>
      </c>
      <c r="V700" s="82">
        <v>0</v>
      </c>
      <c r="W700" s="4">
        <v>2</v>
      </c>
      <c r="X700" s="195">
        <f t="shared" si="148"/>
        <v>200</v>
      </c>
      <c r="Y700" s="29" t="e">
        <f>IF(+VLOOKUP(I700,P.Referencia!E:S,3,FALSE)&lt;=L700,"Champion","Gerente")</f>
        <v>#N/A</v>
      </c>
      <c r="Z700" s="39" t="e">
        <f>VLOOKUP(I700,P.Referencia!E:S,3,0)</f>
        <v>#N/A</v>
      </c>
      <c r="AA700" s="40" t="e">
        <f t="shared" si="151"/>
        <v>#N/A</v>
      </c>
      <c r="AB700" s="41" t="e">
        <f t="shared" si="152"/>
        <v>#N/A</v>
      </c>
      <c r="AC700" s="41" t="e">
        <f t="shared" si="153"/>
        <v>#N/A</v>
      </c>
      <c r="AD700" t="s">
        <v>500</v>
      </c>
    </row>
    <row r="701" spans="1:30" hidden="1" x14ac:dyDescent="0.25">
      <c r="A701" s="24">
        <v>700</v>
      </c>
      <c r="B701" s="89" t="s">
        <v>503</v>
      </c>
      <c r="C701" s="4" t="str">
        <f t="shared" si="143"/>
        <v>LlaveD82467363918100002892</v>
      </c>
      <c r="D701" s="25" t="str">
        <f>VLOOKUP(E701,'NO MODIFICAR'!J:K,2,0)</f>
        <v>D824</v>
      </c>
      <c r="E701" s="102" t="s">
        <v>28</v>
      </c>
      <c r="F701" s="33" t="str">
        <f>VLOOKUP(D701,'NO MODIFICAR'!F:H,3,0)</f>
        <v>NORESTE</v>
      </c>
      <c r="G701" s="28">
        <v>67363918</v>
      </c>
      <c r="H701" s="93" t="s">
        <v>494</v>
      </c>
      <c r="I701" s="94">
        <v>10000289</v>
      </c>
      <c r="J701" s="4" t="str">
        <f>VLOOKUP(I701,'Materiales,canteras'!C:D,2,0)</f>
        <v>Desperdicio Triturado Basalto</v>
      </c>
      <c r="K701" s="25">
        <f>VLOOKUP(I701,'Materiales,canteras'!C:E,3,0)</f>
        <v>1.55</v>
      </c>
      <c r="L701" s="105">
        <v>60</v>
      </c>
      <c r="M701" s="28" t="s">
        <v>93</v>
      </c>
      <c r="N701" s="57">
        <f t="shared" ca="1" si="131"/>
        <v>46267</v>
      </c>
      <c r="O701" s="43" t="s">
        <v>201</v>
      </c>
      <c r="Q701">
        <v>3.45</v>
      </c>
      <c r="R701">
        <v>0.98</v>
      </c>
      <c r="S701" s="82">
        <v>69</v>
      </c>
      <c r="T701" s="66">
        <f t="shared" si="149"/>
        <v>-4.5699999999999932</v>
      </c>
      <c r="U701" s="46">
        <f t="shared" si="154"/>
        <v>60</v>
      </c>
      <c r="V701" s="82">
        <v>0</v>
      </c>
      <c r="W701" s="4">
        <v>2</v>
      </c>
      <c r="X701" s="195">
        <f t="shared" si="148"/>
        <v>60</v>
      </c>
      <c r="Y701" s="29" t="e">
        <f>IF(+VLOOKUP(I701,P.Referencia!E:S,3,FALSE)&lt;=L701,"Champion","Gerente")</f>
        <v>#N/A</v>
      </c>
      <c r="Z701" s="39" t="e">
        <f>VLOOKUP(I701,P.Referencia!E:S,3,0)</f>
        <v>#N/A</v>
      </c>
      <c r="AA701" s="40" t="e">
        <f t="shared" si="151"/>
        <v>#N/A</v>
      </c>
      <c r="AB701" s="41" t="e">
        <f t="shared" si="152"/>
        <v>#N/A</v>
      </c>
      <c r="AC701" s="41" t="e">
        <f t="shared" si="153"/>
        <v>#N/A</v>
      </c>
      <c r="AD701" t="s">
        <v>500</v>
      </c>
    </row>
    <row r="702" spans="1:30" hidden="1" x14ac:dyDescent="0.25">
      <c r="A702" s="24">
        <v>701</v>
      </c>
      <c r="B702" s="89" t="s">
        <v>503</v>
      </c>
      <c r="C702" s="4" t="str">
        <f t="shared" si="143"/>
        <v>LlaveD8246736431610000284</v>
      </c>
      <c r="D702" s="25" t="str">
        <f>VLOOKUP(E702,'NO MODIFICAR'!J:K,2,0)</f>
        <v>D824</v>
      </c>
      <c r="E702" s="102" t="s">
        <v>28</v>
      </c>
      <c r="F702" s="33" t="str">
        <f>VLOOKUP(D702,'NO MODIFICAR'!F:H,3,0)</f>
        <v>NORESTE</v>
      </c>
      <c r="G702" s="28">
        <v>67364316</v>
      </c>
      <c r="H702" s="93" t="s">
        <v>501</v>
      </c>
      <c r="I702" s="94">
        <v>10000284</v>
      </c>
      <c r="J702" s="4" t="str">
        <f>VLOOKUP(I702,'Materiales,canteras'!C:D,2,0)</f>
        <v>Grava Triturada Basalto  20 mm</v>
      </c>
      <c r="K702" s="25">
        <f>VLOOKUP(I702,'Materiales,canteras'!C:E,3,0)</f>
        <v>1.429</v>
      </c>
      <c r="L702" s="105">
        <v>200</v>
      </c>
      <c r="M702" s="28" t="s">
        <v>93</v>
      </c>
      <c r="N702" s="57">
        <f t="shared" ca="1" si="131"/>
        <v>46267</v>
      </c>
      <c r="O702" s="43" t="s">
        <v>201</v>
      </c>
      <c r="S702" s="82"/>
      <c r="T702" s="66">
        <f t="shared" si="149"/>
        <v>200</v>
      </c>
      <c r="U702" s="46">
        <f t="shared" si="154"/>
        <v>200</v>
      </c>
      <c r="V702" s="82"/>
      <c r="X702" s="195">
        <f t="shared" si="148"/>
        <v>200</v>
      </c>
      <c r="Y702" s="29" t="e">
        <f>IF(+VLOOKUP(I702,P.Referencia!E:S,3,FALSE)&lt;=L702,"Champion","Gerente")</f>
        <v>#N/A</v>
      </c>
      <c r="Z702" s="39" t="e">
        <f>VLOOKUP(I702,P.Referencia!E:S,3,0)</f>
        <v>#N/A</v>
      </c>
      <c r="AA702" s="40" t="e">
        <f t="shared" si="151"/>
        <v>#N/A</v>
      </c>
      <c r="AB702" s="41" t="e">
        <f t="shared" si="152"/>
        <v>#N/A</v>
      </c>
      <c r="AC702" s="41" t="e">
        <f t="shared" si="153"/>
        <v>#N/A</v>
      </c>
      <c r="AD702" t="s">
        <v>500</v>
      </c>
    </row>
    <row r="703" spans="1:30" hidden="1" x14ac:dyDescent="0.25">
      <c r="A703" s="24">
        <v>702</v>
      </c>
      <c r="B703" s="89" t="s">
        <v>503</v>
      </c>
      <c r="C703" s="4" t="str">
        <f t="shared" si="143"/>
        <v>LlaveD8246736431610000289</v>
      </c>
      <c r="D703" s="25" t="str">
        <f>VLOOKUP(E703,'NO MODIFICAR'!J:K,2,0)</f>
        <v>D824</v>
      </c>
      <c r="E703" s="102" t="s">
        <v>28</v>
      </c>
      <c r="F703" s="33" t="str">
        <f>VLOOKUP(D703,'NO MODIFICAR'!F:H,3,0)</f>
        <v>NORESTE</v>
      </c>
      <c r="G703" s="28">
        <v>67364316</v>
      </c>
      <c r="H703" s="93" t="s">
        <v>501</v>
      </c>
      <c r="I703" s="94">
        <v>10000289</v>
      </c>
      <c r="J703" s="4" t="str">
        <f>VLOOKUP(I703,'Materiales,canteras'!C:D,2,0)</f>
        <v>Desperdicio Triturado Basalto</v>
      </c>
      <c r="K703" s="25">
        <f>VLOOKUP(I703,'Materiales,canteras'!C:E,3,0)</f>
        <v>1.55</v>
      </c>
      <c r="L703" s="105">
        <v>180</v>
      </c>
      <c r="M703" s="28" t="s">
        <v>93</v>
      </c>
      <c r="N703" s="57">
        <f t="shared" ca="1" si="131"/>
        <v>46267</v>
      </c>
      <c r="O703" s="43" t="s">
        <v>201</v>
      </c>
      <c r="S703" s="82"/>
      <c r="T703" s="66">
        <f t="shared" si="149"/>
        <v>180</v>
      </c>
      <c r="U703" s="46">
        <f t="shared" si="154"/>
        <v>180</v>
      </c>
      <c r="V703" s="82"/>
      <c r="X703" s="195">
        <f t="shared" si="148"/>
        <v>180</v>
      </c>
      <c r="Y703" s="29" t="e">
        <f>IF(+VLOOKUP(I703,P.Referencia!E:S,3,FALSE)&lt;=L703,"Champion","Gerente")</f>
        <v>#N/A</v>
      </c>
      <c r="Z703" s="39" t="e">
        <f>VLOOKUP(I703,P.Referencia!E:S,3,0)</f>
        <v>#N/A</v>
      </c>
      <c r="AA703" s="40" t="e">
        <f t="shared" si="151"/>
        <v>#N/A</v>
      </c>
      <c r="AB703" s="41" t="e">
        <f t="shared" si="152"/>
        <v>#N/A</v>
      </c>
      <c r="AC703" s="41" t="e">
        <f t="shared" si="153"/>
        <v>#N/A</v>
      </c>
      <c r="AD703" t="s">
        <v>500</v>
      </c>
    </row>
    <row r="704" spans="1:30" hidden="1" x14ac:dyDescent="0.25">
      <c r="A704" s="24">
        <v>703</v>
      </c>
      <c r="B704" s="89" t="s">
        <v>503</v>
      </c>
      <c r="C704" s="4" t="str">
        <f t="shared" si="143"/>
        <v>LlaveD8246736431610023108</v>
      </c>
      <c r="D704" s="25" t="str">
        <f>VLOOKUP(E704,'NO MODIFICAR'!J:K,2,0)</f>
        <v>D824</v>
      </c>
      <c r="E704" s="102" t="s">
        <v>28</v>
      </c>
      <c r="F704" s="33" t="str">
        <f>VLOOKUP(D704,'NO MODIFICAR'!F:H,3,0)</f>
        <v>NORESTE</v>
      </c>
      <c r="G704" s="28">
        <v>67364316</v>
      </c>
      <c r="H704" s="93" t="s">
        <v>501</v>
      </c>
      <c r="I704" s="94">
        <v>10023108</v>
      </c>
      <c r="J704" s="4" t="str">
        <f>VLOOKUP(I704,'Materiales,canteras'!C:D,2,0)</f>
        <v>Base H Triturada Basalto  1 1/2" a Finos</v>
      </c>
      <c r="K704" s="25">
        <f>VLOOKUP(I704,'Materiales,canteras'!C:E,3,0)</f>
        <v>1.9690000000000001</v>
      </c>
      <c r="L704" s="105">
        <v>180</v>
      </c>
      <c r="M704" s="28" t="s">
        <v>93</v>
      </c>
      <c r="N704" s="57">
        <f t="shared" ca="1" si="131"/>
        <v>46267</v>
      </c>
      <c r="O704" s="43" t="s">
        <v>201</v>
      </c>
      <c r="S704" s="82"/>
      <c r="T704" s="66">
        <f t="shared" si="149"/>
        <v>180</v>
      </c>
      <c r="U704" s="46">
        <f t="shared" si="154"/>
        <v>180</v>
      </c>
      <c r="V704" s="82"/>
      <c r="X704" s="195">
        <f t="shared" si="148"/>
        <v>180</v>
      </c>
      <c r="Y704" s="29" t="e">
        <f>IF(+VLOOKUP(I704,P.Referencia!E:S,3,FALSE)&lt;=L704,"Champion","Gerente")</f>
        <v>#N/A</v>
      </c>
      <c r="Z704" s="39" t="e">
        <f>VLOOKUP(I704,P.Referencia!E:S,3,0)</f>
        <v>#N/A</v>
      </c>
      <c r="AA704" s="40" t="e">
        <f t="shared" si="151"/>
        <v>#N/A</v>
      </c>
      <c r="AB704" s="41" t="e">
        <f t="shared" si="152"/>
        <v>#N/A</v>
      </c>
      <c r="AC704" s="41" t="e">
        <f t="shared" si="153"/>
        <v>#N/A</v>
      </c>
      <c r="AD704" t="s">
        <v>500</v>
      </c>
    </row>
    <row r="705" spans="1:29" hidden="1" x14ac:dyDescent="0.25">
      <c r="A705" s="24">
        <v>704</v>
      </c>
      <c r="B705" s="89" t="s">
        <v>503</v>
      </c>
      <c r="C705" s="4" t="str">
        <f t="shared" si="143"/>
        <v>LlaveD86467328835100002692</v>
      </c>
      <c r="D705" s="25" t="str">
        <f>VLOOKUP(E705,'NO MODIFICAR'!J:K,2,0)</f>
        <v>D864</v>
      </c>
      <c r="E705" s="102" t="s">
        <v>55</v>
      </c>
      <c r="F705" s="33" t="str">
        <f>VLOOKUP(D705,'NO MODIFICAR'!F:H,3,0)</f>
        <v xml:space="preserve">CENTRO </v>
      </c>
      <c r="G705" s="28">
        <v>67328835</v>
      </c>
      <c r="H705" s="93" t="s">
        <v>502</v>
      </c>
      <c r="I705" s="94">
        <v>10000269</v>
      </c>
      <c r="J705" s="4" t="str">
        <f>VLOOKUP(I705,'Materiales,canteras'!C:D,2,0)</f>
        <v>Grava Triturada Caliza 13 mm -</v>
      </c>
      <c r="K705" s="25">
        <f>VLOOKUP(I705,'Materiales,canteras'!C:E,3,0)</f>
        <v>1.423</v>
      </c>
      <c r="L705" s="105">
        <v>155.04</v>
      </c>
      <c r="M705" s="28" t="s">
        <v>93</v>
      </c>
      <c r="N705" s="57">
        <f t="shared" ca="1" si="131"/>
        <v>46267</v>
      </c>
      <c r="O705" s="43" t="s">
        <v>201</v>
      </c>
      <c r="S705" s="82">
        <v>263</v>
      </c>
      <c r="T705" s="66">
        <f t="shared" si="149"/>
        <v>-107.96000000000001</v>
      </c>
      <c r="U705" s="46">
        <f t="shared" si="154"/>
        <v>155.04</v>
      </c>
      <c r="V705" s="82">
        <v>0</v>
      </c>
      <c r="W705" s="4">
        <v>2</v>
      </c>
      <c r="X705" s="195">
        <f>U705+V705</f>
        <v>155.04</v>
      </c>
      <c r="Y705" s="29" t="e">
        <f>IF(+VLOOKUP(I705,P.Referencia!E:S,3,FALSE)&lt;=L705,"Champion","Gerente")</f>
        <v>#N/A</v>
      </c>
      <c r="Z705" s="39" t="e">
        <f>VLOOKUP(I705,P.Referencia!E:S,3,0)</f>
        <v>#N/A</v>
      </c>
      <c r="AA705" s="40" t="e">
        <f t="shared" si="151"/>
        <v>#N/A</v>
      </c>
      <c r="AB705" s="41" t="e">
        <f t="shared" si="152"/>
        <v>#N/A</v>
      </c>
      <c r="AC705" s="41" t="e">
        <f t="shared" si="153"/>
        <v>#N/A</v>
      </c>
    </row>
    <row r="706" spans="1:29" hidden="1" x14ac:dyDescent="0.25">
      <c r="A706" s="24">
        <v>705</v>
      </c>
      <c r="B706" s="89" t="s">
        <v>505</v>
      </c>
      <c r="C706" s="4" t="str">
        <f t="shared" ref="C706:C712" si="155">_xlfn.CONCAT($C$1,D706,G706,I706,W706)</f>
        <v>LlaveD86466828114100002362</v>
      </c>
      <c r="D706" s="25" t="str">
        <f>VLOOKUP(E706,'NO MODIFICAR'!J:K,2,0)</f>
        <v>D864</v>
      </c>
      <c r="E706" s="102" t="s">
        <v>55</v>
      </c>
      <c r="F706" s="33" t="str">
        <f>VLOOKUP(D706,'NO MODIFICAR'!F:H,3,0)</f>
        <v xml:space="preserve">CENTRO </v>
      </c>
      <c r="G706" s="28">
        <v>66828114</v>
      </c>
      <c r="H706" s="93" t="s">
        <v>504</v>
      </c>
      <c r="I706" s="94">
        <v>10000236</v>
      </c>
      <c r="J706" s="4" t="str">
        <f>VLOOKUP(I706,'Materiales,canteras'!C:D,2,0)</f>
        <v>Grava Triturada Caliza 10 mm -</v>
      </c>
      <c r="K706" s="25">
        <f>VLOOKUP(I706,'Materiales,canteras'!C:E,3,0)</f>
        <v>1.41</v>
      </c>
      <c r="L706" s="105">
        <v>164.59</v>
      </c>
      <c r="M706" s="28" t="s">
        <v>93</v>
      </c>
      <c r="N706" s="57">
        <f t="shared" ca="1" si="131"/>
        <v>46267</v>
      </c>
      <c r="O706" s="43" t="s">
        <v>201</v>
      </c>
      <c r="R706">
        <v>20.16</v>
      </c>
      <c r="S706" s="82">
        <v>252</v>
      </c>
      <c r="T706" s="66">
        <f t="shared" si="149"/>
        <v>-67.25</v>
      </c>
      <c r="U706" s="46">
        <f t="shared" si="154"/>
        <v>164.59</v>
      </c>
      <c r="V706" s="82">
        <v>0</v>
      </c>
      <c r="W706" s="4">
        <v>2</v>
      </c>
      <c r="X706" s="195">
        <f t="shared" si="148"/>
        <v>164.59</v>
      </c>
      <c r="Y706" s="29" t="e">
        <f>IF(+VLOOKUP(I706,P.Referencia!E:S,3,FALSE)&lt;=L706,"Champion","Gerente")</f>
        <v>#N/A</v>
      </c>
      <c r="Z706" s="39" t="e">
        <f>VLOOKUP(I706,P.Referencia!E:S,3,0)</f>
        <v>#N/A</v>
      </c>
      <c r="AA706" s="40" t="e">
        <f t="shared" si="151"/>
        <v>#N/A</v>
      </c>
      <c r="AB706" s="41" t="e">
        <f t="shared" si="152"/>
        <v>#N/A</v>
      </c>
      <c r="AC706" s="41" t="e">
        <f t="shared" si="153"/>
        <v>#N/A</v>
      </c>
    </row>
    <row r="707" spans="1:29" hidden="1" x14ac:dyDescent="0.25">
      <c r="A707" s="24">
        <v>706</v>
      </c>
      <c r="B707" s="89" t="s">
        <v>505</v>
      </c>
      <c r="C707" s="4" t="str">
        <f t="shared" si="155"/>
        <v>LlaveD86466828114100002402</v>
      </c>
      <c r="D707" s="25" t="str">
        <f>VLOOKUP(E707,'NO MODIFICAR'!J:K,2,0)</f>
        <v>D864</v>
      </c>
      <c r="E707" s="102" t="s">
        <v>55</v>
      </c>
      <c r="F707" s="33" t="str">
        <f>VLOOKUP(D707,'NO MODIFICAR'!F:H,3,0)</f>
        <v xml:space="preserve">CENTRO </v>
      </c>
      <c r="G707" s="28">
        <v>66828114</v>
      </c>
      <c r="H707" s="93" t="s">
        <v>504</v>
      </c>
      <c r="I707" s="94">
        <v>10000240</v>
      </c>
      <c r="J707" s="4" t="str">
        <f>VLOOKUP(I707,'Materiales,canteras'!C:D,2,0)</f>
        <v>Grava Triturada Caliza 20 mm -</v>
      </c>
      <c r="K707" s="25">
        <f>VLOOKUP(I707,'Materiales,canteras'!C:E,3,0)</f>
        <v>1.462</v>
      </c>
      <c r="L707" s="105">
        <v>165.34</v>
      </c>
      <c r="M707" s="28" t="s">
        <v>93</v>
      </c>
      <c r="N707" s="57">
        <f t="shared" ref="N707" ca="1" si="156">TODAY()</f>
        <v>46267</v>
      </c>
      <c r="O707" s="43" t="s">
        <v>201</v>
      </c>
      <c r="R707">
        <v>23.52</v>
      </c>
      <c r="S707" s="82">
        <v>294</v>
      </c>
      <c r="T707" s="66">
        <f t="shared" si="149"/>
        <v>-105.14000000000001</v>
      </c>
      <c r="U707" s="46">
        <f t="shared" si="154"/>
        <v>165.34</v>
      </c>
      <c r="V707" s="82">
        <v>0</v>
      </c>
      <c r="W707" s="4">
        <v>2</v>
      </c>
      <c r="X707" s="195">
        <f t="shared" si="148"/>
        <v>165.34</v>
      </c>
      <c r="Y707" s="29" t="e">
        <f>IF(+VLOOKUP(I707,P.Referencia!E:S,3,FALSE)&lt;=L707,"Champion","Gerente")</f>
        <v>#N/A</v>
      </c>
      <c r="Z707" s="39" t="e">
        <f>VLOOKUP(I707,P.Referencia!E:S,3,0)</f>
        <v>#N/A</v>
      </c>
      <c r="AA707" s="40" t="e">
        <f t="shared" si="151"/>
        <v>#N/A</v>
      </c>
      <c r="AB707" s="41" t="e">
        <f t="shared" si="152"/>
        <v>#N/A</v>
      </c>
      <c r="AC707" s="41" t="e">
        <f t="shared" si="153"/>
        <v>#N/A</v>
      </c>
    </row>
    <row r="708" spans="1:29" hidden="1" x14ac:dyDescent="0.25">
      <c r="A708" s="24">
        <v>707</v>
      </c>
      <c r="B708" s="89" t="s">
        <v>505</v>
      </c>
      <c r="C708" s="4" t="str">
        <f t="shared" si="155"/>
        <v>LlaveD86466828114100002692</v>
      </c>
      <c r="D708" s="25" t="str">
        <f>VLOOKUP(E708,'NO MODIFICAR'!J:K,2,0)</f>
        <v>D864</v>
      </c>
      <c r="E708" s="102" t="s">
        <v>55</v>
      </c>
      <c r="F708" s="33" t="str">
        <f>VLOOKUP(D708,'NO MODIFICAR'!F:H,3,0)</f>
        <v xml:space="preserve">CENTRO </v>
      </c>
      <c r="G708" s="28">
        <v>66828114</v>
      </c>
      <c r="H708" s="93" t="s">
        <v>504</v>
      </c>
      <c r="I708" s="94">
        <v>10000269</v>
      </c>
      <c r="J708" s="4" t="str">
        <f>VLOOKUP(I708,'Materiales,canteras'!C:D,2,0)</f>
        <v>Grava Triturada Caliza 13 mm -</v>
      </c>
      <c r="K708" s="25">
        <f>VLOOKUP(I708,'Materiales,canteras'!C:E,3,0)</f>
        <v>1.423</v>
      </c>
      <c r="L708" s="105">
        <v>176.07</v>
      </c>
      <c r="M708" s="28" t="s">
        <v>93</v>
      </c>
      <c r="N708" s="57">
        <f t="shared" ca="1" si="131"/>
        <v>46267</v>
      </c>
      <c r="O708" s="43" t="s">
        <v>201</v>
      </c>
      <c r="R708">
        <v>21.04</v>
      </c>
      <c r="S708" s="82">
        <v>263</v>
      </c>
      <c r="T708" s="66">
        <f t="shared" si="149"/>
        <v>-65.890000000000015</v>
      </c>
      <c r="U708" s="46">
        <f t="shared" si="154"/>
        <v>176.07</v>
      </c>
      <c r="V708" s="82">
        <v>0</v>
      </c>
      <c r="W708" s="4">
        <v>2</v>
      </c>
      <c r="X708" s="195">
        <f t="shared" si="148"/>
        <v>176.07</v>
      </c>
      <c r="Y708" s="29" t="e">
        <f>IF(+VLOOKUP(I708,P.Referencia!E:S,3,FALSE)&lt;=L708,"Champion","Gerente")</f>
        <v>#N/A</v>
      </c>
      <c r="Z708" s="39" t="e">
        <f>VLOOKUP(I708,P.Referencia!E:S,3,0)</f>
        <v>#N/A</v>
      </c>
      <c r="AA708" s="40" t="e">
        <f t="shared" si="151"/>
        <v>#N/A</v>
      </c>
      <c r="AB708" s="41" t="e">
        <f t="shared" si="152"/>
        <v>#N/A</v>
      </c>
      <c r="AC708" s="41" t="e">
        <f t="shared" si="153"/>
        <v>#N/A</v>
      </c>
    </row>
    <row r="709" spans="1:29" hidden="1" x14ac:dyDescent="0.25">
      <c r="A709" s="24">
        <v>708</v>
      </c>
      <c r="B709" s="89" t="s">
        <v>505</v>
      </c>
      <c r="C709" s="4" t="str">
        <f t="shared" si="155"/>
        <v>LlaveD86466828114100010732</v>
      </c>
      <c r="D709" s="25" t="str">
        <f>VLOOKUP(E709,'NO MODIFICAR'!J:K,2,0)</f>
        <v>D864</v>
      </c>
      <c r="E709" s="102" t="s">
        <v>55</v>
      </c>
      <c r="F709" s="33" t="str">
        <f>VLOOKUP(D709,'NO MODIFICAR'!F:H,3,0)</f>
        <v xml:space="preserve">CENTRO </v>
      </c>
      <c r="G709" s="28">
        <v>66828114</v>
      </c>
      <c r="H709" s="93" t="s">
        <v>504</v>
      </c>
      <c r="I709" s="94">
        <v>10001073</v>
      </c>
      <c r="J709" s="4" t="str">
        <f>VLOOKUP(I709,'Materiales,canteras'!C:D,2,0)</f>
        <v>Arena Triturada Caliza Malla 4</v>
      </c>
      <c r="K709" s="25">
        <f>VLOOKUP(I709,'Materiales,canteras'!C:E,3,0)</f>
        <v>1.56</v>
      </c>
      <c r="L709" s="105">
        <v>95.78</v>
      </c>
      <c r="M709" s="28" t="s">
        <v>93</v>
      </c>
      <c r="N709" s="57">
        <f t="shared" ref="N709:N772" ca="1" si="157">TODAY()</f>
        <v>46267</v>
      </c>
      <c r="O709" s="43" t="s">
        <v>201</v>
      </c>
      <c r="R709">
        <v>12.64</v>
      </c>
      <c r="S709" s="82">
        <v>158</v>
      </c>
      <c r="T709" s="66">
        <f t="shared" si="149"/>
        <v>-49.580000000000013</v>
      </c>
      <c r="U709" s="46">
        <f t="shared" si="154"/>
        <v>95.78</v>
      </c>
      <c r="V709" s="82">
        <v>0</v>
      </c>
      <c r="W709" s="4">
        <v>2</v>
      </c>
      <c r="X709" s="195">
        <f t="shared" si="148"/>
        <v>95.78</v>
      </c>
      <c r="Y709" s="29" t="e">
        <f>IF(+VLOOKUP(I709,P.Referencia!E:S,3,FALSE)&lt;=L709,"Champion","Gerente")</f>
        <v>#N/A</v>
      </c>
      <c r="Z709" s="39" t="e">
        <f>VLOOKUP(I709,P.Referencia!E:S,3,0)</f>
        <v>#N/A</v>
      </c>
      <c r="AA709" s="40" t="e">
        <f t="shared" si="151"/>
        <v>#N/A</v>
      </c>
      <c r="AB709" s="41" t="e">
        <f t="shared" si="152"/>
        <v>#N/A</v>
      </c>
      <c r="AC709" s="41" t="e">
        <f t="shared" si="153"/>
        <v>#N/A</v>
      </c>
    </row>
    <row r="710" spans="1:29" hidden="1" x14ac:dyDescent="0.25">
      <c r="A710" s="24">
        <v>709</v>
      </c>
      <c r="B710" s="89" t="s">
        <v>505</v>
      </c>
      <c r="C710" s="4" t="str">
        <f t="shared" si="155"/>
        <v>LlaveD86466828114100010742</v>
      </c>
      <c r="D710" s="25" t="str">
        <f>VLOOKUP(E710,'NO MODIFICAR'!J:K,2,0)</f>
        <v>D864</v>
      </c>
      <c r="E710" s="102" t="s">
        <v>55</v>
      </c>
      <c r="F710" s="33" t="str">
        <f>VLOOKUP(D710,'NO MODIFICAR'!F:H,3,0)</f>
        <v xml:space="preserve">CENTRO </v>
      </c>
      <c r="G710" s="28">
        <v>66828114</v>
      </c>
      <c r="H710" s="93" t="s">
        <v>504</v>
      </c>
      <c r="I710" s="94">
        <v>10001074</v>
      </c>
      <c r="J710" s="4" t="str">
        <f>VLOOKUP(I710,'Materiales,canteras'!C:D,2,0)</f>
        <v>Grava Triturada Caliza 40 mm -</v>
      </c>
      <c r="K710" s="25">
        <f>VLOOKUP(I710,'Materiales,canteras'!C:E,3,0)</f>
        <v>1.4</v>
      </c>
      <c r="L710" s="105">
        <v>195.41</v>
      </c>
      <c r="M710" s="28" t="s">
        <v>93</v>
      </c>
      <c r="N710" s="57">
        <f t="shared" ca="1" si="157"/>
        <v>46267</v>
      </c>
      <c r="O710" s="43" t="s">
        <v>201</v>
      </c>
      <c r="R710">
        <v>18.48</v>
      </c>
      <c r="S710" s="82">
        <v>231</v>
      </c>
      <c r="T710" s="66">
        <f t="shared" si="149"/>
        <v>-17.110000000000014</v>
      </c>
      <c r="U710" s="46">
        <f t="shared" si="154"/>
        <v>195.41</v>
      </c>
      <c r="V710" s="82">
        <v>0</v>
      </c>
      <c r="W710" s="4">
        <v>2</v>
      </c>
      <c r="X710" s="195">
        <f t="shared" si="148"/>
        <v>195.41</v>
      </c>
      <c r="Y710" s="29" t="e">
        <f>IF(+VLOOKUP(I710,P.Referencia!E:S,3,FALSE)&lt;=L710,"Champion","Gerente")</f>
        <v>#N/A</v>
      </c>
      <c r="Z710" s="39" t="e">
        <f>VLOOKUP(I710,P.Referencia!E:S,3,0)</f>
        <v>#N/A</v>
      </c>
      <c r="AA710" s="40" t="e">
        <f t="shared" si="151"/>
        <v>#N/A</v>
      </c>
      <c r="AB710" s="41" t="e">
        <f t="shared" ref="AB710:AB758" si="158">U710*AA710</f>
        <v>#N/A</v>
      </c>
      <c r="AC710" s="41" t="e">
        <f t="shared" ref="AC710:AC758" si="159">U710+AB710</f>
        <v>#N/A</v>
      </c>
    </row>
    <row r="711" spans="1:29" hidden="1" x14ac:dyDescent="0.25">
      <c r="A711" s="24">
        <v>710</v>
      </c>
      <c r="B711" s="89" t="s">
        <v>505</v>
      </c>
      <c r="C711" s="4" t="str">
        <f t="shared" si="155"/>
        <v>LlaveD81367224043100002532</v>
      </c>
      <c r="D711" s="25" t="str">
        <f>VLOOKUP(E711,'NO MODIFICAR'!J:K,2,0)</f>
        <v>D813</v>
      </c>
      <c r="E711" s="102" t="s">
        <v>6</v>
      </c>
      <c r="F711" s="33" t="str">
        <f>VLOOKUP(D711,'NO MODIFICAR'!F:H,3,0)</f>
        <v xml:space="preserve">CENTRO </v>
      </c>
      <c r="G711" s="28">
        <v>67224043</v>
      </c>
      <c r="H711" s="93" t="s">
        <v>290</v>
      </c>
      <c r="I711" s="94">
        <v>10000253</v>
      </c>
      <c r="J711" s="4" t="str">
        <f>VLOOKUP(I711,'Materiales,canteras'!C:D,2,0)</f>
        <v>Grava Triturada Andesita 20 mm</v>
      </c>
      <c r="K711" s="25">
        <f>VLOOKUP(I711,'Materiales,canteras'!C:E,3,0)</f>
        <v>1.385</v>
      </c>
      <c r="L711" s="105">
        <v>102.24</v>
      </c>
      <c r="M711" s="28" t="s">
        <v>93</v>
      </c>
      <c r="N711" s="57">
        <f t="shared" ca="1" si="157"/>
        <v>46267</v>
      </c>
      <c r="O711" s="43" t="s">
        <v>201</v>
      </c>
      <c r="S711" s="82">
        <v>158</v>
      </c>
      <c r="T711" s="66">
        <f t="shared" si="149"/>
        <v>-55.760000000000005</v>
      </c>
      <c r="U711" s="46">
        <f t="shared" si="154"/>
        <v>102.24</v>
      </c>
      <c r="V711" s="82">
        <v>0</v>
      </c>
      <c r="W711" s="4">
        <v>2</v>
      </c>
      <c r="X711" s="195">
        <f t="shared" si="148"/>
        <v>102.24</v>
      </c>
      <c r="Y711" s="29" t="e">
        <f>IF(+VLOOKUP(I711,P.Referencia!E:S,3,FALSE)&lt;=L711,"Champion","Gerente")</f>
        <v>#N/A</v>
      </c>
      <c r="Z711" s="39" t="e">
        <f>VLOOKUP(I711,P.Referencia!E:S,3,0)</f>
        <v>#N/A</v>
      </c>
      <c r="AA711" s="40" t="e">
        <f t="shared" si="151"/>
        <v>#N/A</v>
      </c>
      <c r="AB711" s="41" t="e">
        <f t="shared" si="158"/>
        <v>#N/A</v>
      </c>
      <c r="AC711" s="41" t="e">
        <f t="shared" si="159"/>
        <v>#N/A</v>
      </c>
    </row>
    <row r="712" spans="1:29" hidden="1" x14ac:dyDescent="0.25">
      <c r="A712" s="24">
        <v>711</v>
      </c>
      <c r="B712" s="89" t="s">
        <v>505</v>
      </c>
      <c r="C712" s="4" t="str">
        <f t="shared" si="155"/>
        <v>LlaveD81367224043100002552</v>
      </c>
      <c r="D712" s="25" t="str">
        <f>VLOOKUP(E712,'NO MODIFICAR'!J:K,2,0)</f>
        <v>D813</v>
      </c>
      <c r="E712" s="102" t="s">
        <v>6</v>
      </c>
      <c r="F712" s="33" t="str">
        <f>VLOOKUP(D712,'NO MODIFICAR'!F:H,3,0)</f>
        <v xml:space="preserve">CENTRO </v>
      </c>
      <c r="G712" s="28">
        <v>67224043</v>
      </c>
      <c r="H712" s="93" t="s">
        <v>290</v>
      </c>
      <c r="I712" s="94">
        <v>10000255</v>
      </c>
      <c r="J712" s="4" t="str">
        <f>VLOOKUP(I712,'Materiales,canteras'!C:D,2,0)</f>
        <v>Arena Triturada Andesita Malla</v>
      </c>
      <c r="K712" s="25">
        <f>VLOOKUP(I712,'Materiales,canteras'!C:E,3,0)</f>
        <v>1.5349999999999999</v>
      </c>
      <c r="L712" s="105">
        <v>82.45</v>
      </c>
      <c r="M712" s="28" t="s">
        <v>93</v>
      </c>
      <c r="N712" s="57">
        <f t="shared" ca="1" si="157"/>
        <v>46267</v>
      </c>
      <c r="O712" s="43" t="s">
        <v>201</v>
      </c>
      <c r="S712" s="82">
        <v>158</v>
      </c>
      <c r="T712" s="66">
        <f t="shared" si="149"/>
        <v>-75.55</v>
      </c>
      <c r="U712" s="46">
        <f t="shared" si="154"/>
        <v>82.45</v>
      </c>
      <c r="V712" s="82">
        <v>0</v>
      </c>
      <c r="W712" s="4">
        <v>2</v>
      </c>
      <c r="X712" s="195">
        <f t="shared" si="148"/>
        <v>82.45</v>
      </c>
      <c r="Y712" s="29" t="e">
        <f>IF(+VLOOKUP(I712,P.Referencia!E:S,3,FALSE)&lt;=L712,"Champion","Gerente")</f>
        <v>#N/A</v>
      </c>
      <c r="Z712" s="39" t="e">
        <f>VLOOKUP(I712,P.Referencia!E:S,3,0)</f>
        <v>#N/A</v>
      </c>
      <c r="AA712" s="40" t="e">
        <f t="shared" si="151"/>
        <v>#N/A</v>
      </c>
      <c r="AB712" s="41" t="e">
        <f t="shared" si="158"/>
        <v>#N/A</v>
      </c>
      <c r="AC712" s="41" t="e">
        <f t="shared" si="159"/>
        <v>#N/A</v>
      </c>
    </row>
    <row r="713" spans="1:29" hidden="1" x14ac:dyDescent="0.25">
      <c r="A713" s="24">
        <v>712</v>
      </c>
      <c r="B713" s="89" t="s">
        <v>505</v>
      </c>
      <c r="C713" s="4" t="str">
        <f t="shared" ref="C713:C776" si="160">_xlfn.CONCAT($C$1,D713,G713,I713,W713)</f>
        <v>LlaveD86465006122100002362</v>
      </c>
      <c r="D713" s="25" t="str">
        <f>VLOOKUP(E713,'NO MODIFICAR'!J:K,2,0)</f>
        <v>D864</v>
      </c>
      <c r="E713" s="102" t="s">
        <v>55</v>
      </c>
      <c r="F713" s="33" t="str">
        <f>VLOOKUP(D713,'NO MODIFICAR'!F:H,3,0)</f>
        <v xml:space="preserve">CENTRO </v>
      </c>
      <c r="G713" s="28">
        <v>65006122</v>
      </c>
      <c r="H713" s="93" t="s">
        <v>506</v>
      </c>
      <c r="I713" s="94">
        <v>10000236</v>
      </c>
      <c r="J713" s="4" t="str">
        <f>VLOOKUP(I713,'Materiales,canteras'!C:D,2,0)</f>
        <v>Grava Triturada Caliza 10 mm -</v>
      </c>
      <c r="K713" s="25">
        <f>VLOOKUP(I713,'Materiales,canteras'!C:E,3,0)</f>
        <v>1.41</v>
      </c>
      <c r="L713" s="105">
        <v>127</v>
      </c>
      <c r="M713" s="28" t="s">
        <v>93</v>
      </c>
      <c r="N713" s="57">
        <f t="shared" ca="1" si="157"/>
        <v>46267</v>
      </c>
      <c r="O713" s="43" t="s">
        <v>201</v>
      </c>
      <c r="S713" s="82">
        <v>252</v>
      </c>
      <c r="T713" s="66">
        <f t="shared" si="149"/>
        <v>-125</v>
      </c>
      <c r="U713" s="46">
        <f t="shared" si="154"/>
        <v>127</v>
      </c>
      <c r="V713" s="82">
        <v>0</v>
      </c>
      <c r="W713" s="4">
        <v>2</v>
      </c>
      <c r="X713" s="195">
        <f t="shared" si="148"/>
        <v>127</v>
      </c>
      <c r="Y713" s="29" t="e">
        <f>IF(+VLOOKUP(I713,P.Referencia!E:S,3,FALSE)&lt;=L713,"Champion","Gerente")</f>
        <v>#N/A</v>
      </c>
      <c r="Z713" s="39" t="e">
        <f>VLOOKUP(I713,P.Referencia!E:S,3,0)</f>
        <v>#N/A</v>
      </c>
      <c r="AA713" s="40" t="e">
        <f t="shared" ref="AA713:AA758" si="161">(Z713-U713)/U713</f>
        <v>#N/A</v>
      </c>
      <c r="AB713" s="41" t="e">
        <f t="shared" si="158"/>
        <v>#N/A</v>
      </c>
      <c r="AC713" s="41" t="e">
        <f t="shared" si="159"/>
        <v>#N/A</v>
      </c>
    </row>
    <row r="714" spans="1:29" hidden="1" x14ac:dyDescent="0.25">
      <c r="A714" s="24">
        <v>713</v>
      </c>
      <c r="B714" s="89" t="s">
        <v>505</v>
      </c>
      <c r="C714" s="4" t="str">
        <f t="shared" si="160"/>
        <v>LlaveD86467325663100002362</v>
      </c>
      <c r="D714" s="25" t="str">
        <f>VLOOKUP(E714,'NO MODIFICAR'!J:K,2,0)</f>
        <v>D864</v>
      </c>
      <c r="E714" s="102" t="s">
        <v>55</v>
      </c>
      <c r="F714" s="33" t="str">
        <f>VLOOKUP(D714,'NO MODIFICAR'!F:H,3,0)</f>
        <v xml:space="preserve">CENTRO </v>
      </c>
      <c r="G714" s="28">
        <v>67325663</v>
      </c>
      <c r="H714" s="93" t="s">
        <v>276</v>
      </c>
      <c r="I714" s="94">
        <v>10000236</v>
      </c>
      <c r="J714" s="4" t="str">
        <f>VLOOKUP(I714,'Materiales,canteras'!C:D,2,0)</f>
        <v>Grava Triturada Caliza 10 mm -</v>
      </c>
      <c r="K714" s="25">
        <f>VLOOKUP(I714,'Materiales,canteras'!C:E,3,0)</f>
        <v>1.41</v>
      </c>
      <c r="L714" s="105">
        <v>145.22</v>
      </c>
      <c r="M714" s="28" t="s">
        <v>93</v>
      </c>
      <c r="N714" s="57">
        <f t="shared" ca="1" si="157"/>
        <v>46267</v>
      </c>
      <c r="O714" s="43" t="s">
        <v>201</v>
      </c>
      <c r="R714">
        <v>3.78</v>
      </c>
      <c r="S714" s="82">
        <v>252</v>
      </c>
      <c r="T714" s="66">
        <f t="shared" si="149"/>
        <v>-103</v>
      </c>
      <c r="U714" s="46">
        <f t="shared" si="154"/>
        <v>145.22</v>
      </c>
      <c r="V714" s="82">
        <v>0</v>
      </c>
      <c r="W714" s="4">
        <v>2</v>
      </c>
      <c r="X714" s="195">
        <f t="shared" si="148"/>
        <v>145.22</v>
      </c>
      <c r="Y714" s="29" t="e">
        <f>IF(+VLOOKUP(I714,P.Referencia!E:S,3,FALSE)&lt;=L714,"Champion","Gerente")</f>
        <v>#N/A</v>
      </c>
      <c r="Z714" s="39" t="e">
        <f>VLOOKUP(I714,P.Referencia!E:S,3,0)</f>
        <v>#N/A</v>
      </c>
      <c r="AA714" s="40" t="e">
        <f t="shared" si="161"/>
        <v>#N/A</v>
      </c>
      <c r="AB714" s="41" t="e">
        <f t="shared" si="158"/>
        <v>#N/A</v>
      </c>
      <c r="AC714" s="41" t="e">
        <f t="shared" si="159"/>
        <v>#N/A</v>
      </c>
    </row>
    <row r="715" spans="1:29" hidden="1" x14ac:dyDescent="0.25">
      <c r="A715" s="24">
        <v>714</v>
      </c>
      <c r="B715" s="89" t="s">
        <v>505</v>
      </c>
      <c r="C715" s="4" t="str">
        <f t="shared" si="160"/>
        <v>LlaveD86467325663100002692</v>
      </c>
      <c r="D715" s="25" t="str">
        <f>VLOOKUP(E715,'NO MODIFICAR'!J:K,2,0)</f>
        <v>D864</v>
      </c>
      <c r="E715" s="102" t="s">
        <v>55</v>
      </c>
      <c r="F715" s="33" t="str">
        <f>VLOOKUP(D715,'NO MODIFICAR'!F:H,3,0)</f>
        <v xml:space="preserve">CENTRO </v>
      </c>
      <c r="G715" s="28">
        <v>67325663</v>
      </c>
      <c r="H715" s="93" t="s">
        <v>276</v>
      </c>
      <c r="I715" s="94">
        <v>10000269</v>
      </c>
      <c r="J715" s="4" t="str">
        <f>VLOOKUP(I715,'Materiales,canteras'!C:D,2,0)</f>
        <v>Grava Triturada Caliza 13 mm -</v>
      </c>
      <c r="K715" s="25">
        <f>VLOOKUP(I715,'Materiales,canteras'!C:E,3,0)</f>
        <v>1.423</v>
      </c>
      <c r="L715" s="105">
        <v>145.22</v>
      </c>
      <c r="M715" s="28" t="s">
        <v>93</v>
      </c>
      <c r="N715" s="57">
        <f t="shared" ca="1" si="157"/>
        <v>46267</v>
      </c>
      <c r="O715" s="43" t="s">
        <v>201</v>
      </c>
      <c r="R715">
        <v>3.95</v>
      </c>
      <c r="S715" s="82">
        <v>263</v>
      </c>
      <c r="T715" s="66">
        <f t="shared" si="149"/>
        <v>-113.83000000000001</v>
      </c>
      <c r="U715" s="46">
        <f t="shared" si="154"/>
        <v>145.22</v>
      </c>
      <c r="V715" s="82">
        <v>0</v>
      </c>
      <c r="W715" s="4">
        <v>2</v>
      </c>
      <c r="X715" s="195">
        <f t="shared" si="148"/>
        <v>145.22</v>
      </c>
      <c r="Y715" s="29" t="e">
        <f>IF(+VLOOKUP(I715,P.Referencia!E:S,3,FALSE)&lt;=L715,"Champion","Gerente")</f>
        <v>#N/A</v>
      </c>
      <c r="Z715" s="39" t="e">
        <f>VLOOKUP(I715,P.Referencia!E:S,3,0)</f>
        <v>#N/A</v>
      </c>
      <c r="AA715" s="40" t="e">
        <f t="shared" si="161"/>
        <v>#N/A</v>
      </c>
      <c r="AB715" s="41" t="e">
        <f t="shared" si="158"/>
        <v>#N/A</v>
      </c>
      <c r="AC715" s="41" t="e">
        <f t="shared" si="159"/>
        <v>#N/A</v>
      </c>
    </row>
    <row r="716" spans="1:29" hidden="1" x14ac:dyDescent="0.25">
      <c r="A716" s="24">
        <v>715</v>
      </c>
      <c r="B716" s="89" t="s">
        <v>505</v>
      </c>
      <c r="C716" s="4" t="str">
        <f t="shared" si="160"/>
        <v>LlaveD86467325663100010732</v>
      </c>
      <c r="D716" s="25" t="str">
        <f>VLOOKUP(E716,'NO MODIFICAR'!J:K,2,0)</f>
        <v>D864</v>
      </c>
      <c r="E716" s="102" t="s">
        <v>55</v>
      </c>
      <c r="F716" s="33" t="str">
        <f>VLOOKUP(D716,'NO MODIFICAR'!F:H,3,0)</f>
        <v xml:space="preserve">CENTRO </v>
      </c>
      <c r="G716" s="28">
        <v>67325663</v>
      </c>
      <c r="H716" s="93" t="s">
        <v>276</v>
      </c>
      <c r="I716" s="94">
        <v>10001073</v>
      </c>
      <c r="J716" s="4" t="str">
        <f>VLOOKUP(I716,'Materiales,canteras'!C:D,2,0)</f>
        <v>Arena Triturada Caliza Malla 4</v>
      </c>
      <c r="K716" s="25">
        <f>VLOOKUP(I716,'Materiales,canteras'!C:E,3,0)</f>
        <v>1.56</v>
      </c>
      <c r="L716" s="105">
        <v>96.16</v>
      </c>
      <c r="M716" s="28" t="s">
        <v>93</v>
      </c>
      <c r="N716" s="57">
        <f t="shared" ca="1" si="157"/>
        <v>46267</v>
      </c>
      <c r="O716" s="43" t="s">
        <v>201</v>
      </c>
      <c r="R716">
        <v>2.37</v>
      </c>
      <c r="S716" s="82">
        <v>158</v>
      </c>
      <c r="T716" s="66">
        <f t="shared" si="149"/>
        <v>-59.47</v>
      </c>
      <c r="U716" s="46">
        <f t="shared" si="154"/>
        <v>96.16</v>
      </c>
      <c r="V716" s="82">
        <v>0</v>
      </c>
      <c r="W716" s="4">
        <v>2</v>
      </c>
      <c r="X716" s="195">
        <f t="shared" si="148"/>
        <v>96.16</v>
      </c>
      <c r="Y716" s="29" t="e">
        <f>IF(+VLOOKUP(I716,P.Referencia!E:S,3,FALSE)&lt;=L716,"Champion","Gerente")</f>
        <v>#N/A</v>
      </c>
      <c r="Z716" s="39" t="e">
        <f>VLOOKUP(I716,P.Referencia!E:S,3,0)</f>
        <v>#N/A</v>
      </c>
      <c r="AA716" s="40" t="e">
        <f t="shared" si="161"/>
        <v>#N/A</v>
      </c>
      <c r="AB716" s="41" t="e">
        <f t="shared" si="158"/>
        <v>#N/A</v>
      </c>
      <c r="AC716" s="41" t="e">
        <f t="shared" si="159"/>
        <v>#N/A</v>
      </c>
    </row>
    <row r="717" spans="1:29" x14ac:dyDescent="0.25">
      <c r="A717" s="24">
        <v>716</v>
      </c>
      <c r="B717" s="89" t="s">
        <v>505</v>
      </c>
      <c r="C717" s="4" t="str">
        <f t="shared" si="160"/>
        <v>LlaveD86666994683100002662</v>
      </c>
      <c r="D717" s="25" t="str">
        <f>VLOOKUP(E717,'NO MODIFICAR'!J:K,2,0)</f>
        <v>D866</v>
      </c>
      <c r="E717" s="102" t="s">
        <v>62</v>
      </c>
      <c r="F717" s="33" t="str">
        <f>VLOOKUP(D717,'NO MODIFICAR'!F:H,3,0)</f>
        <v>NORESTE</v>
      </c>
      <c r="G717" s="28">
        <v>66994683</v>
      </c>
      <c r="H717" s="93" t="s">
        <v>445</v>
      </c>
      <c r="I717" s="94">
        <v>10000266</v>
      </c>
      <c r="J717" s="4" t="str">
        <f>VLOOKUP(I717,'Materiales,canteras'!C:D,2,0)</f>
        <v>Arena Triturada Basalto Malla</v>
      </c>
      <c r="K717" s="25">
        <f>VLOOKUP(I717,'Materiales,canteras'!C:E,3,0)</f>
        <v>1.6819999999999999</v>
      </c>
      <c r="L717" s="105">
        <v>208.9</v>
      </c>
      <c r="M717" s="28" t="s">
        <v>93</v>
      </c>
      <c r="N717" s="57">
        <f t="shared" ca="1" si="157"/>
        <v>46267</v>
      </c>
      <c r="O717" s="43" t="s">
        <v>201</v>
      </c>
      <c r="S717" s="82">
        <v>253</v>
      </c>
      <c r="T717" s="66">
        <f t="shared" si="149"/>
        <v>-44.099999999999994</v>
      </c>
      <c r="U717" s="46">
        <f t="shared" si="154"/>
        <v>208.9</v>
      </c>
      <c r="V717" s="82">
        <v>0</v>
      </c>
      <c r="W717" s="4">
        <v>2</v>
      </c>
      <c r="X717" s="195">
        <f t="shared" si="148"/>
        <v>208.9</v>
      </c>
      <c r="Y717" s="29" t="e">
        <f>IF(+VLOOKUP(I717,P.Referencia!E:S,3,FALSE)&lt;=L717,"Champion","Gerente")</f>
        <v>#N/A</v>
      </c>
      <c r="Z717" s="39" t="e">
        <f>VLOOKUP(I717,P.Referencia!E:S,3,0)</f>
        <v>#N/A</v>
      </c>
      <c r="AA717" s="40" t="e">
        <f t="shared" si="161"/>
        <v>#N/A</v>
      </c>
      <c r="AB717" s="41" t="e">
        <f t="shared" si="158"/>
        <v>#N/A</v>
      </c>
      <c r="AC717" s="41" t="e">
        <f t="shared" si="159"/>
        <v>#N/A</v>
      </c>
    </row>
    <row r="718" spans="1:29" x14ac:dyDescent="0.25">
      <c r="A718" s="24">
        <v>717</v>
      </c>
      <c r="B718" s="89" t="s">
        <v>505</v>
      </c>
      <c r="C718" s="4" t="str">
        <f t="shared" si="160"/>
        <v>LlaveD86666994683100002742</v>
      </c>
      <c r="D718" s="25" t="str">
        <f>VLOOKUP(E718,'NO MODIFICAR'!J:K,2,0)</f>
        <v>D866</v>
      </c>
      <c r="E718" s="102" t="s">
        <v>62</v>
      </c>
      <c r="F718" s="33" t="str">
        <f>VLOOKUP(D718,'NO MODIFICAR'!F:H,3,0)</f>
        <v>NORESTE</v>
      </c>
      <c r="G718" s="28">
        <v>66994683</v>
      </c>
      <c r="H718" s="93" t="s">
        <v>445</v>
      </c>
      <c r="I718" s="94">
        <v>10000274</v>
      </c>
      <c r="J718" s="4" t="str">
        <f>VLOOKUP(I718,'Materiales,canteras'!C:D,2,0)</f>
        <v>Grava Triturada Basalto  20 mm</v>
      </c>
      <c r="K718" s="25">
        <f>VLOOKUP(I718,'Materiales,canteras'!C:E,3,0)</f>
        <v>1.4710000000000001</v>
      </c>
      <c r="L718" s="105">
        <v>186.36</v>
      </c>
      <c r="M718" s="28" t="s">
        <v>93</v>
      </c>
      <c r="N718" s="57">
        <f t="shared" ca="1" si="157"/>
        <v>46267</v>
      </c>
      <c r="O718" s="43" t="s">
        <v>201</v>
      </c>
      <c r="S718" s="82">
        <v>226</v>
      </c>
      <c r="T718" s="66">
        <f t="shared" si="149"/>
        <v>-39.639999999999986</v>
      </c>
      <c r="U718" s="46">
        <f t="shared" si="154"/>
        <v>186.36</v>
      </c>
      <c r="V718" s="82">
        <v>0</v>
      </c>
      <c r="W718" s="4">
        <v>2</v>
      </c>
      <c r="X718" s="195">
        <f t="shared" si="148"/>
        <v>186.36</v>
      </c>
      <c r="Y718" s="29" t="e">
        <f>IF(+VLOOKUP(I718,P.Referencia!E:S,3,FALSE)&lt;=L718,"Champion","Gerente")</f>
        <v>#N/A</v>
      </c>
      <c r="Z718" s="39" t="e">
        <f>VLOOKUP(I718,P.Referencia!E:S,3,0)</f>
        <v>#N/A</v>
      </c>
      <c r="AA718" s="40" t="e">
        <f t="shared" si="161"/>
        <v>#N/A</v>
      </c>
      <c r="AB718" s="41" t="e">
        <f t="shared" si="158"/>
        <v>#N/A</v>
      </c>
      <c r="AC718" s="41" t="e">
        <f t="shared" si="159"/>
        <v>#N/A</v>
      </c>
    </row>
    <row r="719" spans="1:29" x14ac:dyDescent="0.25">
      <c r="A719" s="24">
        <v>718</v>
      </c>
      <c r="B719" s="89" t="s">
        <v>505</v>
      </c>
      <c r="C719" s="4" t="str">
        <f t="shared" si="160"/>
        <v>LlaveD86666994684100002662</v>
      </c>
      <c r="D719" s="25" t="str">
        <f>VLOOKUP(E719,'NO MODIFICAR'!J:K,2,0)</f>
        <v>D866</v>
      </c>
      <c r="E719" s="102" t="s">
        <v>62</v>
      </c>
      <c r="F719" s="33" t="str">
        <f>VLOOKUP(D719,'NO MODIFICAR'!F:H,3,0)</f>
        <v>NORESTE</v>
      </c>
      <c r="G719" s="28">
        <v>66994684</v>
      </c>
      <c r="H719" s="93" t="s">
        <v>446</v>
      </c>
      <c r="I719" s="94">
        <v>10000266</v>
      </c>
      <c r="J719" s="4" t="str">
        <f>VLOOKUP(I719,'Materiales,canteras'!C:D,2,0)</f>
        <v>Arena Triturada Basalto Malla</v>
      </c>
      <c r="K719" s="25">
        <f>VLOOKUP(I719,'Materiales,canteras'!C:E,3,0)</f>
        <v>1.6819999999999999</v>
      </c>
      <c r="L719" s="105">
        <v>208.9</v>
      </c>
      <c r="M719" s="28" t="s">
        <v>93</v>
      </c>
      <c r="N719" s="57">
        <f t="shared" ca="1" si="157"/>
        <v>46267</v>
      </c>
      <c r="O719" s="43" t="s">
        <v>201</v>
      </c>
      <c r="S719" s="82">
        <v>253</v>
      </c>
      <c r="T719" s="66">
        <f t="shared" si="149"/>
        <v>-44.099999999999994</v>
      </c>
      <c r="U719" s="46">
        <f t="shared" si="154"/>
        <v>208.9</v>
      </c>
      <c r="V719" s="82">
        <v>0</v>
      </c>
      <c r="W719" s="4">
        <v>2</v>
      </c>
      <c r="X719" s="195">
        <f t="shared" si="148"/>
        <v>208.9</v>
      </c>
      <c r="Y719" s="29" t="e">
        <f>IF(+VLOOKUP(I719,P.Referencia!E:S,3,FALSE)&lt;=L719,"Champion","Gerente")</f>
        <v>#N/A</v>
      </c>
      <c r="Z719" s="39" t="e">
        <f>VLOOKUP(I719,P.Referencia!E:S,3,0)</f>
        <v>#N/A</v>
      </c>
      <c r="AA719" s="40" t="e">
        <f t="shared" si="161"/>
        <v>#N/A</v>
      </c>
      <c r="AB719" s="41" t="e">
        <f t="shared" si="158"/>
        <v>#N/A</v>
      </c>
      <c r="AC719" s="41" t="e">
        <f t="shared" si="159"/>
        <v>#N/A</v>
      </c>
    </row>
    <row r="720" spans="1:29" x14ac:dyDescent="0.25">
      <c r="A720" s="24">
        <v>719</v>
      </c>
      <c r="B720" s="89" t="s">
        <v>505</v>
      </c>
      <c r="C720" s="4" t="str">
        <f t="shared" si="160"/>
        <v>LlaveD86666994684100002742</v>
      </c>
      <c r="D720" s="25" t="str">
        <f>VLOOKUP(E720,'NO MODIFICAR'!J:K,2,0)</f>
        <v>D866</v>
      </c>
      <c r="E720" s="102" t="s">
        <v>62</v>
      </c>
      <c r="F720" s="33" t="str">
        <f>VLOOKUP(D720,'NO MODIFICAR'!F:H,3,0)</f>
        <v>NORESTE</v>
      </c>
      <c r="G720" s="28">
        <v>66994684</v>
      </c>
      <c r="H720" s="93" t="s">
        <v>446</v>
      </c>
      <c r="I720" s="94">
        <v>10000274</v>
      </c>
      <c r="J720" s="4" t="str">
        <f>VLOOKUP(I720,'Materiales,canteras'!C:D,2,0)</f>
        <v>Grava Triturada Basalto  20 mm</v>
      </c>
      <c r="K720" s="25">
        <f>VLOOKUP(I720,'Materiales,canteras'!C:E,3,0)</f>
        <v>1.4710000000000001</v>
      </c>
      <c r="L720" s="105">
        <v>186.36</v>
      </c>
      <c r="M720" s="28" t="s">
        <v>93</v>
      </c>
      <c r="N720" s="57">
        <f t="shared" ca="1" si="157"/>
        <v>46267</v>
      </c>
      <c r="O720" s="43" t="s">
        <v>201</v>
      </c>
      <c r="S720" s="82">
        <v>226</v>
      </c>
      <c r="T720" s="66">
        <f t="shared" si="149"/>
        <v>-39.639999999999986</v>
      </c>
      <c r="U720" s="46">
        <f t="shared" si="154"/>
        <v>186.36</v>
      </c>
      <c r="V720" s="82">
        <v>0</v>
      </c>
      <c r="W720" s="4">
        <v>2</v>
      </c>
      <c r="X720" s="195">
        <f t="shared" si="148"/>
        <v>186.36</v>
      </c>
      <c r="Y720" s="29" t="e">
        <f>IF(+VLOOKUP(I720,P.Referencia!E:S,3,FALSE)&lt;=L720,"Champion","Gerente")</f>
        <v>#N/A</v>
      </c>
      <c r="Z720" s="39" t="e">
        <f>VLOOKUP(I720,P.Referencia!E:S,3,0)</f>
        <v>#N/A</v>
      </c>
      <c r="AA720" s="40" t="e">
        <f t="shared" si="161"/>
        <v>#N/A</v>
      </c>
      <c r="AB720" s="41" t="e">
        <f t="shared" si="158"/>
        <v>#N/A</v>
      </c>
      <c r="AC720" s="41" t="e">
        <f t="shared" si="159"/>
        <v>#N/A</v>
      </c>
    </row>
    <row r="721" spans="1:29" hidden="1" x14ac:dyDescent="0.25">
      <c r="A721" s="24">
        <v>720</v>
      </c>
      <c r="B721" s="89" t="s">
        <v>505</v>
      </c>
      <c r="C721" s="4" t="str">
        <f t="shared" si="160"/>
        <v>LlaveD81667359566100002621</v>
      </c>
      <c r="D721" s="25" t="str">
        <f>VLOOKUP(E721,'NO MODIFICAR'!J:K,2,0)</f>
        <v>D816</v>
      </c>
      <c r="E721" s="102" t="s">
        <v>15</v>
      </c>
      <c r="F721" s="33" t="str">
        <f>VLOOKUP(D721,'NO MODIFICAR'!F:H,3,0)</f>
        <v>NORESTE</v>
      </c>
      <c r="G721" s="28">
        <v>67359566</v>
      </c>
      <c r="H721" s="93" t="s">
        <v>507</v>
      </c>
      <c r="I721" s="94">
        <v>10000262</v>
      </c>
      <c r="J721" s="4" t="str">
        <f>VLOOKUP(I721,'Materiales,canteras'!C:D,2,0)</f>
        <v>Base H Triturada Caliza 1 1/2"</v>
      </c>
      <c r="K721" s="25">
        <f>VLOOKUP(I721,'Materiales,canteras'!C:E,3,0)</f>
        <v>1.821</v>
      </c>
      <c r="L721" s="105">
        <v>308</v>
      </c>
      <c r="M721" s="28" t="s">
        <v>93</v>
      </c>
      <c r="N721" s="57">
        <f t="shared" ca="1" si="157"/>
        <v>46267</v>
      </c>
      <c r="O721" s="43" t="s">
        <v>201</v>
      </c>
      <c r="Q721">
        <v>17.850000000000001</v>
      </c>
      <c r="R721">
        <v>5.09</v>
      </c>
      <c r="S721" s="82">
        <v>357</v>
      </c>
      <c r="T721" s="66">
        <f t="shared" si="149"/>
        <v>-26.060000000000002</v>
      </c>
      <c r="U721" s="46">
        <f t="shared" si="154"/>
        <v>308</v>
      </c>
      <c r="V721" s="82">
        <v>94.65</v>
      </c>
      <c r="W721" s="4">
        <v>1</v>
      </c>
      <c r="X721" s="195">
        <f t="shared" si="148"/>
        <v>402.65</v>
      </c>
      <c r="Y721" s="29" t="e">
        <f>IF(+VLOOKUP(I721,P.Referencia!E:S,3,FALSE)&lt;=L721,"Champion","Gerente")</f>
        <v>#N/A</v>
      </c>
      <c r="Z721" s="39" t="e">
        <f>VLOOKUP(I721,P.Referencia!E:S,3,0)</f>
        <v>#N/A</v>
      </c>
      <c r="AA721" s="40" t="e">
        <f t="shared" si="161"/>
        <v>#N/A</v>
      </c>
      <c r="AB721" s="41" t="e">
        <f t="shared" si="158"/>
        <v>#N/A</v>
      </c>
      <c r="AC721" s="41" t="e">
        <f t="shared" si="159"/>
        <v>#N/A</v>
      </c>
    </row>
    <row r="722" spans="1:29" hidden="1" x14ac:dyDescent="0.25">
      <c r="A722" s="24">
        <v>721</v>
      </c>
      <c r="B722" s="89" t="s">
        <v>505</v>
      </c>
      <c r="C722" s="4" t="str">
        <f t="shared" si="160"/>
        <v>LlaveD81667359566100364881</v>
      </c>
      <c r="D722" s="25" t="str">
        <f>VLOOKUP(E722,'NO MODIFICAR'!J:K,2,0)</f>
        <v>D816</v>
      </c>
      <c r="E722" s="102" t="s">
        <v>15</v>
      </c>
      <c r="F722" s="33" t="str">
        <f>VLOOKUP(D722,'NO MODIFICAR'!F:H,3,0)</f>
        <v>NORESTE</v>
      </c>
      <c r="G722" s="28">
        <v>67359566</v>
      </c>
      <c r="H722" s="93" t="s">
        <v>507</v>
      </c>
      <c r="I722" s="94">
        <v>10036488</v>
      </c>
      <c r="J722" s="4" t="str">
        <f>VLOOKUP(I722,'Materiales,canteras'!C:D,2,0)</f>
        <v>Base H Trit Caliza 3/4" a Fino</v>
      </c>
      <c r="K722" s="25">
        <f>VLOOKUP(I722,'Materiales,canteras'!C:E,3,0)</f>
        <v>1.78</v>
      </c>
      <c r="L722" s="105">
        <v>311.36</v>
      </c>
      <c r="M722" s="28" t="s">
        <v>93</v>
      </c>
      <c r="N722" s="57">
        <f t="shared" ca="1" si="157"/>
        <v>46267</v>
      </c>
      <c r="O722" s="43" t="s">
        <v>201</v>
      </c>
      <c r="Q722">
        <v>17.850000000000001</v>
      </c>
      <c r="R722">
        <v>5.09</v>
      </c>
      <c r="S722" s="82">
        <v>357</v>
      </c>
      <c r="T722" s="66">
        <f t="shared" si="149"/>
        <v>-22.699999999999989</v>
      </c>
      <c r="U722" s="46">
        <f t="shared" si="154"/>
        <v>311.36</v>
      </c>
      <c r="V722" s="82">
        <v>94.65</v>
      </c>
      <c r="W722" s="4">
        <v>1</v>
      </c>
      <c r="X722" s="195">
        <f t="shared" si="148"/>
        <v>406.01</v>
      </c>
      <c r="Y722" s="29" t="e">
        <f>IF(+VLOOKUP(I722,P.Referencia!E:S,3,FALSE)&lt;=L722,"Champion","Gerente")</f>
        <v>#N/A</v>
      </c>
      <c r="Z722" s="39" t="e">
        <f>VLOOKUP(I722,P.Referencia!E:S,3,0)</f>
        <v>#N/A</v>
      </c>
      <c r="AA722" s="40" t="e">
        <f t="shared" si="161"/>
        <v>#N/A</v>
      </c>
      <c r="AB722" s="41" t="e">
        <f t="shared" si="158"/>
        <v>#N/A</v>
      </c>
      <c r="AC722" s="41" t="e">
        <f t="shared" si="159"/>
        <v>#N/A</v>
      </c>
    </row>
    <row r="723" spans="1:29" hidden="1" x14ac:dyDescent="0.25">
      <c r="A723" s="24">
        <v>722</v>
      </c>
      <c r="B723" s="89" t="s">
        <v>505</v>
      </c>
      <c r="C723" s="4" t="str">
        <f t="shared" si="160"/>
        <v>LlaveD86467244456100010732</v>
      </c>
      <c r="D723" s="25" t="str">
        <f>VLOOKUP(E723,'NO MODIFICAR'!J:K,2,0)</f>
        <v>D864</v>
      </c>
      <c r="E723" s="102" t="s">
        <v>55</v>
      </c>
      <c r="F723" s="33" t="str">
        <f>VLOOKUP(D723,'NO MODIFICAR'!F:H,3,0)</f>
        <v xml:space="preserve">CENTRO </v>
      </c>
      <c r="G723" s="28">
        <v>67244456</v>
      </c>
      <c r="H723" s="93" t="s">
        <v>385</v>
      </c>
      <c r="I723" s="94">
        <v>10001073</v>
      </c>
      <c r="J723" s="4" t="str">
        <f>VLOOKUP(I723,'Materiales,canteras'!C:D,2,0)</f>
        <v>Arena Triturada Caliza Malla 4</v>
      </c>
      <c r="K723" s="25">
        <f>VLOOKUP(I723,'Materiales,canteras'!C:E,3,0)</f>
        <v>1.56</v>
      </c>
      <c r="L723" s="105">
        <v>107</v>
      </c>
      <c r="M723" s="28" t="s">
        <v>93</v>
      </c>
      <c r="N723" s="57">
        <f t="shared" ca="1" si="157"/>
        <v>46267</v>
      </c>
      <c r="O723" s="43" t="s">
        <v>201</v>
      </c>
      <c r="R723">
        <v>7.9</v>
      </c>
      <c r="S723" s="82">
        <v>158</v>
      </c>
      <c r="T723" s="66">
        <f t="shared" si="149"/>
        <v>-43.099999999999994</v>
      </c>
      <c r="U723" s="46">
        <f t="shared" si="154"/>
        <v>107</v>
      </c>
      <c r="V723" s="82">
        <v>0</v>
      </c>
      <c r="W723" s="4">
        <v>2</v>
      </c>
      <c r="X723" s="195">
        <f t="shared" si="148"/>
        <v>107</v>
      </c>
      <c r="Y723" s="29" t="e">
        <f>IF(+VLOOKUP(I723,P.Referencia!E:S,3,FALSE)&lt;=L723,"Champion","Gerente")</f>
        <v>#N/A</v>
      </c>
      <c r="Z723" s="39" t="e">
        <f>VLOOKUP(I723,P.Referencia!E:S,3,0)</f>
        <v>#N/A</v>
      </c>
      <c r="AA723" s="40" t="e">
        <f t="shared" si="161"/>
        <v>#N/A</v>
      </c>
      <c r="AB723" s="41" t="e">
        <f t="shared" si="158"/>
        <v>#N/A</v>
      </c>
      <c r="AC723" s="41" t="e">
        <f t="shared" si="159"/>
        <v>#N/A</v>
      </c>
    </row>
    <row r="724" spans="1:29" hidden="1" x14ac:dyDescent="0.25">
      <c r="A724" s="24">
        <v>723</v>
      </c>
      <c r="B724" s="89" t="s">
        <v>505</v>
      </c>
      <c r="C724" s="4" t="str">
        <f t="shared" si="160"/>
        <v>LlaveD86467244456100002362</v>
      </c>
      <c r="D724" s="25" t="str">
        <f>VLOOKUP(E724,'NO MODIFICAR'!J:K,2,0)</f>
        <v>D864</v>
      </c>
      <c r="E724" s="102" t="s">
        <v>55</v>
      </c>
      <c r="F724" s="33" t="str">
        <f>VLOOKUP(D724,'NO MODIFICAR'!F:H,3,0)</f>
        <v xml:space="preserve">CENTRO </v>
      </c>
      <c r="G724" s="28">
        <v>67244456</v>
      </c>
      <c r="H724" s="93" t="s">
        <v>385</v>
      </c>
      <c r="I724" s="94">
        <v>10000236</v>
      </c>
      <c r="J724" s="4" t="str">
        <f>VLOOKUP(I724,'Materiales,canteras'!C:D,2,0)</f>
        <v>Grava Triturada Caliza 10 mm -</v>
      </c>
      <c r="K724" s="25">
        <f>VLOOKUP(I724,'Materiales,canteras'!C:E,3,0)</f>
        <v>1.41</v>
      </c>
      <c r="L724" s="105">
        <v>144.44999999999999</v>
      </c>
      <c r="M724" s="28" t="s">
        <v>93</v>
      </c>
      <c r="N724" s="57">
        <f t="shared" ca="1" si="157"/>
        <v>46267</v>
      </c>
      <c r="O724" s="43" t="s">
        <v>201</v>
      </c>
      <c r="R724">
        <v>12.6</v>
      </c>
      <c r="S724" s="82">
        <v>252</v>
      </c>
      <c r="T724" s="66">
        <f t="shared" si="149"/>
        <v>-94.950000000000017</v>
      </c>
      <c r="U724" s="46">
        <f t="shared" si="154"/>
        <v>144.44999999999999</v>
      </c>
      <c r="V724" s="82">
        <v>0</v>
      </c>
      <c r="W724" s="4">
        <v>2</v>
      </c>
      <c r="X724" s="195">
        <f t="shared" si="148"/>
        <v>144.44999999999999</v>
      </c>
      <c r="Y724" s="29" t="e">
        <f>IF(+VLOOKUP(I724,P.Referencia!E:S,3,FALSE)&lt;=L724,"Champion","Gerente")</f>
        <v>#N/A</v>
      </c>
      <c r="Z724" s="39" t="e">
        <f>VLOOKUP(I724,P.Referencia!E:S,3,0)</f>
        <v>#N/A</v>
      </c>
      <c r="AA724" s="40" t="e">
        <f t="shared" si="161"/>
        <v>#N/A</v>
      </c>
      <c r="AB724" s="41" t="e">
        <f t="shared" si="158"/>
        <v>#N/A</v>
      </c>
      <c r="AC724" s="41" t="e">
        <f t="shared" si="159"/>
        <v>#N/A</v>
      </c>
    </row>
    <row r="725" spans="1:29" hidden="1" x14ac:dyDescent="0.25">
      <c r="A725" s="24">
        <v>724</v>
      </c>
      <c r="B725" s="89" t="s">
        <v>505</v>
      </c>
      <c r="C725" s="4" t="str">
        <f t="shared" si="160"/>
        <v>LlaveD86467240946100010732</v>
      </c>
      <c r="D725" s="25" t="str">
        <f>VLOOKUP(E725,'NO MODIFICAR'!J:K,2,0)</f>
        <v>D864</v>
      </c>
      <c r="E725" s="102" t="s">
        <v>55</v>
      </c>
      <c r="F725" s="33" t="str">
        <f>VLOOKUP(D725,'NO MODIFICAR'!F:H,3,0)</f>
        <v xml:space="preserve">CENTRO </v>
      </c>
      <c r="G725" s="28">
        <v>67240946</v>
      </c>
      <c r="H725" s="93" t="s">
        <v>508</v>
      </c>
      <c r="I725" s="94">
        <v>10001073</v>
      </c>
      <c r="J725" s="4" t="str">
        <f>VLOOKUP(I725,'Materiales,canteras'!C:D,2,0)</f>
        <v>Arena Triturada Caliza Malla 4</v>
      </c>
      <c r="K725" s="25">
        <f>VLOOKUP(I725,'Materiales,canteras'!C:E,3,0)</f>
        <v>1.56</v>
      </c>
      <c r="L725" s="105">
        <v>92</v>
      </c>
      <c r="M725" s="28" t="s">
        <v>93</v>
      </c>
      <c r="N725" s="57">
        <f t="shared" ca="1" si="157"/>
        <v>46267</v>
      </c>
      <c r="O725" s="43" t="s">
        <v>201</v>
      </c>
      <c r="Q725">
        <v>12.64</v>
      </c>
      <c r="R725">
        <v>2.1800000000000002</v>
      </c>
      <c r="S725" s="82">
        <v>158</v>
      </c>
      <c r="T725" s="66">
        <f t="shared" si="149"/>
        <v>-51.180000000000007</v>
      </c>
      <c r="U725" s="46">
        <f t="shared" si="154"/>
        <v>92</v>
      </c>
      <c r="V725" s="82">
        <v>0</v>
      </c>
      <c r="W725" s="4">
        <v>2</v>
      </c>
      <c r="X725" s="195">
        <f t="shared" si="148"/>
        <v>92</v>
      </c>
      <c r="Y725" s="29" t="e">
        <f>IF(+VLOOKUP(I725,P.Referencia!E:S,3,FALSE)&lt;=L725,"Champion","Gerente")</f>
        <v>#N/A</v>
      </c>
      <c r="Z725" s="39" t="e">
        <f>VLOOKUP(I725,P.Referencia!E:S,3,0)</f>
        <v>#N/A</v>
      </c>
      <c r="AA725" s="40" t="e">
        <f t="shared" si="161"/>
        <v>#N/A</v>
      </c>
      <c r="AB725" s="41" t="e">
        <f t="shared" si="158"/>
        <v>#N/A</v>
      </c>
      <c r="AC725" s="41" t="e">
        <f t="shared" si="159"/>
        <v>#N/A</v>
      </c>
    </row>
    <row r="726" spans="1:29" hidden="1" x14ac:dyDescent="0.25">
      <c r="A726" s="24">
        <v>725</v>
      </c>
      <c r="B726" s="89" t="s">
        <v>505</v>
      </c>
      <c r="C726" s="4" t="str">
        <f t="shared" si="160"/>
        <v>LlaveD86467240946100002402</v>
      </c>
      <c r="D726" s="25" t="str">
        <f>VLOOKUP(E726,'NO MODIFICAR'!J:K,2,0)</f>
        <v>D864</v>
      </c>
      <c r="E726" s="102" t="s">
        <v>55</v>
      </c>
      <c r="F726" s="33" t="str">
        <f>VLOOKUP(D726,'NO MODIFICAR'!F:H,3,0)</f>
        <v xml:space="preserve">CENTRO </v>
      </c>
      <c r="G726" s="28">
        <v>67240946</v>
      </c>
      <c r="H726" s="93" t="s">
        <v>508</v>
      </c>
      <c r="I726" s="94">
        <v>10000240</v>
      </c>
      <c r="J726" s="4" t="str">
        <f>VLOOKUP(I726,'Materiales,canteras'!C:D,2,0)</f>
        <v>Grava Triturada Caliza 20 mm -</v>
      </c>
      <c r="K726" s="25">
        <f>VLOOKUP(I726,'Materiales,canteras'!C:E,3,0)</f>
        <v>1.462</v>
      </c>
      <c r="L726" s="105">
        <v>133</v>
      </c>
      <c r="M726" s="28" t="s">
        <v>93</v>
      </c>
      <c r="N726" s="57">
        <f t="shared" ca="1" si="157"/>
        <v>46267</v>
      </c>
      <c r="O726" s="43" t="s">
        <v>201</v>
      </c>
      <c r="Q726">
        <v>23.52</v>
      </c>
      <c r="R726">
        <v>4.0599999999999996</v>
      </c>
      <c r="S726" s="82">
        <v>294</v>
      </c>
      <c r="T726" s="66">
        <f t="shared" si="149"/>
        <v>-133.42000000000002</v>
      </c>
      <c r="U726" s="46">
        <f t="shared" si="154"/>
        <v>133</v>
      </c>
      <c r="V726" s="82">
        <v>0</v>
      </c>
      <c r="W726" s="4">
        <v>2</v>
      </c>
      <c r="X726" s="195">
        <f t="shared" si="148"/>
        <v>133</v>
      </c>
      <c r="Y726" s="29" t="e">
        <f>IF(+VLOOKUP(I726,P.Referencia!E:S,3,FALSE)&lt;=L726,"Champion","Gerente")</f>
        <v>#N/A</v>
      </c>
      <c r="Z726" s="39" t="e">
        <f>VLOOKUP(I726,P.Referencia!E:S,3,0)</f>
        <v>#N/A</v>
      </c>
      <c r="AA726" s="40" t="e">
        <f t="shared" si="161"/>
        <v>#N/A</v>
      </c>
      <c r="AB726" s="41" t="e">
        <f t="shared" si="158"/>
        <v>#N/A</v>
      </c>
      <c r="AC726" s="41" t="e">
        <f t="shared" si="159"/>
        <v>#N/A</v>
      </c>
    </row>
    <row r="727" spans="1:29" hidden="1" x14ac:dyDescent="0.25">
      <c r="A727" s="24">
        <v>726</v>
      </c>
      <c r="B727" s="89" t="s">
        <v>505</v>
      </c>
      <c r="C727" s="4" t="str">
        <f t="shared" si="160"/>
        <v>LlaveD86467240946100010742</v>
      </c>
      <c r="D727" s="25" t="str">
        <f>VLOOKUP(E727,'NO MODIFICAR'!J:K,2,0)</f>
        <v>D864</v>
      </c>
      <c r="E727" s="102" t="s">
        <v>55</v>
      </c>
      <c r="F727" s="33" t="str">
        <f>VLOOKUP(D727,'NO MODIFICAR'!F:H,3,0)</f>
        <v xml:space="preserve">CENTRO </v>
      </c>
      <c r="G727" s="28">
        <v>67240946</v>
      </c>
      <c r="H727" s="93" t="s">
        <v>508</v>
      </c>
      <c r="I727" s="94">
        <v>10001074</v>
      </c>
      <c r="J727" s="4" t="str">
        <f>VLOOKUP(I727,'Materiales,canteras'!C:D,2,0)</f>
        <v>Grava Triturada Caliza 40 mm -</v>
      </c>
      <c r="K727" s="25">
        <f>VLOOKUP(I727,'Materiales,canteras'!C:E,3,0)</f>
        <v>1.4</v>
      </c>
      <c r="L727" s="105">
        <v>143</v>
      </c>
      <c r="M727" s="28" t="s">
        <v>93</v>
      </c>
      <c r="N727" s="57">
        <f t="shared" ca="1" si="157"/>
        <v>46267</v>
      </c>
      <c r="O727" s="43" t="s">
        <v>201</v>
      </c>
      <c r="Q727">
        <v>18.48</v>
      </c>
      <c r="R727">
        <v>3.19</v>
      </c>
      <c r="S727" s="82">
        <v>231</v>
      </c>
      <c r="T727" s="66">
        <f t="shared" si="149"/>
        <v>-66.330000000000013</v>
      </c>
      <c r="U727" s="46">
        <f t="shared" si="154"/>
        <v>143</v>
      </c>
      <c r="V727" s="82">
        <v>0</v>
      </c>
      <c r="W727" s="4">
        <v>2</v>
      </c>
      <c r="X727" s="195">
        <f t="shared" si="148"/>
        <v>143</v>
      </c>
      <c r="Y727" s="29" t="e">
        <f>IF(+VLOOKUP(I727,P.Referencia!E:S,3,FALSE)&lt;=L727,"Champion","Gerente")</f>
        <v>#N/A</v>
      </c>
      <c r="Z727" s="39" t="e">
        <f>VLOOKUP(I727,P.Referencia!E:S,3,0)</f>
        <v>#N/A</v>
      </c>
      <c r="AA727" s="40" t="e">
        <f t="shared" si="161"/>
        <v>#N/A</v>
      </c>
      <c r="AB727" s="41" t="e">
        <f t="shared" si="158"/>
        <v>#N/A</v>
      </c>
      <c r="AC727" s="41" t="e">
        <f t="shared" si="159"/>
        <v>#N/A</v>
      </c>
    </row>
    <row r="728" spans="1:29" hidden="1" x14ac:dyDescent="0.25">
      <c r="A728" s="24">
        <v>727</v>
      </c>
      <c r="B728" s="89" t="s">
        <v>505</v>
      </c>
      <c r="C728" s="4" t="str">
        <f t="shared" si="160"/>
        <v>LlaveD81667344496100001242</v>
      </c>
      <c r="D728" s="25" t="str">
        <f>VLOOKUP(E728,'NO MODIFICAR'!J:K,2,0)</f>
        <v>D816</v>
      </c>
      <c r="E728" s="102" t="s">
        <v>15</v>
      </c>
      <c r="F728" s="33" t="str">
        <f>VLOOKUP(D728,'NO MODIFICAR'!F:H,3,0)</f>
        <v>NORESTE</v>
      </c>
      <c r="G728" s="28">
        <v>67344496</v>
      </c>
      <c r="H728" s="93" t="s">
        <v>509</v>
      </c>
      <c r="I728" s="94">
        <v>10000124</v>
      </c>
      <c r="J728" s="4" t="str">
        <f>VLOOKUP(I728,'Materiales,canteras'!C:D,2,0)</f>
        <v>Arena Triturada Caliza Malla 4</v>
      </c>
      <c r="K728" s="25">
        <f>VLOOKUP(I728,'Materiales,canteras'!C:E,3,0)</f>
        <v>1.7390000000000001</v>
      </c>
      <c r="L728" s="105">
        <v>305</v>
      </c>
      <c r="M728" s="28" t="s">
        <v>93</v>
      </c>
      <c r="N728" s="57">
        <f t="shared" ca="1" si="157"/>
        <v>46267</v>
      </c>
      <c r="O728" s="43" t="s">
        <v>201</v>
      </c>
      <c r="R728">
        <v>7.43</v>
      </c>
      <c r="S728" s="82">
        <v>495</v>
      </c>
      <c r="T728" s="66">
        <f t="shared" si="149"/>
        <v>-182.57</v>
      </c>
      <c r="U728" s="46">
        <f t="shared" si="154"/>
        <v>305</v>
      </c>
      <c r="V728" s="82">
        <v>0</v>
      </c>
      <c r="W728" s="4">
        <v>2</v>
      </c>
      <c r="X728" s="195">
        <f t="shared" si="148"/>
        <v>305</v>
      </c>
      <c r="Y728" s="29" t="e">
        <f>IF(+VLOOKUP(I728,P.Referencia!E:S,3,FALSE)&lt;=L728,"Champion","Gerente")</f>
        <v>#N/A</v>
      </c>
      <c r="Z728" s="39" t="e">
        <f>VLOOKUP(I728,P.Referencia!E:S,3,0)</f>
        <v>#N/A</v>
      </c>
      <c r="AA728" s="40" t="e">
        <f t="shared" si="161"/>
        <v>#N/A</v>
      </c>
      <c r="AB728" s="41" t="e">
        <f t="shared" si="158"/>
        <v>#N/A</v>
      </c>
      <c r="AC728" s="41" t="e">
        <f t="shared" si="159"/>
        <v>#N/A</v>
      </c>
    </row>
    <row r="729" spans="1:29" hidden="1" x14ac:dyDescent="0.25">
      <c r="A729" s="24">
        <v>728</v>
      </c>
      <c r="B729" s="89" t="s">
        <v>505</v>
      </c>
      <c r="C729" s="4" t="str">
        <f t="shared" si="160"/>
        <v>LlaveD81667344496100002602</v>
      </c>
      <c r="D729" s="25" t="str">
        <f>VLOOKUP(E729,'NO MODIFICAR'!J:K,2,0)</f>
        <v>D816</v>
      </c>
      <c r="E729" s="102" t="s">
        <v>15</v>
      </c>
      <c r="F729" s="33" t="str">
        <f>VLOOKUP(D729,'NO MODIFICAR'!F:H,3,0)</f>
        <v>NORESTE</v>
      </c>
      <c r="G729" s="28">
        <v>67344496</v>
      </c>
      <c r="H729" s="93" t="s">
        <v>509</v>
      </c>
      <c r="I729" s="94">
        <v>10000260</v>
      </c>
      <c r="J729" s="4" t="str">
        <f>VLOOKUP(I729,'Materiales,canteras'!C:D,2,0)</f>
        <v>Arena Triturada Caliza Malla 5</v>
      </c>
      <c r="K729" s="25">
        <f>VLOOKUP(I729,'Materiales,canteras'!C:E,3,0)</f>
        <v>1.72</v>
      </c>
      <c r="L729" s="105">
        <v>411</v>
      </c>
      <c r="M729" s="28" t="s">
        <v>93</v>
      </c>
      <c r="N729" s="57">
        <f t="shared" ca="1" si="157"/>
        <v>46267</v>
      </c>
      <c r="O729" s="43" t="s">
        <v>201</v>
      </c>
      <c r="R729">
        <v>7.43</v>
      </c>
      <c r="S729" s="82">
        <v>495</v>
      </c>
      <c r="T729" s="66">
        <f t="shared" si="149"/>
        <v>-76.569999999999993</v>
      </c>
      <c r="U729" s="46">
        <f t="shared" si="154"/>
        <v>411</v>
      </c>
      <c r="V729" s="82">
        <v>0</v>
      </c>
      <c r="W729" s="4">
        <v>2</v>
      </c>
      <c r="X729" s="195">
        <f t="shared" si="148"/>
        <v>411</v>
      </c>
      <c r="Y729" s="29" t="e">
        <f>IF(+VLOOKUP(I729,P.Referencia!E:S,3,FALSE)&lt;=L729,"Champion","Gerente")</f>
        <v>#N/A</v>
      </c>
      <c r="Z729" s="39" t="e">
        <f>VLOOKUP(I729,P.Referencia!E:S,3,0)</f>
        <v>#N/A</v>
      </c>
      <c r="AA729" s="40" t="e">
        <f t="shared" si="161"/>
        <v>#N/A</v>
      </c>
      <c r="AB729" s="41" t="e">
        <f t="shared" si="158"/>
        <v>#N/A</v>
      </c>
      <c r="AC729" s="41" t="e">
        <f t="shared" si="159"/>
        <v>#N/A</v>
      </c>
    </row>
    <row r="730" spans="1:29" hidden="1" x14ac:dyDescent="0.25">
      <c r="A730" s="24">
        <v>729</v>
      </c>
      <c r="B730" s="89" t="s">
        <v>505</v>
      </c>
      <c r="C730" s="4" t="str">
        <f t="shared" si="160"/>
        <v>LlaveD81667344496100012222</v>
      </c>
      <c r="D730" s="25" t="str">
        <f>VLOOKUP(E730,'NO MODIFICAR'!J:K,2,0)</f>
        <v>D816</v>
      </c>
      <c r="E730" s="102" t="s">
        <v>15</v>
      </c>
      <c r="F730" s="33" t="str">
        <f>VLOOKUP(D730,'NO MODIFICAR'!F:H,3,0)</f>
        <v>NORESTE</v>
      </c>
      <c r="G730" s="28">
        <v>67344496</v>
      </c>
      <c r="H730" s="93" t="s">
        <v>509</v>
      </c>
      <c r="I730" s="94">
        <v>10001222</v>
      </c>
      <c r="J730" s="4" t="str">
        <f>VLOOKUP(I730,'Materiales,canteras'!C:D,2,0)</f>
        <v>Mixto Grava 3/4 - Arena 4</v>
      </c>
      <c r="K730" s="25">
        <f>VLOOKUP(I730,'Materiales,canteras'!C:E,3,0)</f>
        <v>1.613</v>
      </c>
      <c r="L730" s="105">
        <v>305</v>
      </c>
      <c r="M730" s="28" t="s">
        <v>93</v>
      </c>
      <c r="N730" s="57">
        <f t="shared" ca="1" si="157"/>
        <v>46267</v>
      </c>
      <c r="O730" s="43" t="s">
        <v>201</v>
      </c>
      <c r="Q730">
        <v>26.6</v>
      </c>
      <c r="R730">
        <v>5.3</v>
      </c>
      <c r="S730" s="82">
        <v>380</v>
      </c>
      <c r="T730" s="66">
        <f t="shared" si="149"/>
        <v>-43.099999999999966</v>
      </c>
      <c r="U730" s="46">
        <f t="shared" si="154"/>
        <v>305</v>
      </c>
      <c r="V730" s="82">
        <v>0</v>
      </c>
      <c r="W730" s="4">
        <v>2</v>
      </c>
      <c r="X730" s="195">
        <f t="shared" si="148"/>
        <v>305</v>
      </c>
      <c r="Y730" s="29" t="e">
        <f>IF(+VLOOKUP(I730,P.Referencia!E:S,3,FALSE)&lt;=L730,"Champion","Gerente")</f>
        <v>#N/A</v>
      </c>
      <c r="Z730" s="39" t="e">
        <f>VLOOKUP(I730,P.Referencia!E:S,3,0)</f>
        <v>#N/A</v>
      </c>
      <c r="AA730" s="40" t="e">
        <f t="shared" si="161"/>
        <v>#N/A</v>
      </c>
      <c r="AB730" s="41" t="e">
        <f t="shared" si="158"/>
        <v>#N/A</v>
      </c>
      <c r="AC730" s="41" t="e">
        <f t="shared" si="159"/>
        <v>#N/A</v>
      </c>
    </row>
    <row r="731" spans="1:29" hidden="1" x14ac:dyDescent="0.25">
      <c r="A731" s="24">
        <v>730</v>
      </c>
      <c r="B731" s="89" t="s">
        <v>505</v>
      </c>
      <c r="C731" s="4" t="str">
        <f t="shared" si="160"/>
        <v>LlaveD81667344496100002412</v>
      </c>
      <c r="D731" s="25" t="str">
        <f>VLOOKUP(E731,'NO MODIFICAR'!J:K,2,0)</f>
        <v>D816</v>
      </c>
      <c r="E731" s="102" t="s">
        <v>15</v>
      </c>
      <c r="F731" s="33" t="str">
        <f>VLOOKUP(D731,'NO MODIFICAR'!F:H,3,0)</f>
        <v>NORESTE</v>
      </c>
      <c r="G731" s="28">
        <v>67344496</v>
      </c>
      <c r="H731" s="93" t="s">
        <v>509</v>
      </c>
      <c r="I731" s="94">
        <v>10000241</v>
      </c>
      <c r="J731" s="4" t="str">
        <f>VLOOKUP(I731,'Materiales,canteras'!C:D,2,0)</f>
        <v>Grava Triturada Caliza 20 mm -</v>
      </c>
      <c r="K731" s="25">
        <f>VLOOKUP(I731,'Materiales,canteras'!C:E,3,0)</f>
        <v>1.43</v>
      </c>
      <c r="L731" s="105">
        <v>305</v>
      </c>
      <c r="M731" s="28" t="s">
        <v>93</v>
      </c>
      <c r="N731" s="57">
        <f t="shared" ca="1" si="157"/>
        <v>46267</v>
      </c>
      <c r="O731" s="43" t="s">
        <v>201</v>
      </c>
      <c r="R731">
        <v>6.21</v>
      </c>
      <c r="S731" s="82">
        <v>414</v>
      </c>
      <c r="T731" s="66">
        <f t="shared" si="149"/>
        <v>-102.79000000000002</v>
      </c>
      <c r="U731" s="46">
        <f t="shared" si="154"/>
        <v>305</v>
      </c>
      <c r="V731" s="82">
        <v>0</v>
      </c>
      <c r="W731" s="4">
        <v>2</v>
      </c>
      <c r="X731" s="195">
        <f t="shared" si="148"/>
        <v>305</v>
      </c>
      <c r="Y731" s="29" t="e">
        <f>IF(+VLOOKUP(I731,P.Referencia!E:S,3,FALSE)&lt;=L731,"Champion","Gerente")</f>
        <v>#N/A</v>
      </c>
      <c r="Z731" s="39" t="e">
        <f>VLOOKUP(I731,P.Referencia!E:S,3,0)</f>
        <v>#N/A</v>
      </c>
      <c r="AA731" s="40" t="e">
        <f t="shared" si="161"/>
        <v>#N/A</v>
      </c>
      <c r="AB731" s="41" t="e">
        <f t="shared" si="158"/>
        <v>#N/A</v>
      </c>
      <c r="AC731" s="41" t="e">
        <f t="shared" si="159"/>
        <v>#N/A</v>
      </c>
    </row>
    <row r="732" spans="1:29" hidden="1" x14ac:dyDescent="0.25">
      <c r="A732" s="24">
        <v>731</v>
      </c>
      <c r="B732" s="89" t="s">
        <v>505</v>
      </c>
      <c r="C732" s="4" t="str">
        <f t="shared" si="160"/>
        <v>LlaveD81667344496100002622</v>
      </c>
      <c r="D732" s="25" t="str">
        <f>VLOOKUP(E732,'NO MODIFICAR'!J:K,2,0)</f>
        <v>D816</v>
      </c>
      <c r="E732" s="102" t="s">
        <v>15</v>
      </c>
      <c r="F732" s="33" t="str">
        <f>VLOOKUP(D732,'NO MODIFICAR'!F:H,3,0)</f>
        <v>NORESTE</v>
      </c>
      <c r="G732" s="28">
        <v>67344496</v>
      </c>
      <c r="H732" s="93" t="s">
        <v>509</v>
      </c>
      <c r="I732" s="94">
        <v>10000262</v>
      </c>
      <c r="J732" s="4" t="str">
        <f>VLOOKUP(I732,'Materiales,canteras'!C:D,2,0)</f>
        <v>Base H Triturada Caliza 1 1/2"</v>
      </c>
      <c r="K732" s="25">
        <f>VLOOKUP(I732,'Materiales,canteras'!C:E,3,0)</f>
        <v>1.821</v>
      </c>
      <c r="L732" s="105">
        <v>289</v>
      </c>
      <c r="M732" s="28" t="s">
        <v>93</v>
      </c>
      <c r="N732" s="57">
        <f t="shared" ca="1" si="157"/>
        <v>46267</v>
      </c>
      <c r="O732" s="43" t="s">
        <v>201</v>
      </c>
      <c r="R732">
        <v>5.36</v>
      </c>
      <c r="S732" s="82">
        <v>357</v>
      </c>
      <c r="T732" s="66">
        <f t="shared" si="149"/>
        <v>-62.639999999999986</v>
      </c>
      <c r="U732" s="46">
        <f t="shared" si="154"/>
        <v>289</v>
      </c>
      <c r="V732" s="82">
        <v>0</v>
      </c>
      <c r="W732" s="4">
        <v>2</v>
      </c>
      <c r="X732" s="195">
        <f t="shared" si="148"/>
        <v>289</v>
      </c>
      <c r="Y732" s="29" t="e">
        <f>IF(+VLOOKUP(I732,P.Referencia!E:S,3,FALSE)&lt;=L732,"Champion","Gerente")</f>
        <v>#N/A</v>
      </c>
      <c r="Z732" s="39" t="e">
        <f>VLOOKUP(I732,P.Referencia!E:S,3,0)</f>
        <v>#N/A</v>
      </c>
      <c r="AA732" s="40" t="e">
        <f t="shared" si="161"/>
        <v>#N/A</v>
      </c>
      <c r="AB732" s="41" t="e">
        <f t="shared" si="158"/>
        <v>#N/A</v>
      </c>
      <c r="AC732" s="41" t="e">
        <f t="shared" si="159"/>
        <v>#N/A</v>
      </c>
    </row>
    <row r="733" spans="1:29" hidden="1" x14ac:dyDescent="0.25">
      <c r="A733" s="24">
        <v>732</v>
      </c>
      <c r="B733" s="89" t="s">
        <v>505</v>
      </c>
      <c r="C733" s="4" t="str">
        <f t="shared" si="160"/>
        <v>LlaveD81667344496100364882</v>
      </c>
      <c r="D733" s="25" t="str">
        <f>VLOOKUP(E733,'NO MODIFICAR'!J:K,2,0)</f>
        <v>D816</v>
      </c>
      <c r="E733" s="102" t="s">
        <v>15</v>
      </c>
      <c r="F733" s="33" t="str">
        <f>VLOOKUP(D733,'NO MODIFICAR'!F:H,3,0)</f>
        <v>NORESTE</v>
      </c>
      <c r="G733" s="28">
        <v>67344496</v>
      </c>
      <c r="H733" s="93" t="s">
        <v>509</v>
      </c>
      <c r="I733" s="94">
        <v>10036488</v>
      </c>
      <c r="J733" s="4" t="str">
        <f>VLOOKUP(I733,'Materiales,canteras'!C:D,2,0)</f>
        <v>Base H Trit Caliza 3/4" a Fino</v>
      </c>
      <c r="K733" s="25">
        <f>VLOOKUP(I733,'Materiales,canteras'!C:E,3,0)</f>
        <v>1.78</v>
      </c>
      <c r="L733" s="105">
        <v>289</v>
      </c>
      <c r="M733" s="28" t="s">
        <v>93</v>
      </c>
      <c r="N733" s="57">
        <f t="shared" ca="1" si="157"/>
        <v>46267</v>
      </c>
      <c r="O733" s="43" t="s">
        <v>201</v>
      </c>
      <c r="R733">
        <v>5.36</v>
      </c>
      <c r="S733" s="82">
        <v>357</v>
      </c>
      <c r="T733" s="66">
        <f t="shared" si="149"/>
        <v>-62.639999999999986</v>
      </c>
      <c r="U733" s="46">
        <f t="shared" si="154"/>
        <v>289</v>
      </c>
      <c r="V733" s="82">
        <v>0</v>
      </c>
      <c r="W733" s="4">
        <v>2</v>
      </c>
      <c r="X733" s="195">
        <f t="shared" si="148"/>
        <v>289</v>
      </c>
      <c r="Y733" s="29" t="e">
        <f>IF(+VLOOKUP(I733,P.Referencia!E:S,3,FALSE)&lt;=L733,"Champion","Gerente")</f>
        <v>#N/A</v>
      </c>
      <c r="Z733" s="39" t="e">
        <f>VLOOKUP(I733,P.Referencia!E:S,3,0)</f>
        <v>#N/A</v>
      </c>
      <c r="AA733" s="40" t="e">
        <f t="shared" si="161"/>
        <v>#N/A</v>
      </c>
      <c r="AB733" s="41" t="e">
        <f t="shared" si="158"/>
        <v>#N/A</v>
      </c>
      <c r="AC733" s="41" t="e">
        <f t="shared" si="159"/>
        <v>#N/A</v>
      </c>
    </row>
    <row r="734" spans="1:29" hidden="1" x14ac:dyDescent="0.25">
      <c r="A734" s="24">
        <v>733</v>
      </c>
      <c r="B734" s="89" t="s">
        <v>505</v>
      </c>
      <c r="C734" s="4" t="str">
        <f t="shared" si="160"/>
        <v>LlaveD81667344496100002482</v>
      </c>
      <c r="D734" s="25" t="str">
        <f>VLOOKUP(E734,'NO MODIFICAR'!J:K,2,0)</f>
        <v>D816</v>
      </c>
      <c r="E734" s="102" t="s">
        <v>15</v>
      </c>
      <c r="F734" s="33" t="str">
        <f>VLOOKUP(D734,'NO MODIFICAR'!F:H,3,0)</f>
        <v>NORESTE</v>
      </c>
      <c r="G734" s="28">
        <v>67344496</v>
      </c>
      <c r="H734" s="93" t="s">
        <v>509</v>
      </c>
      <c r="I734" s="94">
        <v>10000248</v>
      </c>
      <c r="J734" s="4" t="str">
        <f>VLOOKUP(I734,'Materiales,canteras'!C:D,2,0)</f>
        <v>Sub-base Triturado Caliza 1 1/2" a Finos</v>
      </c>
      <c r="K734" s="25">
        <f>VLOOKUP(I734,'Materiales,canteras'!C:E,3,0)</f>
        <v>1.821</v>
      </c>
      <c r="L734" s="105">
        <v>285</v>
      </c>
      <c r="M734" s="28" t="s">
        <v>93</v>
      </c>
      <c r="N734" s="57">
        <f t="shared" ca="1" si="157"/>
        <v>46267</v>
      </c>
      <c r="O734" s="43" t="s">
        <v>201</v>
      </c>
      <c r="R734">
        <v>4.83</v>
      </c>
      <c r="S734" s="82">
        <v>322</v>
      </c>
      <c r="T734" s="66">
        <f t="shared" si="149"/>
        <v>-32.170000000000016</v>
      </c>
      <c r="U734" s="46">
        <f t="shared" si="154"/>
        <v>285</v>
      </c>
      <c r="V734" s="82">
        <v>0</v>
      </c>
      <c r="W734" s="4">
        <v>2</v>
      </c>
      <c r="X734" s="195">
        <f t="shared" si="148"/>
        <v>285</v>
      </c>
      <c r="Y734" s="29" t="e">
        <f>IF(+VLOOKUP(I734,P.Referencia!E:S,3,FALSE)&lt;=L734,"Champion","Gerente")</f>
        <v>#N/A</v>
      </c>
      <c r="Z734" s="39" t="e">
        <f>VLOOKUP(I734,P.Referencia!E:S,3,0)</f>
        <v>#N/A</v>
      </c>
      <c r="AA734" s="40" t="e">
        <f t="shared" si="161"/>
        <v>#N/A</v>
      </c>
      <c r="AB734" s="41" t="e">
        <f t="shared" si="158"/>
        <v>#N/A</v>
      </c>
      <c r="AC734" s="41" t="e">
        <f t="shared" si="159"/>
        <v>#N/A</v>
      </c>
    </row>
    <row r="735" spans="1:29" hidden="1" x14ac:dyDescent="0.25">
      <c r="A735" s="24">
        <v>734</v>
      </c>
      <c r="B735" s="89" t="s">
        <v>505</v>
      </c>
      <c r="C735" s="4" t="str">
        <f t="shared" si="160"/>
        <v>LlaveD81667344496100002372</v>
      </c>
      <c r="D735" s="25" t="str">
        <f>VLOOKUP(E735,'NO MODIFICAR'!J:K,2,0)</f>
        <v>D816</v>
      </c>
      <c r="E735" s="102" t="s">
        <v>15</v>
      </c>
      <c r="F735" s="33" t="str">
        <f>VLOOKUP(D735,'NO MODIFICAR'!F:H,3,0)</f>
        <v>NORESTE</v>
      </c>
      <c r="G735" s="28">
        <v>67344496</v>
      </c>
      <c r="H735" s="93" t="s">
        <v>509</v>
      </c>
      <c r="I735" s="94">
        <v>10000237</v>
      </c>
      <c r="J735" s="4" t="str">
        <f>VLOOKUP(I735,'Materiales,canteras'!C:D,2,0)</f>
        <v>Grava Triturada Caliza 10 mm -</v>
      </c>
      <c r="K735" s="25">
        <f>VLOOKUP(I735,'Materiales,canteras'!C:E,3,0)</f>
        <v>1.5620000000000001</v>
      </c>
      <c r="L735" s="105">
        <v>416</v>
      </c>
      <c r="M735" s="28" t="s">
        <v>93</v>
      </c>
      <c r="N735" s="57">
        <f t="shared" ca="1" si="157"/>
        <v>46267</v>
      </c>
      <c r="O735" s="43" t="s">
        <v>201</v>
      </c>
      <c r="R735">
        <v>6.21</v>
      </c>
      <c r="S735" s="82">
        <v>414</v>
      </c>
      <c r="T735" s="66">
        <f t="shared" si="149"/>
        <v>8.2099999999999795</v>
      </c>
      <c r="U735" s="46">
        <f t="shared" si="154"/>
        <v>416</v>
      </c>
      <c r="V735" s="82">
        <v>0</v>
      </c>
      <c r="W735" s="4">
        <v>2</v>
      </c>
      <c r="X735" s="195">
        <f t="shared" si="148"/>
        <v>416</v>
      </c>
      <c r="Y735" s="29" t="e">
        <f>IF(+VLOOKUP(I735,P.Referencia!E:S,3,FALSE)&lt;=L735,"Champion","Gerente")</f>
        <v>#N/A</v>
      </c>
      <c r="Z735" s="39" t="e">
        <f>VLOOKUP(I735,P.Referencia!E:S,3,0)</f>
        <v>#N/A</v>
      </c>
      <c r="AA735" s="40" t="e">
        <f t="shared" si="161"/>
        <v>#N/A</v>
      </c>
      <c r="AB735" s="41" t="e">
        <f t="shared" si="158"/>
        <v>#N/A</v>
      </c>
      <c r="AC735" s="41" t="e">
        <f t="shared" si="159"/>
        <v>#N/A</v>
      </c>
    </row>
    <row r="736" spans="1:29" hidden="1" x14ac:dyDescent="0.25">
      <c r="A736" s="24">
        <v>735</v>
      </c>
      <c r="B736" s="89" t="s">
        <v>505</v>
      </c>
      <c r="C736" s="4" t="str">
        <f t="shared" si="160"/>
        <v>LlaveD86467316354100012032</v>
      </c>
      <c r="D736" s="25" t="str">
        <f>VLOOKUP(E736,'NO MODIFICAR'!J:K,2,0)</f>
        <v>D864</v>
      </c>
      <c r="E736" s="102" t="s">
        <v>55</v>
      </c>
      <c r="F736" s="33" t="str">
        <f>VLOOKUP(D736,'NO MODIFICAR'!F:H,3,0)</f>
        <v xml:space="preserve">CENTRO </v>
      </c>
      <c r="G736" s="28">
        <v>67316354</v>
      </c>
      <c r="H736" s="93" t="s">
        <v>223</v>
      </c>
      <c r="I736" s="94">
        <v>10001203</v>
      </c>
      <c r="J736" s="4" t="str">
        <f>VLOOKUP(I736,'Materiales,canteras'!C:D,2,0)</f>
        <v>Desperdicio Triturado Caliza</v>
      </c>
      <c r="K736" s="25">
        <f>VLOOKUP(I736,'Materiales,canteras'!C:E,3,0)</f>
        <v>1.665</v>
      </c>
      <c r="L736" s="105">
        <v>20</v>
      </c>
      <c r="M736" s="28" t="s">
        <v>93</v>
      </c>
      <c r="N736" s="57">
        <f t="shared" ca="1" si="157"/>
        <v>46267</v>
      </c>
      <c r="O736" s="43" t="s">
        <v>201</v>
      </c>
      <c r="R736">
        <v>0.35</v>
      </c>
      <c r="S736" s="82">
        <v>23</v>
      </c>
      <c r="T736" s="66">
        <f t="shared" si="149"/>
        <v>-2.6499999999999986</v>
      </c>
      <c r="U736" s="46">
        <f t="shared" si="154"/>
        <v>20</v>
      </c>
      <c r="V736" s="82">
        <v>0</v>
      </c>
      <c r="W736" s="4">
        <v>2</v>
      </c>
      <c r="X736" s="195">
        <f t="shared" ref="X736:X799" si="162">U736+V736</f>
        <v>20</v>
      </c>
      <c r="Y736" s="29" t="e">
        <f>IF(+VLOOKUP(I736,P.Referencia!E:S,3,FALSE)&lt;=L736,"Champion","Gerente")</f>
        <v>#N/A</v>
      </c>
      <c r="Z736" s="39" t="e">
        <f>VLOOKUP(I736,P.Referencia!E:S,3,0)</f>
        <v>#N/A</v>
      </c>
      <c r="AA736" s="40" t="e">
        <f t="shared" si="161"/>
        <v>#N/A</v>
      </c>
      <c r="AB736" s="41" t="e">
        <f t="shared" si="158"/>
        <v>#N/A</v>
      </c>
      <c r="AC736" s="41" t="e">
        <f t="shared" si="159"/>
        <v>#N/A</v>
      </c>
    </row>
    <row r="737" spans="1:30" hidden="1" x14ac:dyDescent="0.25">
      <c r="A737" s="24">
        <v>736</v>
      </c>
      <c r="B737" s="89" t="s">
        <v>505</v>
      </c>
      <c r="C737" s="4" t="str">
        <f t="shared" si="160"/>
        <v>LlaveD8646501466410000255</v>
      </c>
      <c r="D737" s="25" t="str">
        <f>VLOOKUP(E737,'NO MODIFICAR'!J:K,2,0)</f>
        <v>D864</v>
      </c>
      <c r="E737" s="102" t="s">
        <v>55</v>
      </c>
      <c r="F737" s="33" t="str">
        <f>VLOOKUP(D737,'NO MODIFICAR'!F:H,3,0)</f>
        <v xml:space="preserve">CENTRO </v>
      </c>
      <c r="G737" s="28">
        <v>65014664</v>
      </c>
      <c r="H737" s="93" t="s">
        <v>155</v>
      </c>
      <c r="I737" s="94">
        <v>10000255</v>
      </c>
      <c r="J737" s="4" t="str">
        <f>VLOOKUP(I737,'Materiales,canteras'!C:D,2,0)</f>
        <v>Arena Triturada Andesita Malla</v>
      </c>
      <c r="K737" s="25">
        <f>VLOOKUP(I737,'Materiales,canteras'!C:E,3,0)</f>
        <v>1.5349999999999999</v>
      </c>
      <c r="L737" s="105">
        <v>98.88</v>
      </c>
      <c r="M737" s="28" t="s">
        <v>93</v>
      </c>
      <c r="N737" s="57">
        <f t="shared" ca="1" si="157"/>
        <v>46267</v>
      </c>
      <c r="O737" s="43" t="s">
        <v>201</v>
      </c>
      <c r="S737" s="82"/>
      <c r="T737" s="66">
        <f t="shared" si="149"/>
        <v>98.88</v>
      </c>
      <c r="U737" s="46">
        <f t="shared" si="154"/>
        <v>98.88</v>
      </c>
      <c r="V737" s="82"/>
      <c r="X737" s="195">
        <f t="shared" si="162"/>
        <v>98.88</v>
      </c>
      <c r="Y737" s="29" t="e">
        <f>IF(+VLOOKUP(I737,P.Referencia!E:S,3,FALSE)&lt;=L737,"Champion","Gerente")</f>
        <v>#N/A</v>
      </c>
      <c r="Z737" s="39" t="e">
        <f>VLOOKUP(I737,P.Referencia!E:S,3,0)</f>
        <v>#N/A</v>
      </c>
      <c r="AA737" s="40" t="e">
        <f t="shared" si="161"/>
        <v>#N/A</v>
      </c>
      <c r="AB737" s="41" t="e">
        <f t="shared" si="158"/>
        <v>#N/A</v>
      </c>
      <c r="AC737" s="41" t="e">
        <f t="shared" si="159"/>
        <v>#N/A</v>
      </c>
      <c r="AD737" t="s">
        <v>510</v>
      </c>
    </row>
    <row r="738" spans="1:30" x14ac:dyDescent="0.25">
      <c r="A738" s="24">
        <v>737</v>
      </c>
      <c r="B738" s="89" t="s">
        <v>505</v>
      </c>
      <c r="C738" s="4" t="str">
        <f t="shared" si="160"/>
        <v>LlaveD8666534576710000274</v>
      </c>
      <c r="D738" s="25" t="str">
        <f>VLOOKUP(E738,'NO MODIFICAR'!J:K,2,0)</f>
        <v>D866</v>
      </c>
      <c r="E738" s="102" t="s">
        <v>62</v>
      </c>
      <c r="F738" s="33" t="str">
        <f>VLOOKUP(D738,'NO MODIFICAR'!F:H,3,0)</f>
        <v>NORESTE</v>
      </c>
      <c r="G738" s="28">
        <v>65345767</v>
      </c>
      <c r="H738" s="93" t="s">
        <v>511</v>
      </c>
      <c r="I738" s="94">
        <v>10000274</v>
      </c>
      <c r="J738" s="4" t="str">
        <f>VLOOKUP(I738,'Materiales,canteras'!C:D,2,0)</f>
        <v>Grava Triturada Basalto  20 mm</v>
      </c>
      <c r="K738" s="25">
        <f>VLOOKUP(I738,'Materiales,canteras'!C:E,3,0)</f>
        <v>1.4710000000000001</v>
      </c>
      <c r="L738" s="105">
        <v>195</v>
      </c>
      <c r="M738" s="28" t="s">
        <v>93</v>
      </c>
      <c r="N738" s="57">
        <f t="shared" ca="1" si="157"/>
        <v>46267</v>
      </c>
      <c r="O738" s="43" t="s">
        <v>201</v>
      </c>
      <c r="S738" s="82"/>
      <c r="T738" s="66">
        <f t="shared" si="149"/>
        <v>195</v>
      </c>
      <c r="U738" s="46">
        <f t="shared" si="154"/>
        <v>195</v>
      </c>
      <c r="V738" s="82"/>
      <c r="X738" s="195">
        <f t="shared" si="162"/>
        <v>195</v>
      </c>
      <c r="Y738" s="29" t="e">
        <f>IF(+VLOOKUP(I738,P.Referencia!E:S,3,FALSE)&lt;=L738,"Champion","Gerente")</f>
        <v>#N/A</v>
      </c>
      <c r="Z738" s="39" t="e">
        <f>VLOOKUP(I738,P.Referencia!E:S,3,0)</f>
        <v>#N/A</v>
      </c>
      <c r="AA738" s="40" t="e">
        <f t="shared" si="161"/>
        <v>#N/A</v>
      </c>
      <c r="AB738" s="41" t="e">
        <f t="shared" si="158"/>
        <v>#N/A</v>
      </c>
      <c r="AC738" s="41" t="e">
        <f t="shared" si="159"/>
        <v>#N/A</v>
      </c>
    </row>
    <row r="739" spans="1:30" hidden="1" x14ac:dyDescent="0.25">
      <c r="A739" s="24">
        <v>738</v>
      </c>
      <c r="B739" s="89" t="s">
        <v>505</v>
      </c>
      <c r="C739" s="4" t="str">
        <f t="shared" si="160"/>
        <v>LlaveD8616697744410000229</v>
      </c>
      <c r="D739" s="25" t="str">
        <f>VLOOKUP(E739,'NO MODIFICAR'!J:K,2,0)</f>
        <v>D861</v>
      </c>
      <c r="E739" s="102" t="s">
        <v>44</v>
      </c>
      <c r="F739" s="33" t="str">
        <f>VLOOKUP(D739,'NO MODIFICAR'!F:H,3,0)</f>
        <v xml:space="preserve">CENTRO </v>
      </c>
      <c r="G739" s="28">
        <v>66977444</v>
      </c>
      <c r="H739" s="93" t="s">
        <v>512</v>
      </c>
      <c r="I739" s="94">
        <v>10000229</v>
      </c>
      <c r="J739" s="4" t="str">
        <f>VLOOKUP(I739,'Materiales,canteras'!C:D,2,0)</f>
        <v>Grava Triturada Basalto  10 mm</v>
      </c>
      <c r="K739" s="25">
        <f>VLOOKUP(I739,'Materiales,canteras'!C:E,3,0)</f>
        <v>1.522</v>
      </c>
      <c r="L739" s="105">
        <v>254.15620000000001</v>
      </c>
      <c r="M739" s="28" t="s">
        <v>93</v>
      </c>
      <c r="N739" s="57">
        <f t="shared" ca="1" si="157"/>
        <v>46267</v>
      </c>
      <c r="O739" s="43" t="s">
        <v>201</v>
      </c>
      <c r="R739">
        <v>24.64</v>
      </c>
      <c r="S739" s="82">
        <v>352</v>
      </c>
      <c r="T739" s="66">
        <f t="shared" si="149"/>
        <v>-73.203800000000001</v>
      </c>
      <c r="U739" s="46">
        <f t="shared" si="154"/>
        <v>254.15620000000001</v>
      </c>
      <c r="V739" s="82"/>
      <c r="X739" s="195">
        <f t="shared" si="162"/>
        <v>254.15620000000001</v>
      </c>
      <c r="Y739" s="29" t="e">
        <f>IF(+VLOOKUP(I739,P.Referencia!E:S,3,FALSE)&lt;=L739,"Champion","Gerente")</f>
        <v>#N/A</v>
      </c>
      <c r="Z739" s="39" t="e">
        <f>VLOOKUP(I739,P.Referencia!E:S,3,0)</f>
        <v>#N/A</v>
      </c>
      <c r="AA739" s="40" t="e">
        <f t="shared" si="161"/>
        <v>#N/A</v>
      </c>
      <c r="AB739" s="41" t="e">
        <f t="shared" si="158"/>
        <v>#N/A</v>
      </c>
      <c r="AC739" s="41" t="e">
        <f t="shared" si="159"/>
        <v>#N/A</v>
      </c>
    </row>
    <row r="740" spans="1:30" hidden="1" x14ac:dyDescent="0.25">
      <c r="A740" s="24">
        <v>739</v>
      </c>
      <c r="B740" s="89" t="s">
        <v>505</v>
      </c>
      <c r="C740" s="4" t="str">
        <f t="shared" si="160"/>
        <v>LlaveD8616697744410000231</v>
      </c>
      <c r="D740" s="25" t="str">
        <f>VLOOKUP(E740,'NO MODIFICAR'!J:K,2,0)</f>
        <v>D861</v>
      </c>
      <c r="E740" s="102" t="s">
        <v>44</v>
      </c>
      <c r="F740" s="33" t="str">
        <f>VLOOKUP(D740,'NO MODIFICAR'!F:H,3,0)</f>
        <v xml:space="preserve">CENTRO </v>
      </c>
      <c r="G740" s="28">
        <v>66977444</v>
      </c>
      <c r="H740" s="93" t="s">
        <v>512</v>
      </c>
      <c r="I740" s="94">
        <v>10000231</v>
      </c>
      <c r="J740" s="4" t="str">
        <f>VLOOKUP(I740,'Materiales,canteras'!C:D,2,0)</f>
        <v>Grava Triturada Basalto 20 mm</v>
      </c>
      <c r="K740" s="25">
        <f>VLOOKUP(I740,'Materiales,canteras'!C:E,3,0)</f>
        <v>1.5649999999999999</v>
      </c>
      <c r="L740" s="105">
        <v>228.93880000000001</v>
      </c>
      <c r="M740" s="28" t="s">
        <v>93</v>
      </c>
      <c r="N740" s="57">
        <f t="shared" ca="1" si="157"/>
        <v>46267</v>
      </c>
      <c r="O740" s="43" t="s">
        <v>201</v>
      </c>
      <c r="R740">
        <v>21.56</v>
      </c>
      <c r="S740" s="82">
        <v>308</v>
      </c>
      <c r="T740" s="66">
        <f t="shared" si="149"/>
        <v>-57.501199999999983</v>
      </c>
      <c r="U740" s="46">
        <f t="shared" si="154"/>
        <v>228.93880000000001</v>
      </c>
      <c r="V740" s="82"/>
      <c r="X740" s="195">
        <f t="shared" si="162"/>
        <v>228.93880000000001</v>
      </c>
      <c r="Y740" s="29" t="e">
        <f>IF(+VLOOKUP(I740,P.Referencia!E:S,3,FALSE)&lt;=L740,"Champion","Gerente")</f>
        <v>#N/A</v>
      </c>
      <c r="Z740" s="39" t="e">
        <f>VLOOKUP(I740,P.Referencia!E:S,3,0)</f>
        <v>#N/A</v>
      </c>
      <c r="AA740" s="40" t="e">
        <f t="shared" si="161"/>
        <v>#N/A</v>
      </c>
      <c r="AB740" s="41" t="e">
        <f t="shared" si="158"/>
        <v>#N/A</v>
      </c>
      <c r="AC740" s="41" t="e">
        <f t="shared" si="159"/>
        <v>#N/A</v>
      </c>
    </row>
    <row r="741" spans="1:30" hidden="1" x14ac:dyDescent="0.25">
      <c r="A741" s="24">
        <v>740</v>
      </c>
      <c r="B741" s="89" t="s">
        <v>505</v>
      </c>
      <c r="C741" s="4" t="str">
        <f t="shared" si="160"/>
        <v>LlaveD8616697744410000233</v>
      </c>
      <c r="D741" s="25" t="str">
        <f>VLOOKUP(E741,'NO MODIFICAR'!J:K,2,0)</f>
        <v>D861</v>
      </c>
      <c r="E741" s="102" t="s">
        <v>44</v>
      </c>
      <c r="F741" s="33" t="str">
        <f>VLOOKUP(D741,'NO MODIFICAR'!F:H,3,0)</f>
        <v xml:space="preserve">CENTRO </v>
      </c>
      <c r="G741" s="28">
        <v>66977444</v>
      </c>
      <c r="H741" s="93" t="s">
        <v>512</v>
      </c>
      <c r="I741" s="94">
        <v>10000233</v>
      </c>
      <c r="J741" s="4" t="str">
        <f>VLOOKUP(I741,'Materiales,canteras'!C:D,2,0)</f>
        <v>Grava Triturada Basalto  40 mm</v>
      </c>
      <c r="K741" s="25">
        <f>VLOOKUP(I741,'Materiales,canteras'!C:E,3,0)</f>
        <v>1.456</v>
      </c>
      <c r="L741" s="105">
        <v>228.93880000000001</v>
      </c>
      <c r="M741" s="28" t="s">
        <v>93</v>
      </c>
      <c r="N741" s="57">
        <f t="shared" ca="1" si="157"/>
        <v>46267</v>
      </c>
      <c r="O741" s="43" t="s">
        <v>201</v>
      </c>
      <c r="R741">
        <v>21.7</v>
      </c>
      <c r="S741" s="82">
        <v>310</v>
      </c>
      <c r="T741" s="66">
        <f t="shared" si="149"/>
        <v>-59.361199999999997</v>
      </c>
      <c r="U741" s="46">
        <f t="shared" si="154"/>
        <v>228.93880000000001</v>
      </c>
      <c r="V741" s="82"/>
      <c r="X741" s="195">
        <f t="shared" si="162"/>
        <v>228.93880000000001</v>
      </c>
      <c r="Y741" s="29" t="e">
        <f>IF(+VLOOKUP(I741,P.Referencia!E:S,3,FALSE)&lt;=L741,"Champion","Gerente")</f>
        <v>#N/A</v>
      </c>
      <c r="Z741" s="39" t="e">
        <f>VLOOKUP(I741,P.Referencia!E:S,3,0)</f>
        <v>#N/A</v>
      </c>
      <c r="AA741" s="40" t="e">
        <f t="shared" si="161"/>
        <v>#N/A</v>
      </c>
      <c r="AB741" s="41" t="e">
        <f t="shared" si="158"/>
        <v>#N/A</v>
      </c>
      <c r="AC741" s="41" t="e">
        <f t="shared" si="159"/>
        <v>#N/A</v>
      </c>
    </row>
    <row r="742" spans="1:30" hidden="1" x14ac:dyDescent="0.25">
      <c r="A742" s="24">
        <v>741</v>
      </c>
      <c r="B742" s="89" t="s">
        <v>505</v>
      </c>
      <c r="C742" s="4" t="str">
        <f t="shared" si="160"/>
        <v>LlaveD8616697744310000229</v>
      </c>
      <c r="D742" s="25" t="str">
        <f>VLOOKUP(E742,'NO MODIFICAR'!J:K,2,0)</f>
        <v>D861</v>
      </c>
      <c r="E742" s="102" t="s">
        <v>44</v>
      </c>
      <c r="F742" s="33" t="str">
        <f>VLOOKUP(D742,'NO MODIFICAR'!F:H,3,0)</f>
        <v xml:space="preserve">CENTRO </v>
      </c>
      <c r="G742" s="28">
        <v>66977443</v>
      </c>
      <c r="H742" s="93" t="s">
        <v>513</v>
      </c>
      <c r="I742" s="94">
        <v>10000229</v>
      </c>
      <c r="J742" s="4" t="str">
        <f>VLOOKUP(I742,'Materiales,canteras'!C:D,2,0)</f>
        <v>Grava Triturada Basalto  10 mm</v>
      </c>
      <c r="K742" s="25">
        <f>VLOOKUP(I742,'Materiales,canteras'!C:E,3,0)</f>
        <v>1.522</v>
      </c>
      <c r="L742" s="105">
        <v>254.15620000000001</v>
      </c>
      <c r="M742" s="28" t="s">
        <v>93</v>
      </c>
      <c r="N742" s="57">
        <f t="shared" ca="1" si="157"/>
        <v>46267</v>
      </c>
      <c r="O742" s="43" t="s">
        <v>201</v>
      </c>
      <c r="R742">
        <v>24.64</v>
      </c>
      <c r="S742" s="82">
        <v>352</v>
      </c>
      <c r="T742" s="66">
        <f t="shared" si="149"/>
        <v>-73.203800000000001</v>
      </c>
      <c r="U742" s="46">
        <f t="shared" si="154"/>
        <v>254.15620000000001</v>
      </c>
      <c r="V742" s="82"/>
      <c r="X742" s="195">
        <f t="shared" si="162"/>
        <v>254.15620000000001</v>
      </c>
      <c r="Y742" s="29" t="e">
        <f>IF(+VLOOKUP(I742,P.Referencia!E:S,3,FALSE)&lt;=L742,"Champion","Gerente")</f>
        <v>#N/A</v>
      </c>
      <c r="Z742" s="39" t="e">
        <f>VLOOKUP(I742,P.Referencia!E:S,3,0)</f>
        <v>#N/A</v>
      </c>
      <c r="AA742" s="40" t="e">
        <f t="shared" si="161"/>
        <v>#N/A</v>
      </c>
      <c r="AB742" s="41" t="e">
        <f t="shared" si="158"/>
        <v>#N/A</v>
      </c>
      <c r="AC742" s="41" t="e">
        <f t="shared" si="159"/>
        <v>#N/A</v>
      </c>
    </row>
    <row r="743" spans="1:30" hidden="1" x14ac:dyDescent="0.25">
      <c r="A743" s="24">
        <v>742</v>
      </c>
      <c r="B743" s="89" t="s">
        <v>505</v>
      </c>
      <c r="C743" s="4" t="str">
        <f t="shared" si="160"/>
        <v>LlaveD8616697744310000231</v>
      </c>
      <c r="D743" s="25" t="str">
        <f>VLOOKUP(E743,'NO MODIFICAR'!J:K,2,0)</f>
        <v>D861</v>
      </c>
      <c r="E743" s="102" t="s">
        <v>44</v>
      </c>
      <c r="F743" s="33" t="str">
        <f>VLOOKUP(D743,'NO MODIFICAR'!F:H,3,0)</f>
        <v xml:space="preserve">CENTRO </v>
      </c>
      <c r="G743" s="28">
        <v>66977443</v>
      </c>
      <c r="H743" s="93" t="s">
        <v>513</v>
      </c>
      <c r="I743" s="94">
        <v>10000231</v>
      </c>
      <c r="J743" s="4" t="str">
        <f>VLOOKUP(I743,'Materiales,canteras'!C:D,2,0)</f>
        <v>Grava Triturada Basalto 20 mm</v>
      </c>
      <c r="K743" s="25">
        <f>VLOOKUP(I743,'Materiales,canteras'!C:E,3,0)</f>
        <v>1.5649999999999999</v>
      </c>
      <c r="L743" s="105">
        <v>228.93880000000001</v>
      </c>
      <c r="M743" s="28" t="s">
        <v>93</v>
      </c>
      <c r="N743" s="57">
        <f t="shared" ca="1" si="157"/>
        <v>46267</v>
      </c>
      <c r="O743" s="43" t="s">
        <v>201</v>
      </c>
      <c r="R743">
        <v>21.56</v>
      </c>
      <c r="S743" s="82">
        <v>308</v>
      </c>
      <c r="T743" s="66">
        <f t="shared" si="149"/>
        <v>-57.501199999999983</v>
      </c>
      <c r="U743" s="46">
        <f t="shared" si="154"/>
        <v>228.93880000000001</v>
      </c>
      <c r="V743" s="82"/>
      <c r="X743" s="195">
        <f t="shared" si="162"/>
        <v>228.93880000000001</v>
      </c>
      <c r="Y743" s="29" t="e">
        <f>IF(+VLOOKUP(I743,P.Referencia!E:S,3,FALSE)&lt;=L743,"Champion","Gerente")</f>
        <v>#N/A</v>
      </c>
      <c r="Z743" s="39" t="e">
        <f>VLOOKUP(I743,P.Referencia!E:S,3,0)</f>
        <v>#N/A</v>
      </c>
      <c r="AA743" s="40" t="e">
        <f t="shared" si="161"/>
        <v>#N/A</v>
      </c>
      <c r="AB743" s="41" t="e">
        <f t="shared" si="158"/>
        <v>#N/A</v>
      </c>
      <c r="AC743" s="41" t="e">
        <f t="shared" si="159"/>
        <v>#N/A</v>
      </c>
    </row>
    <row r="744" spans="1:30" hidden="1" x14ac:dyDescent="0.25">
      <c r="A744" s="24">
        <v>743</v>
      </c>
      <c r="B744" s="89" t="s">
        <v>505</v>
      </c>
      <c r="C744" s="4" t="str">
        <f t="shared" si="160"/>
        <v>LlaveD8616697744310000233</v>
      </c>
      <c r="D744" s="25" t="str">
        <f>VLOOKUP(E744,'NO MODIFICAR'!J:K,2,0)</f>
        <v>D861</v>
      </c>
      <c r="E744" s="102" t="s">
        <v>44</v>
      </c>
      <c r="F744" s="33" t="str">
        <f>VLOOKUP(D744,'NO MODIFICAR'!F:H,3,0)</f>
        <v xml:space="preserve">CENTRO </v>
      </c>
      <c r="G744" s="28">
        <v>66977443</v>
      </c>
      <c r="H744" s="93" t="s">
        <v>513</v>
      </c>
      <c r="I744" s="94">
        <v>10000233</v>
      </c>
      <c r="J744" s="4" t="str">
        <f>VLOOKUP(I744,'Materiales,canteras'!C:D,2,0)</f>
        <v>Grava Triturada Basalto  40 mm</v>
      </c>
      <c r="K744" s="25">
        <f>VLOOKUP(I744,'Materiales,canteras'!C:E,3,0)</f>
        <v>1.456</v>
      </c>
      <c r="L744" s="105">
        <v>228.93880000000001</v>
      </c>
      <c r="M744" s="28" t="s">
        <v>93</v>
      </c>
      <c r="N744" s="57">
        <f t="shared" ca="1" si="157"/>
        <v>46267</v>
      </c>
      <c r="O744" s="43" t="s">
        <v>201</v>
      </c>
      <c r="R744">
        <v>21.7</v>
      </c>
      <c r="S744" s="82">
        <v>310</v>
      </c>
      <c r="T744" s="66">
        <f t="shared" si="149"/>
        <v>-59.361199999999997</v>
      </c>
      <c r="U744" s="46">
        <f t="shared" si="154"/>
        <v>228.93880000000001</v>
      </c>
      <c r="V744" s="82"/>
      <c r="X744" s="195">
        <f t="shared" si="162"/>
        <v>228.93880000000001</v>
      </c>
      <c r="Y744" s="29" t="e">
        <f>IF(+VLOOKUP(I744,P.Referencia!E:S,3,FALSE)&lt;=L744,"Champion","Gerente")</f>
        <v>#N/A</v>
      </c>
      <c r="Z744" s="39" t="e">
        <f>VLOOKUP(I744,P.Referencia!E:S,3,0)</f>
        <v>#N/A</v>
      </c>
      <c r="AA744" s="40" t="e">
        <f t="shared" si="161"/>
        <v>#N/A</v>
      </c>
      <c r="AB744" s="41" t="e">
        <f t="shared" si="158"/>
        <v>#N/A</v>
      </c>
      <c r="AC744" s="41" t="e">
        <f t="shared" si="159"/>
        <v>#N/A</v>
      </c>
    </row>
    <row r="745" spans="1:30" hidden="1" x14ac:dyDescent="0.25">
      <c r="A745" s="24">
        <v>744</v>
      </c>
      <c r="B745" s="89" t="s">
        <v>505</v>
      </c>
      <c r="C745" s="4" t="str">
        <f t="shared" si="160"/>
        <v>LlaveD86167365811100014501</v>
      </c>
      <c r="D745" s="25" t="str">
        <f>VLOOKUP(E745,'NO MODIFICAR'!J:K,2,0)</f>
        <v>D861</v>
      </c>
      <c r="E745" s="102" t="s">
        <v>44</v>
      </c>
      <c r="F745" s="33" t="str">
        <f>VLOOKUP(D745,'NO MODIFICAR'!F:H,3,0)</f>
        <v xml:space="preserve">CENTRO </v>
      </c>
      <c r="G745" s="28">
        <v>67365811</v>
      </c>
      <c r="H745" s="93" t="s">
        <v>514</v>
      </c>
      <c r="I745" s="94">
        <v>10001450</v>
      </c>
      <c r="J745" s="4" t="str">
        <f>VLOOKUP(I745,'Materiales,canteras'!C:D,2,0)</f>
        <v>Base Hidraúlica Basalto de 1 /1/2</v>
      </c>
      <c r="K745" s="25">
        <f>VLOOKUP(I745,'Materiales,canteras'!C:E,3,0)</f>
        <v>1.7490000000000001</v>
      </c>
      <c r="L745" s="105">
        <v>204.73</v>
      </c>
      <c r="M745" s="28" t="s">
        <v>93</v>
      </c>
      <c r="N745" s="57">
        <f t="shared" ca="1" si="157"/>
        <v>46267</v>
      </c>
      <c r="O745" s="43" t="s">
        <v>201</v>
      </c>
      <c r="S745" s="82">
        <v>286</v>
      </c>
      <c r="T745" s="66">
        <f t="shared" si="149"/>
        <v>-81.27000000000001</v>
      </c>
      <c r="U745" s="46">
        <f t="shared" si="154"/>
        <v>204.73</v>
      </c>
      <c r="V745" s="82">
        <v>114</v>
      </c>
      <c r="W745" s="4">
        <v>1</v>
      </c>
      <c r="X745" s="195">
        <f t="shared" si="162"/>
        <v>318.73</v>
      </c>
      <c r="Y745" s="29" t="e">
        <f>IF(+VLOOKUP(I745,P.Referencia!E:S,3,FALSE)&lt;=L745,"Champion","Gerente")</f>
        <v>#N/A</v>
      </c>
      <c r="Z745" s="39" t="e">
        <f>VLOOKUP(I745,P.Referencia!E:S,3,0)</f>
        <v>#N/A</v>
      </c>
      <c r="AA745" s="40" t="e">
        <f t="shared" si="161"/>
        <v>#N/A</v>
      </c>
      <c r="AB745" s="41" t="e">
        <f t="shared" si="158"/>
        <v>#N/A</v>
      </c>
      <c r="AC745" s="41" t="e">
        <f t="shared" si="159"/>
        <v>#N/A</v>
      </c>
    </row>
    <row r="746" spans="1:30" hidden="1" x14ac:dyDescent="0.25">
      <c r="A746" s="24">
        <v>745</v>
      </c>
      <c r="B746" s="89" t="s">
        <v>505</v>
      </c>
      <c r="C746" s="4" t="str">
        <f t="shared" si="160"/>
        <v>LlaveD86167364291100014501</v>
      </c>
      <c r="D746" s="25" t="str">
        <f>VLOOKUP(E746,'NO MODIFICAR'!J:K,2,0)</f>
        <v>D861</v>
      </c>
      <c r="E746" s="102" t="s">
        <v>44</v>
      </c>
      <c r="F746" s="33" t="str">
        <f>VLOOKUP(D746,'NO MODIFICAR'!F:H,3,0)</f>
        <v xml:space="preserve">CENTRO </v>
      </c>
      <c r="G746" s="28">
        <v>67364291</v>
      </c>
      <c r="H746" s="93" t="s">
        <v>515</v>
      </c>
      <c r="I746" s="94">
        <v>10001450</v>
      </c>
      <c r="J746" s="4" t="str">
        <f>VLOOKUP(I746,'Materiales,canteras'!C:D,2,0)</f>
        <v>Base Hidraúlica Basalto de 1 /1/2</v>
      </c>
      <c r="K746" s="25">
        <f>VLOOKUP(I746,'Materiales,canteras'!C:E,3,0)</f>
        <v>1.7490000000000001</v>
      </c>
      <c r="L746" s="105">
        <v>204.73</v>
      </c>
      <c r="M746" s="28" t="s">
        <v>93</v>
      </c>
      <c r="N746" s="57">
        <f t="shared" ca="1" si="157"/>
        <v>46267</v>
      </c>
      <c r="O746" s="43" t="s">
        <v>201</v>
      </c>
      <c r="R746">
        <v>4.29</v>
      </c>
      <c r="S746" s="82">
        <v>286</v>
      </c>
      <c r="T746" s="66">
        <f t="shared" si="149"/>
        <v>-76.97999999999999</v>
      </c>
      <c r="U746" s="46">
        <f t="shared" si="154"/>
        <v>204.73</v>
      </c>
      <c r="V746" s="82">
        <v>114</v>
      </c>
      <c r="W746" s="4">
        <v>1</v>
      </c>
      <c r="X746" s="195">
        <f t="shared" si="162"/>
        <v>318.73</v>
      </c>
      <c r="Y746" s="29" t="e">
        <f>IF(+VLOOKUP(I746,P.Referencia!E:S,3,FALSE)&lt;=L746,"Champion","Gerente")</f>
        <v>#N/A</v>
      </c>
      <c r="Z746" s="39" t="e">
        <f>VLOOKUP(I746,P.Referencia!E:S,3,0)</f>
        <v>#N/A</v>
      </c>
      <c r="AA746" s="40" t="e">
        <f t="shared" si="161"/>
        <v>#N/A</v>
      </c>
      <c r="AB746" s="41" t="e">
        <f t="shared" si="158"/>
        <v>#N/A</v>
      </c>
      <c r="AC746" s="41" t="e">
        <f t="shared" si="159"/>
        <v>#N/A</v>
      </c>
    </row>
    <row r="747" spans="1:30" hidden="1" x14ac:dyDescent="0.25">
      <c r="A747" s="24">
        <v>746</v>
      </c>
      <c r="B747" s="89" t="s">
        <v>505</v>
      </c>
      <c r="C747" s="4" t="str">
        <f t="shared" si="160"/>
        <v>LlaveD86167365821100002292</v>
      </c>
      <c r="D747" s="25" t="str">
        <f>VLOOKUP(E747,'NO MODIFICAR'!J:K,2,0)</f>
        <v>D861</v>
      </c>
      <c r="E747" s="102" t="s">
        <v>44</v>
      </c>
      <c r="F747" s="33" t="str">
        <f>VLOOKUP(D747,'NO MODIFICAR'!F:H,3,0)</f>
        <v xml:space="preserve">CENTRO </v>
      </c>
      <c r="G747" s="28">
        <v>67365821</v>
      </c>
      <c r="H747" s="93" t="s">
        <v>516</v>
      </c>
      <c r="I747" s="94">
        <v>10000229</v>
      </c>
      <c r="J747" s="4" t="str">
        <f>VLOOKUP(I747,'Materiales,canteras'!C:D,2,0)</f>
        <v>Grava Triturada Basalto  10 mm</v>
      </c>
      <c r="K747" s="25">
        <f>VLOOKUP(I747,'Materiales,canteras'!C:E,3,0)</f>
        <v>1.522</v>
      </c>
      <c r="L747" s="105">
        <v>254.15620000000001</v>
      </c>
      <c r="M747" s="28" t="s">
        <v>93</v>
      </c>
      <c r="N747" s="57">
        <f t="shared" ca="1" si="157"/>
        <v>46267</v>
      </c>
      <c r="O747" s="43" t="s">
        <v>201</v>
      </c>
      <c r="S747" s="82">
        <v>352</v>
      </c>
      <c r="T747" s="66">
        <f t="shared" si="149"/>
        <v>-97.843799999999987</v>
      </c>
      <c r="U747" s="46">
        <f t="shared" si="154"/>
        <v>254.15620000000001</v>
      </c>
      <c r="V747" s="82">
        <v>0</v>
      </c>
      <c r="W747" s="4">
        <v>2</v>
      </c>
      <c r="X747" s="195">
        <f t="shared" si="162"/>
        <v>254.15620000000001</v>
      </c>
      <c r="Y747" s="29" t="e">
        <f>IF(+VLOOKUP(I747,P.Referencia!E:S,3,FALSE)&lt;=L747,"Champion","Gerente")</f>
        <v>#N/A</v>
      </c>
      <c r="Z747" s="39" t="e">
        <f>VLOOKUP(I747,P.Referencia!E:S,3,0)</f>
        <v>#N/A</v>
      </c>
      <c r="AA747" s="40" t="e">
        <f t="shared" si="161"/>
        <v>#N/A</v>
      </c>
      <c r="AB747" s="41" t="e">
        <f t="shared" si="158"/>
        <v>#N/A</v>
      </c>
      <c r="AC747" s="41" t="e">
        <f t="shared" si="159"/>
        <v>#N/A</v>
      </c>
    </row>
    <row r="748" spans="1:30" hidden="1" x14ac:dyDescent="0.25">
      <c r="A748" s="24">
        <v>747</v>
      </c>
      <c r="B748" s="89" t="s">
        <v>505</v>
      </c>
      <c r="C748" s="4" t="str">
        <f t="shared" si="160"/>
        <v>LlaveD86167365821100002312</v>
      </c>
      <c r="D748" s="25" t="str">
        <f>VLOOKUP(E748,'NO MODIFICAR'!J:K,2,0)</f>
        <v>D861</v>
      </c>
      <c r="E748" s="102" t="s">
        <v>44</v>
      </c>
      <c r="F748" s="33" t="str">
        <f>VLOOKUP(D748,'NO MODIFICAR'!F:H,3,0)</f>
        <v xml:space="preserve">CENTRO </v>
      </c>
      <c r="G748" s="28">
        <v>67365821</v>
      </c>
      <c r="H748" s="93" t="s">
        <v>516</v>
      </c>
      <c r="I748" s="94">
        <v>10000231</v>
      </c>
      <c r="J748" s="4" t="str">
        <f>VLOOKUP(I748,'Materiales,canteras'!C:D,2,0)</f>
        <v>Grava Triturada Basalto 20 mm</v>
      </c>
      <c r="K748" s="25">
        <f>VLOOKUP(I748,'Materiales,canteras'!C:E,3,0)</f>
        <v>1.5649999999999999</v>
      </c>
      <c r="L748" s="105">
        <v>228.93880000000001</v>
      </c>
      <c r="M748" s="28" t="s">
        <v>93</v>
      </c>
      <c r="N748" s="57">
        <f t="shared" ca="1" si="157"/>
        <v>46267</v>
      </c>
      <c r="O748" s="43" t="s">
        <v>201</v>
      </c>
      <c r="S748" s="82">
        <v>308</v>
      </c>
      <c r="T748" s="66">
        <f t="shared" si="149"/>
        <v>-79.061199999999985</v>
      </c>
      <c r="U748" s="46">
        <f t="shared" si="154"/>
        <v>228.93880000000001</v>
      </c>
      <c r="V748" s="82">
        <v>0</v>
      </c>
      <c r="W748" s="4">
        <v>2</v>
      </c>
      <c r="X748" s="195">
        <f t="shared" si="162"/>
        <v>228.93880000000001</v>
      </c>
      <c r="Y748" s="29" t="e">
        <f>IF(+VLOOKUP(I748,P.Referencia!E:S,3,FALSE)&lt;=L748,"Champion","Gerente")</f>
        <v>#N/A</v>
      </c>
      <c r="Z748" s="39" t="e">
        <f>VLOOKUP(I748,P.Referencia!E:S,3,0)</f>
        <v>#N/A</v>
      </c>
      <c r="AA748" s="40" t="e">
        <f t="shared" si="161"/>
        <v>#N/A</v>
      </c>
      <c r="AB748" s="41" t="e">
        <f t="shared" si="158"/>
        <v>#N/A</v>
      </c>
      <c r="AC748" s="41" t="e">
        <f t="shared" si="159"/>
        <v>#N/A</v>
      </c>
    </row>
    <row r="749" spans="1:30" hidden="1" x14ac:dyDescent="0.25">
      <c r="A749" s="24">
        <v>748</v>
      </c>
      <c r="B749" s="89" t="s">
        <v>505</v>
      </c>
      <c r="C749" s="4" t="str">
        <f t="shared" si="160"/>
        <v>LlaveD86167365821100002332</v>
      </c>
      <c r="D749" s="25" t="str">
        <f>VLOOKUP(E749,'NO MODIFICAR'!J:K,2,0)</f>
        <v>D861</v>
      </c>
      <c r="E749" s="102" t="s">
        <v>44</v>
      </c>
      <c r="F749" s="33" t="str">
        <f>VLOOKUP(D749,'NO MODIFICAR'!F:H,3,0)</f>
        <v xml:space="preserve">CENTRO </v>
      </c>
      <c r="G749" s="28">
        <v>67365821</v>
      </c>
      <c r="H749" s="93" t="s">
        <v>516</v>
      </c>
      <c r="I749" s="94">
        <v>10000233</v>
      </c>
      <c r="J749" s="4" t="str">
        <f>VLOOKUP(I749,'Materiales,canteras'!C:D,2,0)</f>
        <v>Grava Triturada Basalto  40 mm</v>
      </c>
      <c r="K749" s="25">
        <f>VLOOKUP(I749,'Materiales,canteras'!C:E,3,0)</f>
        <v>1.456</v>
      </c>
      <c r="L749" s="105">
        <v>228.93880000000001</v>
      </c>
      <c r="M749" s="28" t="s">
        <v>93</v>
      </c>
      <c r="N749" s="57">
        <f t="shared" ca="1" si="157"/>
        <v>46267</v>
      </c>
      <c r="O749" s="43" t="s">
        <v>201</v>
      </c>
      <c r="S749" s="82">
        <v>310</v>
      </c>
      <c r="T749" s="66">
        <f t="shared" si="149"/>
        <v>-81.061199999999985</v>
      </c>
      <c r="U749" s="46">
        <f t="shared" si="154"/>
        <v>228.93880000000001</v>
      </c>
      <c r="V749" s="82">
        <v>0</v>
      </c>
      <c r="W749" s="4">
        <v>2</v>
      </c>
      <c r="X749" s="195">
        <f t="shared" si="162"/>
        <v>228.93880000000001</v>
      </c>
      <c r="Y749" s="29" t="e">
        <f>IF(+VLOOKUP(I749,P.Referencia!E:S,3,FALSE)&lt;=L749,"Champion","Gerente")</f>
        <v>#N/A</v>
      </c>
      <c r="Z749" s="39" t="e">
        <f>VLOOKUP(I749,P.Referencia!E:S,3,0)</f>
        <v>#N/A</v>
      </c>
      <c r="AA749" s="40" t="e">
        <f t="shared" si="161"/>
        <v>#N/A</v>
      </c>
      <c r="AB749" s="41" t="e">
        <f t="shared" si="158"/>
        <v>#N/A</v>
      </c>
      <c r="AC749" s="41" t="e">
        <f t="shared" si="159"/>
        <v>#N/A</v>
      </c>
    </row>
    <row r="750" spans="1:30" hidden="1" x14ac:dyDescent="0.25">
      <c r="A750" s="24">
        <v>749</v>
      </c>
      <c r="B750" s="89" t="s">
        <v>505</v>
      </c>
      <c r="C750" s="4" t="str">
        <f t="shared" si="160"/>
        <v>LlaveD86167365743100002311</v>
      </c>
      <c r="D750" s="25" t="str">
        <f>VLOOKUP(E750,'NO MODIFICAR'!J:K,2,0)</f>
        <v>D861</v>
      </c>
      <c r="E750" s="102" t="s">
        <v>44</v>
      </c>
      <c r="F750" s="33" t="str">
        <f>VLOOKUP(D750,'NO MODIFICAR'!F:H,3,0)</f>
        <v xml:space="preserve">CENTRO </v>
      </c>
      <c r="G750" s="28">
        <v>67365743</v>
      </c>
      <c r="H750" s="93" t="s">
        <v>517</v>
      </c>
      <c r="I750" s="94">
        <v>10000231</v>
      </c>
      <c r="J750" s="4" t="str">
        <f>VLOOKUP(I750,'Materiales,canteras'!C:D,2,0)</f>
        <v>Grava Triturada Basalto 20 mm</v>
      </c>
      <c r="K750" s="25">
        <f>VLOOKUP(I750,'Materiales,canteras'!C:E,3,0)</f>
        <v>1.5649999999999999</v>
      </c>
      <c r="L750" s="105">
        <v>225</v>
      </c>
      <c r="M750" s="28" t="s">
        <v>93</v>
      </c>
      <c r="N750" s="57">
        <f t="shared" ca="1" si="157"/>
        <v>46267</v>
      </c>
      <c r="O750" s="43" t="s">
        <v>201</v>
      </c>
      <c r="R750">
        <v>4.62</v>
      </c>
      <c r="S750" s="82">
        <v>308</v>
      </c>
      <c r="T750" s="66">
        <f t="shared" si="149"/>
        <v>-78.38</v>
      </c>
      <c r="U750" s="46">
        <f t="shared" si="154"/>
        <v>225</v>
      </c>
      <c r="V750" s="82">
        <v>125</v>
      </c>
      <c r="W750" s="4">
        <v>1</v>
      </c>
      <c r="X750" s="195">
        <f t="shared" si="162"/>
        <v>350</v>
      </c>
      <c r="Y750" s="29" t="e">
        <f>IF(+VLOOKUP(I750,P.Referencia!E:S,3,FALSE)&lt;=L750,"Champion","Gerente")</f>
        <v>#N/A</v>
      </c>
      <c r="Z750" s="39" t="e">
        <f>VLOOKUP(I750,P.Referencia!E:S,3,0)</f>
        <v>#N/A</v>
      </c>
      <c r="AA750" s="40" t="e">
        <f t="shared" si="161"/>
        <v>#N/A</v>
      </c>
      <c r="AB750" s="41" t="e">
        <f t="shared" si="158"/>
        <v>#N/A</v>
      </c>
      <c r="AC750" s="41" t="e">
        <f t="shared" si="159"/>
        <v>#N/A</v>
      </c>
    </row>
    <row r="751" spans="1:30" hidden="1" x14ac:dyDescent="0.25">
      <c r="A751" s="24">
        <v>750</v>
      </c>
      <c r="B751" s="89" t="s">
        <v>505</v>
      </c>
      <c r="C751" s="4" t="str">
        <f t="shared" si="160"/>
        <v>LlaveD86167365743100003111</v>
      </c>
      <c r="D751" s="25" t="str">
        <f>VLOOKUP(E751,'NO MODIFICAR'!J:K,2,0)</f>
        <v>D861</v>
      </c>
      <c r="E751" s="102" t="s">
        <v>44</v>
      </c>
      <c r="F751" s="33" t="str">
        <f>VLOOKUP(D751,'NO MODIFICAR'!F:H,3,0)</f>
        <v xml:space="preserve">CENTRO </v>
      </c>
      <c r="G751" s="28">
        <v>67365743</v>
      </c>
      <c r="H751" s="93" t="s">
        <v>517</v>
      </c>
      <c r="I751" s="94">
        <v>10000311</v>
      </c>
      <c r="J751" s="4" t="str">
        <f>VLOOKUP(I751,'Materiales,canteras'!C:D,2,0)</f>
        <v>Arena Triturada Basalto  Malla</v>
      </c>
      <c r="K751" s="25">
        <f>VLOOKUP(I751,'Materiales,canteras'!C:E,3,0)</f>
        <v>1.651</v>
      </c>
      <c r="L751" s="105">
        <v>215</v>
      </c>
      <c r="M751" s="28" t="s">
        <v>93</v>
      </c>
      <c r="N751" s="57">
        <f t="shared" ca="1" si="157"/>
        <v>46267</v>
      </c>
      <c r="O751" s="43" t="s">
        <v>201</v>
      </c>
      <c r="R751">
        <v>4.29</v>
      </c>
      <c r="S751" s="82">
        <v>286</v>
      </c>
      <c r="T751" s="66">
        <f t="shared" si="149"/>
        <v>-66.70999999999998</v>
      </c>
      <c r="U751" s="46">
        <f t="shared" si="154"/>
        <v>215</v>
      </c>
      <c r="V751" s="82">
        <v>125</v>
      </c>
      <c r="W751" s="4">
        <v>1</v>
      </c>
      <c r="X751" s="195">
        <f t="shared" si="162"/>
        <v>340</v>
      </c>
      <c r="Y751" s="29" t="e">
        <f>IF(+VLOOKUP(I751,P.Referencia!E:S,3,FALSE)&lt;=L751,"Champion","Gerente")</f>
        <v>#N/A</v>
      </c>
      <c r="Z751" s="39" t="e">
        <f>VLOOKUP(I751,P.Referencia!E:S,3,0)</f>
        <v>#N/A</v>
      </c>
      <c r="AA751" s="40" t="e">
        <f t="shared" si="161"/>
        <v>#N/A</v>
      </c>
      <c r="AB751" s="41" t="e">
        <f t="shared" si="158"/>
        <v>#N/A</v>
      </c>
      <c r="AC751" s="41" t="e">
        <f t="shared" si="159"/>
        <v>#N/A</v>
      </c>
    </row>
    <row r="752" spans="1:30" hidden="1" x14ac:dyDescent="0.25">
      <c r="A752" s="24">
        <v>751</v>
      </c>
      <c r="B752" s="89" t="s">
        <v>505</v>
      </c>
      <c r="C752" s="4" t="str">
        <f t="shared" si="160"/>
        <v>LlaveD86467365667100010731</v>
      </c>
      <c r="D752" s="25" t="str">
        <f>VLOOKUP(E752,'NO MODIFICAR'!J:K,2,0)</f>
        <v>D864</v>
      </c>
      <c r="E752" s="102" t="s">
        <v>55</v>
      </c>
      <c r="F752" s="33" t="str">
        <f>VLOOKUP(D752,'NO MODIFICAR'!F:H,3,0)</f>
        <v xml:space="preserve">CENTRO </v>
      </c>
      <c r="G752" s="28">
        <v>67365667</v>
      </c>
      <c r="H752" s="93" t="s">
        <v>518</v>
      </c>
      <c r="I752" s="94">
        <v>10001073</v>
      </c>
      <c r="J752" s="4" t="str">
        <f>VLOOKUP(I752,'Materiales,canteras'!C:D,2,0)</f>
        <v>Arena Triturada Caliza Malla 4</v>
      </c>
      <c r="K752" s="25">
        <f>VLOOKUP(I752,'Materiales,canteras'!C:E,3,0)</f>
        <v>1.56</v>
      </c>
      <c r="L752" s="105">
        <v>85</v>
      </c>
      <c r="M752" s="28" t="s">
        <v>93</v>
      </c>
      <c r="N752" s="57">
        <f t="shared" ca="1" si="157"/>
        <v>46267</v>
      </c>
      <c r="O752" s="43" t="s">
        <v>201</v>
      </c>
      <c r="S752" s="82"/>
      <c r="T752" s="66">
        <f t="shared" ref="T752:T815" si="163">L752-((S752-P752)-(Q752)-(R752))</f>
        <v>85</v>
      </c>
      <c r="U752" s="46">
        <f t="shared" si="154"/>
        <v>85</v>
      </c>
      <c r="V752" s="82">
        <v>0</v>
      </c>
      <c r="W752" s="4">
        <v>1</v>
      </c>
      <c r="X752" s="195">
        <f t="shared" si="162"/>
        <v>85</v>
      </c>
      <c r="Y752" s="29" t="e">
        <f>IF(+VLOOKUP(I752,P.Referencia!E:S,3,FALSE)&lt;=L752,"Champion","Gerente")</f>
        <v>#N/A</v>
      </c>
      <c r="Z752" s="39" t="e">
        <f>VLOOKUP(I752,P.Referencia!E:S,3,0)</f>
        <v>#N/A</v>
      </c>
      <c r="AA752" s="40" t="e">
        <f t="shared" si="161"/>
        <v>#N/A</v>
      </c>
      <c r="AB752" s="41" t="e">
        <f t="shared" si="158"/>
        <v>#N/A</v>
      </c>
      <c r="AC752" s="41" t="e">
        <f t="shared" si="159"/>
        <v>#N/A</v>
      </c>
    </row>
    <row r="753" spans="1:30" hidden="1" x14ac:dyDescent="0.25">
      <c r="A753" s="24">
        <v>752</v>
      </c>
      <c r="B753" s="89" t="s">
        <v>505</v>
      </c>
      <c r="C753" s="4" t="str">
        <f t="shared" si="160"/>
        <v>LlaveD86467365667100002401</v>
      </c>
      <c r="D753" s="25" t="str">
        <f>VLOOKUP(E753,'NO MODIFICAR'!J:K,2,0)</f>
        <v>D864</v>
      </c>
      <c r="E753" s="102" t="s">
        <v>55</v>
      </c>
      <c r="F753" s="33" t="str">
        <f>VLOOKUP(D753,'NO MODIFICAR'!F:H,3,0)</f>
        <v xml:space="preserve">CENTRO </v>
      </c>
      <c r="G753" s="28">
        <v>67365667</v>
      </c>
      <c r="H753" s="93" t="s">
        <v>518</v>
      </c>
      <c r="I753" s="94">
        <v>10000240</v>
      </c>
      <c r="J753" s="4" t="str">
        <f>VLOOKUP(I753,'Materiales,canteras'!C:D,2,0)</f>
        <v>Grava Triturada Caliza 20 mm -</v>
      </c>
      <c r="K753" s="25">
        <f>VLOOKUP(I753,'Materiales,canteras'!C:E,3,0)</f>
        <v>1.462</v>
      </c>
      <c r="L753" s="105">
        <v>133</v>
      </c>
      <c r="M753" s="28" t="s">
        <v>93</v>
      </c>
      <c r="N753" s="57">
        <f t="shared" ca="1" si="157"/>
        <v>46267</v>
      </c>
      <c r="O753" s="43" t="s">
        <v>201</v>
      </c>
      <c r="S753" s="82"/>
      <c r="T753" s="66">
        <f t="shared" si="163"/>
        <v>133</v>
      </c>
      <c r="U753" s="46">
        <f t="shared" si="154"/>
        <v>133</v>
      </c>
      <c r="V753" s="82">
        <v>0</v>
      </c>
      <c r="W753" s="4">
        <v>1</v>
      </c>
      <c r="X753" s="195">
        <f t="shared" si="162"/>
        <v>133</v>
      </c>
      <c r="Y753" s="29" t="e">
        <f>IF(+VLOOKUP(I753,P.Referencia!E:S,3,FALSE)&lt;=L753,"Champion","Gerente")</f>
        <v>#N/A</v>
      </c>
      <c r="Z753" s="39" t="e">
        <f>VLOOKUP(I753,P.Referencia!E:S,3,0)</f>
        <v>#N/A</v>
      </c>
      <c r="AA753" s="40" t="e">
        <f t="shared" si="161"/>
        <v>#N/A</v>
      </c>
      <c r="AB753" s="41" t="e">
        <f t="shared" si="158"/>
        <v>#N/A</v>
      </c>
      <c r="AC753" s="41" t="e">
        <f t="shared" si="159"/>
        <v>#N/A</v>
      </c>
    </row>
    <row r="754" spans="1:30" hidden="1" x14ac:dyDescent="0.25">
      <c r="A754" s="24">
        <v>753</v>
      </c>
      <c r="B754" s="89" t="s">
        <v>505</v>
      </c>
      <c r="C754" s="4" t="str">
        <f t="shared" si="160"/>
        <v>LlaveD86166462485100002291</v>
      </c>
      <c r="D754" s="25" t="str">
        <f>VLOOKUP(E754,'NO MODIFICAR'!J:K,2,0)</f>
        <v>D861</v>
      </c>
      <c r="E754" s="102" t="s">
        <v>44</v>
      </c>
      <c r="F754" s="33" t="str">
        <f>VLOOKUP(D754,'NO MODIFICAR'!F:H,3,0)</f>
        <v xml:space="preserve">CENTRO </v>
      </c>
      <c r="G754" s="28">
        <v>66462485</v>
      </c>
      <c r="H754" s="93" t="s">
        <v>519</v>
      </c>
      <c r="I754" s="94">
        <v>10000229</v>
      </c>
      <c r="J754" s="4" t="str">
        <f>VLOOKUP(I754,'Materiales,canteras'!C:D,2,0)</f>
        <v>Grava Triturada Basalto  10 mm</v>
      </c>
      <c r="K754" s="25">
        <f>VLOOKUP(I754,'Materiales,canteras'!C:E,3,0)</f>
        <v>1.522</v>
      </c>
      <c r="L754" s="231">
        <v>207.23</v>
      </c>
      <c r="M754" s="28" t="s">
        <v>93</v>
      </c>
      <c r="N754" s="57">
        <f t="shared" ca="1" si="157"/>
        <v>46267</v>
      </c>
      <c r="O754" s="43" t="s">
        <v>201</v>
      </c>
      <c r="R754">
        <v>17.600000000000001</v>
      </c>
      <c r="S754" s="82">
        <v>352</v>
      </c>
      <c r="T754" s="66">
        <f t="shared" si="163"/>
        <v>-127.16999999999999</v>
      </c>
      <c r="U754" s="46">
        <f t="shared" si="154"/>
        <v>207.23</v>
      </c>
      <c r="V754" s="259">
        <v>135</v>
      </c>
      <c r="W754" s="4">
        <v>1</v>
      </c>
      <c r="X754" s="195">
        <f t="shared" si="162"/>
        <v>342.23</v>
      </c>
      <c r="Y754" s="29" t="e">
        <f>IF(+VLOOKUP(I754,P.Referencia!E:S,3,FALSE)&lt;=L754,"Champion","Gerente")</f>
        <v>#N/A</v>
      </c>
      <c r="Z754" s="39" t="e">
        <f>VLOOKUP(I754,P.Referencia!E:S,3,0)</f>
        <v>#N/A</v>
      </c>
      <c r="AA754" s="40" t="e">
        <f t="shared" si="161"/>
        <v>#N/A</v>
      </c>
      <c r="AB754" s="41" t="e">
        <f t="shared" si="158"/>
        <v>#N/A</v>
      </c>
      <c r="AC754" s="41" t="e">
        <f t="shared" si="159"/>
        <v>#N/A</v>
      </c>
    </row>
    <row r="755" spans="1:30" s="235" customFormat="1" hidden="1" x14ac:dyDescent="0.25">
      <c r="A755" s="24">
        <v>754</v>
      </c>
      <c r="B755" s="234" t="s">
        <v>505</v>
      </c>
      <c r="C755" s="235" t="str">
        <f t="shared" si="160"/>
        <v>LlaveD86166462485100002311</v>
      </c>
      <c r="D755" s="236" t="str">
        <f>VLOOKUP(E755,'NO MODIFICAR'!J:K,2,0)</f>
        <v>D861</v>
      </c>
      <c r="E755" s="237" t="s">
        <v>44</v>
      </c>
      <c r="F755" s="236" t="str">
        <f>VLOOKUP(D755,'NO MODIFICAR'!F:H,3,0)</f>
        <v xml:space="preserve">CENTRO </v>
      </c>
      <c r="G755" s="238">
        <v>66462485</v>
      </c>
      <c r="H755" s="239" t="s">
        <v>519</v>
      </c>
      <c r="I755" s="240">
        <v>10000231</v>
      </c>
      <c r="J755" s="235" t="str">
        <f>VLOOKUP(I755,'Materiales,canteras'!C:D,2,0)</f>
        <v>Grava Triturada Basalto 20 mm</v>
      </c>
      <c r="K755" s="236">
        <f>VLOOKUP(I755,'Materiales,canteras'!C:E,3,0)</f>
        <v>1.5649999999999999</v>
      </c>
      <c r="L755" s="232">
        <v>196.91</v>
      </c>
      <c r="M755" s="238" t="s">
        <v>93</v>
      </c>
      <c r="N755" s="241">
        <f t="shared" ca="1" si="157"/>
        <v>46267</v>
      </c>
      <c r="O755" s="233" t="s">
        <v>201</v>
      </c>
      <c r="R755" s="235">
        <v>15.4</v>
      </c>
      <c r="S755" s="242">
        <v>308</v>
      </c>
      <c r="T755" s="243">
        <f t="shared" si="163"/>
        <v>-95.690000000000026</v>
      </c>
      <c r="U755" s="244">
        <f t="shared" si="154"/>
        <v>196.91</v>
      </c>
      <c r="V755" s="259">
        <v>135</v>
      </c>
      <c r="W755" s="4">
        <v>1</v>
      </c>
      <c r="X755" s="245">
        <f t="shared" si="162"/>
        <v>331.90999999999997</v>
      </c>
      <c r="Y755" s="246" t="e">
        <f>IF(+VLOOKUP(I755,P.Referencia!E:S,3,FALSE)&lt;=L755,"Champion","Gerente")</f>
        <v>#N/A</v>
      </c>
      <c r="Z755" s="247" t="e">
        <f>VLOOKUP(I755,P.Referencia!E:S,3,0)</f>
        <v>#N/A</v>
      </c>
      <c r="AA755" s="248" t="e">
        <f t="shared" si="161"/>
        <v>#N/A</v>
      </c>
      <c r="AB755" s="249" t="e">
        <f t="shared" si="158"/>
        <v>#N/A</v>
      </c>
      <c r="AC755" s="249" t="e">
        <f t="shared" si="159"/>
        <v>#N/A</v>
      </c>
      <c r="AD755" s="235" t="s">
        <v>521</v>
      </c>
    </row>
    <row r="756" spans="1:30" hidden="1" x14ac:dyDescent="0.25">
      <c r="A756" s="24">
        <v>755</v>
      </c>
      <c r="B756" s="89" t="s">
        <v>505</v>
      </c>
      <c r="C756" s="4" t="str">
        <f t="shared" si="160"/>
        <v>LlaveD86166462485100003111</v>
      </c>
      <c r="D756" s="25" t="str">
        <f>VLOOKUP(E756,'NO MODIFICAR'!J:K,2,0)</f>
        <v>D861</v>
      </c>
      <c r="E756" s="102" t="s">
        <v>44</v>
      </c>
      <c r="F756" s="33" t="str">
        <f>VLOOKUP(D756,'NO MODIFICAR'!F:H,3,0)</f>
        <v xml:space="preserve">CENTRO </v>
      </c>
      <c r="G756" s="28">
        <v>66462485</v>
      </c>
      <c r="H756" s="93" t="s">
        <v>519</v>
      </c>
      <c r="I756" s="94">
        <v>10000311</v>
      </c>
      <c r="J756" s="4" t="str">
        <f>VLOOKUP(I756,'Materiales,canteras'!C:D,2,0)</f>
        <v>Arena Triturada Basalto  Malla</v>
      </c>
      <c r="K756" s="25">
        <f>VLOOKUP(I756,'Materiales,canteras'!C:E,3,0)</f>
        <v>1.651</v>
      </c>
      <c r="L756" s="231">
        <v>176.78</v>
      </c>
      <c r="M756" s="28" t="s">
        <v>93</v>
      </c>
      <c r="N756" s="57">
        <f t="shared" ca="1" si="157"/>
        <v>46267</v>
      </c>
      <c r="O756" s="43" t="s">
        <v>201</v>
      </c>
      <c r="R756">
        <v>14.3</v>
      </c>
      <c r="S756" s="82">
        <v>286</v>
      </c>
      <c r="T756" s="66">
        <f t="shared" si="163"/>
        <v>-94.919999999999987</v>
      </c>
      <c r="U756" s="46">
        <f t="shared" si="154"/>
        <v>176.78</v>
      </c>
      <c r="V756" s="259">
        <v>135</v>
      </c>
      <c r="W756" s="4">
        <v>1</v>
      </c>
      <c r="X756" s="195">
        <f t="shared" si="162"/>
        <v>311.77999999999997</v>
      </c>
      <c r="Y756" s="29" t="e">
        <f>IF(+VLOOKUP(I756,P.Referencia!E:S,3,FALSE)&lt;=L756,"Champion","Gerente")</f>
        <v>#N/A</v>
      </c>
      <c r="Z756" s="39" t="e">
        <f>VLOOKUP(I756,P.Referencia!E:S,3,0)</f>
        <v>#N/A</v>
      </c>
      <c r="AA756" s="40" t="e">
        <f t="shared" si="161"/>
        <v>#N/A</v>
      </c>
      <c r="AB756" s="41" t="e">
        <f t="shared" si="158"/>
        <v>#N/A</v>
      </c>
      <c r="AC756" s="41" t="e">
        <f t="shared" si="159"/>
        <v>#N/A</v>
      </c>
    </row>
    <row r="757" spans="1:30" hidden="1" x14ac:dyDescent="0.25">
      <c r="A757" s="24">
        <v>756</v>
      </c>
      <c r="B757" s="89" t="s">
        <v>505</v>
      </c>
      <c r="C757" s="4" t="str">
        <f t="shared" si="160"/>
        <v>LlaveD86166462485100014501</v>
      </c>
      <c r="D757" s="25" t="str">
        <f>VLOOKUP(E757,'NO MODIFICAR'!J:K,2,0)</f>
        <v>D861</v>
      </c>
      <c r="E757" s="102" t="s">
        <v>44</v>
      </c>
      <c r="F757" s="33" t="str">
        <f>VLOOKUP(D757,'NO MODIFICAR'!F:H,3,0)</f>
        <v xml:space="preserve">CENTRO </v>
      </c>
      <c r="G757" s="28">
        <v>66462485</v>
      </c>
      <c r="H757" s="93" t="s">
        <v>519</v>
      </c>
      <c r="I757" s="94">
        <v>10001450</v>
      </c>
      <c r="J757" s="4" t="str">
        <f>VLOOKUP(I757,'Materiales,canteras'!C:D,2,0)</f>
        <v>Base Hidraúlica Basalto de 1 /1/2</v>
      </c>
      <c r="K757" s="25">
        <f>VLOOKUP(I757,'Materiales,canteras'!C:E,3,0)</f>
        <v>1.7490000000000001</v>
      </c>
      <c r="L757" s="231">
        <v>192.77</v>
      </c>
      <c r="M757" s="28" t="s">
        <v>93</v>
      </c>
      <c r="N757" s="57">
        <f t="shared" ca="1" si="157"/>
        <v>46267</v>
      </c>
      <c r="O757" s="43" t="s">
        <v>201</v>
      </c>
      <c r="R757">
        <v>14.3</v>
      </c>
      <c r="S757" s="82">
        <v>286</v>
      </c>
      <c r="T757" s="66">
        <f t="shared" si="163"/>
        <v>-78.929999999999978</v>
      </c>
      <c r="U757" s="46">
        <f t="shared" si="154"/>
        <v>192.77</v>
      </c>
      <c r="V757" s="259">
        <v>135</v>
      </c>
      <c r="W757" s="4">
        <v>1</v>
      </c>
      <c r="X757" s="195">
        <f t="shared" si="162"/>
        <v>327.77</v>
      </c>
      <c r="Y757" s="29" t="e">
        <f>IF(+VLOOKUP(I757,P.Referencia!E:S,3,FALSE)&lt;=L757,"Champion","Gerente")</f>
        <v>#N/A</v>
      </c>
      <c r="Z757" s="39" t="e">
        <f>VLOOKUP(I757,P.Referencia!E:S,3,0)</f>
        <v>#N/A</v>
      </c>
      <c r="AA757" s="40" t="e">
        <f t="shared" si="161"/>
        <v>#N/A</v>
      </c>
      <c r="AB757" s="41" t="e">
        <f t="shared" si="158"/>
        <v>#N/A</v>
      </c>
      <c r="AC757" s="41" t="e">
        <f t="shared" si="159"/>
        <v>#N/A</v>
      </c>
    </row>
    <row r="758" spans="1:30" s="235" customFormat="1" hidden="1" x14ac:dyDescent="0.25">
      <c r="A758" s="24">
        <v>757</v>
      </c>
      <c r="B758" s="234" t="s">
        <v>505</v>
      </c>
      <c r="C758" s="235" t="str">
        <f t="shared" si="160"/>
        <v>LlaveD86166494466100002291</v>
      </c>
      <c r="D758" s="236" t="str">
        <f>VLOOKUP(E758,'NO MODIFICAR'!J:K,2,0)</f>
        <v>D861</v>
      </c>
      <c r="E758" s="237" t="s">
        <v>44</v>
      </c>
      <c r="F758" s="236" t="str">
        <f>VLOOKUP(D758,'NO MODIFICAR'!F:H,3,0)</f>
        <v xml:space="preserve">CENTRO </v>
      </c>
      <c r="G758" s="238">
        <v>66494466</v>
      </c>
      <c r="H758" s="239" t="s">
        <v>520</v>
      </c>
      <c r="I758" s="240">
        <v>10000229</v>
      </c>
      <c r="J758" s="235" t="str">
        <f>VLOOKUP(I758,'Materiales,canteras'!C:D,2,0)</f>
        <v>Grava Triturada Basalto  10 mm</v>
      </c>
      <c r="K758" s="236">
        <f>VLOOKUP(I758,'Materiales,canteras'!C:E,3,0)</f>
        <v>1.522</v>
      </c>
      <c r="L758" s="232">
        <v>207.23</v>
      </c>
      <c r="M758" s="238" t="s">
        <v>93</v>
      </c>
      <c r="N758" s="241">
        <f t="shared" ca="1" si="157"/>
        <v>46267</v>
      </c>
      <c r="O758" s="233" t="s">
        <v>201</v>
      </c>
      <c r="Q758" s="235">
        <v>16.72</v>
      </c>
      <c r="R758" s="235">
        <v>17.600000000000001</v>
      </c>
      <c r="S758" s="242">
        <v>352</v>
      </c>
      <c r="T758" s="243">
        <f t="shared" si="163"/>
        <v>-110.44999999999996</v>
      </c>
      <c r="U758" s="244">
        <f t="shared" si="154"/>
        <v>207.23</v>
      </c>
      <c r="V758" s="259">
        <v>105</v>
      </c>
      <c r="W758" s="4">
        <v>1</v>
      </c>
      <c r="X758" s="245">
        <f t="shared" si="162"/>
        <v>312.23</v>
      </c>
      <c r="Y758" s="246" t="e">
        <f>IF(+VLOOKUP(I758,P.Referencia!E:S,3,FALSE)&lt;=L758,"Champion","Gerente")</f>
        <v>#N/A</v>
      </c>
      <c r="Z758" s="247" t="e">
        <f>VLOOKUP(I758,P.Referencia!E:S,3,0)</f>
        <v>#N/A</v>
      </c>
      <c r="AA758" s="248" t="e">
        <f t="shared" si="161"/>
        <v>#N/A</v>
      </c>
      <c r="AB758" s="249" t="e">
        <f t="shared" si="158"/>
        <v>#N/A</v>
      </c>
      <c r="AC758" s="249" t="e">
        <f t="shared" si="159"/>
        <v>#N/A</v>
      </c>
      <c r="AD758" s="235" t="s">
        <v>521</v>
      </c>
    </row>
    <row r="759" spans="1:30" s="235" customFormat="1" hidden="1" x14ac:dyDescent="0.25">
      <c r="A759" s="24">
        <v>758</v>
      </c>
      <c r="B759" s="234" t="s">
        <v>505</v>
      </c>
      <c r="C759" s="235" t="str">
        <f t="shared" si="160"/>
        <v>LlaveD86166494466100002311</v>
      </c>
      <c r="D759" s="236" t="str">
        <f>VLOOKUP(E759,'NO MODIFICAR'!J:K,2,0)</f>
        <v>D861</v>
      </c>
      <c r="E759" s="237" t="s">
        <v>44</v>
      </c>
      <c r="F759" s="236" t="str">
        <f>VLOOKUP(D759,'NO MODIFICAR'!F:H,3,0)</f>
        <v xml:space="preserve">CENTRO </v>
      </c>
      <c r="G759" s="238">
        <v>66494466</v>
      </c>
      <c r="H759" s="239" t="s">
        <v>520</v>
      </c>
      <c r="I759" s="240">
        <v>10000231</v>
      </c>
      <c r="J759" s="235" t="str">
        <f>VLOOKUP(I759,'Materiales,canteras'!C:D,2,0)</f>
        <v>Grava Triturada Basalto 20 mm</v>
      </c>
      <c r="K759" s="236">
        <f>VLOOKUP(I759,'Materiales,canteras'!C:E,3,0)</f>
        <v>1.5649999999999999</v>
      </c>
      <c r="L759" s="232">
        <v>196.91</v>
      </c>
      <c r="M759" s="238" t="s">
        <v>93</v>
      </c>
      <c r="N759" s="241">
        <f t="shared" ca="1" si="157"/>
        <v>46267</v>
      </c>
      <c r="O759" s="233" t="s">
        <v>201</v>
      </c>
      <c r="Q759" s="235">
        <v>15.4</v>
      </c>
      <c r="R759" s="235">
        <v>14.63</v>
      </c>
      <c r="S759" s="242">
        <v>308</v>
      </c>
      <c r="T759" s="243">
        <f t="shared" si="163"/>
        <v>-81.060000000000031</v>
      </c>
      <c r="U759" s="244">
        <f t="shared" si="154"/>
        <v>196.91</v>
      </c>
      <c r="V759" s="259">
        <v>105</v>
      </c>
      <c r="W759" s="4">
        <v>1</v>
      </c>
      <c r="X759" s="245">
        <f t="shared" si="162"/>
        <v>301.90999999999997</v>
      </c>
      <c r="Y759" s="246" t="e">
        <f>IF(+VLOOKUP(I759,P.Referencia!E:S,3,FALSE)&lt;=L759,"Champion","Gerente")</f>
        <v>#N/A</v>
      </c>
      <c r="Z759" s="247" t="e">
        <f>VLOOKUP(I759,P.Referencia!E:S,3,0)</f>
        <v>#N/A</v>
      </c>
      <c r="AA759" s="248" t="e">
        <f t="shared" ref="AA759:AA822" si="164">(Z759-U759)/U759</f>
        <v>#N/A</v>
      </c>
      <c r="AB759" s="249" t="e">
        <f t="shared" ref="AB759:AB822" si="165">U759*AA759</f>
        <v>#N/A</v>
      </c>
      <c r="AC759" s="249" t="e">
        <f t="shared" ref="AC759:AC822" si="166">U759+AB759</f>
        <v>#N/A</v>
      </c>
      <c r="AD759" s="235" t="s">
        <v>521</v>
      </c>
    </row>
    <row r="760" spans="1:30" s="235" customFormat="1" hidden="1" x14ac:dyDescent="0.25">
      <c r="A760" s="24">
        <v>759</v>
      </c>
      <c r="B760" s="234" t="s">
        <v>505</v>
      </c>
      <c r="C760" s="235" t="str">
        <f t="shared" si="160"/>
        <v>LlaveD86166494466100003111</v>
      </c>
      <c r="D760" s="236" t="str">
        <f>VLOOKUP(E760,'NO MODIFICAR'!J:K,2,0)</f>
        <v>D861</v>
      </c>
      <c r="E760" s="237" t="s">
        <v>44</v>
      </c>
      <c r="F760" s="236" t="str">
        <f>VLOOKUP(D760,'NO MODIFICAR'!F:H,3,0)</f>
        <v xml:space="preserve">CENTRO </v>
      </c>
      <c r="G760" s="238">
        <v>66494466</v>
      </c>
      <c r="H760" s="239" t="s">
        <v>520</v>
      </c>
      <c r="I760" s="240">
        <v>10000311</v>
      </c>
      <c r="J760" s="235" t="str">
        <f>VLOOKUP(I760,'Materiales,canteras'!C:D,2,0)</f>
        <v>Arena Triturada Basalto  Malla</v>
      </c>
      <c r="K760" s="236">
        <f>VLOOKUP(I760,'Materiales,canteras'!C:E,3,0)</f>
        <v>1.651</v>
      </c>
      <c r="L760" s="232">
        <v>176.78</v>
      </c>
      <c r="M760" s="238" t="s">
        <v>93</v>
      </c>
      <c r="N760" s="241">
        <f t="shared" ca="1" si="157"/>
        <v>46267</v>
      </c>
      <c r="O760" s="233" t="s">
        <v>201</v>
      </c>
      <c r="Q760" s="235">
        <v>14.3</v>
      </c>
      <c r="R760" s="235">
        <v>13.59</v>
      </c>
      <c r="S760" s="242">
        <v>286</v>
      </c>
      <c r="T760" s="243">
        <f t="shared" si="163"/>
        <v>-81.330000000000013</v>
      </c>
      <c r="U760" s="244">
        <f t="shared" si="154"/>
        <v>176.78</v>
      </c>
      <c r="V760" s="259">
        <v>105</v>
      </c>
      <c r="W760" s="4">
        <v>1</v>
      </c>
      <c r="X760" s="245">
        <f t="shared" si="162"/>
        <v>281.77999999999997</v>
      </c>
      <c r="Y760" s="246" t="e">
        <f>IF(+VLOOKUP(I760,P.Referencia!E:S,3,FALSE)&lt;=L760,"Champion","Gerente")</f>
        <v>#N/A</v>
      </c>
      <c r="Z760" s="247" t="e">
        <f>VLOOKUP(I760,P.Referencia!E:S,3,0)</f>
        <v>#N/A</v>
      </c>
      <c r="AA760" s="248" t="e">
        <f t="shared" si="164"/>
        <v>#N/A</v>
      </c>
      <c r="AB760" s="249" t="e">
        <f t="shared" si="165"/>
        <v>#N/A</v>
      </c>
      <c r="AC760" s="249" t="e">
        <f t="shared" si="166"/>
        <v>#N/A</v>
      </c>
      <c r="AD760" s="235" t="s">
        <v>521</v>
      </c>
    </row>
    <row r="761" spans="1:30" hidden="1" x14ac:dyDescent="0.25">
      <c r="A761" s="24">
        <v>760</v>
      </c>
      <c r="B761" s="89" t="s">
        <v>505</v>
      </c>
      <c r="C761" s="4" t="str">
        <f t="shared" si="160"/>
        <v>LlaveD86166494466100014501</v>
      </c>
      <c r="D761" s="25" t="str">
        <f>VLOOKUP(E761,'NO MODIFICAR'!J:K,2,0)</f>
        <v>D861</v>
      </c>
      <c r="E761" s="102" t="s">
        <v>44</v>
      </c>
      <c r="F761" s="33" t="str">
        <f>VLOOKUP(D761,'NO MODIFICAR'!F:H,3,0)</f>
        <v xml:space="preserve">CENTRO </v>
      </c>
      <c r="G761" s="28">
        <v>66494466</v>
      </c>
      <c r="H761" s="93" t="s">
        <v>520</v>
      </c>
      <c r="I761" s="94">
        <v>10001450</v>
      </c>
      <c r="J761" s="4" t="str">
        <f>VLOOKUP(I761,'Materiales,canteras'!C:D,2,0)</f>
        <v>Base Hidraúlica Basalto de 1 /1/2</v>
      </c>
      <c r="K761" s="25">
        <f>VLOOKUP(I761,'Materiales,canteras'!C:E,3,0)</f>
        <v>1.7490000000000001</v>
      </c>
      <c r="L761" s="231">
        <v>192.77</v>
      </c>
      <c r="M761" s="28" t="s">
        <v>93</v>
      </c>
      <c r="N761" s="57">
        <f t="shared" ca="1" si="157"/>
        <v>46267</v>
      </c>
      <c r="O761" s="43" t="s">
        <v>201</v>
      </c>
      <c r="Q761">
        <v>14.3</v>
      </c>
      <c r="R761">
        <v>13.59</v>
      </c>
      <c r="S761" s="82">
        <v>286</v>
      </c>
      <c r="T761" s="66">
        <f t="shared" si="163"/>
        <v>-65.34</v>
      </c>
      <c r="U761" s="46">
        <f t="shared" si="154"/>
        <v>192.77</v>
      </c>
      <c r="V761" s="259">
        <v>105</v>
      </c>
      <c r="W761" s="4">
        <v>1</v>
      </c>
      <c r="X761" s="195">
        <f t="shared" si="162"/>
        <v>297.77</v>
      </c>
      <c r="Y761" s="29" t="e">
        <f>IF(+VLOOKUP(I761,P.Referencia!E:S,3,FALSE)&lt;=L761,"Champion","Gerente")</f>
        <v>#N/A</v>
      </c>
      <c r="Z761" s="39" t="e">
        <f>VLOOKUP(I761,P.Referencia!E:S,3,0)</f>
        <v>#N/A</v>
      </c>
      <c r="AA761" s="40" t="e">
        <f t="shared" si="164"/>
        <v>#N/A</v>
      </c>
      <c r="AB761" s="41" t="e">
        <f t="shared" si="165"/>
        <v>#N/A</v>
      </c>
      <c r="AC761" s="41" t="e">
        <f t="shared" si="166"/>
        <v>#N/A</v>
      </c>
    </row>
    <row r="762" spans="1:30" hidden="1" x14ac:dyDescent="0.25">
      <c r="A762" s="24">
        <v>761</v>
      </c>
      <c r="B762" s="89" t="s">
        <v>505</v>
      </c>
      <c r="C762" s="4" t="str">
        <f t="shared" si="160"/>
        <v>LlaveD86166494472100002291</v>
      </c>
      <c r="D762" s="25" t="str">
        <f>VLOOKUP(E762,'NO MODIFICAR'!J:K,2,0)</f>
        <v>D861</v>
      </c>
      <c r="E762" s="102" t="s">
        <v>44</v>
      </c>
      <c r="F762" s="33" t="str">
        <f>VLOOKUP(D762,'NO MODIFICAR'!F:H,3,0)</f>
        <v xml:space="preserve">CENTRO </v>
      </c>
      <c r="G762" s="28">
        <v>66494472</v>
      </c>
      <c r="H762" s="93" t="s">
        <v>293</v>
      </c>
      <c r="I762" s="94">
        <v>10000229</v>
      </c>
      <c r="J762" s="4" t="str">
        <f>VLOOKUP(I762,'Materiales,canteras'!C:D,2,0)</f>
        <v>Grava Triturada Basalto  10 mm</v>
      </c>
      <c r="K762" s="25">
        <f>VLOOKUP(I762,'Materiales,canteras'!C:E,3,0)</f>
        <v>1.522</v>
      </c>
      <c r="L762" s="231">
        <v>207.23</v>
      </c>
      <c r="M762" s="28" t="s">
        <v>93</v>
      </c>
      <c r="N762" s="57">
        <f t="shared" ca="1" si="157"/>
        <v>46267</v>
      </c>
      <c r="O762" s="43" t="s">
        <v>201</v>
      </c>
      <c r="R762">
        <v>17.600000000000001</v>
      </c>
      <c r="S762" s="82">
        <v>352</v>
      </c>
      <c r="T762" s="66">
        <f t="shared" si="163"/>
        <v>-127.16999999999999</v>
      </c>
      <c r="U762" s="46">
        <f t="shared" si="154"/>
        <v>207.23</v>
      </c>
      <c r="V762" s="259">
        <v>49</v>
      </c>
      <c r="W762" s="4">
        <v>1</v>
      </c>
      <c r="X762" s="195">
        <f t="shared" si="162"/>
        <v>256.23</v>
      </c>
      <c r="Y762" s="29" t="e">
        <f>IF(+VLOOKUP(I762,P.Referencia!E:S,3,FALSE)&lt;=L762,"Champion","Gerente")</f>
        <v>#N/A</v>
      </c>
      <c r="Z762" s="39" t="e">
        <f>VLOOKUP(I762,P.Referencia!E:S,3,0)</f>
        <v>#N/A</v>
      </c>
      <c r="AA762" s="40" t="e">
        <f t="shared" si="164"/>
        <v>#N/A</v>
      </c>
      <c r="AB762" s="41" t="e">
        <f t="shared" si="165"/>
        <v>#N/A</v>
      </c>
      <c r="AC762" s="41" t="e">
        <f t="shared" si="166"/>
        <v>#N/A</v>
      </c>
    </row>
    <row r="763" spans="1:30" hidden="1" x14ac:dyDescent="0.25">
      <c r="A763" s="24">
        <v>762</v>
      </c>
      <c r="B763" s="89" t="s">
        <v>505</v>
      </c>
      <c r="C763" s="4" t="str">
        <f t="shared" si="160"/>
        <v>LlaveD86166494472100002311</v>
      </c>
      <c r="D763" s="25" t="str">
        <f>VLOOKUP(E763,'NO MODIFICAR'!J:K,2,0)</f>
        <v>D861</v>
      </c>
      <c r="E763" s="102" t="s">
        <v>44</v>
      </c>
      <c r="F763" s="33" t="str">
        <f>VLOOKUP(D763,'NO MODIFICAR'!F:H,3,0)</f>
        <v xml:space="preserve">CENTRO </v>
      </c>
      <c r="G763" s="28">
        <v>66494472</v>
      </c>
      <c r="H763" s="93" t="s">
        <v>293</v>
      </c>
      <c r="I763" s="94">
        <v>10000231</v>
      </c>
      <c r="J763" s="4" t="str">
        <f>VLOOKUP(I763,'Materiales,canteras'!C:D,2,0)</f>
        <v>Grava Triturada Basalto 20 mm</v>
      </c>
      <c r="K763" s="25">
        <f>VLOOKUP(I763,'Materiales,canteras'!C:E,3,0)</f>
        <v>1.5649999999999999</v>
      </c>
      <c r="L763" s="231">
        <v>196.91</v>
      </c>
      <c r="M763" s="28" t="s">
        <v>93</v>
      </c>
      <c r="N763" s="57">
        <f t="shared" ca="1" si="157"/>
        <v>46267</v>
      </c>
      <c r="O763" s="43" t="s">
        <v>201</v>
      </c>
      <c r="R763">
        <v>15.4</v>
      </c>
      <c r="S763" s="82">
        <v>308</v>
      </c>
      <c r="T763" s="66">
        <f t="shared" si="163"/>
        <v>-95.690000000000026</v>
      </c>
      <c r="U763" s="46">
        <f t="shared" si="154"/>
        <v>196.91</v>
      </c>
      <c r="V763" s="259">
        <v>49</v>
      </c>
      <c r="W763" s="4">
        <v>1</v>
      </c>
      <c r="X763" s="195">
        <f t="shared" si="162"/>
        <v>245.91</v>
      </c>
      <c r="Y763" s="29" t="e">
        <f>IF(+VLOOKUP(I763,P.Referencia!E:S,3,FALSE)&lt;=L763,"Champion","Gerente")</f>
        <v>#N/A</v>
      </c>
      <c r="Z763" s="39" t="e">
        <f>VLOOKUP(I763,P.Referencia!E:S,3,0)</f>
        <v>#N/A</v>
      </c>
      <c r="AA763" s="40" t="e">
        <f t="shared" si="164"/>
        <v>#N/A</v>
      </c>
      <c r="AB763" s="41" t="e">
        <f t="shared" si="165"/>
        <v>#N/A</v>
      </c>
      <c r="AC763" s="41" t="e">
        <f t="shared" si="166"/>
        <v>#N/A</v>
      </c>
    </row>
    <row r="764" spans="1:30" hidden="1" x14ac:dyDescent="0.25">
      <c r="A764" s="24">
        <v>763</v>
      </c>
      <c r="B764" s="89" t="s">
        <v>505</v>
      </c>
      <c r="C764" s="4" t="str">
        <f t="shared" si="160"/>
        <v>LlaveD86166494472100003111</v>
      </c>
      <c r="D764" s="25" t="str">
        <f>VLOOKUP(E764,'NO MODIFICAR'!J:K,2,0)</f>
        <v>D861</v>
      </c>
      <c r="E764" s="102" t="s">
        <v>44</v>
      </c>
      <c r="F764" s="33" t="str">
        <f>VLOOKUP(D764,'NO MODIFICAR'!F:H,3,0)</f>
        <v xml:space="preserve">CENTRO </v>
      </c>
      <c r="G764" s="28">
        <v>66494472</v>
      </c>
      <c r="H764" s="93" t="s">
        <v>293</v>
      </c>
      <c r="I764" s="94">
        <v>10000311</v>
      </c>
      <c r="J764" s="4" t="str">
        <f>VLOOKUP(I764,'Materiales,canteras'!C:D,2,0)</f>
        <v>Arena Triturada Basalto  Malla</v>
      </c>
      <c r="K764" s="25">
        <f>VLOOKUP(I764,'Materiales,canteras'!C:E,3,0)</f>
        <v>1.651</v>
      </c>
      <c r="L764" s="231">
        <v>176.78</v>
      </c>
      <c r="M764" s="28" t="s">
        <v>93</v>
      </c>
      <c r="N764" s="57">
        <f t="shared" ca="1" si="157"/>
        <v>46267</v>
      </c>
      <c r="O764" s="43" t="s">
        <v>201</v>
      </c>
      <c r="R764">
        <v>14.3</v>
      </c>
      <c r="S764" s="82">
        <v>286</v>
      </c>
      <c r="T764" s="66">
        <f t="shared" si="163"/>
        <v>-94.919999999999987</v>
      </c>
      <c r="U764" s="46">
        <f t="shared" ref="U764:U827" si="167">L764</f>
        <v>176.78</v>
      </c>
      <c r="V764" s="259">
        <v>49</v>
      </c>
      <c r="W764" s="4">
        <v>1</v>
      </c>
      <c r="X764" s="195">
        <f t="shared" si="162"/>
        <v>225.78</v>
      </c>
      <c r="Y764" s="29" t="e">
        <f>IF(+VLOOKUP(I764,P.Referencia!E:S,3,FALSE)&lt;=L764,"Champion","Gerente")</f>
        <v>#N/A</v>
      </c>
      <c r="Z764" s="39" t="e">
        <f>VLOOKUP(I764,P.Referencia!E:S,3,0)</f>
        <v>#N/A</v>
      </c>
      <c r="AA764" s="40" t="e">
        <f t="shared" si="164"/>
        <v>#N/A</v>
      </c>
      <c r="AB764" s="41" t="e">
        <f t="shared" si="165"/>
        <v>#N/A</v>
      </c>
      <c r="AC764" s="41" t="e">
        <f t="shared" si="166"/>
        <v>#N/A</v>
      </c>
    </row>
    <row r="765" spans="1:30" hidden="1" x14ac:dyDescent="0.25">
      <c r="A765" s="24">
        <v>764</v>
      </c>
      <c r="B765" s="89" t="s">
        <v>505</v>
      </c>
      <c r="C765" s="4" t="str">
        <f t="shared" si="160"/>
        <v>LlaveD86166494472100014501</v>
      </c>
      <c r="D765" s="25" t="str">
        <f>VLOOKUP(E765,'NO MODIFICAR'!J:K,2,0)</f>
        <v>D861</v>
      </c>
      <c r="E765" s="102" t="s">
        <v>44</v>
      </c>
      <c r="F765" s="33" t="str">
        <f>VLOOKUP(D765,'NO MODIFICAR'!F:H,3,0)</f>
        <v xml:space="preserve">CENTRO </v>
      </c>
      <c r="G765" s="28">
        <v>66494472</v>
      </c>
      <c r="H765" s="93" t="s">
        <v>293</v>
      </c>
      <c r="I765" s="94">
        <v>10001450</v>
      </c>
      <c r="J765" s="4" t="str">
        <f>VLOOKUP(I765,'Materiales,canteras'!C:D,2,0)</f>
        <v>Base Hidraúlica Basalto de 1 /1/2</v>
      </c>
      <c r="K765" s="25">
        <f>VLOOKUP(I765,'Materiales,canteras'!C:E,3,0)</f>
        <v>1.7490000000000001</v>
      </c>
      <c r="L765" s="231">
        <v>192.77</v>
      </c>
      <c r="M765" s="28" t="s">
        <v>93</v>
      </c>
      <c r="N765" s="57">
        <f t="shared" ca="1" si="157"/>
        <v>46267</v>
      </c>
      <c r="O765" s="43" t="s">
        <v>201</v>
      </c>
      <c r="R765">
        <v>14.3</v>
      </c>
      <c r="S765" s="82">
        <v>286</v>
      </c>
      <c r="T765" s="66">
        <f t="shared" si="163"/>
        <v>-78.929999999999978</v>
      </c>
      <c r="U765" s="46">
        <f t="shared" si="167"/>
        <v>192.77</v>
      </c>
      <c r="V765" s="259">
        <v>49</v>
      </c>
      <c r="W765" s="4">
        <v>1</v>
      </c>
      <c r="X765" s="195">
        <f t="shared" si="162"/>
        <v>241.77</v>
      </c>
      <c r="Y765" s="29" t="e">
        <f>IF(+VLOOKUP(I765,P.Referencia!E:S,3,FALSE)&lt;=L765,"Champion","Gerente")</f>
        <v>#N/A</v>
      </c>
      <c r="Z765" s="39" t="e">
        <f>VLOOKUP(I765,P.Referencia!E:S,3,0)</f>
        <v>#N/A</v>
      </c>
      <c r="AA765" s="40" t="e">
        <f t="shared" si="164"/>
        <v>#N/A</v>
      </c>
      <c r="AB765" s="41" t="e">
        <f t="shared" si="165"/>
        <v>#N/A</v>
      </c>
      <c r="AC765" s="41" t="e">
        <f t="shared" si="166"/>
        <v>#N/A</v>
      </c>
    </row>
    <row r="766" spans="1:30" hidden="1" x14ac:dyDescent="0.25">
      <c r="A766" s="24">
        <v>765</v>
      </c>
      <c r="B766" s="89" t="s">
        <v>505</v>
      </c>
      <c r="C766" s="4" t="str">
        <f t="shared" si="160"/>
        <v>LlaveD86166808298100002292</v>
      </c>
      <c r="D766" s="25" t="str">
        <f>VLOOKUP(E766,'NO MODIFICAR'!J:K,2,0)</f>
        <v>D861</v>
      </c>
      <c r="E766" s="102" t="s">
        <v>44</v>
      </c>
      <c r="F766" s="33" t="str">
        <f>VLOOKUP(D766,'NO MODIFICAR'!F:H,3,0)</f>
        <v xml:space="preserve">CENTRO </v>
      </c>
      <c r="G766" s="28">
        <v>66808298</v>
      </c>
      <c r="H766" s="93" t="s">
        <v>247</v>
      </c>
      <c r="I766" s="94">
        <v>10000229</v>
      </c>
      <c r="J766" s="4" t="str">
        <f>VLOOKUP(I766,'Materiales,canteras'!C:D,2,0)</f>
        <v>Grava Triturada Basalto  10 mm</v>
      </c>
      <c r="K766" s="25">
        <f>VLOOKUP(I766,'Materiales,canteras'!C:E,3,0)</f>
        <v>1.522</v>
      </c>
      <c r="L766" s="231">
        <v>207.23</v>
      </c>
      <c r="M766" s="28" t="s">
        <v>93</v>
      </c>
      <c r="N766" s="57">
        <f t="shared" ca="1" si="157"/>
        <v>46267</v>
      </c>
      <c r="O766" s="43" t="s">
        <v>201</v>
      </c>
      <c r="Q766">
        <v>16.72</v>
      </c>
      <c r="R766">
        <v>17.600000000000001</v>
      </c>
      <c r="S766" s="82">
        <v>352</v>
      </c>
      <c r="T766" s="66">
        <f t="shared" si="163"/>
        <v>-110.44999999999996</v>
      </c>
      <c r="U766" s="46">
        <f t="shared" si="167"/>
        <v>207.23</v>
      </c>
      <c r="V766" s="259">
        <v>0</v>
      </c>
      <c r="W766" s="4">
        <v>2</v>
      </c>
      <c r="X766" s="195">
        <f t="shared" si="162"/>
        <v>207.23</v>
      </c>
      <c r="Y766" s="29" t="e">
        <f>IF(+VLOOKUP(I766,P.Referencia!E:S,3,FALSE)&lt;=L766,"Champion","Gerente")</f>
        <v>#N/A</v>
      </c>
      <c r="Z766" s="39" t="e">
        <f>VLOOKUP(I766,P.Referencia!E:S,3,0)</f>
        <v>#N/A</v>
      </c>
      <c r="AA766" s="40" t="e">
        <f t="shared" si="164"/>
        <v>#N/A</v>
      </c>
      <c r="AB766" s="41" t="e">
        <f t="shared" si="165"/>
        <v>#N/A</v>
      </c>
      <c r="AC766" s="41" t="e">
        <f t="shared" si="166"/>
        <v>#N/A</v>
      </c>
    </row>
    <row r="767" spans="1:30" s="235" customFormat="1" hidden="1" x14ac:dyDescent="0.25">
      <c r="A767" s="24">
        <v>766</v>
      </c>
      <c r="B767" s="234" t="s">
        <v>505</v>
      </c>
      <c r="C767" s="235" t="str">
        <f t="shared" si="160"/>
        <v>LlaveD86166808298100002312</v>
      </c>
      <c r="D767" s="236" t="str">
        <f>VLOOKUP(E767,'NO MODIFICAR'!J:K,2,0)</f>
        <v>D861</v>
      </c>
      <c r="E767" s="237" t="s">
        <v>44</v>
      </c>
      <c r="F767" s="236" t="str">
        <f>VLOOKUP(D767,'NO MODIFICAR'!F:H,3,0)</f>
        <v xml:space="preserve">CENTRO </v>
      </c>
      <c r="G767" s="238">
        <v>66808298</v>
      </c>
      <c r="H767" s="239" t="s">
        <v>247</v>
      </c>
      <c r="I767" s="240">
        <v>10000231</v>
      </c>
      <c r="J767" s="235" t="str">
        <f>VLOOKUP(I767,'Materiales,canteras'!C:D,2,0)</f>
        <v>Grava Triturada Basalto 20 mm</v>
      </c>
      <c r="K767" s="236">
        <f>VLOOKUP(I767,'Materiales,canteras'!C:E,3,0)</f>
        <v>1.5649999999999999</v>
      </c>
      <c r="L767" s="232">
        <v>196.91</v>
      </c>
      <c r="M767" s="238" t="s">
        <v>93</v>
      </c>
      <c r="N767" s="241">
        <f t="shared" ca="1" si="157"/>
        <v>46267</v>
      </c>
      <c r="O767" s="233" t="s">
        <v>201</v>
      </c>
      <c r="Q767" s="235">
        <v>15.4</v>
      </c>
      <c r="R767" s="235">
        <v>14.63</v>
      </c>
      <c r="S767" s="242">
        <v>308</v>
      </c>
      <c r="T767" s="243">
        <f t="shared" si="163"/>
        <v>-81.060000000000031</v>
      </c>
      <c r="U767" s="244">
        <f t="shared" si="167"/>
        <v>196.91</v>
      </c>
      <c r="V767" s="259">
        <v>0</v>
      </c>
      <c r="W767" s="4">
        <v>2</v>
      </c>
      <c r="X767" s="245">
        <f t="shared" si="162"/>
        <v>196.91</v>
      </c>
      <c r="Y767" s="246" t="e">
        <f>IF(+VLOOKUP(I767,P.Referencia!E:S,3,FALSE)&lt;=L767,"Champion","Gerente")</f>
        <v>#N/A</v>
      </c>
      <c r="Z767" s="247" t="e">
        <f>VLOOKUP(I767,P.Referencia!E:S,3,0)</f>
        <v>#N/A</v>
      </c>
      <c r="AA767" s="248" t="e">
        <f t="shared" si="164"/>
        <v>#N/A</v>
      </c>
      <c r="AB767" s="249" t="e">
        <f t="shared" si="165"/>
        <v>#N/A</v>
      </c>
      <c r="AC767" s="249" t="e">
        <f t="shared" si="166"/>
        <v>#N/A</v>
      </c>
      <c r="AD767" s="235" t="s">
        <v>521</v>
      </c>
    </row>
    <row r="768" spans="1:30" s="235" customFormat="1" hidden="1" x14ac:dyDescent="0.25">
      <c r="A768" s="24">
        <v>767</v>
      </c>
      <c r="B768" s="234" t="s">
        <v>505</v>
      </c>
      <c r="C768" s="235" t="str">
        <f t="shared" si="160"/>
        <v>LlaveD86166808298100003112</v>
      </c>
      <c r="D768" s="236" t="str">
        <f>VLOOKUP(E768,'NO MODIFICAR'!J:K,2,0)</f>
        <v>D861</v>
      </c>
      <c r="E768" s="237" t="s">
        <v>44</v>
      </c>
      <c r="F768" s="236" t="str">
        <f>VLOOKUP(D768,'NO MODIFICAR'!F:H,3,0)</f>
        <v xml:space="preserve">CENTRO </v>
      </c>
      <c r="G768" s="238">
        <v>66808298</v>
      </c>
      <c r="H768" s="239" t="s">
        <v>247</v>
      </c>
      <c r="I768" s="240">
        <v>10000311</v>
      </c>
      <c r="J768" s="235" t="str">
        <f>VLOOKUP(I768,'Materiales,canteras'!C:D,2,0)</f>
        <v>Arena Triturada Basalto  Malla</v>
      </c>
      <c r="K768" s="236">
        <f>VLOOKUP(I768,'Materiales,canteras'!C:E,3,0)</f>
        <v>1.651</v>
      </c>
      <c r="L768" s="232">
        <v>176.78</v>
      </c>
      <c r="M768" s="238" t="s">
        <v>93</v>
      </c>
      <c r="N768" s="241">
        <f t="shared" ca="1" si="157"/>
        <v>46267</v>
      </c>
      <c r="O768" s="233" t="s">
        <v>201</v>
      </c>
      <c r="Q768" s="235">
        <v>14.3</v>
      </c>
      <c r="R768" s="235">
        <v>13.59</v>
      </c>
      <c r="S768" s="242">
        <v>286</v>
      </c>
      <c r="T768" s="243">
        <f t="shared" si="163"/>
        <v>-81.330000000000013</v>
      </c>
      <c r="U768" s="244">
        <f t="shared" si="167"/>
        <v>176.78</v>
      </c>
      <c r="V768" s="259">
        <v>0</v>
      </c>
      <c r="W768" s="4">
        <v>2</v>
      </c>
      <c r="X768" s="245">
        <f t="shared" si="162"/>
        <v>176.78</v>
      </c>
      <c r="Y768" s="246" t="e">
        <f>IF(+VLOOKUP(I768,P.Referencia!E:S,3,FALSE)&lt;=L768,"Champion","Gerente")</f>
        <v>#N/A</v>
      </c>
      <c r="Z768" s="247" t="e">
        <f>VLOOKUP(I768,P.Referencia!E:S,3,0)</f>
        <v>#N/A</v>
      </c>
      <c r="AA768" s="248" t="e">
        <f t="shared" si="164"/>
        <v>#N/A</v>
      </c>
      <c r="AB768" s="249" t="e">
        <f t="shared" si="165"/>
        <v>#N/A</v>
      </c>
      <c r="AC768" s="249" t="e">
        <f t="shared" si="166"/>
        <v>#N/A</v>
      </c>
      <c r="AD768" s="235" t="s">
        <v>521</v>
      </c>
    </row>
    <row r="769" spans="1:30" s="235" customFormat="1" hidden="1" x14ac:dyDescent="0.25">
      <c r="A769" s="24">
        <v>768</v>
      </c>
      <c r="B769" s="234" t="s">
        <v>505</v>
      </c>
      <c r="C769" s="235" t="str">
        <f t="shared" si="160"/>
        <v>LlaveD86166808298100014502</v>
      </c>
      <c r="D769" s="236" t="str">
        <f>VLOOKUP(E769,'NO MODIFICAR'!J:K,2,0)</f>
        <v>D861</v>
      </c>
      <c r="E769" s="237" t="s">
        <v>44</v>
      </c>
      <c r="F769" s="236" t="str">
        <f>VLOOKUP(D769,'NO MODIFICAR'!F:H,3,0)</f>
        <v xml:space="preserve">CENTRO </v>
      </c>
      <c r="G769" s="238">
        <v>66808298</v>
      </c>
      <c r="H769" s="239" t="s">
        <v>247</v>
      </c>
      <c r="I769" s="240">
        <v>10001450</v>
      </c>
      <c r="J769" s="235" t="str">
        <f>VLOOKUP(I769,'Materiales,canteras'!C:D,2,0)</f>
        <v>Base Hidraúlica Basalto de 1 /1/2</v>
      </c>
      <c r="K769" s="236">
        <f>VLOOKUP(I769,'Materiales,canteras'!C:E,3,0)</f>
        <v>1.7490000000000001</v>
      </c>
      <c r="L769" s="232">
        <v>192.77</v>
      </c>
      <c r="M769" s="238" t="s">
        <v>93</v>
      </c>
      <c r="N769" s="241">
        <f t="shared" ca="1" si="157"/>
        <v>46267</v>
      </c>
      <c r="O769" s="233" t="s">
        <v>201</v>
      </c>
      <c r="Q769" s="235">
        <v>14.3</v>
      </c>
      <c r="R769" s="235">
        <v>13.59</v>
      </c>
      <c r="S769" s="242">
        <v>286</v>
      </c>
      <c r="T769" s="243">
        <f t="shared" si="163"/>
        <v>-65.34</v>
      </c>
      <c r="U769" s="244">
        <f t="shared" si="167"/>
        <v>192.77</v>
      </c>
      <c r="V769" s="259">
        <v>0</v>
      </c>
      <c r="W769" s="4">
        <v>2</v>
      </c>
      <c r="X769" s="245">
        <f t="shared" si="162"/>
        <v>192.77</v>
      </c>
      <c r="Y769" s="246" t="e">
        <f>IF(+VLOOKUP(I769,P.Referencia!E:S,3,FALSE)&lt;=L769,"Champion","Gerente")</f>
        <v>#N/A</v>
      </c>
      <c r="Z769" s="247" t="e">
        <f>VLOOKUP(I769,P.Referencia!E:S,3,0)</f>
        <v>#N/A</v>
      </c>
      <c r="AA769" s="248" t="e">
        <f t="shared" si="164"/>
        <v>#N/A</v>
      </c>
      <c r="AB769" s="249" t="e">
        <f t="shared" si="165"/>
        <v>#N/A</v>
      </c>
      <c r="AC769" s="249" t="e">
        <f t="shared" si="166"/>
        <v>#N/A</v>
      </c>
      <c r="AD769" s="235" t="s">
        <v>521</v>
      </c>
    </row>
    <row r="770" spans="1:30" hidden="1" x14ac:dyDescent="0.25">
      <c r="A770" s="24">
        <v>769</v>
      </c>
      <c r="B770" s="89" t="s">
        <v>505</v>
      </c>
      <c r="C770" s="4" t="str">
        <f t="shared" si="160"/>
        <v>LlaveD86167365981100003112</v>
      </c>
      <c r="D770" s="25" t="str">
        <f>VLOOKUP(E770,'NO MODIFICAR'!J:K,2,0)</f>
        <v>D861</v>
      </c>
      <c r="E770" s="102" t="s">
        <v>44</v>
      </c>
      <c r="F770" s="33" t="str">
        <f>VLOOKUP(D770,'NO MODIFICAR'!F:H,3,0)</f>
        <v xml:space="preserve">CENTRO </v>
      </c>
      <c r="G770" s="28">
        <v>67365981</v>
      </c>
      <c r="H770" s="93" t="s">
        <v>522</v>
      </c>
      <c r="I770" s="94">
        <v>10000311</v>
      </c>
      <c r="J770" s="4" t="str">
        <f>VLOOKUP(I770,'Materiales,canteras'!C:D,2,0)</f>
        <v>Arena Triturada Basalto  Malla</v>
      </c>
      <c r="K770" s="25">
        <f>VLOOKUP(I770,'Materiales,canteras'!C:E,3,0)</f>
        <v>1.651</v>
      </c>
      <c r="L770" s="231">
        <v>215</v>
      </c>
      <c r="M770" s="28" t="s">
        <v>93</v>
      </c>
      <c r="N770" s="57">
        <f t="shared" ca="1" si="157"/>
        <v>46267</v>
      </c>
      <c r="O770" s="43" t="s">
        <v>201</v>
      </c>
      <c r="R770">
        <v>4.29</v>
      </c>
      <c r="S770" s="82">
        <v>286</v>
      </c>
      <c r="T770" s="66">
        <f t="shared" si="163"/>
        <v>-66.70999999999998</v>
      </c>
      <c r="U770" s="46">
        <f t="shared" si="167"/>
        <v>215</v>
      </c>
      <c r="V770" s="259">
        <v>0</v>
      </c>
      <c r="W770" s="4">
        <v>2</v>
      </c>
      <c r="X770" s="195">
        <f t="shared" si="162"/>
        <v>215</v>
      </c>
      <c r="Y770" s="29" t="e">
        <f>IF(+VLOOKUP(I770,P.Referencia!E:S,3,FALSE)&lt;=L770,"Champion","Gerente")</f>
        <v>#N/A</v>
      </c>
      <c r="Z770" s="39" t="e">
        <f>VLOOKUP(I770,P.Referencia!E:S,3,0)</f>
        <v>#N/A</v>
      </c>
      <c r="AA770" s="40" t="e">
        <f t="shared" si="164"/>
        <v>#N/A</v>
      </c>
      <c r="AB770" s="41" t="e">
        <f t="shared" si="165"/>
        <v>#N/A</v>
      </c>
      <c r="AC770" s="41" t="e">
        <f t="shared" si="166"/>
        <v>#N/A</v>
      </c>
    </row>
    <row r="771" spans="1:30" hidden="1" x14ac:dyDescent="0.25">
      <c r="A771" s="24">
        <v>770</v>
      </c>
      <c r="B771" s="89" t="s">
        <v>505</v>
      </c>
      <c r="C771" s="4" t="str">
        <f t="shared" si="160"/>
        <v>LlaveD89367330993100583632</v>
      </c>
      <c r="D771" s="25" t="str">
        <f>VLOOKUP(E771,'NO MODIFICAR'!J:K,2,0)</f>
        <v>D893</v>
      </c>
      <c r="E771" s="102" t="s">
        <v>253</v>
      </c>
      <c r="F771" s="33" t="str">
        <f>VLOOKUP(D771,'NO MODIFICAR'!F:H,3,0)</f>
        <v>NORESTE</v>
      </c>
      <c r="G771" s="28">
        <v>67330993</v>
      </c>
      <c r="H771" s="93" t="s">
        <v>523</v>
      </c>
      <c r="I771" s="94">
        <v>10058363</v>
      </c>
      <c r="J771" s="4" t="str">
        <f>VLOOKUP(I771,'Materiales,canteras'!C:D,2,0)</f>
        <v>ARENA BASALTO SÍLICE/CUARZO BL</v>
      </c>
      <c r="K771" s="25">
        <f>VLOOKUP(I771,'Materiales,canteras'!C:E,3,0)</f>
        <v>1.5109999999999999</v>
      </c>
      <c r="L771" s="231">
        <v>110</v>
      </c>
      <c r="M771" s="28" t="s">
        <v>93</v>
      </c>
      <c r="N771" s="57">
        <f t="shared" ca="1" si="157"/>
        <v>46267</v>
      </c>
      <c r="O771" s="43" t="s">
        <v>201</v>
      </c>
      <c r="R771">
        <v>2.25</v>
      </c>
      <c r="S771" s="82">
        <v>150</v>
      </c>
      <c r="T771" s="66">
        <f t="shared" si="163"/>
        <v>-37.75</v>
      </c>
      <c r="U771" s="46">
        <f t="shared" si="167"/>
        <v>110</v>
      </c>
      <c r="V771" s="259">
        <v>0</v>
      </c>
      <c r="W771" s="4">
        <v>2</v>
      </c>
      <c r="X771" s="195">
        <f t="shared" si="162"/>
        <v>110</v>
      </c>
      <c r="Y771" s="29" t="e">
        <f>IF(+VLOOKUP(I771,P.Referencia!E:S,3,FALSE)&lt;=L771,"Champion","Gerente")</f>
        <v>#N/A</v>
      </c>
      <c r="Z771" s="39" t="e">
        <f>VLOOKUP(I771,P.Referencia!E:S,3,0)</f>
        <v>#N/A</v>
      </c>
      <c r="AA771" s="40" t="e">
        <f t="shared" si="164"/>
        <v>#N/A</v>
      </c>
      <c r="AB771" s="41" t="e">
        <f t="shared" si="165"/>
        <v>#N/A</v>
      </c>
      <c r="AC771" s="41" t="e">
        <f t="shared" si="166"/>
        <v>#N/A</v>
      </c>
      <c r="AD771" s="235" t="s">
        <v>524</v>
      </c>
    </row>
    <row r="772" spans="1:30" hidden="1" x14ac:dyDescent="0.25">
      <c r="A772" s="24">
        <v>771</v>
      </c>
      <c r="B772" s="89" t="s">
        <v>505</v>
      </c>
      <c r="C772" s="4" t="str">
        <f t="shared" si="160"/>
        <v>LlaveD81667359566100002621</v>
      </c>
      <c r="D772" s="25" t="str">
        <f>VLOOKUP(E772,'NO MODIFICAR'!J:K,2,0)</f>
        <v>D816</v>
      </c>
      <c r="E772" s="102" t="s">
        <v>15</v>
      </c>
      <c r="F772" s="33" t="str">
        <f>VLOOKUP(D772,'NO MODIFICAR'!F:H,3,0)</f>
        <v>NORESTE</v>
      </c>
      <c r="G772" s="28">
        <v>67359566</v>
      </c>
      <c r="H772" s="93" t="s">
        <v>507</v>
      </c>
      <c r="I772" s="94">
        <v>10000262</v>
      </c>
      <c r="J772" s="4" t="str">
        <f>VLOOKUP(I772,'Materiales,canteras'!C:D,2,0)</f>
        <v>Base H Triturada Caliza 1 1/2"</v>
      </c>
      <c r="K772" s="25">
        <f>VLOOKUP(I772,'Materiales,canteras'!C:E,3,0)</f>
        <v>1.821</v>
      </c>
      <c r="L772" s="231">
        <v>294.35000000000002</v>
      </c>
      <c r="M772" s="28" t="s">
        <v>93</v>
      </c>
      <c r="N772" s="57">
        <f t="shared" ca="1" si="157"/>
        <v>46267</v>
      </c>
      <c r="O772" s="43" t="s">
        <v>201</v>
      </c>
      <c r="Q772">
        <v>5.09</v>
      </c>
      <c r="R772">
        <v>17.850000000000001</v>
      </c>
      <c r="S772" s="82">
        <v>357</v>
      </c>
      <c r="T772" s="66">
        <f t="shared" si="163"/>
        <v>-39.70999999999998</v>
      </c>
      <c r="U772" s="46">
        <f t="shared" si="167"/>
        <v>294.35000000000002</v>
      </c>
      <c r="V772" s="259">
        <v>94.65</v>
      </c>
      <c r="W772" s="4">
        <v>1</v>
      </c>
      <c r="X772" s="195">
        <f t="shared" si="162"/>
        <v>389</v>
      </c>
      <c r="Y772" s="29" t="e">
        <f>IF(+VLOOKUP(I772,P.Referencia!E:S,3,FALSE)&lt;=L772,"Champion","Gerente")</f>
        <v>#N/A</v>
      </c>
      <c r="Z772" s="39" t="e">
        <f>VLOOKUP(I772,P.Referencia!E:S,3,0)</f>
        <v>#N/A</v>
      </c>
      <c r="AA772" s="40" t="e">
        <f t="shared" si="164"/>
        <v>#N/A</v>
      </c>
      <c r="AB772" s="41" t="e">
        <f t="shared" si="165"/>
        <v>#N/A</v>
      </c>
      <c r="AC772" s="41" t="e">
        <f t="shared" si="166"/>
        <v>#N/A</v>
      </c>
    </row>
    <row r="773" spans="1:30" hidden="1" x14ac:dyDescent="0.25">
      <c r="A773" s="24">
        <v>772</v>
      </c>
      <c r="B773" s="89" t="s">
        <v>505</v>
      </c>
      <c r="C773" s="4" t="str">
        <f t="shared" si="160"/>
        <v>LlaveD81667359566100364881</v>
      </c>
      <c r="D773" s="25" t="str">
        <f>VLOOKUP(E773,'NO MODIFICAR'!J:K,2,0)</f>
        <v>D816</v>
      </c>
      <c r="E773" s="102" t="s">
        <v>15</v>
      </c>
      <c r="F773" s="33" t="str">
        <f>VLOOKUP(D773,'NO MODIFICAR'!F:H,3,0)</f>
        <v>NORESTE</v>
      </c>
      <c r="G773" s="28">
        <v>67359566</v>
      </c>
      <c r="H773" s="93" t="s">
        <v>507</v>
      </c>
      <c r="I773" s="94">
        <v>10036488</v>
      </c>
      <c r="J773" s="4" t="str">
        <f>VLOOKUP(I773,'Materiales,canteras'!C:D,2,0)</f>
        <v>Base H Trit Caliza 3/4" a Fino</v>
      </c>
      <c r="K773" s="25">
        <f>VLOOKUP(I773,'Materiales,canteras'!C:E,3,0)</f>
        <v>1.78</v>
      </c>
      <c r="L773" s="231">
        <v>294.35000000000002</v>
      </c>
      <c r="M773" s="28" t="s">
        <v>93</v>
      </c>
      <c r="N773" s="57">
        <f t="shared" ref="N773:N836" ca="1" si="168">TODAY()</f>
        <v>46267</v>
      </c>
      <c r="O773" s="43" t="s">
        <v>201</v>
      </c>
      <c r="Q773">
        <v>5.09</v>
      </c>
      <c r="R773">
        <v>17.850000000000001</v>
      </c>
      <c r="S773" s="82">
        <v>357</v>
      </c>
      <c r="T773" s="66">
        <f t="shared" si="163"/>
        <v>-39.70999999999998</v>
      </c>
      <c r="U773" s="46">
        <f t="shared" si="167"/>
        <v>294.35000000000002</v>
      </c>
      <c r="V773" s="259">
        <v>94.65</v>
      </c>
      <c r="W773" s="4">
        <v>1</v>
      </c>
      <c r="X773" s="195">
        <f t="shared" si="162"/>
        <v>389</v>
      </c>
      <c r="Y773" s="29" t="e">
        <f>IF(+VLOOKUP(I773,P.Referencia!E:S,3,FALSE)&lt;=L773,"Champion","Gerente")</f>
        <v>#N/A</v>
      </c>
      <c r="Z773" s="39" t="e">
        <f>VLOOKUP(I773,P.Referencia!E:S,3,0)</f>
        <v>#N/A</v>
      </c>
      <c r="AA773" s="40" t="e">
        <f t="shared" si="164"/>
        <v>#N/A</v>
      </c>
      <c r="AB773" s="41" t="e">
        <f t="shared" si="165"/>
        <v>#N/A</v>
      </c>
      <c r="AC773" s="41" t="e">
        <f t="shared" si="166"/>
        <v>#N/A</v>
      </c>
    </row>
    <row r="774" spans="1:30" hidden="1" x14ac:dyDescent="0.25">
      <c r="A774" s="24">
        <v>773</v>
      </c>
      <c r="B774" s="89" t="s">
        <v>505</v>
      </c>
      <c r="C774" s="4" t="str">
        <f t="shared" si="160"/>
        <v>LlaveD86466308834100002362</v>
      </c>
      <c r="D774" s="25" t="str">
        <f>VLOOKUP(E774,'NO MODIFICAR'!J:K,2,0)</f>
        <v>D864</v>
      </c>
      <c r="E774" s="102" t="s">
        <v>55</v>
      </c>
      <c r="F774" s="33" t="str">
        <f>VLOOKUP(D774,'NO MODIFICAR'!F:H,3,0)</f>
        <v xml:space="preserve">CENTRO </v>
      </c>
      <c r="G774" s="28">
        <v>66308834</v>
      </c>
      <c r="H774" s="93" t="s">
        <v>187</v>
      </c>
      <c r="I774" s="94">
        <v>10000236</v>
      </c>
      <c r="J774" s="4" t="str">
        <f>VLOOKUP(I774,'Materiales,canteras'!C:D,2,0)</f>
        <v>Grava Triturada Caliza 10 mm -</v>
      </c>
      <c r="K774" s="25">
        <f>VLOOKUP(I774,'Materiales,canteras'!C:E,3,0)</f>
        <v>1.41</v>
      </c>
      <c r="L774" s="231">
        <v>166.63</v>
      </c>
      <c r="M774" s="28" t="s">
        <v>93</v>
      </c>
      <c r="N774" s="57">
        <f t="shared" ca="1" si="168"/>
        <v>46267</v>
      </c>
      <c r="O774" s="43" t="s">
        <v>201</v>
      </c>
      <c r="Q774">
        <v>12.6</v>
      </c>
      <c r="R774">
        <v>11.97</v>
      </c>
      <c r="S774" s="82">
        <v>252</v>
      </c>
      <c r="T774" s="66">
        <f t="shared" si="163"/>
        <v>-60.800000000000011</v>
      </c>
      <c r="U774" s="46">
        <f t="shared" si="167"/>
        <v>166.63</v>
      </c>
      <c r="V774" s="259">
        <v>0</v>
      </c>
      <c r="W774" s="4">
        <v>2</v>
      </c>
      <c r="X774" s="195">
        <f t="shared" si="162"/>
        <v>166.63</v>
      </c>
      <c r="Y774" s="29" t="e">
        <f>IF(+VLOOKUP(I774,P.Referencia!E:S,3,FALSE)&lt;=L774,"Champion","Gerente")</f>
        <v>#N/A</v>
      </c>
      <c r="Z774" s="39" t="e">
        <f>VLOOKUP(I774,P.Referencia!E:S,3,0)</f>
        <v>#N/A</v>
      </c>
      <c r="AA774" s="40" t="e">
        <f t="shared" si="164"/>
        <v>#N/A</v>
      </c>
      <c r="AB774" s="41" t="e">
        <f t="shared" si="165"/>
        <v>#N/A</v>
      </c>
      <c r="AC774" s="41" t="e">
        <f t="shared" si="166"/>
        <v>#N/A</v>
      </c>
    </row>
    <row r="775" spans="1:30" hidden="1" x14ac:dyDescent="0.25">
      <c r="A775" s="24">
        <v>774</v>
      </c>
      <c r="B775" s="89" t="s">
        <v>505</v>
      </c>
      <c r="C775" s="4" t="str">
        <f t="shared" si="160"/>
        <v>LlaveD86466308834100002402</v>
      </c>
      <c r="D775" s="25" t="str">
        <f>VLOOKUP(E775,'NO MODIFICAR'!J:K,2,0)</f>
        <v>D864</v>
      </c>
      <c r="E775" s="102" t="s">
        <v>55</v>
      </c>
      <c r="F775" s="33" t="str">
        <f>VLOOKUP(D775,'NO MODIFICAR'!F:H,3,0)</f>
        <v xml:space="preserve">CENTRO </v>
      </c>
      <c r="G775" s="28">
        <v>66308834</v>
      </c>
      <c r="H775" s="93" t="s">
        <v>187</v>
      </c>
      <c r="I775" s="94">
        <v>10000240</v>
      </c>
      <c r="J775" s="4" t="str">
        <f>VLOOKUP(I775,'Materiales,canteras'!C:D,2,0)</f>
        <v>Grava Triturada Caliza 20 mm -</v>
      </c>
      <c r="K775" s="25">
        <f>VLOOKUP(I775,'Materiales,canteras'!C:E,3,0)</f>
        <v>1.462</v>
      </c>
      <c r="L775" s="231">
        <v>197.26</v>
      </c>
      <c r="M775" s="28" t="s">
        <v>93</v>
      </c>
      <c r="N775" s="57">
        <f t="shared" ca="1" si="168"/>
        <v>46267</v>
      </c>
      <c r="O775" s="43" t="s">
        <v>201</v>
      </c>
      <c r="Q775">
        <v>14.7</v>
      </c>
      <c r="R775">
        <v>13.97</v>
      </c>
      <c r="S775" s="82">
        <v>294</v>
      </c>
      <c r="T775" s="66">
        <f t="shared" si="163"/>
        <v>-68.069999999999993</v>
      </c>
      <c r="U775" s="46">
        <f t="shared" si="167"/>
        <v>197.26</v>
      </c>
      <c r="V775" s="259">
        <v>0</v>
      </c>
      <c r="W775" s="4">
        <v>2</v>
      </c>
      <c r="X775" s="195">
        <f t="shared" si="162"/>
        <v>197.26</v>
      </c>
      <c r="Y775" s="29" t="e">
        <f>IF(+VLOOKUP(I775,P.Referencia!E:S,3,FALSE)&lt;=L775,"Champion","Gerente")</f>
        <v>#N/A</v>
      </c>
      <c r="Z775" s="39" t="e">
        <f>VLOOKUP(I775,P.Referencia!E:S,3,0)</f>
        <v>#N/A</v>
      </c>
      <c r="AA775" s="40" t="e">
        <f t="shared" si="164"/>
        <v>#N/A</v>
      </c>
      <c r="AB775" s="41" t="e">
        <f t="shared" si="165"/>
        <v>#N/A</v>
      </c>
      <c r="AC775" s="41" t="e">
        <f t="shared" si="166"/>
        <v>#N/A</v>
      </c>
    </row>
    <row r="776" spans="1:30" hidden="1" x14ac:dyDescent="0.25">
      <c r="A776" s="24">
        <v>775</v>
      </c>
      <c r="B776" s="89" t="s">
        <v>505</v>
      </c>
      <c r="C776" s="4" t="str">
        <f t="shared" si="160"/>
        <v>LlaveD86466308834100010732</v>
      </c>
      <c r="D776" s="25" t="str">
        <f>VLOOKUP(E776,'NO MODIFICAR'!J:K,2,0)</f>
        <v>D864</v>
      </c>
      <c r="E776" s="102" t="s">
        <v>55</v>
      </c>
      <c r="F776" s="33" t="str">
        <f>VLOOKUP(D776,'NO MODIFICAR'!F:H,3,0)</f>
        <v xml:space="preserve">CENTRO </v>
      </c>
      <c r="G776" s="28">
        <v>66308834</v>
      </c>
      <c r="H776" s="93" t="s">
        <v>187</v>
      </c>
      <c r="I776" s="94">
        <v>10001073</v>
      </c>
      <c r="J776" s="4" t="str">
        <f>VLOOKUP(I776,'Materiales,canteras'!C:D,2,0)</f>
        <v>Arena Triturada Caliza Malla 4</v>
      </c>
      <c r="K776" s="25">
        <f>VLOOKUP(I776,'Materiales,canteras'!C:E,3,0)</f>
        <v>1.56</v>
      </c>
      <c r="L776" s="231">
        <v>110.79</v>
      </c>
      <c r="M776" s="28" t="s">
        <v>93</v>
      </c>
      <c r="N776" s="57">
        <f t="shared" ca="1" si="168"/>
        <v>46267</v>
      </c>
      <c r="O776" s="43" t="s">
        <v>201</v>
      </c>
      <c r="Q776">
        <v>7.9</v>
      </c>
      <c r="R776">
        <v>7.51</v>
      </c>
      <c r="S776" s="82">
        <v>158</v>
      </c>
      <c r="T776" s="66">
        <f t="shared" si="163"/>
        <v>-31.799999999999997</v>
      </c>
      <c r="U776" s="46">
        <f t="shared" si="167"/>
        <v>110.79</v>
      </c>
      <c r="V776" s="259">
        <v>0</v>
      </c>
      <c r="W776" s="4">
        <v>2</v>
      </c>
      <c r="X776" s="195">
        <f t="shared" si="162"/>
        <v>110.79</v>
      </c>
      <c r="Y776" s="29" t="e">
        <f>IF(+VLOOKUP(I776,P.Referencia!E:S,3,FALSE)&lt;=L776,"Champion","Gerente")</f>
        <v>#N/A</v>
      </c>
      <c r="Z776" s="39" t="e">
        <f>VLOOKUP(I776,P.Referencia!E:S,3,0)</f>
        <v>#N/A</v>
      </c>
      <c r="AA776" s="40" t="e">
        <f t="shared" si="164"/>
        <v>#N/A</v>
      </c>
      <c r="AB776" s="41" t="e">
        <f t="shared" si="165"/>
        <v>#N/A</v>
      </c>
      <c r="AC776" s="41" t="e">
        <f t="shared" si="166"/>
        <v>#N/A</v>
      </c>
    </row>
    <row r="777" spans="1:30" hidden="1" x14ac:dyDescent="0.25">
      <c r="A777" s="24">
        <v>776</v>
      </c>
      <c r="B777" s="89" t="s">
        <v>505</v>
      </c>
      <c r="C777" s="4" t="str">
        <f t="shared" ref="C777:C833" si="169">_xlfn.CONCAT($C$1,D777,G777,I777,W777)</f>
        <v>LlaveD86466534221100002402</v>
      </c>
      <c r="D777" s="25" t="str">
        <f>VLOOKUP(E777,'NO MODIFICAR'!J:K,2,0)</f>
        <v>D864</v>
      </c>
      <c r="E777" s="102" t="s">
        <v>55</v>
      </c>
      <c r="F777" s="33" t="str">
        <f>VLOOKUP(D777,'NO MODIFICAR'!F:H,3,0)</f>
        <v xml:space="preserve">CENTRO </v>
      </c>
      <c r="G777" s="28">
        <v>66534221</v>
      </c>
      <c r="H777" s="93" t="s">
        <v>525</v>
      </c>
      <c r="I777" s="94">
        <v>10000240</v>
      </c>
      <c r="J777" s="4" t="str">
        <f>VLOOKUP(I777,'Materiales,canteras'!C:D,2,0)</f>
        <v>Grava Triturada Caliza 20 mm -</v>
      </c>
      <c r="K777" s="25">
        <f>VLOOKUP(I777,'Materiales,canteras'!C:E,3,0)</f>
        <v>1.462</v>
      </c>
      <c r="L777" s="231">
        <v>197.26</v>
      </c>
      <c r="M777" s="28" t="s">
        <v>93</v>
      </c>
      <c r="N777" s="57">
        <f t="shared" ca="1" si="168"/>
        <v>46267</v>
      </c>
      <c r="O777" s="43" t="s">
        <v>201</v>
      </c>
      <c r="R777">
        <v>14.7</v>
      </c>
      <c r="S777" s="82">
        <v>294</v>
      </c>
      <c r="T777" s="66">
        <f t="shared" si="163"/>
        <v>-82.04000000000002</v>
      </c>
      <c r="U777" s="46">
        <f t="shared" si="167"/>
        <v>197.26</v>
      </c>
      <c r="V777" s="259">
        <v>0</v>
      </c>
      <c r="W777" s="4">
        <v>2</v>
      </c>
      <c r="X777" s="195">
        <f t="shared" si="162"/>
        <v>197.26</v>
      </c>
      <c r="Y777" s="29" t="e">
        <f>IF(+VLOOKUP(I777,P.Referencia!E:S,3,FALSE)&lt;=L777,"Champion","Gerente")</f>
        <v>#N/A</v>
      </c>
      <c r="Z777" s="39" t="e">
        <f>VLOOKUP(I777,P.Referencia!E:S,3,0)</f>
        <v>#N/A</v>
      </c>
      <c r="AA777" s="40" t="e">
        <f t="shared" si="164"/>
        <v>#N/A</v>
      </c>
      <c r="AB777" s="41" t="e">
        <f t="shared" si="165"/>
        <v>#N/A</v>
      </c>
      <c r="AC777" s="41" t="e">
        <f t="shared" si="166"/>
        <v>#N/A</v>
      </c>
    </row>
    <row r="778" spans="1:30" hidden="1" x14ac:dyDescent="0.25">
      <c r="A778" s="24">
        <v>777</v>
      </c>
      <c r="B778" s="89" t="s">
        <v>505</v>
      </c>
      <c r="C778" s="4" t="str">
        <f t="shared" si="169"/>
        <v>LlaveD86466534221100010732</v>
      </c>
      <c r="D778" s="25" t="str">
        <f>VLOOKUP(E778,'NO MODIFICAR'!J:K,2,0)</f>
        <v>D864</v>
      </c>
      <c r="E778" s="102" t="s">
        <v>55</v>
      </c>
      <c r="F778" s="33" t="str">
        <f>VLOOKUP(D778,'NO MODIFICAR'!F:H,3,0)</f>
        <v xml:space="preserve">CENTRO </v>
      </c>
      <c r="G778" s="28">
        <v>66534221</v>
      </c>
      <c r="H778" s="93" t="s">
        <v>525</v>
      </c>
      <c r="I778" s="94">
        <v>10001073</v>
      </c>
      <c r="J778" s="4" t="str">
        <f>VLOOKUP(I778,'Materiales,canteras'!C:D,2,0)</f>
        <v>Arena Triturada Caliza Malla 4</v>
      </c>
      <c r="K778" s="25">
        <f>VLOOKUP(I778,'Materiales,canteras'!C:E,3,0)</f>
        <v>1.56</v>
      </c>
      <c r="L778" s="231">
        <v>110.79</v>
      </c>
      <c r="M778" s="28" t="s">
        <v>93</v>
      </c>
      <c r="N778" s="57">
        <f t="shared" ca="1" si="168"/>
        <v>46267</v>
      </c>
      <c r="O778" s="43" t="s">
        <v>201</v>
      </c>
      <c r="R778">
        <v>7.9</v>
      </c>
      <c r="S778" s="82">
        <v>158</v>
      </c>
      <c r="T778" s="66">
        <f t="shared" si="163"/>
        <v>-39.309999999999988</v>
      </c>
      <c r="U778" s="46">
        <f t="shared" si="167"/>
        <v>110.79</v>
      </c>
      <c r="V778" s="259">
        <v>0</v>
      </c>
      <c r="W778" s="4">
        <v>2</v>
      </c>
      <c r="X778" s="195">
        <f t="shared" si="162"/>
        <v>110.79</v>
      </c>
      <c r="Y778" s="29" t="e">
        <f>IF(+VLOOKUP(I778,P.Referencia!E:S,3,FALSE)&lt;=L778,"Champion","Gerente")</f>
        <v>#N/A</v>
      </c>
      <c r="Z778" s="39" t="e">
        <f>VLOOKUP(I778,P.Referencia!E:S,3,0)</f>
        <v>#N/A</v>
      </c>
      <c r="AA778" s="40" t="e">
        <f t="shared" si="164"/>
        <v>#N/A</v>
      </c>
      <c r="AB778" s="41" t="e">
        <f t="shared" si="165"/>
        <v>#N/A</v>
      </c>
      <c r="AC778" s="41" t="e">
        <f t="shared" si="166"/>
        <v>#N/A</v>
      </c>
    </row>
    <row r="779" spans="1:30" hidden="1" x14ac:dyDescent="0.25">
      <c r="A779" s="24">
        <v>778</v>
      </c>
      <c r="B779" s="89" t="s">
        <v>505</v>
      </c>
      <c r="C779" s="4" t="str">
        <f t="shared" si="169"/>
        <v>LlaveD86166936788100003112</v>
      </c>
      <c r="D779" s="25" t="str">
        <f>VLOOKUP(E779,'NO MODIFICAR'!J:K,2,0)</f>
        <v>D861</v>
      </c>
      <c r="E779" s="102" t="s">
        <v>44</v>
      </c>
      <c r="F779" s="33" t="str">
        <f>VLOOKUP(D779,'NO MODIFICAR'!F:H,3,0)</f>
        <v xml:space="preserve">CENTRO </v>
      </c>
      <c r="G779" s="28">
        <v>66936788</v>
      </c>
      <c r="H779" s="93" t="s">
        <v>213</v>
      </c>
      <c r="I779" s="94">
        <v>10000311</v>
      </c>
      <c r="J779" s="4" t="str">
        <f>VLOOKUP(I779,'Materiales,canteras'!C:D,2,0)</f>
        <v>Arena Triturada Basalto  Malla</v>
      </c>
      <c r="K779" s="25">
        <f>VLOOKUP(I779,'Materiales,canteras'!C:E,3,0)</f>
        <v>1.651</v>
      </c>
      <c r="L779" s="231">
        <v>186.56</v>
      </c>
      <c r="M779" s="28" t="s">
        <v>93</v>
      </c>
      <c r="N779" s="57">
        <f t="shared" ca="1" si="168"/>
        <v>46267</v>
      </c>
      <c r="O779" s="43" t="s">
        <v>201</v>
      </c>
      <c r="S779" s="82">
        <v>286</v>
      </c>
      <c r="T779" s="66">
        <f t="shared" si="163"/>
        <v>-99.44</v>
      </c>
      <c r="U779" s="46">
        <f t="shared" si="167"/>
        <v>186.56</v>
      </c>
      <c r="V779" s="259">
        <v>0</v>
      </c>
      <c r="W779" s="4">
        <v>2</v>
      </c>
      <c r="X779" s="195">
        <f t="shared" si="162"/>
        <v>186.56</v>
      </c>
      <c r="Y779" s="29" t="e">
        <f>IF(+VLOOKUP(I779,P.Referencia!E:S,3,FALSE)&lt;=L779,"Champion","Gerente")</f>
        <v>#N/A</v>
      </c>
      <c r="Z779" s="39" t="e">
        <f>VLOOKUP(I779,P.Referencia!E:S,3,0)</f>
        <v>#N/A</v>
      </c>
      <c r="AA779" s="40" t="e">
        <f t="shared" si="164"/>
        <v>#N/A</v>
      </c>
      <c r="AB779" s="41" t="e">
        <f t="shared" si="165"/>
        <v>#N/A</v>
      </c>
      <c r="AC779" s="41" t="e">
        <f t="shared" si="166"/>
        <v>#N/A</v>
      </c>
    </row>
    <row r="780" spans="1:30" hidden="1" x14ac:dyDescent="0.25">
      <c r="A780" s="24">
        <v>779</v>
      </c>
      <c r="B780" s="89" t="s">
        <v>505</v>
      </c>
      <c r="C780" s="4" t="str">
        <f t="shared" si="169"/>
        <v>LlaveD86166936788100002292</v>
      </c>
      <c r="D780" s="25" t="str">
        <f>VLOOKUP(E780,'NO MODIFICAR'!J:K,2,0)</f>
        <v>D861</v>
      </c>
      <c r="E780" s="102" t="s">
        <v>44</v>
      </c>
      <c r="F780" s="33" t="str">
        <f>VLOOKUP(D780,'NO MODIFICAR'!F:H,3,0)</f>
        <v xml:space="preserve">CENTRO </v>
      </c>
      <c r="G780" s="28">
        <v>66936788</v>
      </c>
      <c r="H780" s="93" t="s">
        <v>213</v>
      </c>
      <c r="I780" s="94">
        <v>10000229</v>
      </c>
      <c r="J780" s="4" t="str">
        <f>VLOOKUP(I780,'Materiales,canteras'!C:D,2,0)</f>
        <v>Grava Triturada Basalto  10 mm</v>
      </c>
      <c r="K780" s="25">
        <f>VLOOKUP(I780,'Materiales,canteras'!C:E,3,0)</f>
        <v>1.522</v>
      </c>
      <c r="L780" s="231">
        <v>230</v>
      </c>
      <c r="M780" s="28" t="s">
        <v>93</v>
      </c>
      <c r="N780" s="57">
        <f t="shared" ca="1" si="168"/>
        <v>46267</v>
      </c>
      <c r="O780" s="43" t="s">
        <v>201</v>
      </c>
      <c r="S780" s="82">
        <v>352</v>
      </c>
      <c r="T780" s="66">
        <f t="shared" si="163"/>
        <v>-122</v>
      </c>
      <c r="U780" s="46">
        <f t="shared" si="167"/>
        <v>230</v>
      </c>
      <c r="V780" s="259">
        <v>0</v>
      </c>
      <c r="W780" s="4">
        <v>2</v>
      </c>
      <c r="X780" s="195">
        <f t="shared" si="162"/>
        <v>230</v>
      </c>
      <c r="Y780" s="29" t="e">
        <f>IF(+VLOOKUP(I780,P.Referencia!E:S,3,FALSE)&lt;=L780,"Champion","Gerente")</f>
        <v>#N/A</v>
      </c>
      <c r="Z780" s="39" t="e">
        <f>VLOOKUP(I780,P.Referencia!E:S,3,0)</f>
        <v>#N/A</v>
      </c>
      <c r="AA780" s="40" t="e">
        <f t="shared" si="164"/>
        <v>#N/A</v>
      </c>
      <c r="AB780" s="41" t="e">
        <f t="shared" si="165"/>
        <v>#N/A</v>
      </c>
      <c r="AC780" s="41" t="e">
        <f t="shared" si="166"/>
        <v>#N/A</v>
      </c>
    </row>
    <row r="781" spans="1:30" hidden="1" x14ac:dyDescent="0.25">
      <c r="A781" s="24">
        <v>780</v>
      </c>
      <c r="B781" s="89" t="s">
        <v>505</v>
      </c>
      <c r="C781" s="4" t="str">
        <f t="shared" si="169"/>
        <v>LlaveD86166936788100002312</v>
      </c>
      <c r="D781" s="25" t="str">
        <f>VLOOKUP(E781,'NO MODIFICAR'!J:K,2,0)</f>
        <v>D861</v>
      </c>
      <c r="E781" s="102" t="s">
        <v>44</v>
      </c>
      <c r="F781" s="33" t="str">
        <f>VLOOKUP(D781,'NO MODIFICAR'!F:H,3,0)</f>
        <v xml:space="preserve">CENTRO </v>
      </c>
      <c r="G781" s="28">
        <v>66936788</v>
      </c>
      <c r="H781" s="93" t="s">
        <v>213</v>
      </c>
      <c r="I781" s="94">
        <v>10000231</v>
      </c>
      <c r="J781" s="4" t="str">
        <f>VLOOKUP(I781,'Materiales,canteras'!C:D,2,0)</f>
        <v>Grava Triturada Basalto 20 mm</v>
      </c>
      <c r="K781" s="25">
        <f>VLOOKUP(I781,'Materiales,canteras'!C:E,3,0)</f>
        <v>1.5649999999999999</v>
      </c>
      <c r="L781" s="231">
        <v>200</v>
      </c>
      <c r="M781" s="28" t="s">
        <v>93</v>
      </c>
      <c r="N781" s="57">
        <f t="shared" ca="1" si="168"/>
        <v>46267</v>
      </c>
      <c r="O781" s="43" t="s">
        <v>201</v>
      </c>
      <c r="S781" s="82">
        <v>308</v>
      </c>
      <c r="T781" s="66">
        <f t="shared" si="163"/>
        <v>-108</v>
      </c>
      <c r="U781" s="46">
        <f t="shared" si="167"/>
        <v>200</v>
      </c>
      <c r="V781" s="259">
        <v>0</v>
      </c>
      <c r="W781" s="4">
        <v>2</v>
      </c>
      <c r="X781" s="195">
        <f t="shared" si="162"/>
        <v>200</v>
      </c>
      <c r="Y781" s="29" t="e">
        <f>IF(+VLOOKUP(I781,P.Referencia!E:S,3,FALSE)&lt;=L781,"Champion","Gerente")</f>
        <v>#N/A</v>
      </c>
      <c r="Z781" s="39" t="e">
        <f>VLOOKUP(I781,P.Referencia!E:S,3,0)</f>
        <v>#N/A</v>
      </c>
      <c r="AA781" s="40" t="e">
        <f t="shared" si="164"/>
        <v>#N/A</v>
      </c>
      <c r="AB781" s="41" t="e">
        <f t="shared" si="165"/>
        <v>#N/A</v>
      </c>
      <c r="AC781" s="41" t="e">
        <f t="shared" si="166"/>
        <v>#N/A</v>
      </c>
    </row>
    <row r="782" spans="1:30" hidden="1" x14ac:dyDescent="0.25">
      <c r="A782" s="24">
        <v>781</v>
      </c>
      <c r="B782" s="89" t="s">
        <v>505</v>
      </c>
      <c r="C782" s="4" t="str">
        <f t="shared" si="169"/>
        <v>LlaveD86166936788100002332</v>
      </c>
      <c r="D782" s="25" t="str">
        <f>VLOOKUP(E782,'NO MODIFICAR'!J:K,2,0)</f>
        <v>D861</v>
      </c>
      <c r="E782" s="102" t="s">
        <v>44</v>
      </c>
      <c r="F782" s="33" t="str">
        <f>VLOOKUP(D782,'NO MODIFICAR'!F:H,3,0)</f>
        <v xml:space="preserve">CENTRO </v>
      </c>
      <c r="G782" s="28">
        <v>66936788</v>
      </c>
      <c r="H782" s="93" t="s">
        <v>213</v>
      </c>
      <c r="I782" s="94">
        <v>10000233</v>
      </c>
      <c r="J782" s="4" t="str">
        <f>VLOOKUP(I782,'Materiales,canteras'!C:D,2,0)</f>
        <v>Grava Triturada Basalto  40 mm</v>
      </c>
      <c r="K782" s="25">
        <f>VLOOKUP(I782,'Materiales,canteras'!C:E,3,0)</f>
        <v>1.456</v>
      </c>
      <c r="L782" s="231">
        <v>221.54</v>
      </c>
      <c r="M782" s="28" t="s">
        <v>93</v>
      </c>
      <c r="N782" s="57">
        <f t="shared" ca="1" si="168"/>
        <v>46267</v>
      </c>
      <c r="O782" s="43" t="s">
        <v>201</v>
      </c>
      <c r="S782" s="82">
        <v>310</v>
      </c>
      <c r="T782" s="66">
        <f t="shared" si="163"/>
        <v>-88.460000000000008</v>
      </c>
      <c r="U782" s="46">
        <f t="shared" si="167"/>
        <v>221.54</v>
      </c>
      <c r="V782" s="259">
        <v>0</v>
      </c>
      <c r="W782" s="4">
        <v>2</v>
      </c>
      <c r="X782" s="195">
        <f t="shared" si="162"/>
        <v>221.54</v>
      </c>
      <c r="Y782" s="29" t="e">
        <f>IF(+VLOOKUP(I782,P.Referencia!E:S,3,FALSE)&lt;=L782,"Champion","Gerente")</f>
        <v>#N/A</v>
      </c>
      <c r="Z782" s="39" t="e">
        <f>VLOOKUP(I782,P.Referencia!E:S,3,0)</f>
        <v>#N/A</v>
      </c>
      <c r="AA782" s="40" t="e">
        <f t="shared" si="164"/>
        <v>#N/A</v>
      </c>
      <c r="AB782" s="41" t="e">
        <f t="shared" si="165"/>
        <v>#N/A</v>
      </c>
      <c r="AC782" s="41" t="e">
        <f t="shared" si="166"/>
        <v>#N/A</v>
      </c>
    </row>
    <row r="783" spans="1:30" hidden="1" x14ac:dyDescent="0.25">
      <c r="A783" s="24">
        <v>782</v>
      </c>
      <c r="B783" s="89" t="s">
        <v>505</v>
      </c>
      <c r="C783" s="4" t="str">
        <f t="shared" si="169"/>
        <v>LlaveD86166913819100003112</v>
      </c>
      <c r="D783" s="25" t="str">
        <f>VLOOKUP(E783,'NO MODIFICAR'!J:K,2,0)</f>
        <v>D861</v>
      </c>
      <c r="E783" s="102" t="s">
        <v>44</v>
      </c>
      <c r="F783" s="33" t="str">
        <f>VLOOKUP(D783,'NO MODIFICAR'!F:H,3,0)</f>
        <v xml:space="preserve">CENTRO </v>
      </c>
      <c r="G783" s="28">
        <v>66913819</v>
      </c>
      <c r="H783" s="93" t="s">
        <v>211</v>
      </c>
      <c r="I783" s="94">
        <v>10000311</v>
      </c>
      <c r="J783" s="4" t="str">
        <f>VLOOKUP(I783,'Materiales,canteras'!C:D,2,0)</f>
        <v>Arena Triturada Basalto  Malla</v>
      </c>
      <c r="K783" s="25">
        <f>VLOOKUP(I783,'Materiales,canteras'!C:E,3,0)</f>
        <v>1.651</v>
      </c>
      <c r="L783" s="231">
        <v>186.56</v>
      </c>
      <c r="M783" s="28" t="s">
        <v>93</v>
      </c>
      <c r="N783" s="57">
        <f t="shared" ca="1" si="168"/>
        <v>46267</v>
      </c>
      <c r="O783" s="43" t="s">
        <v>201</v>
      </c>
      <c r="S783" s="82">
        <v>286</v>
      </c>
      <c r="T783" s="66">
        <f t="shared" si="163"/>
        <v>-99.44</v>
      </c>
      <c r="U783" s="46">
        <f t="shared" si="167"/>
        <v>186.56</v>
      </c>
      <c r="V783" s="259">
        <v>0</v>
      </c>
      <c r="W783" s="4">
        <v>2</v>
      </c>
      <c r="X783" s="195">
        <f t="shared" si="162"/>
        <v>186.56</v>
      </c>
      <c r="Y783" s="29" t="e">
        <f>IF(+VLOOKUP(I783,P.Referencia!E:S,3,FALSE)&lt;=L783,"Champion","Gerente")</f>
        <v>#N/A</v>
      </c>
      <c r="Z783" s="39" t="e">
        <f>VLOOKUP(I783,P.Referencia!E:S,3,0)</f>
        <v>#N/A</v>
      </c>
      <c r="AA783" s="40" t="e">
        <f t="shared" si="164"/>
        <v>#N/A</v>
      </c>
      <c r="AB783" s="41" t="e">
        <f t="shared" si="165"/>
        <v>#N/A</v>
      </c>
      <c r="AC783" s="41" t="e">
        <f t="shared" si="166"/>
        <v>#N/A</v>
      </c>
    </row>
    <row r="784" spans="1:30" hidden="1" x14ac:dyDescent="0.25">
      <c r="A784" s="24">
        <v>783</v>
      </c>
      <c r="B784" s="89" t="s">
        <v>505</v>
      </c>
      <c r="C784" s="4" t="str">
        <f t="shared" si="169"/>
        <v>LlaveD86166913819100002292</v>
      </c>
      <c r="D784" s="25" t="str">
        <f>VLOOKUP(E784,'NO MODIFICAR'!J:K,2,0)</f>
        <v>D861</v>
      </c>
      <c r="E784" s="102" t="s">
        <v>44</v>
      </c>
      <c r="F784" s="33" t="str">
        <f>VLOOKUP(D784,'NO MODIFICAR'!F:H,3,0)</f>
        <v xml:space="preserve">CENTRO </v>
      </c>
      <c r="G784" s="28">
        <v>66913819</v>
      </c>
      <c r="H784" s="93" t="s">
        <v>211</v>
      </c>
      <c r="I784" s="94">
        <v>10000229</v>
      </c>
      <c r="J784" s="4" t="str">
        <f>VLOOKUP(I784,'Materiales,canteras'!C:D,2,0)</f>
        <v>Grava Triturada Basalto  10 mm</v>
      </c>
      <c r="K784" s="25">
        <f>VLOOKUP(I784,'Materiales,canteras'!C:E,3,0)</f>
        <v>1.522</v>
      </c>
      <c r="L784" s="231">
        <v>230</v>
      </c>
      <c r="M784" s="28" t="s">
        <v>93</v>
      </c>
      <c r="N784" s="57">
        <f t="shared" ca="1" si="168"/>
        <v>46267</v>
      </c>
      <c r="O784" s="43" t="s">
        <v>201</v>
      </c>
      <c r="S784" s="82">
        <v>352</v>
      </c>
      <c r="T784" s="66">
        <f t="shared" si="163"/>
        <v>-122</v>
      </c>
      <c r="U784" s="46">
        <f t="shared" si="167"/>
        <v>230</v>
      </c>
      <c r="V784" s="259">
        <v>0</v>
      </c>
      <c r="W784" s="4">
        <v>2</v>
      </c>
      <c r="X784" s="195">
        <f t="shared" si="162"/>
        <v>230</v>
      </c>
      <c r="Y784" s="29" t="e">
        <f>IF(+VLOOKUP(I784,P.Referencia!E:S,3,FALSE)&lt;=L784,"Champion","Gerente")</f>
        <v>#N/A</v>
      </c>
      <c r="Z784" s="39" t="e">
        <f>VLOOKUP(I784,P.Referencia!E:S,3,0)</f>
        <v>#N/A</v>
      </c>
      <c r="AA784" s="40" t="e">
        <f t="shared" si="164"/>
        <v>#N/A</v>
      </c>
      <c r="AB784" s="41" t="e">
        <f t="shared" si="165"/>
        <v>#N/A</v>
      </c>
      <c r="AC784" s="41" t="e">
        <f t="shared" si="166"/>
        <v>#N/A</v>
      </c>
    </row>
    <row r="785" spans="1:29" hidden="1" x14ac:dyDescent="0.25">
      <c r="A785" s="24">
        <v>784</v>
      </c>
      <c r="B785" s="89" t="s">
        <v>505</v>
      </c>
      <c r="C785" s="4" t="str">
        <f t="shared" si="169"/>
        <v>LlaveD86166913819100002312</v>
      </c>
      <c r="D785" s="25" t="str">
        <f>VLOOKUP(E785,'NO MODIFICAR'!J:K,2,0)</f>
        <v>D861</v>
      </c>
      <c r="E785" s="102" t="s">
        <v>44</v>
      </c>
      <c r="F785" s="33" t="str">
        <f>VLOOKUP(D785,'NO MODIFICAR'!F:H,3,0)</f>
        <v xml:space="preserve">CENTRO </v>
      </c>
      <c r="G785" s="28">
        <v>66913819</v>
      </c>
      <c r="H785" s="93" t="s">
        <v>211</v>
      </c>
      <c r="I785" s="94">
        <v>10000231</v>
      </c>
      <c r="J785" s="4" t="str">
        <f>VLOOKUP(I785,'Materiales,canteras'!C:D,2,0)</f>
        <v>Grava Triturada Basalto 20 mm</v>
      </c>
      <c r="K785" s="25">
        <f>VLOOKUP(I785,'Materiales,canteras'!C:E,3,0)</f>
        <v>1.5649999999999999</v>
      </c>
      <c r="L785" s="231">
        <v>200</v>
      </c>
      <c r="M785" s="28" t="s">
        <v>93</v>
      </c>
      <c r="N785" s="57">
        <f t="shared" ca="1" si="168"/>
        <v>46267</v>
      </c>
      <c r="O785" s="43" t="s">
        <v>201</v>
      </c>
      <c r="S785" s="82">
        <v>308</v>
      </c>
      <c r="T785" s="66">
        <f t="shared" si="163"/>
        <v>-108</v>
      </c>
      <c r="U785" s="46">
        <f t="shared" si="167"/>
        <v>200</v>
      </c>
      <c r="V785" s="259">
        <v>0</v>
      </c>
      <c r="W785" s="4">
        <v>2</v>
      </c>
      <c r="X785" s="195">
        <f t="shared" si="162"/>
        <v>200</v>
      </c>
      <c r="Y785" s="29" t="e">
        <f>IF(+VLOOKUP(I785,P.Referencia!E:S,3,FALSE)&lt;=L785,"Champion","Gerente")</f>
        <v>#N/A</v>
      </c>
      <c r="Z785" s="39" t="e">
        <f>VLOOKUP(I785,P.Referencia!E:S,3,0)</f>
        <v>#N/A</v>
      </c>
      <c r="AA785" s="40" t="e">
        <f t="shared" si="164"/>
        <v>#N/A</v>
      </c>
      <c r="AB785" s="41" t="e">
        <f t="shared" si="165"/>
        <v>#N/A</v>
      </c>
      <c r="AC785" s="41" t="e">
        <f t="shared" si="166"/>
        <v>#N/A</v>
      </c>
    </row>
    <row r="786" spans="1:29" hidden="1" x14ac:dyDescent="0.25">
      <c r="A786" s="24">
        <v>785</v>
      </c>
      <c r="B786" s="89" t="s">
        <v>505</v>
      </c>
      <c r="C786" s="4" t="str">
        <f t="shared" si="169"/>
        <v>LlaveD86166913819100002332</v>
      </c>
      <c r="D786" s="25" t="str">
        <f>VLOOKUP(E786,'NO MODIFICAR'!J:K,2,0)</f>
        <v>D861</v>
      </c>
      <c r="E786" s="102" t="s">
        <v>44</v>
      </c>
      <c r="F786" s="33" t="str">
        <f>VLOOKUP(D786,'NO MODIFICAR'!F:H,3,0)</f>
        <v xml:space="preserve">CENTRO </v>
      </c>
      <c r="G786" s="28">
        <v>66913819</v>
      </c>
      <c r="H786" s="93" t="s">
        <v>211</v>
      </c>
      <c r="I786" s="94">
        <v>10000233</v>
      </c>
      <c r="J786" s="4" t="str">
        <f>VLOOKUP(I786,'Materiales,canteras'!C:D,2,0)</f>
        <v>Grava Triturada Basalto  40 mm</v>
      </c>
      <c r="K786" s="25">
        <f>VLOOKUP(I786,'Materiales,canteras'!C:E,3,0)</f>
        <v>1.456</v>
      </c>
      <c r="L786" s="231">
        <v>221.54</v>
      </c>
      <c r="M786" s="28" t="s">
        <v>93</v>
      </c>
      <c r="N786" s="57">
        <f t="shared" ca="1" si="168"/>
        <v>46267</v>
      </c>
      <c r="O786" s="43" t="s">
        <v>201</v>
      </c>
      <c r="S786" s="82">
        <v>310</v>
      </c>
      <c r="T786" s="66">
        <f t="shared" si="163"/>
        <v>-88.460000000000008</v>
      </c>
      <c r="U786" s="46">
        <f t="shared" si="167"/>
        <v>221.54</v>
      </c>
      <c r="V786" s="259">
        <v>0</v>
      </c>
      <c r="W786" s="4">
        <v>2</v>
      </c>
      <c r="X786" s="195">
        <f t="shared" si="162"/>
        <v>221.54</v>
      </c>
      <c r="Y786" s="29" t="e">
        <f>IF(+VLOOKUP(I786,P.Referencia!E:S,3,FALSE)&lt;=L786,"Champion","Gerente")</f>
        <v>#N/A</v>
      </c>
      <c r="Z786" s="39" t="e">
        <f>VLOOKUP(I786,P.Referencia!E:S,3,0)</f>
        <v>#N/A</v>
      </c>
      <c r="AA786" s="40" t="e">
        <f t="shared" si="164"/>
        <v>#N/A</v>
      </c>
      <c r="AB786" s="41" t="e">
        <f t="shared" si="165"/>
        <v>#N/A</v>
      </c>
      <c r="AC786" s="41" t="e">
        <f t="shared" si="166"/>
        <v>#N/A</v>
      </c>
    </row>
    <row r="787" spans="1:29" hidden="1" x14ac:dyDescent="0.25">
      <c r="A787" s="24">
        <v>786</v>
      </c>
      <c r="B787" s="89" t="s">
        <v>505</v>
      </c>
      <c r="C787" s="4" t="str">
        <f t="shared" si="169"/>
        <v>LlaveD86166913897100003112</v>
      </c>
      <c r="D787" s="25" t="str">
        <f>VLOOKUP(E787,'NO MODIFICAR'!J:K,2,0)</f>
        <v>D861</v>
      </c>
      <c r="E787" s="102" t="s">
        <v>44</v>
      </c>
      <c r="F787" s="33" t="str">
        <f>VLOOKUP(D787,'NO MODIFICAR'!F:H,3,0)</f>
        <v xml:space="preserve">CENTRO </v>
      </c>
      <c r="G787" s="28">
        <v>66913897</v>
      </c>
      <c r="H787" s="93" t="s">
        <v>212</v>
      </c>
      <c r="I787" s="94">
        <v>10000311</v>
      </c>
      <c r="J787" s="4" t="str">
        <f>VLOOKUP(I787,'Materiales,canteras'!C:D,2,0)</f>
        <v>Arena Triturada Basalto  Malla</v>
      </c>
      <c r="K787" s="25">
        <f>VLOOKUP(I787,'Materiales,canteras'!C:E,3,0)</f>
        <v>1.651</v>
      </c>
      <c r="L787" s="231">
        <v>186.56</v>
      </c>
      <c r="M787" s="28" t="s">
        <v>93</v>
      </c>
      <c r="N787" s="57">
        <f t="shared" ca="1" si="168"/>
        <v>46267</v>
      </c>
      <c r="O787" s="43" t="s">
        <v>201</v>
      </c>
      <c r="S787" s="82">
        <v>286</v>
      </c>
      <c r="T787" s="66">
        <f t="shared" si="163"/>
        <v>-99.44</v>
      </c>
      <c r="U787" s="46">
        <f t="shared" si="167"/>
        <v>186.56</v>
      </c>
      <c r="V787" s="259">
        <v>0</v>
      </c>
      <c r="W787" s="4">
        <v>2</v>
      </c>
      <c r="X787" s="195">
        <f t="shared" si="162"/>
        <v>186.56</v>
      </c>
      <c r="Y787" s="29" t="e">
        <f>IF(+VLOOKUP(I787,P.Referencia!E:S,3,FALSE)&lt;=L787,"Champion","Gerente")</f>
        <v>#N/A</v>
      </c>
      <c r="Z787" s="39" t="e">
        <f>VLOOKUP(I787,P.Referencia!E:S,3,0)</f>
        <v>#N/A</v>
      </c>
      <c r="AA787" s="40" t="e">
        <f t="shared" si="164"/>
        <v>#N/A</v>
      </c>
      <c r="AB787" s="41" t="e">
        <f t="shared" si="165"/>
        <v>#N/A</v>
      </c>
      <c r="AC787" s="41" t="e">
        <f t="shared" si="166"/>
        <v>#N/A</v>
      </c>
    </row>
    <row r="788" spans="1:29" hidden="1" x14ac:dyDescent="0.25">
      <c r="A788" s="24">
        <v>787</v>
      </c>
      <c r="B788" s="89" t="s">
        <v>505</v>
      </c>
      <c r="C788" s="4" t="str">
        <f t="shared" si="169"/>
        <v>LlaveD86166913897100002292</v>
      </c>
      <c r="D788" s="25" t="str">
        <f>VLOOKUP(E788,'NO MODIFICAR'!J:K,2,0)</f>
        <v>D861</v>
      </c>
      <c r="E788" s="102" t="s">
        <v>44</v>
      </c>
      <c r="F788" s="33" t="str">
        <f>VLOOKUP(D788,'NO MODIFICAR'!F:H,3,0)</f>
        <v xml:space="preserve">CENTRO </v>
      </c>
      <c r="G788" s="28">
        <v>66913897</v>
      </c>
      <c r="H788" s="93" t="s">
        <v>212</v>
      </c>
      <c r="I788" s="94">
        <v>10000229</v>
      </c>
      <c r="J788" s="4" t="str">
        <f>VLOOKUP(I788,'Materiales,canteras'!C:D,2,0)</f>
        <v>Grava Triturada Basalto  10 mm</v>
      </c>
      <c r="K788" s="25">
        <f>VLOOKUP(I788,'Materiales,canteras'!C:E,3,0)</f>
        <v>1.522</v>
      </c>
      <c r="L788" s="231">
        <v>230</v>
      </c>
      <c r="M788" s="28" t="s">
        <v>93</v>
      </c>
      <c r="N788" s="57">
        <f t="shared" ca="1" si="168"/>
        <v>46267</v>
      </c>
      <c r="O788" s="43" t="s">
        <v>201</v>
      </c>
      <c r="S788" s="82">
        <v>352</v>
      </c>
      <c r="T788" s="66">
        <f t="shared" si="163"/>
        <v>-122</v>
      </c>
      <c r="U788" s="46">
        <f t="shared" si="167"/>
        <v>230</v>
      </c>
      <c r="V788" s="259">
        <v>0</v>
      </c>
      <c r="W788" s="4">
        <v>2</v>
      </c>
      <c r="X788" s="195">
        <f t="shared" si="162"/>
        <v>230</v>
      </c>
      <c r="Y788" s="29" t="e">
        <f>IF(+VLOOKUP(I788,P.Referencia!E:S,3,FALSE)&lt;=L788,"Champion","Gerente")</f>
        <v>#N/A</v>
      </c>
      <c r="Z788" s="39" t="e">
        <f>VLOOKUP(I788,P.Referencia!E:S,3,0)</f>
        <v>#N/A</v>
      </c>
      <c r="AA788" s="40" t="e">
        <f t="shared" si="164"/>
        <v>#N/A</v>
      </c>
      <c r="AB788" s="41" t="e">
        <f t="shared" si="165"/>
        <v>#N/A</v>
      </c>
      <c r="AC788" s="41" t="e">
        <f t="shared" si="166"/>
        <v>#N/A</v>
      </c>
    </row>
    <row r="789" spans="1:29" hidden="1" x14ac:dyDescent="0.25">
      <c r="A789" s="24">
        <v>788</v>
      </c>
      <c r="B789" s="89" t="s">
        <v>505</v>
      </c>
      <c r="C789" s="4" t="str">
        <f t="shared" si="169"/>
        <v>LlaveD86166913897100002312</v>
      </c>
      <c r="D789" s="25" t="str">
        <f>VLOOKUP(E789,'NO MODIFICAR'!J:K,2,0)</f>
        <v>D861</v>
      </c>
      <c r="E789" s="102" t="s">
        <v>44</v>
      </c>
      <c r="F789" s="33" t="str">
        <f>VLOOKUP(D789,'NO MODIFICAR'!F:H,3,0)</f>
        <v xml:space="preserve">CENTRO </v>
      </c>
      <c r="G789" s="28">
        <v>66913897</v>
      </c>
      <c r="H789" s="93" t="s">
        <v>212</v>
      </c>
      <c r="I789" s="94">
        <v>10000231</v>
      </c>
      <c r="J789" s="4" t="str">
        <f>VLOOKUP(I789,'Materiales,canteras'!C:D,2,0)</f>
        <v>Grava Triturada Basalto 20 mm</v>
      </c>
      <c r="K789" s="25">
        <f>VLOOKUP(I789,'Materiales,canteras'!C:E,3,0)</f>
        <v>1.5649999999999999</v>
      </c>
      <c r="L789" s="231">
        <v>200</v>
      </c>
      <c r="M789" s="28" t="s">
        <v>93</v>
      </c>
      <c r="N789" s="57">
        <f t="shared" ca="1" si="168"/>
        <v>46267</v>
      </c>
      <c r="O789" s="43" t="s">
        <v>201</v>
      </c>
      <c r="S789" s="82">
        <v>308</v>
      </c>
      <c r="T789" s="66">
        <f t="shared" si="163"/>
        <v>-108</v>
      </c>
      <c r="U789" s="46">
        <f t="shared" si="167"/>
        <v>200</v>
      </c>
      <c r="V789" s="259">
        <v>0</v>
      </c>
      <c r="W789" s="4">
        <v>2</v>
      </c>
      <c r="X789" s="195">
        <f t="shared" si="162"/>
        <v>200</v>
      </c>
      <c r="Y789" s="29" t="e">
        <f>IF(+VLOOKUP(I789,P.Referencia!E:S,3,FALSE)&lt;=L789,"Champion","Gerente")</f>
        <v>#N/A</v>
      </c>
      <c r="Z789" s="39" t="e">
        <f>VLOOKUP(I789,P.Referencia!E:S,3,0)</f>
        <v>#N/A</v>
      </c>
      <c r="AA789" s="40" t="e">
        <f t="shared" si="164"/>
        <v>#N/A</v>
      </c>
      <c r="AB789" s="41" t="e">
        <f t="shared" si="165"/>
        <v>#N/A</v>
      </c>
      <c r="AC789" s="41" t="e">
        <f t="shared" si="166"/>
        <v>#N/A</v>
      </c>
    </row>
    <row r="790" spans="1:29" hidden="1" x14ac:dyDescent="0.25">
      <c r="A790" s="24">
        <v>789</v>
      </c>
      <c r="B790" s="89" t="s">
        <v>505</v>
      </c>
      <c r="C790" s="4" t="str">
        <f t="shared" si="169"/>
        <v>LlaveD86166913897100002332</v>
      </c>
      <c r="D790" s="25" t="str">
        <f>VLOOKUP(E790,'NO MODIFICAR'!J:K,2,0)</f>
        <v>D861</v>
      </c>
      <c r="E790" s="102" t="s">
        <v>44</v>
      </c>
      <c r="F790" s="33" t="str">
        <f>VLOOKUP(D790,'NO MODIFICAR'!F:H,3,0)</f>
        <v xml:space="preserve">CENTRO </v>
      </c>
      <c r="G790" s="28">
        <v>66913897</v>
      </c>
      <c r="H790" s="93" t="s">
        <v>212</v>
      </c>
      <c r="I790" s="94">
        <v>10000233</v>
      </c>
      <c r="J790" s="4" t="str">
        <f>VLOOKUP(I790,'Materiales,canteras'!C:D,2,0)</f>
        <v>Grava Triturada Basalto  40 mm</v>
      </c>
      <c r="K790" s="25">
        <f>VLOOKUP(I790,'Materiales,canteras'!C:E,3,0)</f>
        <v>1.456</v>
      </c>
      <c r="L790" s="231">
        <v>221.54</v>
      </c>
      <c r="M790" s="28" t="s">
        <v>93</v>
      </c>
      <c r="N790" s="57">
        <f t="shared" ca="1" si="168"/>
        <v>46267</v>
      </c>
      <c r="O790" s="43" t="s">
        <v>201</v>
      </c>
      <c r="S790" s="82">
        <v>310</v>
      </c>
      <c r="T790" s="66">
        <f t="shared" si="163"/>
        <v>-88.460000000000008</v>
      </c>
      <c r="U790" s="46">
        <f t="shared" si="167"/>
        <v>221.54</v>
      </c>
      <c r="V790" s="259">
        <v>0</v>
      </c>
      <c r="W790" s="4">
        <v>2</v>
      </c>
      <c r="X790" s="195">
        <f t="shared" si="162"/>
        <v>221.54</v>
      </c>
      <c r="Y790" s="29" t="e">
        <f>IF(+VLOOKUP(I790,P.Referencia!E:S,3,FALSE)&lt;=L790,"Champion","Gerente")</f>
        <v>#N/A</v>
      </c>
      <c r="Z790" s="39" t="e">
        <f>VLOOKUP(I790,P.Referencia!E:S,3,0)</f>
        <v>#N/A</v>
      </c>
      <c r="AA790" s="40" t="e">
        <f t="shared" si="164"/>
        <v>#N/A</v>
      </c>
      <c r="AB790" s="41" t="e">
        <f t="shared" si="165"/>
        <v>#N/A</v>
      </c>
      <c r="AC790" s="41" t="e">
        <f t="shared" si="166"/>
        <v>#N/A</v>
      </c>
    </row>
    <row r="791" spans="1:29" hidden="1" x14ac:dyDescent="0.25">
      <c r="A791" s="24">
        <v>790</v>
      </c>
      <c r="B791" s="89" t="s">
        <v>505</v>
      </c>
      <c r="C791" s="4" t="str">
        <f t="shared" si="169"/>
        <v>LlaveD86166932813100003112</v>
      </c>
      <c r="D791" s="25" t="str">
        <f>VLOOKUP(E791,'NO MODIFICAR'!J:K,2,0)</f>
        <v>D861</v>
      </c>
      <c r="E791" s="102" t="s">
        <v>44</v>
      </c>
      <c r="F791" s="33" t="str">
        <f>VLOOKUP(D791,'NO MODIFICAR'!F:H,3,0)</f>
        <v xml:space="preserve">CENTRO </v>
      </c>
      <c r="G791" s="28">
        <v>66932813</v>
      </c>
      <c r="H791" s="93" t="s">
        <v>214</v>
      </c>
      <c r="I791" s="94">
        <v>10000311</v>
      </c>
      <c r="J791" s="4" t="str">
        <f>VLOOKUP(I791,'Materiales,canteras'!C:D,2,0)</f>
        <v>Arena Triturada Basalto  Malla</v>
      </c>
      <c r="K791" s="25">
        <f>VLOOKUP(I791,'Materiales,canteras'!C:E,3,0)</f>
        <v>1.651</v>
      </c>
      <c r="L791" s="231">
        <v>186.56</v>
      </c>
      <c r="M791" s="28" t="s">
        <v>93</v>
      </c>
      <c r="N791" s="57">
        <f t="shared" ca="1" si="168"/>
        <v>46267</v>
      </c>
      <c r="O791" s="43" t="s">
        <v>201</v>
      </c>
      <c r="R791">
        <v>11.44</v>
      </c>
      <c r="S791" s="82">
        <v>286</v>
      </c>
      <c r="T791" s="66">
        <f t="shared" si="163"/>
        <v>-88</v>
      </c>
      <c r="U791" s="46">
        <f t="shared" si="167"/>
        <v>186.56</v>
      </c>
      <c r="V791" s="259">
        <v>0</v>
      </c>
      <c r="W791" s="4">
        <v>2</v>
      </c>
      <c r="X791" s="195">
        <f t="shared" si="162"/>
        <v>186.56</v>
      </c>
      <c r="Y791" s="29" t="e">
        <f>IF(+VLOOKUP(I791,P.Referencia!E:S,3,FALSE)&lt;=L791,"Champion","Gerente")</f>
        <v>#N/A</v>
      </c>
      <c r="Z791" s="39" t="e">
        <f>VLOOKUP(I791,P.Referencia!E:S,3,0)</f>
        <v>#N/A</v>
      </c>
      <c r="AA791" s="40" t="e">
        <f t="shared" si="164"/>
        <v>#N/A</v>
      </c>
      <c r="AB791" s="41" t="e">
        <f t="shared" si="165"/>
        <v>#N/A</v>
      </c>
      <c r="AC791" s="41" t="e">
        <f t="shared" si="166"/>
        <v>#N/A</v>
      </c>
    </row>
    <row r="792" spans="1:29" hidden="1" x14ac:dyDescent="0.25">
      <c r="A792" s="24">
        <v>791</v>
      </c>
      <c r="B792" s="89" t="s">
        <v>505</v>
      </c>
      <c r="C792" s="4" t="str">
        <f t="shared" si="169"/>
        <v>LlaveD86166932813100002292</v>
      </c>
      <c r="D792" s="25" t="str">
        <f>VLOOKUP(E792,'NO MODIFICAR'!J:K,2,0)</f>
        <v>D861</v>
      </c>
      <c r="E792" s="102" t="s">
        <v>44</v>
      </c>
      <c r="F792" s="33" t="str">
        <f>VLOOKUP(D792,'NO MODIFICAR'!F:H,3,0)</f>
        <v xml:space="preserve">CENTRO </v>
      </c>
      <c r="G792" s="28">
        <v>66932813</v>
      </c>
      <c r="H792" s="93" t="s">
        <v>214</v>
      </c>
      <c r="I792" s="94">
        <v>10000229</v>
      </c>
      <c r="J792" s="4" t="str">
        <f>VLOOKUP(I792,'Materiales,canteras'!C:D,2,0)</f>
        <v>Grava Triturada Basalto  10 mm</v>
      </c>
      <c r="K792" s="25">
        <f>VLOOKUP(I792,'Materiales,canteras'!C:E,3,0)</f>
        <v>1.522</v>
      </c>
      <c r="L792" s="231">
        <v>230</v>
      </c>
      <c r="M792" s="28" t="s">
        <v>93</v>
      </c>
      <c r="N792" s="57">
        <f t="shared" ca="1" si="168"/>
        <v>46267</v>
      </c>
      <c r="O792" s="43" t="s">
        <v>201</v>
      </c>
      <c r="R792">
        <v>14.08</v>
      </c>
      <c r="S792" s="82">
        <v>352</v>
      </c>
      <c r="T792" s="66">
        <f t="shared" si="163"/>
        <v>-107.92000000000002</v>
      </c>
      <c r="U792" s="46">
        <f t="shared" si="167"/>
        <v>230</v>
      </c>
      <c r="V792" s="259">
        <v>0</v>
      </c>
      <c r="W792" s="4">
        <v>2</v>
      </c>
      <c r="X792" s="195">
        <f t="shared" si="162"/>
        <v>230</v>
      </c>
      <c r="Y792" s="29" t="e">
        <f>IF(+VLOOKUP(I792,P.Referencia!E:S,3,FALSE)&lt;=L792,"Champion","Gerente")</f>
        <v>#N/A</v>
      </c>
      <c r="Z792" s="39" t="e">
        <f>VLOOKUP(I792,P.Referencia!E:S,3,0)</f>
        <v>#N/A</v>
      </c>
      <c r="AA792" s="40" t="e">
        <f t="shared" si="164"/>
        <v>#N/A</v>
      </c>
      <c r="AB792" s="41" t="e">
        <f t="shared" si="165"/>
        <v>#N/A</v>
      </c>
      <c r="AC792" s="41" t="e">
        <f t="shared" si="166"/>
        <v>#N/A</v>
      </c>
    </row>
    <row r="793" spans="1:29" hidden="1" x14ac:dyDescent="0.25">
      <c r="A793" s="24">
        <v>792</v>
      </c>
      <c r="B793" s="89" t="s">
        <v>505</v>
      </c>
      <c r="C793" s="4" t="str">
        <f t="shared" si="169"/>
        <v>LlaveD86166932813100002312</v>
      </c>
      <c r="D793" s="25" t="str">
        <f>VLOOKUP(E793,'NO MODIFICAR'!J:K,2,0)</f>
        <v>D861</v>
      </c>
      <c r="E793" s="102" t="s">
        <v>44</v>
      </c>
      <c r="F793" s="33" t="str">
        <f>VLOOKUP(D793,'NO MODIFICAR'!F:H,3,0)</f>
        <v xml:space="preserve">CENTRO </v>
      </c>
      <c r="G793" s="28">
        <v>66932813</v>
      </c>
      <c r="H793" s="93" t="s">
        <v>214</v>
      </c>
      <c r="I793" s="94">
        <v>10000231</v>
      </c>
      <c r="J793" s="4" t="str">
        <f>VLOOKUP(I793,'Materiales,canteras'!C:D,2,0)</f>
        <v>Grava Triturada Basalto 20 mm</v>
      </c>
      <c r="K793" s="25">
        <f>VLOOKUP(I793,'Materiales,canteras'!C:E,3,0)</f>
        <v>1.5649999999999999</v>
      </c>
      <c r="L793" s="231">
        <v>200</v>
      </c>
      <c r="M793" s="28" t="s">
        <v>93</v>
      </c>
      <c r="N793" s="57">
        <f t="shared" ca="1" si="168"/>
        <v>46267</v>
      </c>
      <c r="O793" s="43" t="s">
        <v>201</v>
      </c>
      <c r="R793">
        <v>12.32</v>
      </c>
      <c r="S793" s="82">
        <v>308</v>
      </c>
      <c r="T793" s="66">
        <f t="shared" si="163"/>
        <v>-95.68</v>
      </c>
      <c r="U793" s="46">
        <f t="shared" si="167"/>
        <v>200</v>
      </c>
      <c r="V793" s="259">
        <v>0</v>
      </c>
      <c r="W793" s="4">
        <v>2</v>
      </c>
      <c r="X793" s="195">
        <f t="shared" si="162"/>
        <v>200</v>
      </c>
      <c r="Y793" s="29" t="e">
        <f>IF(+VLOOKUP(I793,P.Referencia!E:S,3,FALSE)&lt;=L793,"Champion","Gerente")</f>
        <v>#N/A</v>
      </c>
      <c r="Z793" s="39" t="e">
        <f>VLOOKUP(I793,P.Referencia!E:S,3,0)</f>
        <v>#N/A</v>
      </c>
      <c r="AA793" s="40" t="e">
        <f t="shared" si="164"/>
        <v>#N/A</v>
      </c>
      <c r="AB793" s="41" t="e">
        <f t="shared" si="165"/>
        <v>#N/A</v>
      </c>
      <c r="AC793" s="41" t="e">
        <f t="shared" si="166"/>
        <v>#N/A</v>
      </c>
    </row>
    <row r="794" spans="1:29" hidden="1" x14ac:dyDescent="0.25">
      <c r="A794" s="24">
        <v>793</v>
      </c>
      <c r="B794" s="89" t="s">
        <v>505</v>
      </c>
      <c r="C794" s="4" t="str">
        <f t="shared" si="169"/>
        <v>LlaveD86166932813100002332</v>
      </c>
      <c r="D794" s="25" t="str">
        <f>VLOOKUP(E794,'NO MODIFICAR'!J:K,2,0)</f>
        <v>D861</v>
      </c>
      <c r="E794" s="102" t="s">
        <v>44</v>
      </c>
      <c r="F794" s="33" t="str">
        <f>VLOOKUP(D794,'NO MODIFICAR'!F:H,3,0)</f>
        <v xml:space="preserve">CENTRO </v>
      </c>
      <c r="G794" s="28">
        <v>66932813</v>
      </c>
      <c r="H794" s="93" t="s">
        <v>214</v>
      </c>
      <c r="I794" s="94">
        <v>10000233</v>
      </c>
      <c r="J794" s="4" t="str">
        <f>VLOOKUP(I794,'Materiales,canteras'!C:D,2,0)</f>
        <v>Grava Triturada Basalto  40 mm</v>
      </c>
      <c r="K794" s="25">
        <f>VLOOKUP(I794,'Materiales,canteras'!C:E,3,0)</f>
        <v>1.456</v>
      </c>
      <c r="L794" s="231">
        <v>221.54</v>
      </c>
      <c r="M794" s="28" t="s">
        <v>93</v>
      </c>
      <c r="N794" s="57">
        <f t="shared" ca="1" si="168"/>
        <v>46267</v>
      </c>
      <c r="O794" s="43" t="s">
        <v>201</v>
      </c>
      <c r="R794">
        <v>12.4</v>
      </c>
      <c r="S794" s="82">
        <v>310</v>
      </c>
      <c r="T794" s="66">
        <f t="shared" si="163"/>
        <v>-76.060000000000031</v>
      </c>
      <c r="U794" s="46">
        <f t="shared" si="167"/>
        <v>221.54</v>
      </c>
      <c r="V794" s="259">
        <v>0</v>
      </c>
      <c r="W794" s="4">
        <v>2</v>
      </c>
      <c r="X794" s="195">
        <f t="shared" si="162"/>
        <v>221.54</v>
      </c>
      <c r="Y794" s="29" t="e">
        <f>IF(+VLOOKUP(I794,P.Referencia!E:S,3,FALSE)&lt;=L794,"Champion","Gerente")</f>
        <v>#N/A</v>
      </c>
      <c r="Z794" s="39" t="e">
        <f>VLOOKUP(I794,P.Referencia!E:S,3,0)</f>
        <v>#N/A</v>
      </c>
      <c r="AA794" s="40" t="e">
        <f t="shared" si="164"/>
        <v>#N/A</v>
      </c>
      <c r="AB794" s="41" t="e">
        <f t="shared" si="165"/>
        <v>#N/A</v>
      </c>
      <c r="AC794" s="41" t="e">
        <f t="shared" si="166"/>
        <v>#N/A</v>
      </c>
    </row>
    <row r="795" spans="1:29" hidden="1" x14ac:dyDescent="0.25">
      <c r="A795" s="24">
        <v>794</v>
      </c>
      <c r="B795" s="89" t="s">
        <v>505</v>
      </c>
      <c r="C795" s="4" t="str">
        <f t="shared" si="169"/>
        <v>LlaveD86167082802100003112</v>
      </c>
      <c r="D795" s="25" t="str">
        <f>VLOOKUP(E795,'NO MODIFICAR'!J:K,2,0)</f>
        <v>D861</v>
      </c>
      <c r="E795" s="102" t="s">
        <v>44</v>
      </c>
      <c r="F795" s="33" t="str">
        <f>VLOOKUP(D795,'NO MODIFICAR'!F:H,3,0)</f>
        <v xml:space="preserve">CENTRO </v>
      </c>
      <c r="G795" s="28">
        <v>67082802</v>
      </c>
      <c r="H795" s="93" t="s">
        <v>265</v>
      </c>
      <c r="I795" s="94">
        <v>10000311</v>
      </c>
      <c r="J795" s="4" t="str">
        <f>VLOOKUP(I795,'Materiales,canteras'!C:D,2,0)</f>
        <v>Arena Triturada Basalto  Malla</v>
      </c>
      <c r="K795" s="25">
        <f>VLOOKUP(I795,'Materiales,canteras'!C:E,3,0)</f>
        <v>1.651</v>
      </c>
      <c r="L795" s="231">
        <v>186.56</v>
      </c>
      <c r="M795" s="28" t="s">
        <v>93</v>
      </c>
      <c r="N795" s="57">
        <f t="shared" ca="1" si="168"/>
        <v>46267</v>
      </c>
      <c r="O795" s="43" t="s">
        <v>201</v>
      </c>
      <c r="R795">
        <v>4.29</v>
      </c>
      <c r="S795" s="82">
        <v>286</v>
      </c>
      <c r="T795" s="66">
        <f t="shared" si="163"/>
        <v>-95.149999999999977</v>
      </c>
      <c r="U795" s="46">
        <f t="shared" si="167"/>
        <v>186.56</v>
      </c>
      <c r="V795" s="259">
        <v>0</v>
      </c>
      <c r="W795" s="4">
        <v>2</v>
      </c>
      <c r="X795" s="195">
        <f t="shared" si="162"/>
        <v>186.56</v>
      </c>
      <c r="Y795" s="29" t="e">
        <f>IF(+VLOOKUP(I795,P.Referencia!E:S,3,FALSE)&lt;=L795,"Champion","Gerente")</f>
        <v>#N/A</v>
      </c>
      <c r="Z795" s="39" t="e">
        <f>VLOOKUP(I795,P.Referencia!E:S,3,0)</f>
        <v>#N/A</v>
      </c>
      <c r="AA795" s="40" t="e">
        <f t="shared" si="164"/>
        <v>#N/A</v>
      </c>
      <c r="AB795" s="41" t="e">
        <f t="shared" si="165"/>
        <v>#N/A</v>
      </c>
      <c r="AC795" s="41" t="e">
        <f t="shared" si="166"/>
        <v>#N/A</v>
      </c>
    </row>
    <row r="796" spans="1:29" hidden="1" x14ac:dyDescent="0.25">
      <c r="A796" s="24">
        <v>795</v>
      </c>
      <c r="B796" s="89" t="s">
        <v>505</v>
      </c>
      <c r="C796" s="4" t="str">
        <f t="shared" si="169"/>
        <v>LlaveD86167082802100002292</v>
      </c>
      <c r="D796" s="25" t="str">
        <f>VLOOKUP(E796,'NO MODIFICAR'!J:K,2,0)</f>
        <v>D861</v>
      </c>
      <c r="E796" s="102" t="s">
        <v>44</v>
      </c>
      <c r="F796" s="33" t="str">
        <f>VLOOKUP(D796,'NO MODIFICAR'!F:H,3,0)</f>
        <v xml:space="preserve">CENTRO </v>
      </c>
      <c r="G796" s="28">
        <v>67082802</v>
      </c>
      <c r="H796" s="93" t="s">
        <v>265</v>
      </c>
      <c r="I796" s="94">
        <v>10000229</v>
      </c>
      <c r="J796" s="4" t="str">
        <f>VLOOKUP(I796,'Materiales,canteras'!C:D,2,0)</f>
        <v>Grava Triturada Basalto  10 mm</v>
      </c>
      <c r="K796" s="25">
        <f>VLOOKUP(I796,'Materiales,canteras'!C:E,3,0)</f>
        <v>1.522</v>
      </c>
      <c r="L796" s="231">
        <v>230</v>
      </c>
      <c r="M796" s="28" t="s">
        <v>93</v>
      </c>
      <c r="N796" s="57">
        <f t="shared" ca="1" si="168"/>
        <v>46267</v>
      </c>
      <c r="O796" s="43" t="s">
        <v>201</v>
      </c>
      <c r="R796">
        <v>5.28</v>
      </c>
      <c r="S796" s="82">
        <v>352</v>
      </c>
      <c r="T796" s="66">
        <f t="shared" si="163"/>
        <v>-116.72000000000003</v>
      </c>
      <c r="U796" s="46">
        <f t="shared" si="167"/>
        <v>230</v>
      </c>
      <c r="V796" s="259">
        <v>0</v>
      </c>
      <c r="W796" s="4">
        <v>2</v>
      </c>
      <c r="X796" s="195">
        <f t="shared" si="162"/>
        <v>230</v>
      </c>
      <c r="Y796" s="29" t="e">
        <f>IF(+VLOOKUP(I796,P.Referencia!E:S,3,FALSE)&lt;=L796,"Champion","Gerente")</f>
        <v>#N/A</v>
      </c>
      <c r="Z796" s="39" t="e">
        <f>VLOOKUP(I796,P.Referencia!E:S,3,0)</f>
        <v>#N/A</v>
      </c>
      <c r="AA796" s="40" t="e">
        <f t="shared" si="164"/>
        <v>#N/A</v>
      </c>
      <c r="AB796" s="41" t="e">
        <f t="shared" si="165"/>
        <v>#N/A</v>
      </c>
      <c r="AC796" s="41" t="e">
        <f t="shared" si="166"/>
        <v>#N/A</v>
      </c>
    </row>
    <row r="797" spans="1:29" hidden="1" x14ac:dyDescent="0.25">
      <c r="A797" s="24">
        <v>796</v>
      </c>
      <c r="B797" s="89" t="s">
        <v>505</v>
      </c>
      <c r="C797" s="4" t="str">
        <f t="shared" si="169"/>
        <v>LlaveD86167082802100002312</v>
      </c>
      <c r="D797" s="25" t="str">
        <f>VLOOKUP(E797,'NO MODIFICAR'!J:K,2,0)</f>
        <v>D861</v>
      </c>
      <c r="E797" s="102" t="s">
        <v>44</v>
      </c>
      <c r="F797" s="33" t="str">
        <f>VLOOKUP(D797,'NO MODIFICAR'!F:H,3,0)</f>
        <v xml:space="preserve">CENTRO </v>
      </c>
      <c r="G797" s="28">
        <v>67082802</v>
      </c>
      <c r="H797" s="93" t="s">
        <v>265</v>
      </c>
      <c r="I797" s="94">
        <v>10000231</v>
      </c>
      <c r="J797" s="4" t="str">
        <f>VLOOKUP(I797,'Materiales,canteras'!C:D,2,0)</f>
        <v>Grava Triturada Basalto 20 mm</v>
      </c>
      <c r="K797" s="25">
        <f>VLOOKUP(I797,'Materiales,canteras'!C:E,3,0)</f>
        <v>1.5649999999999999</v>
      </c>
      <c r="L797" s="231">
        <v>200</v>
      </c>
      <c r="M797" s="28" t="s">
        <v>93</v>
      </c>
      <c r="N797" s="57">
        <f t="shared" ca="1" si="168"/>
        <v>46267</v>
      </c>
      <c r="O797" s="43" t="s">
        <v>201</v>
      </c>
      <c r="R797">
        <v>4.62</v>
      </c>
      <c r="S797" s="82">
        <v>308</v>
      </c>
      <c r="T797" s="66">
        <f t="shared" si="163"/>
        <v>-103.38</v>
      </c>
      <c r="U797" s="46">
        <f t="shared" si="167"/>
        <v>200</v>
      </c>
      <c r="V797" s="259">
        <v>0</v>
      </c>
      <c r="W797" s="4">
        <v>2</v>
      </c>
      <c r="X797" s="195">
        <f t="shared" si="162"/>
        <v>200</v>
      </c>
      <c r="Y797" s="29" t="e">
        <f>IF(+VLOOKUP(I797,P.Referencia!E:S,3,FALSE)&lt;=L797,"Champion","Gerente")</f>
        <v>#N/A</v>
      </c>
      <c r="Z797" s="39" t="e">
        <f>VLOOKUP(I797,P.Referencia!E:S,3,0)</f>
        <v>#N/A</v>
      </c>
      <c r="AA797" s="40" t="e">
        <f t="shared" si="164"/>
        <v>#N/A</v>
      </c>
      <c r="AB797" s="41" t="e">
        <f t="shared" si="165"/>
        <v>#N/A</v>
      </c>
      <c r="AC797" s="41" t="e">
        <f t="shared" si="166"/>
        <v>#N/A</v>
      </c>
    </row>
    <row r="798" spans="1:29" hidden="1" x14ac:dyDescent="0.25">
      <c r="A798" s="24">
        <v>797</v>
      </c>
      <c r="B798" s="89" t="s">
        <v>505</v>
      </c>
      <c r="C798" s="4" t="str">
        <f t="shared" si="169"/>
        <v>LlaveD86167082802100002332</v>
      </c>
      <c r="D798" s="25" t="str">
        <f>VLOOKUP(E798,'NO MODIFICAR'!J:K,2,0)</f>
        <v>D861</v>
      </c>
      <c r="E798" s="102" t="s">
        <v>44</v>
      </c>
      <c r="F798" s="33" t="str">
        <f>VLOOKUP(D798,'NO MODIFICAR'!F:H,3,0)</f>
        <v xml:space="preserve">CENTRO </v>
      </c>
      <c r="G798" s="28">
        <v>67082802</v>
      </c>
      <c r="H798" s="93" t="s">
        <v>265</v>
      </c>
      <c r="I798" s="94">
        <v>10000233</v>
      </c>
      <c r="J798" s="4" t="str">
        <f>VLOOKUP(I798,'Materiales,canteras'!C:D,2,0)</f>
        <v>Grava Triturada Basalto  40 mm</v>
      </c>
      <c r="K798" s="25">
        <f>VLOOKUP(I798,'Materiales,canteras'!C:E,3,0)</f>
        <v>1.456</v>
      </c>
      <c r="L798" s="231">
        <v>221.54</v>
      </c>
      <c r="M798" s="28" t="s">
        <v>93</v>
      </c>
      <c r="N798" s="57">
        <f t="shared" ca="1" si="168"/>
        <v>46267</v>
      </c>
      <c r="O798" s="43" t="s">
        <v>201</v>
      </c>
      <c r="R798">
        <v>4.6500000000000004</v>
      </c>
      <c r="S798" s="82">
        <v>310</v>
      </c>
      <c r="T798" s="66">
        <f t="shared" si="163"/>
        <v>-83.810000000000031</v>
      </c>
      <c r="U798" s="46">
        <f t="shared" si="167"/>
        <v>221.54</v>
      </c>
      <c r="V798" s="259">
        <v>0</v>
      </c>
      <c r="W798" s="4">
        <v>2</v>
      </c>
      <c r="X798" s="195">
        <f t="shared" si="162"/>
        <v>221.54</v>
      </c>
      <c r="Y798" s="29" t="e">
        <f>IF(+VLOOKUP(I798,P.Referencia!E:S,3,FALSE)&lt;=L798,"Champion","Gerente")</f>
        <v>#N/A</v>
      </c>
      <c r="Z798" s="39" t="e">
        <f>VLOOKUP(I798,P.Referencia!E:S,3,0)</f>
        <v>#N/A</v>
      </c>
      <c r="AA798" s="40" t="e">
        <f t="shared" si="164"/>
        <v>#N/A</v>
      </c>
      <c r="AB798" s="41" t="e">
        <f t="shared" si="165"/>
        <v>#N/A</v>
      </c>
      <c r="AC798" s="41" t="e">
        <f t="shared" si="166"/>
        <v>#N/A</v>
      </c>
    </row>
    <row r="799" spans="1:29" hidden="1" x14ac:dyDescent="0.25">
      <c r="A799" s="24">
        <v>798</v>
      </c>
      <c r="B799" s="89" t="s">
        <v>505</v>
      </c>
      <c r="C799" s="4" t="str">
        <f t="shared" si="169"/>
        <v>LlaveD82467364316100002842</v>
      </c>
      <c r="D799" s="25" t="str">
        <f>VLOOKUP(E799,'NO MODIFICAR'!J:K,2,0)</f>
        <v>D824</v>
      </c>
      <c r="E799" s="102" t="s">
        <v>28</v>
      </c>
      <c r="F799" s="33" t="str">
        <f>VLOOKUP(D799,'NO MODIFICAR'!F:H,3,0)</f>
        <v>NORESTE</v>
      </c>
      <c r="G799" s="28">
        <v>67364316</v>
      </c>
      <c r="H799" s="93" t="s">
        <v>501</v>
      </c>
      <c r="I799" s="94">
        <v>10000284</v>
      </c>
      <c r="J799" s="4" t="str">
        <f>VLOOKUP(I799,'Materiales,canteras'!C:D,2,0)</f>
        <v>Grava Triturada Basalto  20 mm</v>
      </c>
      <c r="K799" s="25">
        <f>VLOOKUP(I799,'Materiales,canteras'!C:E,3,0)</f>
        <v>1.429</v>
      </c>
      <c r="L799" s="231">
        <v>200</v>
      </c>
      <c r="M799" s="28" t="s">
        <v>93</v>
      </c>
      <c r="N799" s="57">
        <f t="shared" ca="1" si="168"/>
        <v>46267</v>
      </c>
      <c r="O799" s="43" t="s">
        <v>201</v>
      </c>
      <c r="Q799">
        <v>10.65</v>
      </c>
      <c r="R799">
        <v>3.04</v>
      </c>
      <c r="S799" s="82">
        <v>213</v>
      </c>
      <c r="T799" s="66">
        <f t="shared" si="163"/>
        <v>0.68999999999999773</v>
      </c>
      <c r="U799" s="46">
        <f t="shared" si="167"/>
        <v>200</v>
      </c>
      <c r="V799" s="259">
        <v>0</v>
      </c>
      <c r="W799" s="4">
        <v>2</v>
      </c>
      <c r="X799" s="195">
        <f t="shared" si="162"/>
        <v>200</v>
      </c>
      <c r="Y799" s="29" t="e">
        <f>IF(+VLOOKUP(I799,P.Referencia!E:S,3,FALSE)&lt;=L799,"Champion","Gerente")</f>
        <v>#N/A</v>
      </c>
      <c r="Z799" s="39" t="e">
        <f>VLOOKUP(I799,P.Referencia!E:S,3,0)</f>
        <v>#N/A</v>
      </c>
      <c r="AA799" s="40" t="e">
        <f t="shared" si="164"/>
        <v>#N/A</v>
      </c>
      <c r="AB799" s="41" t="e">
        <f t="shared" si="165"/>
        <v>#N/A</v>
      </c>
      <c r="AC799" s="41" t="e">
        <f t="shared" si="166"/>
        <v>#N/A</v>
      </c>
    </row>
    <row r="800" spans="1:29" hidden="1" x14ac:dyDescent="0.25">
      <c r="A800" s="24">
        <v>799</v>
      </c>
      <c r="B800" s="89" t="s">
        <v>505</v>
      </c>
      <c r="C800" s="4" t="str">
        <f t="shared" si="169"/>
        <v>LlaveD82467364316100002892</v>
      </c>
      <c r="D800" s="25" t="str">
        <f>VLOOKUP(E800,'NO MODIFICAR'!J:K,2,0)</f>
        <v>D824</v>
      </c>
      <c r="E800" s="102" t="s">
        <v>28</v>
      </c>
      <c r="F800" s="33" t="str">
        <f>VLOOKUP(D800,'NO MODIFICAR'!F:H,3,0)</f>
        <v>NORESTE</v>
      </c>
      <c r="G800" s="28">
        <v>67364316</v>
      </c>
      <c r="H800" s="93" t="s">
        <v>501</v>
      </c>
      <c r="I800" s="94">
        <v>10000289</v>
      </c>
      <c r="J800" s="4" t="str">
        <f>VLOOKUP(I800,'Materiales,canteras'!C:D,2,0)</f>
        <v>Desperdicio Triturado Basalto</v>
      </c>
      <c r="K800" s="25">
        <f>VLOOKUP(I800,'Materiales,canteras'!C:E,3,0)</f>
        <v>1.55</v>
      </c>
      <c r="L800" s="231">
        <v>60</v>
      </c>
      <c r="M800" s="28" t="s">
        <v>93</v>
      </c>
      <c r="N800" s="57">
        <f t="shared" ca="1" si="168"/>
        <v>46267</v>
      </c>
      <c r="O800" s="43" t="s">
        <v>201</v>
      </c>
      <c r="Q800">
        <v>3.45</v>
      </c>
      <c r="R800">
        <v>0.98</v>
      </c>
      <c r="S800" s="82">
        <v>69</v>
      </c>
      <c r="T800" s="66">
        <f t="shared" si="163"/>
        <v>-4.5699999999999932</v>
      </c>
      <c r="U800" s="46">
        <f t="shared" si="167"/>
        <v>60</v>
      </c>
      <c r="V800" s="259">
        <v>0</v>
      </c>
      <c r="W800" s="4">
        <v>2</v>
      </c>
      <c r="X800" s="195">
        <f t="shared" ref="X800:X863" si="170">U800+V800</f>
        <v>60</v>
      </c>
      <c r="Y800" s="29" t="e">
        <f>IF(+VLOOKUP(I800,P.Referencia!E:S,3,FALSE)&lt;=L800,"Champion","Gerente")</f>
        <v>#N/A</v>
      </c>
      <c r="Z800" s="39" t="e">
        <f>VLOOKUP(I800,P.Referencia!E:S,3,0)</f>
        <v>#N/A</v>
      </c>
      <c r="AA800" s="40" t="e">
        <f t="shared" si="164"/>
        <v>#N/A</v>
      </c>
      <c r="AB800" s="41" t="e">
        <f t="shared" si="165"/>
        <v>#N/A</v>
      </c>
      <c r="AC800" s="41" t="e">
        <f t="shared" si="166"/>
        <v>#N/A</v>
      </c>
    </row>
    <row r="801" spans="1:30" hidden="1" x14ac:dyDescent="0.25">
      <c r="A801" s="24">
        <v>800</v>
      </c>
      <c r="B801" s="89" t="s">
        <v>505</v>
      </c>
      <c r="C801" s="4" t="str">
        <f t="shared" si="169"/>
        <v>LlaveD82467364316100231082</v>
      </c>
      <c r="D801" s="25" t="str">
        <f>VLOOKUP(E801,'NO MODIFICAR'!J:K,2,0)</f>
        <v>D824</v>
      </c>
      <c r="E801" s="102" t="s">
        <v>28</v>
      </c>
      <c r="F801" s="33" t="str">
        <f>VLOOKUP(D801,'NO MODIFICAR'!F:H,3,0)</f>
        <v>NORESTE</v>
      </c>
      <c r="G801" s="28">
        <v>67364316</v>
      </c>
      <c r="H801" s="93" t="s">
        <v>501</v>
      </c>
      <c r="I801" s="94">
        <v>10023108</v>
      </c>
      <c r="J801" s="4" t="str">
        <f>VLOOKUP(I801,'Materiales,canteras'!C:D,2,0)</f>
        <v>Base H Triturada Basalto  1 1/2" a Finos</v>
      </c>
      <c r="K801" s="25">
        <f>VLOOKUP(I801,'Materiales,canteras'!C:E,3,0)</f>
        <v>1.9690000000000001</v>
      </c>
      <c r="L801" s="231">
        <v>190</v>
      </c>
      <c r="M801" s="28" t="s">
        <v>93</v>
      </c>
      <c r="N801" s="57">
        <f t="shared" ca="1" si="168"/>
        <v>46267</v>
      </c>
      <c r="O801" s="43" t="s">
        <v>201</v>
      </c>
      <c r="Q801">
        <v>10.050000000000001</v>
      </c>
      <c r="R801">
        <v>2.86</v>
      </c>
      <c r="S801" s="82">
        <v>201</v>
      </c>
      <c r="T801" s="66">
        <f t="shared" si="163"/>
        <v>1.910000000000025</v>
      </c>
      <c r="U801" s="46">
        <f t="shared" si="167"/>
        <v>190</v>
      </c>
      <c r="V801" s="259">
        <v>0</v>
      </c>
      <c r="W801" s="4">
        <v>2</v>
      </c>
      <c r="X801" s="195">
        <f t="shared" si="170"/>
        <v>190</v>
      </c>
      <c r="Y801" s="29" t="e">
        <f>IF(+VLOOKUP(I801,P.Referencia!E:S,3,FALSE)&lt;=L801,"Champion","Gerente")</f>
        <v>#N/A</v>
      </c>
      <c r="Z801" s="39" t="e">
        <f>VLOOKUP(I801,P.Referencia!E:S,3,0)</f>
        <v>#N/A</v>
      </c>
      <c r="AA801" s="40" t="e">
        <f t="shared" si="164"/>
        <v>#N/A</v>
      </c>
      <c r="AB801" s="41" t="e">
        <f t="shared" si="165"/>
        <v>#N/A</v>
      </c>
      <c r="AC801" s="41" t="e">
        <f t="shared" si="166"/>
        <v>#N/A</v>
      </c>
    </row>
    <row r="802" spans="1:30" hidden="1" x14ac:dyDescent="0.25">
      <c r="A802" s="24">
        <v>801</v>
      </c>
      <c r="B802" s="89" t="s">
        <v>505</v>
      </c>
      <c r="C802" s="4" t="str">
        <f t="shared" si="169"/>
        <v>LlaveD85265046762100389422</v>
      </c>
      <c r="D802" s="25" t="str">
        <f>VLOOKUP(E802,'NO MODIFICAR'!J:K,2,0)</f>
        <v>D852</v>
      </c>
      <c r="E802" s="102" t="s">
        <v>36</v>
      </c>
      <c r="F802" s="33" t="str">
        <f>VLOOKUP(D802,'NO MODIFICAR'!F:H,3,0)</f>
        <v>NORESTE</v>
      </c>
      <c r="G802" s="28">
        <v>65046762</v>
      </c>
      <c r="H802" s="93" t="s">
        <v>527</v>
      </c>
      <c r="I802" s="94">
        <v>10038942</v>
      </c>
      <c r="J802" s="4" t="str">
        <f>VLOOKUP(I802,'Materiales,canteras'!C:D,2,0)</f>
        <v>Arena Triturada Caliza Malla 8</v>
      </c>
      <c r="K802" s="25">
        <f>VLOOKUP(I802,'Materiales,canteras'!C:E,3,0)</f>
        <v>1.629</v>
      </c>
      <c r="L802" s="231">
        <v>93.81</v>
      </c>
      <c r="M802" s="28" t="s">
        <v>93</v>
      </c>
      <c r="N802" s="57">
        <f t="shared" ca="1" si="168"/>
        <v>46267</v>
      </c>
      <c r="O802" s="43" t="s">
        <v>201</v>
      </c>
      <c r="S802" s="82"/>
      <c r="T802" s="66">
        <f t="shared" si="163"/>
        <v>93.81</v>
      </c>
      <c r="U802" s="46">
        <f t="shared" si="167"/>
        <v>93.81</v>
      </c>
      <c r="V802" s="259">
        <v>0</v>
      </c>
      <c r="W802" s="4">
        <v>2</v>
      </c>
      <c r="X802" s="195">
        <f t="shared" si="170"/>
        <v>93.81</v>
      </c>
      <c r="Y802" s="29" t="e">
        <f>IF(+VLOOKUP(I802,P.Referencia!E:S,3,FALSE)&lt;=L802,"Champion","Gerente")</f>
        <v>#N/A</v>
      </c>
      <c r="Z802" s="39" t="e">
        <f>VLOOKUP(I802,P.Referencia!E:S,3,0)</f>
        <v>#N/A</v>
      </c>
      <c r="AA802" s="40" t="e">
        <f t="shared" si="164"/>
        <v>#N/A</v>
      </c>
      <c r="AB802" s="41" t="e">
        <f t="shared" si="165"/>
        <v>#N/A</v>
      </c>
      <c r="AC802" s="41" t="e">
        <f t="shared" si="166"/>
        <v>#N/A</v>
      </c>
      <c r="AD802" t="s">
        <v>526</v>
      </c>
    </row>
    <row r="803" spans="1:30" hidden="1" x14ac:dyDescent="0.25">
      <c r="A803" s="24">
        <v>802</v>
      </c>
      <c r="B803" s="89" t="s">
        <v>505</v>
      </c>
      <c r="C803" s="4" t="str">
        <f t="shared" si="169"/>
        <v>LlaveD85265046762100389422</v>
      </c>
      <c r="D803" s="25" t="str">
        <f>VLOOKUP(E803,'NO MODIFICAR'!J:K,2,0)</f>
        <v>D852</v>
      </c>
      <c r="E803" s="102" t="s">
        <v>36</v>
      </c>
      <c r="F803" s="33" t="str">
        <f>VLOOKUP(D803,'NO MODIFICAR'!F:H,3,0)</f>
        <v>NORESTE</v>
      </c>
      <c r="G803" s="28">
        <v>65046762</v>
      </c>
      <c r="H803" s="93" t="s">
        <v>527</v>
      </c>
      <c r="I803" s="94">
        <v>10038942</v>
      </c>
      <c r="J803" s="4" t="str">
        <f>VLOOKUP(I803,'Materiales,canteras'!C:D,2,0)</f>
        <v>Arena Triturada Caliza Malla 8</v>
      </c>
      <c r="K803" s="25">
        <f>VLOOKUP(I803,'Materiales,canteras'!C:E,3,0)</f>
        <v>1.629</v>
      </c>
      <c r="L803" s="231">
        <v>105</v>
      </c>
      <c r="M803" s="28" t="s">
        <v>93</v>
      </c>
      <c r="N803" s="57">
        <f t="shared" ca="1" si="168"/>
        <v>46267</v>
      </c>
      <c r="O803" s="43" t="s">
        <v>201</v>
      </c>
      <c r="S803" s="82"/>
      <c r="T803" s="66">
        <f t="shared" si="163"/>
        <v>105</v>
      </c>
      <c r="U803" s="46">
        <f t="shared" si="167"/>
        <v>105</v>
      </c>
      <c r="V803" s="259">
        <v>0</v>
      </c>
      <c r="W803" s="4">
        <v>2</v>
      </c>
      <c r="X803" s="195">
        <f t="shared" si="170"/>
        <v>105</v>
      </c>
      <c r="Y803" s="29" t="e">
        <f>IF(+VLOOKUP(I803,P.Referencia!E:S,3,FALSE)&lt;=L803,"Champion","Gerente")</f>
        <v>#N/A</v>
      </c>
      <c r="Z803" s="39" t="e">
        <f>VLOOKUP(I803,P.Referencia!E:S,3,0)</f>
        <v>#N/A</v>
      </c>
      <c r="AA803" s="40" t="e">
        <f t="shared" si="164"/>
        <v>#N/A</v>
      </c>
      <c r="AB803" s="41" t="e">
        <f t="shared" si="165"/>
        <v>#N/A</v>
      </c>
      <c r="AC803" s="41" t="e">
        <f t="shared" si="166"/>
        <v>#N/A</v>
      </c>
      <c r="AD803" t="s">
        <v>528</v>
      </c>
    </row>
    <row r="804" spans="1:30" hidden="1" x14ac:dyDescent="0.25">
      <c r="A804" s="24">
        <v>803</v>
      </c>
      <c r="B804" s="89" t="s">
        <v>505</v>
      </c>
      <c r="C804" s="4" t="str">
        <f t="shared" si="169"/>
        <v>LlaveD85267228866100389432</v>
      </c>
      <c r="D804" s="25" t="str">
        <f>VLOOKUP(E804,'NO MODIFICAR'!J:K,2,0)</f>
        <v>D852</v>
      </c>
      <c r="E804" s="102" t="s">
        <v>36</v>
      </c>
      <c r="F804" s="33" t="str">
        <f>VLOOKUP(D804,'NO MODIFICAR'!F:H,3,0)</f>
        <v>NORESTE</v>
      </c>
      <c r="G804" s="28">
        <v>67228866</v>
      </c>
      <c r="H804" s="93" t="s">
        <v>529</v>
      </c>
      <c r="I804" s="94">
        <v>10038943</v>
      </c>
      <c r="J804" s="4" t="str">
        <f>VLOOKUP(I804,'Materiales,canteras'!C:D,2,0)</f>
        <v>Arena Triturada Caliza Malla 4</v>
      </c>
      <c r="K804" s="25">
        <f>VLOOKUP(I804,'Materiales,canteras'!C:E,3,0)</f>
        <v>1.61</v>
      </c>
      <c r="L804" s="231">
        <v>130</v>
      </c>
      <c r="M804" s="28" t="s">
        <v>93</v>
      </c>
      <c r="N804" s="57">
        <f t="shared" ca="1" si="168"/>
        <v>46267</v>
      </c>
      <c r="O804" s="43" t="s">
        <v>201</v>
      </c>
      <c r="S804" s="82"/>
      <c r="T804" s="66">
        <f t="shared" si="163"/>
        <v>130</v>
      </c>
      <c r="U804" s="46">
        <f t="shared" si="167"/>
        <v>130</v>
      </c>
      <c r="V804" s="259">
        <v>0</v>
      </c>
      <c r="W804" s="4">
        <v>2</v>
      </c>
      <c r="X804" s="195">
        <f t="shared" si="170"/>
        <v>130</v>
      </c>
      <c r="Y804" s="29" t="e">
        <f>IF(+VLOOKUP(I804,P.Referencia!E:S,3,FALSE)&lt;=L804,"Champion","Gerente")</f>
        <v>#N/A</v>
      </c>
      <c r="Z804" s="39" t="e">
        <f>VLOOKUP(I804,P.Referencia!E:S,3,0)</f>
        <v>#N/A</v>
      </c>
      <c r="AA804" s="40" t="e">
        <f t="shared" si="164"/>
        <v>#N/A</v>
      </c>
      <c r="AB804" s="41" t="e">
        <f t="shared" si="165"/>
        <v>#N/A</v>
      </c>
      <c r="AC804" s="41" t="e">
        <f t="shared" si="166"/>
        <v>#N/A</v>
      </c>
      <c r="AD804" t="s">
        <v>530</v>
      </c>
    </row>
    <row r="805" spans="1:30" hidden="1" x14ac:dyDescent="0.25">
      <c r="A805" s="24">
        <v>804</v>
      </c>
      <c r="B805" s="89" t="s">
        <v>505</v>
      </c>
      <c r="C805" s="4" t="str">
        <f t="shared" si="169"/>
        <v>LlaveDU0766936812100001952</v>
      </c>
      <c r="D805" s="25" t="str">
        <f>VLOOKUP(E805,'NO MODIFICAR'!J:K,2,0)</f>
        <v>DU07</v>
      </c>
      <c r="E805" s="102" t="s">
        <v>87</v>
      </c>
      <c r="F805" s="33" t="str">
        <f>VLOOKUP(D805,'NO MODIFICAR'!F:H,3,0)</f>
        <v>SURESTE</v>
      </c>
      <c r="G805" s="28">
        <v>66936812</v>
      </c>
      <c r="H805" s="93" t="s">
        <v>372</v>
      </c>
      <c r="I805" s="94">
        <v>10000195</v>
      </c>
      <c r="J805" s="4" t="str">
        <f>VLOOKUP(I805,'Materiales,canteras'!C:D,2,0)</f>
        <v>GRAVA TRITURADA CALIZA 20 MM - 3/4"–CAPA</v>
      </c>
      <c r="K805" s="25">
        <f>VLOOKUP(I805,'Materiales,canteras'!C:E,3,0)</f>
        <v>1.2010000000000001</v>
      </c>
      <c r="L805" s="231">
        <v>283.10000000000002</v>
      </c>
      <c r="M805" s="28" t="s">
        <v>93</v>
      </c>
      <c r="N805" s="57">
        <f t="shared" ca="1" si="168"/>
        <v>46267</v>
      </c>
      <c r="O805" s="43" t="s">
        <v>201</v>
      </c>
      <c r="S805" s="82">
        <v>336</v>
      </c>
      <c r="T805" s="66">
        <f t="shared" si="163"/>
        <v>-52.899999999999977</v>
      </c>
      <c r="U805" s="46">
        <f t="shared" si="167"/>
        <v>283.10000000000002</v>
      </c>
      <c r="V805" s="259">
        <v>0</v>
      </c>
      <c r="W805" s="4">
        <v>2</v>
      </c>
      <c r="X805" s="195">
        <f t="shared" si="170"/>
        <v>283.10000000000002</v>
      </c>
      <c r="Y805" s="29" t="e">
        <f>IF(+VLOOKUP(I805,P.Referencia!E:S,3,FALSE)&lt;=L805,"Champion","Gerente")</f>
        <v>#N/A</v>
      </c>
      <c r="Z805" s="39" t="e">
        <f>VLOOKUP(I805,P.Referencia!E:S,3,0)</f>
        <v>#N/A</v>
      </c>
      <c r="AA805" s="40" t="e">
        <f t="shared" si="164"/>
        <v>#N/A</v>
      </c>
      <c r="AB805" s="41" t="e">
        <f t="shared" si="165"/>
        <v>#N/A</v>
      </c>
      <c r="AC805" s="41" t="e">
        <f t="shared" si="166"/>
        <v>#N/A</v>
      </c>
      <c r="AD805" t="s">
        <v>531</v>
      </c>
    </row>
    <row r="806" spans="1:30" hidden="1" x14ac:dyDescent="0.25">
      <c r="A806" s="24">
        <v>805</v>
      </c>
      <c r="B806" s="89" t="s">
        <v>505</v>
      </c>
      <c r="C806" s="4" t="str">
        <f t="shared" si="169"/>
        <v>LlaveDU0767354070100001952</v>
      </c>
      <c r="D806" s="25" t="str">
        <f>VLOOKUP(E806,'NO MODIFICAR'!J:K,2,0)</f>
        <v>DU07</v>
      </c>
      <c r="E806" s="102" t="s">
        <v>87</v>
      </c>
      <c r="F806" s="33" t="str">
        <f>VLOOKUP(D806,'NO MODIFICAR'!F:H,3,0)</f>
        <v>SURESTE</v>
      </c>
      <c r="G806" s="28">
        <v>67354070</v>
      </c>
      <c r="H806" s="93" t="s">
        <v>370</v>
      </c>
      <c r="I806" s="94">
        <v>10000195</v>
      </c>
      <c r="J806" s="4" t="str">
        <f>VLOOKUP(I806,'Materiales,canteras'!C:D,2,0)</f>
        <v>GRAVA TRITURADA CALIZA 20 MM - 3/4"–CAPA</v>
      </c>
      <c r="K806" s="25">
        <f>VLOOKUP(I806,'Materiales,canteras'!C:E,3,0)</f>
        <v>1.2010000000000001</v>
      </c>
      <c r="L806" s="231">
        <v>294.42</v>
      </c>
      <c r="M806" s="28" t="s">
        <v>93</v>
      </c>
      <c r="N806" s="57">
        <f t="shared" ca="1" si="168"/>
        <v>46267</v>
      </c>
      <c r="O806" s="43" t="s">
        <v>201</v>
      </c>
      <c r="S806" s="82">
        <v>336</v>
      </c>
      <c r="T806" s="66">
        <f t="shared" si="163"/>
        <v>-41.579999999999984</v>
      </c>
      <c r="U806" s="46">
        <f t="shared" si="167"/>
        <v>294.42</v>
      </c>
      <c r="V806" s="259">
        <v>0</v>
      </c>
      <c r="W806" s="4">
        <v>2</v>
      </c>
      <c r="X806" s="195">
        <f t="shared" si="170"/>
        <v>294.42</v>
      </c>
      <c r="Y806" s="29" t="e">
        <f>IF(+VLOOKUP(I806,P.Referencia!E:S,3,FALSE)&lt;=L806,"Champion","Gerente")</f>
        <v>#N/A</v>
      </c>
      <c r="Z806" s="39" t="e">
        <f>VLOOKUP(I806,P.Referencia!E:S,3,0)</f>
        <v>#N/A</v>
      </c>
      <c r="AA806" s="40" t="e">
        <f t="shared" si="164"/>
        <v>#N/A</v>
      </c>
      <c r="AB806" s="41" t="e">
        <f t="shared" si="165"/>
        <v>#N/A</v>
      </c>
      <c r="AC806" s="41" t="e">
        <f t="shared" si="166"/>
        <v>#N/A</v>
      </c>
      <c r="AD806" t="s">
        <v>532</v>
      </c>
    </row>
    <row r="807" spans="1:30" hidden="1" x14ac:dyDescent="0.25">
      <c r="A807" s="24">
        <v>806</v>
      </c>
      <c r="B807" s="89" t="s">
        <v>505</v>
      </c>
      <c r="C807" s="4" t="str">
        <f t="shared" si="169"/>
        <v>LlaveD85267346622100389432</v>
      </c>
      <c r="D807" s="25" t="str">
        <f>VLOOKUP(E807,'NO MODIFICAR'!J:K,2,0)</f>
        <v>D852</v>
      </c>
      <c r="E807" s="102" t="s">
        <v>36</v>
      </c>
      <c r="F807" s="33" t="str">
        <f>VLOOKUP(D807,'NO MODIFICAR'!F:H,3,0)</f>
        <v>NORESTE</v>
      </c>
      <c r="G807" s="28">
        <v>67346622</v>
      </c>
      <c r="H807" s="93" t="s">
        <v>533</v>
      </c>
      <c r="I807" s="94">
        <v>10038943</v>
      </c>
      <c r="J807" s="4" t="str">
        <f>VLOOKUP(I807,'Materiales,canteras'!C:D,2,0)</f>
        <v>Arena Triturada Caliza Malla 4</v>
      </c>
      <c r="K807" s="25">
        <f>VLOOKUP(I807,'Materiales,canteras'!C:E,3,0)</f>
        <v>1.61</v>
      </c>
      <c r="L807" s="231">
        <v>132</v>
      </c>
      <c r="M807" s="28" t="s">
        <v>93</v>
      </c>
      <c r="N807" s="57">
        <f t="shared" ca="1" si="168"/>
        <v>46267</v>
      </c>
      <c r="O807" s="43" t="s">
        <v>201</v>
      </c>
      <c r="R807">
        <v>2.6</v>
      </c>
      <c r="S807" s="82">
        <v>173</v>
      </c>
      <c r="T807" s="66">
        <f t="shared" si="163"/>
        <v>-38.400000000000006</v>
      </c>
      <c r="U807" s="46">
        <f t="shared" si="167"/>
        <v>132</v>
      </c>
      <c r="V807" s="259">
        <v>0</v>
      </c>
      <c r="W807" s="4">
        <v>2</v>
      </c>
      <c r="X807" s="195">
        <f t="shared" si="170"/>
        <v>132</v>
      </c>
      <c r="Y807" s="29" t="e">
        <f>IF(+VLOOKUP(I807,P.Referencia!E:S,3,FALSE)&lt;=L807,"Champion","Gerente")</f>
        <v>#N/A</v>
      </c>
      <c r="Z807" s="39" t="e">
        <f>VLOOKUP(I807,P.Referencia!E:S,3,0)</f>
        <v>#N/A</v>
      </c>
      <c r="AA807" s="40" t="e">
        <f t="shared" si="164"/>
        <v>#N/A</v>
      </c>
      <c r="AB807" s="41" t="e">
        <f t="shared" si="165"/>
        <v>#N/A</v>
      </c>
      <c r="AC807" s="41" t="e">
        <f t="shared" si="166"/>
        <v>#N/A</v>
      </c>
    </row>
    <row r="808" spans="1:30" s="176" customFormat="1" hidden="1" x14ac:dyDescent="0.25">
      <c r="A808" s="178">
        <v>807</v>
      </c>
      <c r="B808" s="91" t="s">
        <v>505</v>
      </c>
      <c r="C808" s="91" t="str">
        <f t="shared" si="169"/>
        <v>LlaveD86467366346100002362</v>
      </c>
      <c r="D808" s="102" t="str">
        <f>VLOOKUP(E808,'NO MODIFICAR'!J:K,2,0)</f>
        <v>D864</v>
      </c>
      <c r="E808" s="102" t="s">
        <v>55</v>
      </c>
      <c r="F808" s="72" t="str">
        <f>VLOOKUP(D808,'NO MODIFICAR'!F:H,3,0)</f>
        <v xml:space="preserve">CENTRO </v>
      </c>
      <c r="G808" s="100">
        <v>67366346</v>
      </c>
      <c r="H808" s="163" t="s">
        <v>540</v>
      </c>
      <c r="I808" s="164">
        <v>10000236</v>
      </c>
      <c r="J808" s="91" t="str">
        <f>VLOOKUP(I808,'Materiales,canteras'!C:D,2,0)</f>
        <v>Grava Triturada Caliza 10 mm -</v>
      </c>
      <c r="K808" s="102">
        <f>VLOOKUP(I808,'Materiales,canteras'!C:E,3,0)</f>
        <v>1.41</v>
      </c>
      <c r="L808" s="250">
        <v>240.84</v>
      </c>
      <c r="M808" s="100" t="s">
        <v>93</v>
      </c>
      <c r="N808" s="73">
        <f t="shared" ca="1" si="168"/>
        <v>46267</v>
      </c>
      <c r="O808" s="71" t="s">
        <v>201</v>
      </c>
      <c r="S808" s="168"/>
      <c r="T808" s="75">
        <f t="shared" si="163"/>
        <v>240.84</v>
      </c>
      <c r="U808" s="167">
        <f t="shared" si="167"/>
        <v>240.84</v>
      </c>
      <c r="V808" s="260">
        <v>0</v>
      </c>
      <c r="W808" s="91">
        <v>2</v>
      </c>
      <c r="X808" s="251">
        <f t="shared" si="170"/>
        <v>240.84</v>
      </c>
      <c r="Y808" s="178" t="e">
        <f>IF(+VLOOKUP(I808,P.Referencia!E:S,3,FALSE)&lt;=L808,"Champion","Gerente")</f>
        <v>#N/A</v>
      </c>
      <c r="Z808" s="77" t="e">
        <f>VLOOKUP(I808,P.Referencia!E:S,3,0)</f>
        <v>#N/A</v>
      </c>
      <c r="AA808" s="78" t="e">
        <f t="shared" si="164"/>
        <v>#N/A</v>
      </c>
      <c r="AB808" s="79" t="e">
        <f t="shared" si="165"/>
        <v>#N/A</v>
      </c>
      <c r="AC808" s="79" t="e">
        <f t="shared" si="166"/>
        <v>#N/A</v>
      </c>
    </row>
    <row r="809" spans="1:30" s="176" customFormat="1" hidden="1" x14ac:dyDescent="0.25">
      <c r="A809" s="178">
        <v>808</v>
      </c>
      <c r="B809" s="91" t="s">
        <v>505</v>
      </c>
      <c r="C809" s="91" t="str">
        <f t="shared" si="169"/>
        <v>LlaveD86467366346100002402</v>
      </c>
      <c r="D809" s="102" t="str">
        <f>VLOOKUP(E809,'NO MODIFICAR'!J:K,2,0)</f>
        <v>D864</v>
      </c>
      <c r="E809" s="102" t="s">
        <v>55</v>
      </c>
      <c r="F809" s="72" t="str">
        <f>VLOOKUP(D809,'NO MODIFICAR'!F:H,3,0)</f>
        <v xml:space="preserve">CENTRO </v>
      </c>
      <c r="G809" s="100">
        <v>67366346</v>
      </c>
      <c r="H809" s="163" t="s">
        <v>540</v>
      </c>
      <c r="I809" s="164">
        <v>10000240</v>
      </c>
      <c r="J809" s="91" t="str">
        <f>VLOOKUP(I809,'Materiales,canteras'!C:D,2,0)</f>
        <v>Grava Triturada Caliza 20 mm -</v>
      </c>
      <c r="K809" s="102">
        <f>VLOOKUP(I809,'Materiales,canteras'!C:E,3,0)</f>
        <v>1.462</v>
      </c>
      <c r="L809" s="250">
        <v>153.11000000000001</v>
      </c>
      <c r="M809" s="100" t="s">
        <v>93</v>
      </c>
      <c r="N809" s="73">
        <f t="shared" ca="1" si="168"/>
        <v>46267</v>
      </c>
      <c r="O809" s="71" t="s">
        <v>356</v>
      </c>
      <c r="S809" s="168"/>
      <c r="T809" s="75">
        <f t="shared" si="163"/>
        <v>153.11000000000001</v>
      </c>
      <c r="U809" s="167">
        <f t="shared" si="167"/>
        <v>153.11000000000001</v>
      </c>
      <c r="V809" s="260">
        <v>0</v>
      </c>
      <c r="W809" s="91">
        <v>2</v>
      </c>
      <c r="X809" s="251">
        <f t="shared" si="170"/>
        <v>153.11000000000001</v>
      </c>
      <c r="Y809" s="178" t="e">
        <f>IF(+VLOOKUP(I809,P.Referencia!E:S,3,FALSE)&lt;=L809,"Champion","Gerente")</f>
        <v>#N/A</v>
      </c>
      <c r="Z809" s="77" t="e">
        <f>VLOOKUP(I809,P.Referencia!E:S,3,0)</f>
        <v>#N/A</v>
      </c>
      <c r="AA809" s="78" t="e">
        <f t="shared" si="164"/>
        <v>#N/A</v>
      </c>
      <c r="AB809" s="79" t="e">
        <f t="shared" si="165"/>
        <v>#N/A</v>
      </c>
      <c r="AC809" s="79" t="e">
        <f t="shared" si="166"/>
        <v>#N/A</v>
      </c>
    </row>
    <row r="810" spans="1:30" s="176" customFormat="1" hidden="1" x14ac:dyDescent="0.25">
      <c r="A810" s="178">
        <v>809</v>
      </c>
      <c r="B810" s="91" t="s">
        <v>505</v>
      </c>
      <c r="C810" s="91" t="str">
        <f t="shared" si="169"/>
        <v>LlaveD86467366346100002692</v>
      </c>
      <c r="D810" s="102" t="str">
        <f>VLOOKUP(E810,'NO MODIFICAR'!J:K,2,0)</f>
        <v>D864</v>
      </c>
      <c r="E810" s="102" t="s">
        <v>55</v>
      </c>
      <c r="F810" s="72" t="str">
        <f>VLOOKUP(D810,'NO MODIFICAR'!F:H,3,0)</f>
        <v xml:space="preserve">CENTRO </v>
      </c>
      <c r="G810" s="100">
        <v>67366346</v>
      </c>
      <c r="H810" s="163" t="s">
        <v>540</v>
      </c>
      <c r="I810" s="164">
        <v>10000269</v>
      </c>
      <c r="J810" s="91" t="str">
        <f>VLOOKUP(I810,'Materiales,canteras'!C:D,2,0)</f>
        <v>Grava Triturada Caliza 13 mm -</v>
      </c>
      <c r="K810" s="102">
        <f>VLOOKUP(I810,'Materiales,canteras'!C:E,3,0)</f>
        <v>1.423</v>
      </c>
      <c r="L810" s="250">
        <v>126.28</v>
      </c>
      <c r="M810" s="100" t="s">
        <v>93</v>
      </c>
      <c r="N810" s="73">
        <f t="shared" ca="1" si="168"/>
        <v>46267</v>
      </c>
      <c r="O810" s="71" t="s">
        <v>534</v>
      </c>
      <c r="S810" s="168"/>
      <c r="T810" s="75">
        <f t="shared" si="163"/>
        <v>126.28</v>
      </c>
      <c r="U810" s="167">
        <f t="shared" si="167"/>
        <v>126.28</v>
      </c>
      <c r="V810" s="260">
        <v>0</v>
      </c>
      <c r="W810" s="91">
        <v>2</v>
      </c>
      <c r="X810" s="251">
        <f t="shared" si="170"/>
        <v>126.28</v>
      </c>
      <c r="Y810" s="178" t="e">
        <f>IF(+VLOOKUP(I810,P.Referencia!E:S,3,FALSE)&lt;=L810,"Champion","Gerente")</f>
        <v>#N/A</v>
      </c>
      <c r="Z810" s="77" t="e">
        <f>VLOOKUP(I810,P.Referencia!E:S,3,0)</f>
        <v>#N/A</v>
      </c>
      <c r="AA810" s="78" t="e">
        <f t="shared" si="164"/>
        <v>#N/A</v>
      </c>
      <c r="AB810" s="79" t="e">
        <f t="shared" si="165"/>
        <v>#N/A</v>
      </c>
      <c r="AC810" s="79" t="e">
        <f t="shared" si="166"/>
        <v>#N/A</v>
      </c>
    </row>
    <row r="811" spans="1:30" s="176" customFormat="1" hidden="1" x14ac:dyDescent="0.25">
      <c r="A811" s="178">
        <v>810</v>
      </c>
      <c r="B811" s="91" t="s">
        <v>505</v>
      </c>
      <c r="C811" s="91" t="str">
        <f t="shared" si="169"/>
        <v>LlaveD86467366346100010742</v>
      </c>
      <c r="D811" s="102" t="str">
        <f>VLOOKUP(E811,'NO MODIFICAR'!J:K,2,0)</f>
        <v>D864</v>
      </c>
      <c r="E811" s="102" t="s">
        <v>55</v>
      </c>
      <c r="F811" s="72" t="str">
        <f>VLOOKUP(D811,'NO MODIFICAR'!F:H,3,0)</f>
        <v xml:space="preserve">CENTRO </v>
      </c>
      <c r="G811" s="100">
        <v>67366346</v>
      </c>
      <c r="H811" s="163" t="s">
        <v>540</v>
      </c>
      <c r="I811" s="164">
        <v>10001074</v>
      </c>
      <c r="J811" s="91" t="str">
        <f>VLOOKUP(I811,'Materiales,canteras'!C:D,2,0)</f>
        <v>Grava Triturada Caliza 40 mm -</v>
      </c>
      <c r="K811" s="102">
        <f>VLOOKUP(I811,'Materiales,canteras'!C:E,3,0)</f>
        <v>1.4</v>
      </c>
      <c r="L811" s="250">
        <v>120.75</v>
      </c>
      <c r="M811" s="100" t="s">
        <v>93</v>
      </c>
      <c r="N811" s="73">
        <f t="shared" ca="1" si="168"/>
        <v>46267</v>
      </c>
      <c r="O811" s="71" t="s">
        <v>535</v>
      </c>
      <c r="S811" s="168"/>
      <c r="T811" s="75">
        <f t="shared" si="163"/>
        <v>120.75</v>
      </c>
      <c r="U811" s="167">
        <f t="shared" si="167"/>
        <v>120.75</v>
      </c>
      <c r="V811" s="260">
        <v>0</v>
      </c>
      <c r="W811" s="91">
        <v>2</v>
      </c>
      <c r="X811" s="251">
        <f t="shared" si="170"/>
        <v>120.75</v>
      </c>
      <c r="Y811" s="178" t="e">
        <f>IF(+VLOOKUP(I811,P.Referencia!E:S,3,FALSE)&lt;=L811,"Champion","Gerente")</f>
        <v>#N/A</v>
      </c>
      <c r="Z811" s="77" t="e">
        <f>VLOOKUP(I811,P.Referencia!E:S,3,0)</f>
        <v>#N/A</v>
      </c>
      <c r="AA811" s="78" t="e">
        <f t="shared" si="164"/>
        <v>#N/A</v>
      </c>
      <c r="AB811" s="79" t="e">
        <f t="shared" si="165"/>
        <v>#N/A</v>
      </c>
      <c r="AC811" s="79" t="e">
        <f t="shared" si="166"/>
        <v>#N/A</v>
      </c>
    </row>
    <row r="812" spans="1:30" s="176" customFormat="1" hidden="1" x14ac:dyDescent="0.25">
      <c r="A812" s="178">
        <v>811</v>
      </c>
      <c r="B812" s="91" t="s">
        <v>505</v>
      </c>
      <c r="C812" s="91" t="str">
        <f t="shared" si="169"/>
        <v>LlaveD86467366371100002362</v>
      </c>
      <c r="D812" s="102" t="str">
        <f>VLOOKUP(E812,'NO MODIFICAR'!J:K,2,0)</f>
        <v>D864</v>
      </c>
      <c r="E812" s="102" t="s">
        <v>55</v>
      </c>
      <c r="F812" s="72" t="str">
        <f>VLOOKUP(D812,'NO MODIFICAR'!F:H,3,0)</f>
        <v xml:space="preserve">CENTRO </v>
      </c>
      <c r="G812" s="100">
        <v>67366371</v>
      </c>
      <c r="H812" s="163" t="s">
        <v>541</v>
      </c>
      <c r="I812" s="164">
        <v>10000236</v>
      </c>
      <c r="J812" s="91" t="str">
        <f>VLOOKUP(I812,'Materiales,canteras'!C:D,2,0)</f>
        <v>Grava Triturada Caliza 10 mm -</v>
      </c>
      <c r="K812" s="102">
        <f>VLOOKUP(I812,'Materiales,canteras'!C:E,3,0)</f>
        <v>1.41</v>
      </c>
      <c r="L812" s="250">
        <v>240.84</v>
      </c>
      <c r="M812" s="100" t="s">
        <v>93</v>
      </c>
      <c r="N812" s="73">
        <f t="shared" ca="1" si="168"/>
        <v>46267</v>
      </c>
      <c r="O812" s="71" t="s">
        <v>536</v>
      </c>
      <c r="S812" s="168"/>
      <c r="T812" s="75">
        <f t="shared" si="163"/>
        <v>240.84</v>
      </c>
      <c r="U812" s="167">
        <f t="shared" si="167"/>
        <v>240.84</v>
      </c>
      <c r="V812" s="260">
        <v>0</v>
      </c>
      <c r="W812" s="91">
        <v>2</v>
      </c>
      <c r="X812" s="251">
        <f t="shared" si="170"/>
        <v>240.84</v>
      </c>
      <c r="Y812" s="178" t="e">
        <f>IF(+VLOOKUP(I812,P.Referencia!E:S,3,FALSE)&lt;=L812,"Champion","Gerente")</f>
        <v>#N/A</v>
      </c>
      <c r="Z812" s="77" t="e">
        <f>VLOOKUP(I812,P.Referencia!E:S,3,0)</f>
        <v>#N/A</v>
      </c>
      <c r="AA812" s="78" t="e">
        <f t="shared" si="164"/>
        <v>#N/A</v>
      </c>
      <c r="AB812" s="79" t="e">
        <f t="shared" si="165"/>
        <v>#N/A</v>
      </c>
      <c r="AC812" s="79" t="e">
        <f t="shared" si="166"/>
        <v>#N/A</v>
      </c>
    </row>
    <row r="813" spans="1:30" s="176" customFormat="1" hidden="1" x14ac:dyDescent="0.25">
      <c r="A813" s="178">
        <v>812</v>
      </c>
      <c r="B813" s="91" t="s">
        <v>505</v>
      </c>
      <c r="C813" s="91" t="str">
        <f t="shared" si="169"/>
        <v>LlaveD86467366371100002402</v>
      </c>
      <c r="D813" s="102" t="str">
        <f>VLOOKUP(E813,'NO MODIFICAR'!J:K,2,0)</f>
        <v>D864</v>
      </c>
      <c r="E813" s="102" t="s">
        <v>55</v>
      </c>
      <c r="F813" s="72" t="str">
        <f>VLOOKUP(D813,'NO MODIFICAR'!F:H,3,0)</f>
        <v xml:space="preserve">CENTRO </v>
      </c>
      <c r="G813" s="100">
        <v>67366371</v>
      </c>
      <c r="H813" s="163" t="s">
        <v>541</v>
      </c>
      <c r="I813" s="164">
        <v>10000240</v>
      </c>
      <c r="J813" s="91" t="str">
        <f>VLOOKUP(I813,'Materiales,canteras'!C:D,2,0)</f>
        <v>Grava Triturada Caliza 20 mm -</v>
      </c>
      <c r="K813" s="102">
        <f>VLOOKUP(I813,'Materiales,canteras'!C:E,3,0)</f>
        <v>1.462</v>
      </c>
      <c r="L813" s="250">
        <v>153.11000000000001</v>
      </c>
      <c r="M813" s="100" t="s">
        <v>93</v>
      </c>
      <c r="N813" s="73">
        <f t="shared" ca="1" si="168"/>
        <v>46267</v>
      </c>
      <c r="O813" s="71" t="s">
        <v>537</v>
      </c>
      <c r="S813" s="168"/>
      <c r="T813" s="75">
        <f t="shared" si="163"/>
        <v>153.11000000000001</v>
      </c>
      <c r="U813" s="167">
        <f t="shared" si="167"/>
        <v>153.11000000000001</v>
      </c>
      <c r="V813" s="260">
        <v>0</v>
      </c>
      <c r="W813" s="91">
        <v>2</v>
      </c>
      <c r="X813" s="251">
        <f t="shared" si="170"/>
        <v>153.11000000000001</v>
      </c>
      <c r="Y813" s="178" t="e">
        <f>IF(+VLOOKUP(I813,P.Referencia!E:S,3,FALSE)&lt;=L813,"Champion","Gerente")</f>
        <v>#N/A</v>
      </c>
      <c r="Z813" s="77" t="e">
        <f>VLOOKUP(I813,P.Referencia!E:S,3,0)</f>
        <v>#N/A</v>
      </c>
      <c r="AA813" s="78" t="e">
        <f t="shared" si="164"/>
        <v>#N/A</v>
      </c>
      <c r="AB813" s="79" t="e">
        <f t="shared" si="165"/>
        <v>#N/A</v>
      </c>
      <c r="AC813" s="79" t="e">
        <f t="shared" si="166"/>
        <v>#N/A</v>
      </c>
    </row>
    <row r="814" spans="1:30" s="176" customFormat="1" hidden="1" x14ac:dyDescent="0.25">
      <c r="A814" s="178">
        <v>813</v>
      </c>
      <c r="B814" s="91" t="s">
        <v>505</v>
      </c>
      <c r="C814" s="91" t="str">
        <f t="shared" si="169"/>
        <v>LlaveD86467366371100002692</v>
      </c>
      <c r="D814" s="102" t="str">
        <f>VLOOKUP(E814,'NO MODIFICAR'!J:K,2,0)</f>
        <v>D864</v>
      </c>
      <c r="E814" s="102" t="s">
        <v>55</v>
      </c>
      <c r="F814" s="72" t="str">
        <f>VLOOKUP(D814,'NO MODIFICAR'!F:H,3,0)</f>
        <v xml:space="preserve">CENTRO </v>
      </c>
      <c r="G814" s="100">
        <v>67366371</v>
      </c>
      <c r="H814" s="163" t="s">
        <v>541</v>
      </c>
      <c r="I814" s="164">
        <v>10000269</v>
      </c>
      <c r="J814" s="91" t="str">
        <f>VLOOKUP(I814,'Materiales,canteras'!C:D,2,0)</f>
        <v>Grava Triturada Caliza 13 mm -</v>
      </c>
      <c r="K814" s="102">
        <f>VLOOKUP(I814,'Materiales,canteras'!C:E,3,0)</f>
        <v>1.423</v>
      </c>
      <c r="L814" s="250">
        <v>126.28</v>
      </c>
      <c r="M814" s="100" t="s">
        <v>93</v>
      </c>
      <c r="N814" s="73">
        <f t="shared" ca="1" si="168"/>
        <v>46267</v>
      </c>
      <c r="O814" s="71" t="s">
        <v>538</v>
      </c>
      <c r="S814" s="168"/>
      <c r="T814" s="75">
        <f t="shared" si="163"/>
        <v>126.28</v>
      </c>
      <c r="U814" s="167">
        <f t="shared" si="167"/>
        <v>126.28</v>
      </c>
      <c r="V814" s="260">
        <v>0</v>
      </c>
      <c r="W814" s="91">
        <v>2</v>
      </c>
      <c r="X814" s="251">
        <f t="shared" si="170"/>
        <v>126.28</v>
      </c>
      <c r="Y814" s="178" t="e">
        <f>IF(+VLOOKUP(I814,P.Referencia!E:S,3,FALSE)&lt;=L814,"Champion","Gerente")</f>
        <v>#N/A</v>
      </c>
      <c r="Z814" s="77" t="e">
        <f>VLOOKUP(I814,P.Referencia!E:S,3,0)</f>
        <v>#N/A</v>
      </c>
      <c r="AA814" s="78" t="e">
        <f t="shared" si="164"/>
        <v>#N/A</v>
      </c>
      <c r="AB814" s="79" t="e">
        <f t="shared" si="165"/>
        <v>#N/A</v>
      </c>
      <c r="AC814" s="79" t="e">
        <f t="shared" si="166"/>
        <v>#N/A</v>
      </c>
    </row>
    <row r="815" spans="1:30" s="176" customFormat="1" hidden="1" x14ac:dyDescent="0.25">
      <c r="A815" s="178">
        <v>814</v>
      </c>
      <c r="B815" s="91" t="s">
        <v>505</v>
      </c>
      <c r="C815" s="91" t="str">
        <f t="shared" si="169"/>
        <v>LlaveD86467366371100010742</v>
      </c>
      <c r="D815" s="102" t="str">
        <f>VLOOKUP(E815,'NO MODIFICAR'!J:K,2,0)</f>
        <v>D864</v>
      </c>
      <c r="E815" s="102" t="s">
        <v>55</v>
      </c>
      <c r="F815" s="72" t="str">
        <f>VLOOKUP(D815,'NO MODIFICAR'!F:H,3,0)</f>
        <v xml:space="preserve">CENTRO </v>
      </c>
      <c r="G815" s="100">
        <v>67366371</v>
      </c>
      <c r="H815" s="163" t="s">
        <v>541</v>
      </c>
      <c r="I815" s="164">
        <v>10001074</v>
      </c>
      <c r="J815" s="91" t="str">
        <f>VLOOKUP(I815,'Materiales,canteras'!C:D,2,0)</f>
        <v>Grava Triturada Caliza 40 mm -</v>
      </c>
      <c r="K815" s="102">
        <f>VLOOKUP(I815,'Materiales,canteras'!C:E,3,0)</f>
        <v>1.4</v>
      </c>
      <c r="L815" s="250">
        <v>120.75</v>
      </c>
      <c r="M815" s="100" t="s">
        <v>93</v>
      </c>
      <c r="N815" s="73">
        <f t="shared" ca="1" si="168"/>
        <v>46267</v>
      </c>
      <c r="O815" s="71" t="s">
        <v>539</v>
      </c>
      <c r="S815" s="168"/>
      <c r="T815" s="75">
        <f t="shared" si="163"/>
        <v>120.75</v>
      </c>
      <c r="U815" s="167">
        <f t="shared" si="167"/>
        <v>120.75</v>
      </c>
      <c r="V815" s="260">
        <v>0</v>
      </c>
      <c r="W815" s="91">
        <v>2</v>
      </c>
      <c r="X815" s="251">
        <f t="shared" si="170"/>
        <v>120.75</v>
      </c>
      <c r="Y815" s="178" t="e">
        <f>IF(+VLOOKUP(I815,P.Referencia!E:S,3,FALSE)&lt;=L815,"Champion","Gerente")</f>
        <v>#N/A</v>
      </c>
      <c r="Z815" s="77" t="e">
        <f>VLOOKUP(I815,P.Referencia!E:S,3,0)</f>
        <v>#N/A</v>
      </c>
      <c r="AA815" s="78" t="e">
        <f t="shared" si="164"/>
        <v>#N/A</v>
      </c>
      <c r="AB815" s="79" t="e">
        <f t="shared" si="165"/>
        <v>#N/A</v>
      </c>
      <c r="AC815" s="79" t="e">
        <f t="shared" si="166"/>
        <v>#N/A</v>
      </c>
    </row>
    <row r="816" spans="1:30" hidden="1" x14ac:dyDescent="0.25">
      <c r="A816" s="24">
        <v>815</v>
      </c>
      <c r="B816" s="89" t="s">
        <v>505</v>
      </c>
      <c r="C816" s="4" t="str">
        <f t="shared" si="169"/>
        <v>LlaveD81367322499100002532</v>
      </c>
      <c r="D816" s="25" t="str">
        <f>VLOOKUP(E816,'NO MODIFICAR'!J:K,2,0)</f>
        <v>D813</v>
      </c>
      <c r="E816" s="102" t="s">
        <v>6</v>
      </c>
      <c r="F816" s="33" t="str">
        <f>VLOOKUP(D816,'NO MODIFICAR'!F:H,3,0)</f>
        <v xml:space="preserve">CENTRO </v>
      </c>
      <c r="G816" s="28">
        <v>67322499</v>
      </c>
      <c r="H816" s="93" t="s">
        <v>542</v>
      </c>
      <c r="I816" s="94">
        <v>10000253</v>
      </c>
      <c r="J816" s="4" t="str">
        <f>VLOOKUP(I816,'Materiales,canteras'!C:D,2,0)</f>
        <v>Grava Triturada Andesita 20 mm</v>
      </c>
      <c r="K816" s="25">
        <f>VLOOKUP(I816,'Materiales,canteras'!C:E,3,0)</f>
        <v>1.385</v>
      </c>
      <c r="L816" s="105">
        <v>107.74</v>
      </c>
      <c r="M816" s="28" t="s">
        <v>93</v>
      </c>
      <c r="N816" s="57">
        <f t="shared" ca="1" si="168"/>
        <v>46267</v>
      </c>
      <c r="O816" s="43" t="s">
        <v>201</v>
      </c>
      <c r="S816" s="82">
        <v>158</v>
      </c>
      <c r="T816" s="66">
        <f t="shared" ref="T816:T879" si="171">L816-((S816-P816)-(Q816)-(R816))</f>
        <v>-50.260000000000005</v>
      </c>
      <c r="U816" s="46">
        <f t="shared" si="167"/>
        <v>107.74</v>
      </c>
      <c r="V816" s="82">
        <v>0</v>
      </c>
      <c r="W816" s="4">
        <v>2</v>
      </c>
      <c r="X816" s="195">
        <f t="shared" si="170"/>
        <v>107.74</v>
      </c>
      <c r="Y816" s="29" t="e">
        <f>IF(+VLOOKUP(I816,P.Referencia!E:S,3,FALSE)&lt;=L816,"Champion","Gerente")</f>
        <v>#N/A</v>
      </c>
      <c r="Z816" s="39" t="e">
        <f>VLOOKUP(I816,P.Referencia!E:S,3,0)</f>
        <v>#N/A</v>
      </c>
      <c r="AA816" s="40" t="e">
        <f t="shared" si="164"/>
        <v>#N/A</v>
      </c>
      <c r="AB816" s="41" t="e">
        <f t="shared" si="165"/>
        <v>#N/A</v>
      </c>
      <c r="AC816" s="41" t="e">
        <f t="shared" si="166"/>
        <v>#N/A</v>
      </c>
    </row>
    <row r="817" spans="1:29" hidden="1" x14ac:dyDescent="0.25">
      <c r="A817" s="24">
        <v>816</v>
      </c>
      <c r="B817" s="89" t="s">
        <v>505</v>
      </c>
      <c r="C817" s="4" t="str">
        <f t="shared" si="169"/>
        <v>LlaveD81367322499100002552</v>
      </c>
      <c r="D817" s="25" t="str">
        <f>VLOOKUP(E817,'NO MODIFICAR'!J:K,2,0)</f>
        <v>D813</v>
      </c>
      <c r="E817" s="102" t="s">
        <v>6</v>
      </c>
      <c r="F817" s="33" t="str">
        <f>VLOOKUP(D817,'NO MODIFICAR'!F:H,3,0)</f>
        <v xml:space="preserve">CENTRO </v>
      </c>
      <c r="G817" s="28">
        <v>67322499</v>
      </c>
      <c r="H817" s="93" t="s">
        <v>542</v>
      </c>
      <c r="I817" s="94">
        <v>10000255</v>
      </c>
      <c r="J817" s="4" t="str">
        <f>VLOOKUP(I817,'Materiales,canteras'!C:D,2,0)</f>
        <v>Arena Triturada Andesita Malla</v>
      </c>
      <c r="K817" s="25">
        <f>VLOOKUP(I817,'Materiales,canteras'!C:E,3,0)</f>
        <v>1.5349999999999999</v>
      </c>
      <c r="L817" s="105">
        <v>107.99</v>
      </c>
      <c r="M817" s="28" t="s">
        <v>93</v>
      </c>
      <c r="N817" s="57">
        <f t="shared" ca="1" si="168"/>
        <v>46267</v>
      </c>
      <c r="O817" s="43" t="s">
        <v>201</v>
      </c>
      <c r="S817" s="82">
        <v>158</v>
      </c>
      <c r="T817" s="66">
        <f t="shared" si="171"/>
        <v>-50.010000000000005</v>
      </c>
      <c r="U817" s="46">
        <f t="shared" si="167"/>
        <v>107.99</v>
      </c>
      <c r="V817" s="82">
        <v>0</v>
      </c>
      <c r="W817" s="4">
        <v>2</v>
      </c>
      <c r="X817" s="195">
        <f t="shared" si="170"/>
        <v>107.99</v>
      </c>
      <c r="Y817" s="29" t="e">
        <f>IF(+VLOOKUP(I817,P.Referencia!E:S,3,FALSE)&lt;=L817,"Champion","Gerente")</f>
        <v>#N/A</v>
      </c>
      <c r="Z817" s="39" t="e">
        <f>VLOOKUP(I817,P.Referencia!E:S,3,0)</f>
        <v>#N/A</v>
      </c>
      <c r="AA817" s="40" t="e">
        <f t="shared" si="164"/>
        <v>#N/A</v>
      </c>
      <c r="AB817" s="41" t="e">
        <f t="shared" si="165"/>
        <v>#N/A</v>
      </c>
      <c r="AC817" s="41" t="e">
        <f t="shared" si="166"/>
        <v>#N/A</v>
      </c>
    </row>
    <row r="818" spans="1:29" hidden="1" x14ac:dyDescent="0.25">
      <c r="A818" s="24">
        <v>817</v>
      </c>
      <c r="B818" s="89" t="s">
        <v>505</v>
      </c>
      <c r="C818" s="4" t="str">
        <f t="shared" si="169"/>
        <v>LlaveD86467322499100002362</v>
      </c>
      <c r="D818" s="25" t="str">
        <f>VLOOKUP(E818,'NO MODIFICAR'!J:K,2,0)</f>
        <v>D864</v>
      </c>
      <c r="E818" s="102" t="s">
        <v>55</v>
      </c>
      <c r="F818" s="33" t="str">
        <f>VLOOKUP(D818,'NO MODIFICAR'!F:H,3,0)</f>
        <v xml:space="preserve">CENTRO </v>
      </c>
      <c r="G818" s="28">
        <v>67322499</v>
      </c>
      <c r="H818" s="93" t="s">
        <v>542</v>
      </c>
      <c r="I818" s="94">
        <v>10000236</v>
      </c>
      <c r="J818" s="4" t="str">
        <f>VLOOKUP(I818,'Materiales,canteras'!C:D,2,0)</f>
        <v>Grava Triturada Caliza 10 mm -</v>
      </c>
      <c r="K818" s="25">
        <f>VLOOKUP(I818,'Materiales,canteras'!C:E,3,0)</f>
        <v>1.41</v>
      </c>
      <c r="L818" s="105">
        <v>156.01</v>
      </c>
      <c r="M818" s="28" t="s">
        <v>93</v>
      </c>
      <c r="N818" s="57">
        <f t="shared" ca="1" si="168"/>
        <v>46267</v>
      </c>
      <c r="O818" s="43" t="s">
        <v>201</v>
      </c>
      <c r="S818" s="82">
        <v>252</v>
      </c>
      <c r="T818" s="66">
        <f t="shared" si="171"/>
        <v>-95.990000000000009</v>
      </c>
      <c r="U818" s="46">
        <f t="shared" si="167"/>
        <v>156.01</v>
      </c>
      <c r="V818" s="82">
        <v>0</v>
      </c>
      <c r="W818" s="4">
        <v>2</v>
      </c>
      <c r="X818" s="195">
        <f t="shared" si="170"/>
        <v>156.01</v>
      </c>
      <c r="Y818" s="29" t="e">
        <f>IF(+VLOOKUP(I818,P.Referencia!E:S,3,FALSE)&lt;=L818,"Champion","Gerente")</f>
        <v>#N/A</v>
      </c>
      <c r="Z818" s="39" t="e">
        <f>VLOOKUP(I818,P.Referencia!E:S,3,0)</f>
        <v>#N/A</v>
      </c>
      <c r="AA818" s="40" t="e">
        <f t="shared" si="164"/>
        <v>#N/A</v>
      </c>
      <c r="AB818" s="41" t="e">
        <f t="shared" si="165"/>
        <v>#N/A</v>
      </c>
      <c r="AC818" s="41" t="e">
        <f t="shared" si="166"/>
        <v>#N/A</v>
      </c>
    </row>
    <row r="819" spans="1:29" hidden="1" x14ac:dyDescent="0.25">
      <c r="A819" s="24">
        <v>818</v>
      </c>
      <c r="B819" s="89" t="s">
        <v>505</v>
      </c>
      <c r="C819" s="4" t="str">
        <f t="shared" si="169"/>
        <v>LlaveD86467322499100002402</v>
      </c>
      <c r="D819" s="25" t="str">
        <f>VLOOKUP(E819,'NO MODIFICAR'!J:K,2,0)</f>
        <v>D864</v>
      </c>
      <c r="E819" s="102" t="s">
        <v>55</v>
      </c>
      <c r="F819" s="33" t="str">
        <f>VLOOKUP(D819,'NO MODIFICAR'!F:H,3,0)</f>
        <v xml:space="preserve">CENTRO </v>
      </c>
      <c r="G819" s="28">
        <v>67322499</v>
      </c>
      <c r="H819" s="93" t="s">
        <v>542</v>
      </c>
      <c r="I819" s="94">
        <v>10000240</v>
      </c>
      <c r="J819" s="4" t="str">
        <f>VLOOKUP(I819,'Materiales,canteras'!C:D,2,0)</f>
        <v>Grava Triturada Caliza 20 mm -</v>
      </c>
      <c r="K819" s="25">
        <f>VLOOKUP(I819,'Materiales,canteras'!C:E,3,0)</f>
        <v>1.462</v>
      </c>
      <c r="L819" s="105">
        <v>162.99</v>
      </c>
      <c r="M819" s="28" t="s">
        <v>93</v>
      </c>
      <c r="N819" s="57">
        <f t="shared" ca="1" si="168"/>
        <v>46267</v>
      </c>
      <c r="O819" s="43" t="s">
        <v>201</v>
      </c>
      <c r="S819" s="82">
        <v>294</v>
      </c>
      <c r="T819" s="66">
        <f t="shared" si="171"/>
        <v>-131.01</v>
      </c>
      <c r="U819" s="46">
        <f t="shared" si="167"/>
        <v>162.99</v>
      </c>
      <c r="V819" s="82">
        <v>0</v>
      </c>
      <c r="W819" s="4">
        <v>2</v>
      </c>
      <c r="X819" s="195">
        <f t="shared" si="170"/>
        <v>162.99</v>
      </c>
      <c r="Y819" s="29" t="e">
        <f>IF(+VLOOKUP(I819,P.Referencia!E:S,3,FALSE)&lt;=L819,"Champion","Gerente")</f>
        <v>#N/A</v>
      </c>
      <c r="Z819" s="39" t="e">
        <f>VLOOKUP(I819,P.Referencia!E:S,3,0)</f>
        <v>#N/A</v>
      </c>
      <c r="AA819" s="40" t="e">
        <f t="shared" si="164"/>
        <v>#N/A</v>
      </c>
      <c r="AB819" s="41" t="e">
        <f t="shared" si="165"/>
        <v>#N/A</v>
      </c>
      <c r="AC819" s="41" t="e">
        <f t="shared" si="166"/>
        <v>#N/A</v>
      </c>
    </row>
    <row r="820" spans="1:29" hidden="1" x14ac:dyDescent="0.25">
      <c r="A820" s="24">
        <v>819</v>
      </c>
      <c r="B820" s="89" t="s">
        <v>505</v>
      </c>
      <c r="C820" s="4" t="str">
        <f t="shared" si="169"/>
        <v>LlaveD86467322499100010732</v>
      </c>
      <c r="D820" s="25" t="str">
        <f>VLOOKUP(E820,'NO MODIFICAR'!J:K,2,0)</f>
        <v>D864</v>
      </c>
      <c r="E820" s="102" t="s">
        <v>55</v>
      </c>
      <c r="F820" s="33" t="str">
        <f>VLOOKUP(D820,'NO MODIFICAR'!F:H,3,0)</f>
        <v xml:space="preserve">CENTRO </v>
      </c>
      <c r="G820" s="28">
        <v>67322499</v>
      </c>
      <c r="H820" s="93" t="s">
        <v>542</v>
      </c>
      <c r="I820" s="94">
        <v>10001073</v>
      </c>
      <c r="J820" s="4" t="str">
        <f>VLOOKUP(I820,'Materiales,canteras'!C:D,2,0)</f>
        <v>Arena Triturada Caliza Malla 4</v>
      </c>
      <c r="K820" s="25">
        <f>VLOOKUP(I820,'Materiales,canteras'!C:E,3,0)</f>
        <v>1.56</v>
      </c>
      <c r="L820" s="105">
        <v>97.75</v>
      </c>
      <c r="M820" s="28" t="s">
        <v>93</v>
      </c>
      <c r="N820" s="57">
        <f t="shared" ca="1" si="168"/>
        <v>46267</v>
      </c>
      <c r="O820" s="43" t="s">
        <v>201</v>
      </c>
      <c r="S820" s="82">
        <v>158</v>
      </c>
      <c r="T820" s="66">
        <f t="shared" si="171"/>
        <v>-60.25</v>
      </c>
      <c r="U820" s="46">
        <f t="shared" si="167"/>
        <v>97.75</v>
      </c>
      <c r="V820" s="82">
        <v>0</v>
      </c>
      <c r="W820" s="4">
        <v>2</v>
      </c>
      <c r="X820" s="195">
        <f t="shared" si="170"/>
        <v>97.75</v>
      </c>
      <c r="Y820" s="29" t="e">
        <f>IF(+VLOOKUP(I820,P.Referencia!E:S,3,FALSE)&lt;=L820,"Champion","Gerente")</f>
        <v>#N/A</v>
      </c>
      <c r="Z820" s="39" t="e">
        <f>VLOOKUP(I820,P.Referencia!E:S,3,0)</f>
        <v>#N/A</v>
      </c>
      <c r="AA820" s="40" t="e">
        <f t="shared" si="164"/>
        <v>#N/A</v>
      </c>
      <c r="AB820" s="41" t="e">
        <f t="shared" si="165"/>
        <v>#N/A</v>
      </c>
      <c r="AC820" s="41" t="e">
        <f t="shared" si="166"/>
        <v>#N/A</v>
      </c>
    </row>
    <row r="821" spans="1:29" hidden="1" x14ac:dyDescent="0.25">
      <c r="A821" s="24">
        <v>820</v>
      </c>
      <c r="B821" s="89" t="s">
        <v>505</v>
      </c>
      <c r="C821" s="4" t="str">
        <f t="shared" si="169"/>
        <v>LlaveD86467322499100010742</v>
      </c>
      <c r="D821" s="25" t="str">
        <f>VLOOKUP(E821,'NO MODIFICAR'!J:K,2,0)</f>
        <v>D864</v>
      </c>
      <c r="E821" s="102" t="s">
        <v>55</v>
      </c>
      <c r="F821" s="33" t="str">
        <f>VLOOKUP(D821,'NO MODIFICAR'!F:H,3,0)</f>
        <v xml:space="preserve">CENTRO </v>
      </c>
      <c r="G821" s="28">
        <v>67322499</v>
      </c>
      <c r="H821" s="93" t="s">
        <v>542</v>
      </c>
      <c r="I821" s="94">
        <v>10001074</v>
      </c>
      <c r="J821" s="4" t="str">
        <f>VLOOKUP(I821,'Materiales,canteras'!C:D,2,0)</f>
        <v>Grava Triturada Caliza 40 mm -</v>
      </c>
      <c r="K821" s="25">
        <f>VLOOKUP(I821,'Materiales,canteras'!C:E,3,0)</f>
        <v>1.4</v>
      </c>
      <c r="L821" s="105">
        <v>159.97</v>
      </c>
      <c r="M821" s="28" t="s">
        <v>93</v>
      </c>
      <c r="N821" s="57">
        <f t="shared" ca="1" si="168"/>
        <v>46267</v>
      </c>
      <c r="O821" s="43" t="s">
        <v>201</v>
      </c>
      <c r="S821" s="82">
        <v>231</v>
      </c>
      <c r="T821" s="66">
        <f t="shared" si="171"/>
        <v>-71.03</v>
      </c>
      <c r="U821" s="46">
        <f t="shared" si="167"/>
        <v>159.97</v>
      </c>
      <c r="V821" s="82">
        <v>0</v>
      </c>
      <c r="W821" s="4">
        <v>2</v>
      </c>
      <c r="X821" s="195">
        <f t="shared" si="170"/>
        <v>159.97</v>
      </c>
      <c r="Y821" s="29" t="e">
        <f>IF(+VLOOKUP(I821,P.Referencia!E:S,3,FALSE)&lt;=L821,"Champion","Gerente")</f>
        <v>#N/A</v>
      </c>
      <c r="Z821" s="39" t="e">
        <f>VLOOKUP(I821,P.Referencia!E:S,3,0)</f>
        <v>#N/A</v>
      </c>
      <c r="AA821" s="40" t="e">
        <f t="shared" si="164"/>
        <v>#N/A</v>
      </c>
      <c r="AB821" s="41" t="e">
        <f t="shared" si="165"/>
        <v>#N/A</v>
      </c>
      <c r="AC821" s="41" t="e">
        <f t="shared" si="166"/>
        <v>#N/A</v>
      </c>
    </row>
    <row r="822" spans="1:29" hidden="1" x14ac:dyDescent="0.25">
      <c r="A822" s="24">
        <v>821</v>
      </c>
      <c r="B822" s="89" t="s">
        <v>505</v>
      </c>
      <c r="C822" s="4" t="str">
        <f t="shared" si="169"/>
        <v>LlaveD86166891467100024991</v>
      </c>
      <c r="D822" s="25" t="str">
        <f>VLOOKUP(E822,'NO MODIFICAR'!J:K,2,0)</f>
        <v>D861</v>
      </c>
      <c r="E822" s="102" t="s">
        <v>44</v>
      </c>
      <c r="F822" s="33" t="str">
        <f>VLOOKUP(D822,'NO MODIFICAR'!F:H,3,0)</f>
        <v xml:space="preserve">CENTRO </v>
      </c>
      <c r="G822" s="28" t="s">
        <v>543</v>
      </c>
      <c r="H822" s="93" t="s">
        <v>544</v>
      </c>
      <c r="I822" s="94">
        <v>10002499</v>
      </c>
      <c r="J822" s="4" t="str">
        <f>VLOOKUP(I822,'Materiales,canteras'!C:D,2,0)</f>
        <v>Arena Triturada Basalto Malla 4  -Mezcla</v>
      </c>
      <c r="K822" s="25">
        <f>VLOOKUP(I822,'Materiales,canteras'!C:E,3,0)</f>
        <v>1.6659999999999999</v>
      </c>
      <c r="L822" s="105">
        <v>195</v>
      </c>
      <c r="M822" s="28" t="s">
        <v>93</v>
      </c>
      <c r="N822" s="57">
        <f t="shared" ca="1" si="168"/>
        <v>46267</v>
      </c>
      <c r="O822" s="43" t="s">
        <v>201</v>
      </c>
      <c r="Q822">
        <v>23.76</v>
      </c>
      <c r="R822">
        <v>2.61</v>
      </c>
      <c r="S822" s="82">
        <v>198</v>
      </c>
      <c r="T822" s="66">
        <f t="shared" si="171"/>
        <v>23.370000000000005</v>
      </c>
      <c r="U822" s="46">
        <f t="shared" si="167"/>
        <v>195</v>
      </c>
      <c r="V822" s="82">
        <v>69.760000000000005</v>
      </c>
      <c r="W822" s="4">
        <v>1</v>
      </c>
      <c r="X822" s="195">
        <f t="shared" si="170"/>
        <v>264.76</v>
      </c>
      <c r="Y822" s="29" t="e">
        <f>IF(+VLOOKUP(I822,P.Referencia!E:S,3,FALSE)&lt;=L822,"Champion","Gerente")</f>
        <v>#N/A</v>
      </c>
      <c r="Z822" s="39" t="e">
        <f>VLOOKUP(I822,P.Referencia!E:S,3,0)</f>
        <v>#N/A</v>
      </c>
      <c r="AA822" s="40" t="e">
        <f t="shared" si="164"/>
        <v>#N/A</v>
      </c>
      <c r="AB822" s="41" t="e">
        <f t="shared" si="165"/>
        <v>#N/A</v>
      </c>
      <c r="AC822" s="41" t="e">
        <f t="shared" si="166"/>
        <v>#N/A</v>
      </c>
    </row>
    <row r="823" spans="1:29" hidden="1" x14ac:dyDescent="0.25">
      <c r="A823" s="24">
        <v>822</v>
      </c>
      <c r="B823" s="89" t="s">
        <v>505</v>
      </c>
      <c r="C823" s="4" t="str">
        <f t="shared" si="169"/>
        <v>LlaveD86465232687  100010732</v>
      </c>
      <c r="D823" s="25" t="str">
        <f>VLOOKUP(E823,'NO MODIFICAR'!J:K,2,0)</f>
        <v>D864</v>
      </c>
      <c r="E823" s="102" t="s">
        <v>55</v>
      </c>
      <c r="F823" s="33" t="str">
        <f>VLOOKUP(D823,'NO MODIFICAR'!F:H,3,0)</f>
        <v xml:space="preserve">CENTRO </v>
      </c>
      <c r="G823" s="28" t="s">
        <v>545</v>
      </c>
      <c r="H823" s="93" t="s">
        <v>546</v>
      </c>
      <c r="I823" s="94">
        <v>10001073</v>
      </c>
      <c r="J823" s="4" t="str">
        <f>VLOOKUP(I823,'Materiales,canteras'!C:D,2,0)</f>
        <v>Arena Triturada Caliza Malla 4</v>
      </c>
      <c r="K823" s="25">
        <f>VLOOKUP(I823,'Materiales,canteras'!C:E,3,0)</f>
        <v>1.56</v>
      </c>
      <c r="L823" s="105">
        <v>93</v>
      </c>
      <c r="M823" s="28" t="s">
        <v>93</v>
      </c>
      <c r="N823" s="57">
        <f t="shared" ca="1" si="168"/>
        <v>46267</v>
      </c>
      <c r="O823" s="43" t="s">
        <v>201</v>
      </c>
      <c r="R823">
        <v>3.16</v>
      </c>
      <c r="S823" s="82">
        <v>158</v>
      </c>
      <c r="T823" s="66">
        <f t="shared" si="171"/>
        <v>-61.84</v>
      </c>
      <c r="U823" s="46">
        <f t="shared" si="167"/>
        <v>93</v>
      </c>
      <c r="V823" s="82">
        <v>0</v>
      </c>
      <c r="W823" s="4">
        <v>2</v>
      </c>
      <c r="X823" s="195">
        <f t="shared" si="170"/>
        <v>93</v>
      </c>
      <c r="Y823" s="29" t="e">
        <f>IF(+VLOOKUP(I823,P.Referencia!E:S,3,FALSE)&lt;=L823,"Champion","Gerente")</f>
        <v>#N/A</v>
      </c>
      <c r="Z823" s="39" t="e">
        <f>VLOOKUP(I823,P.Referencia!E:S,3,0)</f>
        <v>#N/A</v>
      </c>
      <c r="AA823" s="40" t="e">
        <f t="shared" ref="AA823:AA871" si="172">(Z823-U823)/U823</f>
        <v>#N/A</v>
      </c>
      <c r="AB823" s="41" t="e">
        <f t="shared" ref="AB823:AB871" si="173">U823*AA823</f>
        <v>#N/A</v>
      </c>
      <c r="AC823" s="41" t="e">
        <f t="shared" ref="AC823:AC871" si="174">U823+AB823</f>
        <v>#N/A</v>
      </c>
    </row>
    <row r="824" spans="1:29" hidden="1" x14ac:dyDescent="0.25">
      <c r="A824" s="24">
        <v>823</v>
      </c>
      <c r="B824" s="89" t="s">
        <v>505</v>
      </c>
      <c r="C824" s="4" t="str">
        <f t="shared" si="169"/>
        <v>LlaveD81667241103100002601</v>
      </c>
      <c r="D824" s="25" t="str">
        <f>VLOOKUP(E824,'NO MODIFICAR'!J:K,2,0)</f>
        <v>D816</v>
      </c>
      <c r="E824" s="102" t="s">
        <v>15</v>
      </c>
      <c r="F824" s="33" t="str">
        <f>VLOOKUP(D824,'NO MODIFICAR'!F:H,3,0)</f>
        <v>NORESTE</v>
      </c>
      <c r="G824" s="28">
        <v>67241103</v>
      </c>
      <c r="H824" s="93" t="s">
        <v>547</v>
      </c>
      <c r="I824" s="94">
        <v>10000260</v>
      </c>
      <c r="J824" s="4" t="str">
        <f>VLOOKUP(I824,'Materiales,canteras'!C:D,2,0)</f>
        <v>Arena Triturada Caliza Malla 5</v>
      </c>
      <c r="K824" s="25">
        <f>VLOOKUP(I824,'Materiales,canteras'!C:E,3,0)</f>
        <v>1.72</v>
      </c>
      <c r="L824" s="105">
        <v>431.2</v>
      </c>
      <c r="M824" s="28" t="s">
        <v>93</v>
      </c>
      <c r="N824" s="57">
        <f t="shared" ca="1" si="168"/>
        <v>46267</v>
      </c>
      <c r="O824" s="43" t="s">
        <v>201</v>
      </c>
      <c r="Q824">
        <v>24.75</v>
      </c>
      <c r="R824">
        <v>7.05</v>
      </c>
      <c r="S824" s="82">
        <v>495</v>
      </c>
      <c r="T824" s="66">
        <f t="shared" si="171"/>
        <v>-32</v>
      </c>
      <c r="U824" s="46">
        <f t="shared" si="167"/>
        <v>431.2</v>
      </c>
      <c r="V824" s="82">
        <v>100.76</v>
      </c>
      <c r="W824" s="4">
        <v>1</v>
      </c>
      <c r="X824" s="195">
        <f t="shared" si="170"/>
        <v>531.96</v>
      </c>
      <c r="Y824" s="29" t="e">
        <f>IF(+VLOOKUP(I824,P.Referencia!E:S,3,FALSE)&lt;=L824,"Champion","Gerente")</f>
        <v>#N/A</v>
      </c>
      <c r="Z824" s="39" t="e">
        <f>VLOOKUP(I824,P.Referencia!E:S,3,0)</f>
        <v>#N/A</v>
      </c>
      <c r="AA824" s="40" t="e">
        <f t="shared" si="172"/>
        <v>#N/A</v>
      </c>
      <c r="AB824" s="41" t="e">
        <f t="shared" si="173"/>
        <v>#N/A</v>
      </c>
      <c r="AC824" s="41" t="e">
        <f t="shared" si="174"/>
        <v>#N/A</v>
      </c>
    </row>
    <row r="825" spans="1:29" hidden="1" x14ac:dyDescent="0.25">
      <c r="A825" s="24">
        <v>824</v>
      </c>
      <c r="B825" s="89" t="s">
        <v>505</v>
      </c>
      <c r="C825" s="4" t="str">
        <f t="shared" si="169"/>
        <v>LlaveD81666823169100001242</v>
      </c>
      <c r="D825" s="25" t="str">
        <f>VLOOKUP(E825,'NO MODIFICAR'!J:K,2,0)</f>
        <v>D816</v>
      </c>
      <c r="E825" s="102" t="s">
        <v>15</v>
      </c>
      <c r="F825" s="33" t="str">
        <f>VLOOKUP(D825,'NO MODIFICAR'!F:H,3,0)</f>
        <v>NORESTE</v>
      </c>
      <c r="G825" s="28">
        <v>66823169</v>
      </c>
      <c r="H825" s="93" t="s">
        <v>548</v>
      </c>
      <c r="I825" s="94">
        <v>10000124</v>
      </c>
      <c r="J825" s="4" t="str">
        <f>VLOOKUP(I825,'Materiales,canteras'!C:D,2,0)</f>
        <v>Arena Triturada Caliza Malla 4</v>
      </c>
      <c r="K825" s="25">
        <f>VLOOKUP(I825,'Materiales,canteras'!C:E,3,0)</f>
        <v>1.7390000000000001</v>
      </c>
      <c r="L825" s="105">
        <v>265</v>
      </c>
      <c r="M825" s="28" t="s">
        <v>93</v>
      </c>
      <c r="N825" s="57">
        <f t="shared" ca="1" si="168"/>
        <v>46267</v>
      </c>
      <c r="O825" s="43" t="s">
        <v>201</v>
      </c>
      <c r="R825">
        <v>7.43</v>
      </c>
      <c r="S825" s="82">
        <v>495</v>
      </c>
      <c r="T825" s="66">
        <f t="shared" si="171"/>
        <v>-222.57</v>
      </c>
      <c r="U825" s="46">
        <f t="shared" si="167"/>
        <v>265</v>
      </c>
      <c r="V825" s="82">
        <v>0</v>
      </c>
      <c r="W825" s="4">
        <v>2</v>
      </c>
      <c r="X825" s="195">
        <f t="shared" si="170"/>
        <v>265</v>
      </c>
      <c r="Y825" s="29" t="e">
        <f>IF(+VLOOKUP(I825,P.Referencia!E:S,3,FALSE)&lt;=L825,"Champion","Gerente")</f>
        <v>#N/A</v>
      </c>
      <c r="Z825" s="39" t="e">
        <f>VLOOKUP(I825,P.Referencia!E:S,3,0)</f>
        <v>#N/A</v>
      </c>
      <c r="AA825" s="40" t="e">
        <f t="shared" si="172"/>
        <v>#N/A</v>
      </c>
      <c r="AB825" s="41" t="e">
        <f t="shared" si="173"/>
        <v>#N/A</v>
      </c>
      <c r="AC825" s="41" t="e">
        <f t="shared" si="174"/>
        <v>#N/A</v>
      </c>
    </row>
    <row r="826" spans="1:29" hidden="1" x14ac:dyDescent="0.25">
      <c r="A826" s="24">
        <v>825</v>
      </c>
      <c r="B826" s="89" t="s">
        <v>505</v>
      </c>
      <c r="C826" s="4" t="str">
        <f t="shared" si="169"/>
        <v>LlaveD81666823169100002412</v>
      </c>
      <c r="D826" s="25" t="str">
        <f>VLOOKUP(E826,'NO MODIFICAR'!J:K,2,0)</f>
        <v>D816</v>
      </c>
      <c r="E826" s="102" t="s">
        <v>15</v>
      </c>
      <c r="F826" s="33" t="str">
        <f>VLOOKUP(D826,'NO MODIFICAR'!F:H,3,0)</f>
        <v>NORESTE</v>
      </c>
      <c r="G826" s="28">
        <v>66823169</v>
      </c>
      <c r="H826" s="93" t="s">
        <v>548</v>
      </c>
      <c r="I826" s="94">
        <v>10000241</v>
      </c>
      <c r="J826" s="4" t="str">
        <f>VLOOKUP(I826,'Materiales,canteras'!C:D,2,0)</f>
        <v>Grava Triturada Caliza 20 mm -</v>
      </c>
      <c r="K826" s="25">
        <f>VLOOKUP(I826,'Materiales,canteras'!C:E,3,0)</f>
        <v>1.43</v>
      </c>
      <c r="L826" s="105">
        <v>265</v>
      </c>
      <c r="M826" s="28" t="s">
        <v>93</v>
      </c>
      <c r="N826" s="57">
        <f t="shared" ca="1" si="168"/>
        <v>46267</v>
      </c>
      <c r="O826" s="43" t="s">
        <v>201</v>
      </c>
      <c r="R826">
        <v>6.21</v>
      </c>
      <c r="S826" s="82">
        <v>414</v>
      </c>
      <c r="T826" s="66">
        <f t="shared" si="171"/>
        <v>-142.79000000000002</v>
      </c>
      <c r="U826" s="46">
        <f t="shared" si="167"/>
        <v>265</v>
      </c>
      <c r="V826" s="82">
        <v>0</v>
      </c>
      <c r="W826" s="4">
        <v>2</v>
      </c>
      <c r="X826" s="195">
        <f t="shared" si="170"/>
        <v>265</v>
      </c>
      <c r="Y826" s="29" t="e">
        <f>IF(+VLOOKUP(I826,P.Referencia!E:S,3,FALSE)&lt;=L826,"Champion","Gerente")</f>
        <v>#N/A</v>
      </c>
      <c r="Z826" s="39" t="e">
        <f>VLOOKUP(I826,P.Referencia!E:S,3,0)</f>
        <v>#N/A</v>
      </c>
      <c r="AA826" s="40" t="e">
        <f t="shared" si="172"/>
        <v>#N/A</v>
      </c>
      <c r="AB826" s="41" t="e">
        <f t="shared" si="173"/>
        <v>#N/A</v>
      </c>
      <c r="AC826" s="41" t="e">
        <f t="shared" si="174"/>
        <v>#N/A</v>
      </c>
    </row>
    <row r="827" spans="1:29" hidden="1" x14ac:dyDescent="0.25">
      <c r="A827" s="24">
        <v>826</v>
      </c>
      <c r="B827" s="89" t="s">
        <v>505</v>
      </c>
      <c r="C827" s="4" t="str">
        <f t="shared" si="169"/>
        <v>LlaveD85265349360100389432</v>
      </c>
      <c r="D827" s="25" t="str">
        <f>VLOOKUP(E827,'NO MODIFICAR'!J:K,2,0)</f>
        <v>D852</v>
      </c>
      <c r="E827" s="102" t="s">
        <v>36</v>
      </c>
      <c r="F827" s="33" t="str">
        <f>VLOOKUP(D827,'NO MODIFICAR'!F:H,3,0)</f>
        <v>NORESTE</v>
      </c>
      <c r="G827" s="28">
        <v>65349360</v>
      </c>
      <c r="H827" s="93" t="s">
        <v>549</v>
      </c>
      <c r="I827" s="94">
        <v>10038943</v>
      </c>
      <c r="J827" s="4" t="str">
        <f>VLOOKUP(I827,'Materiales,canteras'!C:D,2,0)</f>
        <v>Arena Triturada Caliza Malla 4</v>
      </c>
      <c r="K827" s="25">
        <f>VLOOKUP(I827,'Materiales,canteras'!C:E,3,0)</f>
        <v>1.61</v>
      </c>
      <c r="L827" s="105">
        <v>124.2</v>
      </c>
      <c r="M827" s="28" t="s">
        <v>93</v>
      </c>
      <c r="N827" s="57">
        <f t="shared" ca="1" si="168"/>
        <v>46267</v>
      </c>
      <c r="O827" s="43" t="s">
        <v>201</v>
      </c>
      <c r="R827">
        <v>3.46</v>
      </c>
      <c r="S827" s="82">
        <v>173</v>
      </c>
      <c r="T827" s="66">
        <f t="shared" si="171"/>
        <v>-45.339999999999989</v>
      </c>
      <c r="U827" s="46">
        <f t="shared" si="167"/>
        <v>124.2</v>
      </c>
      <c r="V827" s="82">
        <v>0</v>
      </c>
      <c r="W827" s="4">
        <v>2</v>
      </c>
      <c r="X827" s="195">
        <f t="shared" si="170"/>
        <v>124.2</v>
      </c>
      <c r="Y827" s="29" t="e">
        <f>IF(+VLOOKUP(I827,P.Referencia!E:S,3,FALSE)&lt;=L827,"Champion","Gerente")</f>
        <v>#N/A</v>
      </c>
      <c r="Z827" s="39" t="e">
        <f>VLOOKUP(I827,P.Referencia!E:S,3,0)</f>
        <v>#N/A</v>
      </c>
      <c r="AA827" s="40" t="e">
        <f t="shared" si="172"/>
        <v>#N/A</v>
      </c>
      <c r="AB827" s="41" t="e">
        <f t="shared" si="173"/>
        <v>#N/A</v>
      </c>
      <c r="AC827" s="41" t="e">
        <f t="shared" si="174"/>
        <v>#N/A</v>
      </c>
    </row>
    <row r="828" spans="1:29" hidden="1" x14ac:dyDescent="0.25">
      <c r="A828" s="24">
        <v>827</v>
      </c>
      <c r="B828" s="89" t="s">
        <v>505</v>
      </c>
      <c r="C828" s="4" t="str">
        <f t="shared" si="169"/>
        <v>LlaveD85267228866100389432</v>
      </c>
      <c r="D828" s="25" t="str">
        <f>VLOOKUP(E828,'NO MODIFICAR'!J:K,2,0)</f>
        <v>D852</v>
      </c>
      <c r="E828" s="102" t="s">
        <v>36</v>
      </c>
      <c r="F828" s="33" t="str">
        <f>VLOOKUP(D828,'NO MODIFICAR'!F:H,3,0)</f>
        <v>NORESTE</v>
      </c>
      <c r="G828" s="28">
        <v>67228866</v>
      </c>
      <c r="H828" s="93" t="s">
        <v>529</v>
      </c>
      <c r="I828" s="94">
        <v>10038943</v>
      </c>
      <c r="J828" s="4" t="str">
        <f>VLOOKUP(I828,'Materiales,canteras'!C:D,2,0)</f>
        <v>Arena Triturada Caliza Malla 4</v>
      </c>
      <c r="K828" s="25">
        <f>VLOOKUP(I828,'Materiales,canteras'!C:E,3,0)</f>
        <v>1.61</v>
      </c>
      <c r="L828" s="105">
        <v>157</v>
      </c>
      <c r="M828" s="28" t="s">
        <v>93</v>
      </c>
      <c r="N828" s="57">
        <f t="shared" ca="1" si="168"/>
        <v>46267</v>
      </c>
      <c r="O828" s="43" t="s">
        <v>201</v>
      </c>
      <c r="R828">
        <v>2.6</v>
      </c>
      <c r="S828" s="82">
        <v>173</v>
      </c>
      <c r="T828" s="66">
        <f t="shared" si="171"/>
        <v>-13.400000000000006</v>
      </c>
      <c r="U828" s="46">
        <f t="shared" ref="U828:U891" si="175">L828</f>
        <v>157</v>
      </c>
      <c r="V828" s="82">
        <v>0</v>
      </c>
      <c r="W828" s="4">
        <v>2</v>
      </c>
      <c r="X828" s="195">
        <f t="shared" si="170"/>
        <v>157</v>
      </c>
      <c r="Y828" s="29" t="e">
        <f>IF(+VLOOKUP(I828,P.Referencia!E:S,3,FALSE)&lt;=L828,"Champion","Gerente")</f>
        <v>#N/A</v>
      </c>
      <c r="Z828" s="39" t="e">
        <f>VLOOKUP(I828,P.Referencia!E:S,3,0)</f>
        <v>#N/A</v>
      </c>
      <c r="AA828" s="40" t="e">
        <f t="shared" si="172"/>
        <v>#N/A</v>
      </c>
      <c r="AB828" s="41" t="e">
        <f t="shared" si="173"/>
        <v>#N/A</v>
      </c>
      <c r="AC828" s="41" t="e">
        <f t="shared" si="174"/>
        <v>#N/A</v>
      </c>
    </row>
    <row r="829" spans="1:29" hidden="1" x14ac:dyDescent="0.25">
      <c r="A829" s="24">
        <v>828</v>
      </c>
      <c r="B829" s="89" t="s">
        <v>505</v>
      </c>
      <c r="C829" s="4" t="str">
        <f t="shared" si="169"/>
        <v>LlaveD85267228866101525822</v>
      </c>
      <c r="D829" s="25" t="str">
        <f>VLOOKUP(E829,'NO MODIFICAR'!J:K,2,0)</f>
        <v>D852</v>
      </c>
      <c r="E829" s="102" t="s">
        <v>36</v>
      </c>
      <c r="F829" s="33" t="str">
        <f>VLOOKUP(D829,'NO MODIFICAR'!F:H,3,0)</f>
        <v>NORESTE</v>
      </c>
      <c r="G829" s="28">
        <v>67228866</v>
      </c>
      <c r="H829" s="93" t="s">
        <v>529</v>
      </c>
      <c r="I829" s="94">
        <v>10152582</v>
      </c>
      <c r="J829" s="4" t="str">
        <f>VLOOKUP(I829,'Materiales,canteras'!C:D,2,0)</f>
        <v>ARENA 4BLOCK MEZCLA ESP</v>
      </c>
      <c r="K829" s="25">
        <f>VLOOKUP(I829,'Materiales,canteras'!C:E,3,0)</f>
        <v>1.61</v>
      </c>
      <c r="L829" s="105">
        <v>157</v>
      </c>
      <c r="M829" s="28" t="s">
        <v>93</v>
      </c>
      <c r="N829" s="57">
        <f t="shared" ca="1" si="168"/>
        <v>46267</v>
      </c>
      <c r="O829" s="43" t="s">
        <v>201</v>
      </c>
      <c r="R829">
        <v>2.85</v>
      </c>
      <c r="S829" s="82">
        <v>190</v>
      </c>
      <c r="T829" s="66">
        <f t="shared" si="171"/>
        <v>-30.150000000000006</v>
      </c>
      <c r="U829" s="46">
        <f t="shared" si="175"/>
        <v>157</v>
      </c>
      <c r="V829" s="82">
        <v>0</v>
      </c>
      <c r="W829" s="4">
        <v>2</v>
      </c>
      <c r="X829" s="195">
        <f t="shared" si="170"/>
        <v>157</v>
      </c>
      <c r="Y829" s="29" t="e">
        <f>IF(+VLOOKUP(I829,P.Referencia!E:S,3,FALSE)&lt;=L829,"Champion","Gerente")</f>
        <v>#N/A</v>
      </c>
      <c r="Z829" s="39" t="e">
        <f>VLOOKUP(I829,P.Referencia!E:S,3,0)</f>
        <v>#N/A</v>
      </c>
      <c r="AA829" s="40" t="e">
        <f t="shared" si="172"/>
        <v>#N/A</v>
      </c>
      <c r="AB829" s="41" t="e">
        <f t="shared" si="173"/>
        <v>#N/A</v>
      </c>
      <c r="AC829" s="41" t="e">
        <f t="shared" si="174"/>
        <v>#N/A</v>
      </c>
    </row>
    <row r="830" spans="1:29" hidden="1" x14ac:dyDescent="0.25">
      <c r="A830" s="24">
        <v>829</v>
      </c>
      <c r="B830" s="89" t="s">
        <v>505</v>
      </c>
      <c r="C830" s="4" t="str">
        <f t="shared" si="169"/>
        <v>LlaveD8166734652910000262</v>
      </c>
      <c r="D830" s="25" t="str">
        <f>VLOOKUP(E830,'NO MODIFICAR'!J:K,2,0)</f>
        <v>D816</v>
      </c>
      <c r="E830" s="102" t="s">
        <v>15</v>
      </c>
      <c r="F830" s="33" t="str">
        <f>VLOOKUP(D830,'NO MODIFICAR'!F:H,3,0)</f>
        <v>NORESTE</v>
      </c>
      <c r="G830" s="28">
        <v>67346529</v>
      </c>
      <c r="H830" s="93" t="s">
        <v>552</v>
      </c>
      <c r="I830" s="94">
        <v>10000262</v>
      </c>
      <c r="J830" s="4" t="str">
        <f>VLOOKUP(I830,'Materiales,canteras'!C:D,2,0)</f>
        <v>Base H Triturada Caliza 1 1/2"</v>
      </c>
      <c r="K830" s="25">
        <f>VLOOKUP(I830,'Materiales,canteras'!C:E,3,0)</f>
        <v>1.821</v>
      </c>
      <c r="L830" s="105">
        <v>308</v>
      </c>
      <c r="M830" s="28" t="s">
        <v>93</v>
      </c>
      <c r="N830" s="57">
        <f t="shared" ca="1" si="168"/>
        <v>46267</v>
      </c>
      <c r="O830" s="43" t="s">
        <v>201</v>
      </c>
      <c r="S830" s="82">
        <v>357</v>
      </c>
      <c r="T830" s="66">
        <f t="shared" si="171"/>
        <v>-49</v>
      </c>
      <c r="U830" s="46">
        <f t="shared" si="175"/>
        <v>308</v>
      </c>
      <c r="V830" s="82"/>
      <c r="X830" s="195">
        <f t="shared" si="170"/>
        <v>308</v>
      </c>
      <c r="Y830" s="29" t="e">
        <f>IF(+VLOOKUP(I830,P.Referencia!E:S,3,FALSE)&lt;=L830,"Champion","Gerente")</f>
        <v>#N/A</v>
      </c>
      <c r="Z830" s="39" t="e">
        <f>VLOOKUP(I830,P.Referencia!E:S,3,0)</f>
        <v>#N/A</v>
      </c>
      <c r="AA830" s="40" t="e">
        <f t="shared" si="172"/>
        <v>#N/A</v>
      </c>
      <c r="AB830" s="41" t="e">
        <f t="shared" si="173"/>
        <v>#N/A</v>
      </c>
      <c r="AC830" s="41" t="e">
        <f t="shared" si="174"/>
        <v>#N/A</v>
      </c>
    </row>
    <row r="831" spans="1:29" hidden="1" x14ac:dyDescent="0.25">
      <c r="A831" s="24">
        <v>830</v>
      </c>
      <c r="B831" s="89" t="s">
        <v>505</v>
      </c>
      <c r="C831" s="4" t="str">
        <f t="shared" si="169"/>
        <v>LlaveD8166734652910036488</v>
      </c>
      <c r="D831" s="25" t="str">
        <f>VLOOKUP(E831,'NO MODIFICAR'!J:K,2,0)</f>
        <v>D816</v>
      </c>
      <c r="E831" s="102" t="s">
        <v>15</v>
      </c>
      <c r="F831" s="33" t="str">
        <f>VLOOKUP(D831,'NO MODIFICAR'!F:H,3,0)</f>
        <v>NORESTE</v>
      </c>
      <c r="G831" s="28">
        <v>67346529</v>
      </c>
      <c r="H831" s="93" t="s">
        <v>552</v>
      </c>
      <c r="I831" s="94">
        <v>10036488</v>
      </c>
      <c r="J831" s="4" t="str">
        <f>VLOOKUP(I831,'Materiales,canteras'!C:D,2,0)</f>
        <v>Base H Trit Caliza 3/4" a Fino</v>
      </c>
      <c r="K831" s="25">
        <f>VLOOKUP(I831,'Materiales,canteras'!C:E,3,0)</f>
        <v>1.78</v>
      </c>
      <c r="L831" s="105">
        <v>308</v>
      </c>
      <c r="M831" s="28" t="s">
        <v>93</v>
      </c>
      <c r="N831" s="57">
        <f t="shared" ca="1" si="168"/>
        <v>46267</v>
      </c>
      <c r="O831" s="43" t="s">
        <v>201</v>
      </c>
      <c r="S831" s="82">
        <v>357</v>
      </c>
      <c r="T831" s="66">
        <f t="shared" si="171"/>
        <v>-49</v>
      </c>
      <c r="U831" s="46">
        <f t="shared" si="175"/>
        <v>308</v>
      </c>
      <c r="V831" s="82"/>
      <c r="X831" s="195">
        <f t="shared" si="170"/>
        <v>308</v>
      </c>
      <c r="Y831" s="29" t="e">
        <f>IF(+VLOOKUP(I831,P.Referencia!E:S,3,FALSE)&lt;=L831,"Champion","Gerente")</f>
        <v>#N/A</v>
      </c>
      <c r="Z831" s="39" t="e">
        <f>VLOOKUP(I831,P.Referencia!E:S,3,0)</f>
        <v>#N/A</v>
      </c>
      <c r="AA831" s="40" t="e">
        <f t="shared" si="172"/>
        <v>#N/A</v>
      </c>
      <c r="AB831" s="41" t="e">
        <f t="shared" si="173"/>
        <v>#N/A</v>
      </c>
      <c r="AC831" s="41" t="e">
        <f t="shared" si="174"/>
        <v>#N/A</v>
      </c>
    </row>
    <row r="832" spans="1:29" hidden="1" x14ac:dyDescent="0.25">
      <c r="A832" s="24">
        <v>831</v>
      </c>
      <c r="B832" s="89" t="s">
        <v>505</v>
      </c>
      <c r="C832" s="4" t="str">
        <f t="shared" si="169"/>
        <v>LlaveD8616702281910000233</v>
      </c>
      <c r="D832" s="25" t="str">
        <f>VLOOKUP(E832,'NO MODIFICAR'!J:K,2,0)</f>
        <v>D861</v>
      </c>
      <c r="E832" s="102" t="s">
        <v>44</v>
      </c>
      <c r="F832" s="33" t="str">
        <f>VLOOKUP(D832,'NO MODIFICAR'!F:H,3,0)</f>
        <v xml:space="preserve">CENTRO </v>
      </c>
      <c r="G832" s="28">
        <v>67022819</v>
      </c>
      <c r="H832" s="93" t="s">
        <v>553</v>
      </c>
      <c r="I832" s="94">
        <v>10000233</v>
      </c>
      <c r="J832" s="4" t="str">
        <f>VLOOKUP(I832,'Materiales,canteras'!C:D,2,0)</f>
        <v>Grava Triturada Basalto  40 mm</v>
      </c>
      <c r="K832" s="25">
        <f>VLOOKUP(I832,'Materiales,canteras'!C:E,3,0)</f>
        <v>1.456</v>
      </c>
      <c r="L832" s="105">
        <v>225</v>
      </c>
      <c r="M832" s="28" t="s">
        <v>93</v>
      </c>
      <c r="N832" s="57">
        <f t="shared" ca="1" si="168"/>
        <v>46267</v>
      </c>
      <c r="O832" s="43" t="s">
        <v>201</v>
      </c>
      <c r="R832">
        <v>4.6500000000000004</v>
      </c>
      <c r="S832" s="82">
        <v>310</v>
      </c>
      <c r="T832" s="66">
        <f t="shared" si="171"/>
        <v>-80.350000000000023</v>
      </c>
      <c r="U832" s="46">
        <f t="shared" si="175"/>
        <v>225</v>
      </c>
      <c r="V832" s="82"/>
      <c r="X832" s="195">
        <f t="shared" si="170"/>
        <v>225</v>
      </c>
      <c r="Y832" s="29" t="e">
        <f>IF(+VLOOKUP(I832,P.Referencia!E:S,3,FALSE)&lt;=L832,"Champion","Gerente")</f>
        <v>#N/A</v>
      </c>
      <c r="Z832" s="39" t="e">
        <f>VLOOKUP(I832,P.Referencia!E:S,3,0)</f>
        <v>#N/A</v>
      </c>
      <c r="AA832" s="40" t="e">
        <f t="shared" si="172"/>
        <v>#N/A</v>
      </c>
      <c r="AB832" s="41" t="e">
        <f t="shared" si="173"/>
        <v>#N/A</v>
      </c>
      <c r="AC832" s="41" t="e">
        <f t="shared" si="174"/>
        <v>#N/A</v>
      </c>
    </row>
    <row r="833" spans="1:29" hidden="1" x14ac:dyDescent="0.25">
      <c r="A833" s="24">
        <v>832</v>
      </c>
      <c r="B833" s="89" t="s">
        <v>505</v>
      </c>
      <c r="C833" s="4" t="str">
        <f t="shared" si="169"/>
        <v>LlaveD86467366346100002362</v>
      </c>
      <c r="D833" s="25" t="str">
        <f>VLOOKUP(E833,'NO MODIFICAR'!J:K,2,0)</f>
        <v>D864</v>
      </c>
      <c r="E833" s="102" t="s">
        <v>55</v>
      </c>
      <c r="F833" s="33" t="str">
        <f>VLOOKUP(D833,'NO MODIFICAR'!F:H,3,0)</f>
        <v xml:space="preserve">CENTRO </v>
      </c>
      <c r="G833" s="28">
        <v>67366346</v>
      </c>
      <c r="H833" s="93" t="s">
        <v>540</v>
      </c>
      <c r="I833" s="94">
        <v>10000236</v>
      </c>
      <c r="J833" s="4" t="str">
        <f>VLOOKUP(I833,'Materiales,canteras'!C:D,2,0)</f>
        <v>Grava Triturada Caliza 10 mm -</v>
      </c>
      <c r="K833" s="25">
        <f>VLOOKUP(I833,'Materiales,canteras'!C:E,3,0)</f>
        <v>1.41</v>
      </c>
      <c r="L833" s="105">
        <v>143</v>
      </c>
      <c r="M833" s="28" t="s">
        <v>93</v>
      </c>
      <c r="N833" s="57">
        <f t="shared" ca="1" si="168"/>
        <v>46267</v>
      </c>
      <c r="O833" s="43" t="s">
        <v>201</v>
      </c>
      <c r="R833">
        <v>3.78</v>
      </c>
      <c r="S833" s="82">
        <v>252</v>
      </c>
      <c r="T833" s="66">
        <f t="shared" si="171"/>
        <v>-105.22</v>
      </c>
      <c r="U833" s="46">
        <f t="shared" si="175"/>
        <v>143</v>
      </c>
      <c r="V833" s="82">
        <v>0</v>
      </c>
      <c r="W833" s="4">
        <v>2</v>
      </c>
      <c r="X833" s="195">
        <f t="shared" si="170"/>
        <v>143</v>
      </c>
      <c r="Y833" s="29" t="e">
        <f>IF(+VLOOKUP(I833,P.Referencia!E:S,3,FALSE)&lt;=L833,"Champion","Gerente")</f>
        <v>#N/A</v>
      </c>
      <c r="Z833" s="39" t="e">
        <f>VLOOKUP(I833,P.Referencia!E:S,3,0)</f>
        <v>#N/A</v>
      </c>
      <c r="AA833" s="40" t="e">
        <f t="shared" si="172"/>
        <v>#N/A</v>
      </c>
      <c r="AB833" s="41" t="e">
        <f t="shared" si="173"/>
        <v>#N/A</v>
      </c>
      <c r="AC833" s="41" t="e">
        <f t="shared" si="174"/>
        <v>#N/A</v>
      </c>
    </row>
    <row r="834" spans="1:29" hidden="1" x14ac:dyDescent="0.25">
      <c r="A834" s="24">
        <v>833</v>
      </c>
      <c r="B834" s="89" t="s">
        <v>505</v>
      </c>
      <c r="C834" s="4" t="str">
        <f t="shared" ref="C834:C844" si="176">_xlfn.CONCAT($C$1,D834,G834,I834,W834)</f>
        <v>LlaveD86467366346100002402</v>
      </c>
      <c r="D834" s="25" t="str">
        <f>VLOOKUP(E834,'NO MODIFICAR'!J:K,2,0)</f>
        <v>D864</v>
      </c>
      <c r="E834" s="102" t="s">
        <v>55</v>
      </c>
      <c r="F834" s="33" t="str">
        <f>VLOOKUP(D834,'NO MODIFICAR'!F:H,3,0)</f>
        <v xml:space="preserve">CENTRO </v>
      </c>
      <c r="G834" s="28">
        <v>67366346</v>
      </c>
      <c r="H834" s="93" t="s">
        <v>540</v>
      </c>
      <c r="I834" s="94">
        <v>10000240</v>
      </c>
      <c r="J834" s="4" t="str">
        <f>VLOOKUP(I834,'Materiales,canteras'!C:D,2,0)</f>
        <v>Grava Triturada Caliza 20 mm -</v>
      </c>
      <c r="K834" s="25">
        <f>VLOOKUP(I834,'Materiales,canteras'!C:E,3,0)</f>
        <v>1.462</v>
      </c>
      <c r="L834" s="105">
        <v>138</v>
      </c>
      <c r="M834" s="28" t="s">
        <v>93</v>
      </c>
      <c r="N834" s="57">
        <f t="shared" ca="1" si="168"/>
        <v>46267</v>
      </c>
      <c r="O834" s="43" t="s">
        <v>201</v>
      </c>
      <c r="R834">
        <v>4.41</v>
      </c>
      <c r="S834" s="82">
        <v>294</v>
      </c>
      <c r="T834" s="66">
        <f t="shared" si="171"/>
        <v>-151.58999999999997</v>
      </c>
      <c r="U834" s="46">
        <f t="shared" si="175"/>
        <v>138</v>
      </c>
      <c r="V834" s="82">
        <v>0</v>
      </c>
      <c r="W834" s="4">
        <v>2</v>
      </c>
      <c r="X834" s="195">
        <f t="shared" si="170"/>
        <v>138</v>
      </c>
      <c r="Y834" s="29" t="e">
        <f>IF(+VLOOKUP(I834,P.Referencia!E:S,3,FALSE)&lt;=L834,"Champion","Gerente")</f>
        <v>#N/A</v>
      </c>
      <c r="Z834" s="39" t="e">
        <f>VLOOKUP(I834,P.Referencia!E:S,3,0)</f>
        <v>#N/A</v>
      </c>
      <c r="AA834" s="40" t="e">
        <f t="shared" si="172"/>
        <v>#N/A</v>
      </c>
      <c r="AB834" s="41" t="e">
        <f t="shared" si="173"/>
        <v>#N/A</v>
      </c>
      <c r="AC834" s="41" t="e">
        <f t="shared" si="174"/>
        <v>#N/A</v>
      </c>
    </row>
    <row r="835" spans="1:29" hidden="1" x14ac:dyDescent="0.25">
      <c r="A835" s="24">
        <v>834</v>
      </c>
      <c r="B835" s="89" t="s">
        <v>505</v>
      </c>
      <c r="C835" s="4" t="str">
        <f t="shared" si="176"/>
        <v>LlaveD86467366371100002362</v>
      </c>
      <c r="D835" s="25" t="str">
        <f>VLOOKUP(E835,'NO MODIFICAR'!J:K,2,0)</f>
        <v>D864</v>
      </c>
      <c r="E835" s="102" t="s">
        <v>55</v>
      </c>
      <c r="F835" s="33" t="str">
        <f>VLOOKUP(D835,'NO MODIFICAR'!F:H,3,0)</f>
        <v xml:space="preserve">CENTRO </v>
      </c>
      <c r="G835" s="28">
        <v>67366371</v>
      </c>
      <c r="H835" s="93" t="s">
        <v>541</v>
      </c>
      <c r="I835" s="94">
        <v>10000236</v>
      </c>
      <c r="J835" s="4" t="str">
        <f>VLOOKUP(I835,'Materiales,canteras'!C:D,2,0)</f>
        <v>Grava Triturada Caliza 10 mm -</v>
      </c>
      <c r="K835" s="25">
        <f>VLOOKUP(I835,'Materiales,canteras'!C:E,3,0)</f>
        <v>1.41</v>
      </c>
      <c r="L835" s="105">
        <v>143</v>
      </c>
      <c r="M835" s="28" t="s">
        <v>93</v>
      </c>
      <c r="N835" s="57">
        <f t="shared" ca="1" si="168"/>
        <v>46267</v>
      </c>
      <c r="O835" s="43" t="s">
        <v>201</v>
      </c>
      <c r="R835">
        <v>3.78</v>
      </c>
      <c r="S835" s="82">
        <v>252</v>
      </c>
      <c r="T835" s="66">
        <f t="shared" si="171"/>
        <v>-105.22</v>
      </c>
      <c r="U835" s="46">
        <f t="shared" si="175"/>
        <v>143</v>
      </c>
      <c r="V835" s="82">
        <v>0</v>
      </c>
      <c r="W835" s="4">
        <v>2</v>
      </c>
      <c r="X835" s="195">
        <f t="shared" si="170"/>
        <v>143</v>
      </c>
      <c r="Y835" s="29" t="e">
        <f>IF(+VLOOKUP(I835,P.Referencia!E:S,3,FALSE)&lt;=L835,"Champion","Gerente")</f>
        <v>#N/A</v>
      </c>
      <c r="Z835" s="39" t="e">
        <f>VLOOKUP(I835,P.Referencia!E:S,3,0)</f>
        <v>#N/A</v>
      </c>
      <c r="AA835" s="40" t="e">
        <f t="shared" si="172"/>
        <v>#N/A</v>
      </c>
      <c r="AB835" s="41" t="e">
        <f t="shared" si="173"/>
        <v>#N/A</v>
      </c>
      <c r="AC835" s="41" t="e">
        <f t="shared" si="174"/>
        <v>#N/A</v>
      </c>
    </row>
    <row r="836" spans="1:29" hidden="1" x14ac:dyDescent="0.25">
      <c r="A836" s="24">
        <v>835</v>
      </c>
      <c r="B836" s="89" t="s">
        <v>505</v>
      </c>
      <c r="C836" s="4" t="str">
        <f t="shared" si="176"/>
        <v>LlaveD86467366371100002402</v>
      </c>
      <c r="D836" s="25" t="str">
        <f>VLOOKUP(E836,'NO MODIFICAR'!J:K,2,0)</f>
        <v>D864</v>
      </c>
      <c r="E836" s="102" t="s">
        <v>55</v>
      </c>
      <c r="F836" s="33" t="str">
        <f>VLOOKUP(D836,'NO MODIFICAR'!F:H,3,0)</f>
        <v xml:space="preserve">CENTRO </v>
      </c>
      <c r="G836" s="28">
        <v>67366371</v>
      </c>
      <c r="H836" s="93" t="s">
        <v>541</v>
      </c>
      <c r="I836" s="94">
        <v>10000240</v>
      </c>
      <c r="J836" s="4" t="str">
        <f>VLOOKUP(I836,'Materiales,canteras'!C:D,2,0)</f>
        <v>Grava Triturada Caliza 20 mm -</v>
      </c>
      <c r="K836" s="25">
        <f>VLOOKUP(I836,'Materiales,canteras'!C:E,3,0)</f>
        <v>1.462</v>
      </c>
      <c r="L836" s="105">
        <v>138</v>
      </c>
      <c r="M836" s="28" t="s">
        <v>93</v>
      </c>
      <c r="N836" s="57">
        <f t="shared" ca="1" si="168"/>
        <v>46267</v>
      </c>
      <c r="O836" s="43" t="s">
        <v>201</v>
      </c>
      <c r="R836">
        <v>4.41</v>
      </c>
      <c r="S836" s="82">
        <v>294</v>
      </c>
      <c r="T836" s="66">
        <f t="shared" si="171"/>
        <v>-151.58999999999997</v>
      </c>
      <c r="U836" s="46">
        <f t="shared" si="175"/>
        <v>138</v>
      </c>
      <c r="V836" s="82">
        <v>0</v>
      </c>
      <c r="W836" s="4">
        <v>2</v>
      </c>
      <c r="X836" s="195">
        <f t="shared" si="170"/>
        <v>138</v>
      </c>
      <c r="Y836" s="29" t="e">
        <f>IF(+VLOOKUP(I836,P.Referencia!E:S,3,FALSE)&lt;=L836,"Champion","Gerente")</f>
        <v>#N/A</v>
      </c>
      <c r="Z836" s="39" t="e">
        <f>VLOOKUP(I836,P.Referencia!E:S,3,0)</f>
        <v>#N/A</v>
      </c>
      <c r="AA836" s="40" t="e">
        <f t="shared" si="172"/>
        <v>#N/A</v>
      </c>
      <c r="AB836" s="41" t="e">
        <f t="shared" si="173"/>
        <v>#N/A</v>
      </c>
      <c r="AC836" s="41" t="e">
        <f t="shared" si="174"/>
        <v>#N/A</v>
      </c>
    </row>
    <row r="837" spans="1:29" hidden="1" x14ac:dyDescent="0.25">
      <c r="A837" s="24">
        <v>836</v>
      </c>
      <c r="B837" s="89" t="s">
        <v>505</v>
      </c>
      <c r="C837" s="4" t="str">
        <f t="shared" si="176"/>
        <v>LlaveD86466576199100002362</v>
      </c>
      <c r="D837" s="25" t="str">
        <f>VLOOKUP(E837,'NO MODIFICAR'!J:K,2,0)</f>
        <v>D864</v>
      </c>
      <c r="E837" s="102" t="s">
        <v>55</v>
      </c>
      <c r="F837" s="33" t="str">
        <f>VLOOKUP(D837,'NO MODIFICAR'!F:H,3,0)</f>
        <v xml:space="preserve">CENTRO </v>
      </c>
      <c r="G837" s="28">
        <v>66576199</v>
      </c>
      <c r="H837" s="93" t="s">
        <v>554</v>
      </c>
      <c r="I837" s="94">
        <v>10000236</v>
      </c>
      <c r="J837" s="4" t="str">
        <f>VLOOKUP(I837,'Materiales,canteras'!C:D,2,0)</f>
        <v>Grava Triturada Caliza 10 mm -</v>
      </c>
      <c r="K837" s="25">
        <f>VLOOKUP(I837,'Materiales,canteras'!C:E,3,0)</f>
        <v>1.41</v>
      </c>
      <c r="L837" s="105">
        <v>143</v>
      </c>
      <c r="M837" s="28" t="s">
        <v>93</v>
      </c>
      <c r="N837" s="57">
        <f t="shared" ref="N837:N900" ca="1" si="177">TODAY()</f>
        <v>46267</v>
      </c>
      <c r="O837" s="43" t="s">
        <v>201</v>
      </c>
      <c r="R837">
        <v>3.78</v>
      </c>
      <c r="S837" s="82">
        <v>252</v>
      </c>
      <c r="T837" s="66">
        <f t="shared" si="171"/>
        <v>-105.22</v>
      </c>
      <c r="U837" s="46">
        <f t="shared" si="175"/>
        <v>143</v>
      </c>
      <c r="V837" s="82">
        <v>0</v>
      </c>
      <c r="W837" s="4">
        <v>2</v>
      </c>
      <c r="X837" s="195">
        <f t="shared" si="170"/>
        <v>143</v>
      </c>
      <c r="Y837" s="29" t="e">
        <f>IF(+VLOOKUP(I837,P.Referencia!E:S,3,FALSE)&lt;=L837,"Champion","Gerente")</f>
        <v>#N/A</v>
      </c>
      <c r="Z837" s="39" t="e">
        <f>VLOOKUP(I837,P.Referencia!E:S,3,0)</f>
        <v>#N/A</v>
      </c>
      <c r="AA837" s="40" t="e">
        <f t="shared" si="172"/>
        <v>#N/A</v>
      </c>
      <c r="AB837" s="41" t="e">
        <f t="shared" si="173"/>
        <v>#N/A</v>
      </c>
      <c r="AC837" s="41" t="e">
        <f t="shared" si="174"/>
        <v>#N/A</v>
      </c>
    </row>
    <row r="838" spans="1:29" hidden="1" x14ac:dyDescent="0.25">
      <c r="A838" s="24">
        <v>837</v>
      </c>
      <c r="B838" s="89" t="s">
        <v>505</v>
      </c>
      <c r="C838" s="4" t="str">
        <f t="shared" si="176"/>
        <v>LlaveD86466576199100002402</v>
      </c>
      <c r="D838" s="25" t="str">
        <f>VLOOKUP(E838,'NO MODIFICAR'!J:K,2,0)</f>
        <v>D864</v>
      </c>
      <c r="E838" s="102" t="s">
        <v>55</v>
      </c>
      <c r="F838" s="33" t="str">
        <f>VLOOKUP(D838,'NO MODIFICAR'!F:H,3,0)</f>
        <v xml:space="preserve">CENTRO </v>
      </c>
      <c r="G838" s="28">
        <v>66576199</v>
      </c>
      <c r="H838" s="93" t="s">
        <v>554</v>
      </c>
      <c r="I838" s="94">
        <v>10000240</v>
      </c>
      <c r="J838" s="4" t="str">
        <f>VLOOKUP(I838,'Materiales,canteras'!C:D,2,0)</f>
        <v>Grava Triturada Caliza 20 mm -</v>
      </c>
      <c r="K838" s="25">
        <f>VLOOKUP(I838,'Materiales,canteras'!C:E,3,0)</f>
        <v>1.462</v>
      </c>
      <c r="L838" s="105">
        <v>138</v>
      </c>
      <c r="M838" s="28" t="s">
        <v>93</v>
      </c>
      <c r="N838" s="57">
        <f t="shared" ca="1" si="177"/>
        <v>46267</v>
      </c>
      <c r="O838" s="43" t="s">
        <v>201</v>
      </c>
      <c r="R838">
        <v>4.41</v>
      </c>
      <c r="S838" s="82">
        <v>294</v>
      </c>
      <c r="T838" s="66">
        <f t="shared" si="171"/>
        <v>-151.58999999999997</v>
      </c>
      <c r="U838" s="46">
        <f t="shared" si="175"/>
        <v>138</v>
      </c>
      <c r="V838" s="82">
        <v>0</v>
      </c>
      <c r="W838" s="4">
        <v>2</v>
      </c>
      <c r="X838" s="195">
        <f t="shared" si="170"/>
        <v>138</v>
      </c>
      <c r="Y838" s="29" t="e">
        <f>IF(+VLOOKUP(I838,P.Referencia!E:S,3,FALSE)&lt;=L838,"Champion","Gerente")</f>
        <v>#N/A</v>
      </c>
      <c r="Z838" s="39" t="e">
        <f>VLOOKUP(I838,P.Referencia!E:S,3,0)</f>
        <v>#N/A</v>
      </c>
      <c r="AA838" s="40" t="e">
        <f t="shared" si="172"/>
        <v>#N/A</v>
      </c>
      <c r="AB838" s="41" t="e">
        <f t="shared" si="173"/>
        <v>#N/A</v>
      </c>
      <c r="AC838" s="41" t="e">
        <f t="shared" si="174"/>
        <v>#N/A</v>
      </c>
    </row>
    <row r="839" spans="1:29" hidden="1" x14ac:dyDescent="0.25">
      <c r="A839" s="24">
        <v>838</v>
      </c>
      <c r="B839" s="89" t="s">
        <v>505</v>
      </c>
      <c r="C839" s="4" t="str">
        <f t="shared" si="176"/>
        <v>LlaveD86466532867100002362</v>
      </c>
      <c r="D839" s="25" t="str">
        <f>VLOOKUP(E839,'NO MODIFICAR'!J:K,2,0)</f>
        <v>D864</v>
      </c>
      <c r="E839" s="102" t="s">
        <v>55</v>
      </c>
      <c r="F839" s="33" t="str">
        <f>VLOOKUP(D839,'NO MODIFICAR'!F:H,3,0)</f>
        <v xml:space="preserve">CENTRO </v>
      </c>
      <c r="G839" s="28">
        <v>66532867</v>
      </c>
      <c r="H839" s="93" t="s">
        <v>555</v>
      </c>
      <c r="I839" s="94">
        <v>10000236</v>
      </c>
      <c r="J839" s="4" t="str">
        <f>VLOOKUP(I839,'Materiales,canteras'!C:D,2,0)</f>
        <v>Grava Triturada Caliza 10 mm -</v>
      </c>
      <c r="K839" s="25">
        <f>VLOOKUP(I839,'Materiales,canteras'!C:E,3,0)</f>
        <v>1.41</v>
      </c>
      <c r="L839" s="105">
        <v>143</v>
      </c>
      <c r="M839" s="28" t="s">
        <v>93</v>
      </c>
      <c r="N839" s="57">
        <f t="shared" ca="1" si="177"/>
        <v>46267</v>
      </c>
      <c r="O839" s="43" t="s">
        <v>201</v>
      </c>
      <c r="R839">
        <v>3.78</v>
      </c>
      <c r="S839" s="82">
        <v>252</v>
      </c>
      <c r="T839" s="66">
        <f t="shared" si="171"/>
        <v>-105.22</v>
      </c>
      <c r="U839" s="46">
        <f t="shared" si="175"/>
        <v>143</v>
      </c>
      <c r="V839" s="82">
        <v>0</v>
      </c>
      <c r="W839" s="4">
        <v>2</v>
      </c>
      <c r="X839" s="195">
        <f t="shared" si="170"/>
        <v>143</v>
      </c>
      <c r="Y839" s="29" t="e">
        <f>IF(+VLOOKUP(I839,P.Referencia!E:S,3,FALSE)&lt;=L839,"Champion","Gerente")</f>
        <v>#N/A</v>
      </c>
      <c r="Z839" s="39" t="e">
        <f>VLOOKUP(I839,P.Referencia!E:S,3,0)</f>
        <v>#N/A</v>
      </c>
      <c r="AA839" s="40" t="e">
        <f t="shared" si="172"/>
        <v>#N/A</v>
      </c>
      <c r="AB839" s="41" t="e">
        <f t="shared" si="173"/>
        <v>#N/A</v>
      </c>
      <c r="AC839" s="41" t="e">
        <f t="shared" si="174"/>
        <v>#N/A</v>
      </c>
    </row>
    <row r="840" spans="1:29" hidden="1" x14ac:dyDescent="0.25">
      <c r="A840" s="24">
        <v>839</v>
      </c>
      <c r="B840" s="89" t="s">
        <v>505</v>
      </c>
      <c r="C840" s="4" t="str">
        <f t="shared" si="176"/>
        <v>LlaveD86466532867100002402</v>
      </c>
      <c r="D840" s="25" t="str">
        <f>VLOOKUP(E840,'NO MODIFICAR'!J:K,2,0)</f>
        <v>D864</v>
      </c>
      <c r="E840" s="102" t="s">
        <v>55</v>
      </c>
      <c r="F840" s="33" t="str">
        <f>VLOOKUP(D840,'NO MODIFICAR'!F:H,3,0)</f>
        <v xml:space="preserve">CENTRO </v>
      </c>
      <c r="G840" s="28">
        <v>66532867</v>
      </c>
      <c r="H840" s="93" t="s">
        <v>555</v>
      </c>
      <c r="I840" s="94">
        <v>10000240</v>
      </c>
      <c r="J840" s="4" t="str">
        <f>VLOOKUP(I840,'Materiales,canteras'!C:D,2,0)</f>
        <v>Grava Triturada Caliza 20 mm -</v>
      </c>
      <c r="K840" s="25">
        <f>VLOOKUP(I840,'Materiales,canteras'!C:E,3,0)</f>
        <v>1.462</v>
      </c>
      <c r="L840" s="105">
        <v>138</v>
      </c>
      <c r="M840" s="28" t="s">
        <v>93</v>
      </c>
      <c r="N840" s="57">
        <f t="shared" ca="1" si="177"/>
        <v>46267</v>
      </c>
      <c r="O840" s="43" t="s">
        <v>201</v>
      </c>
      <c r="R840">
        <v>4.41</v>
      </c>
      <c r="S840" s="82">
        <v>294</v>
      </c>
      <c r="T840" s="66">
        <f t="shared" si="171"/>
        <v>-151.58999999999997</v>
      </c>
      <c r="U840" s="46">
        <f t="shared" si="175"/>
        <v>138</v>
      </c>
      <c r="V840" s="82">
        <v>0</v>
      </c>
      <c r="W840" s="4">
        <v>2</v>
      </c>
      <c r="X840" s="195">
        <f t="shared" si="170"/>
        <v>138</v>
      </c>
      <c r="Y840" s="29" t="e">
        <f>IF(+VLOOKUP(I840,P.Referencia!E:S,3,FALSE)&lt;=L840,"Champion","Gerente")</f>
        <v>#N/A</v>
      </c>
      <c r="Z840" s="39" t="e">
        <f>VLOOKUP(I840,P.Referencia!E:S,3,0)</f>
        <v>#N/A</v>
      </c>
      <c r="AA840" s="40" t="e">
        <f t="shared" si="172"/>
        <v>#N/A</v>
      </c>
      <c r="AB840" s="41" t="e">
        <f t="shared" si="173"/>
        <v>#N/A</v>
      </c>
      <c r="AC840" s="41" t="e">
        <f t="shared" si="174"/>
        <v>#N/A</v>
      </c>
    </row>
    <row r="841" spans="1:29" hidden="1" x14ac:dyDescent="0.25">
      <c r="A841" s="24">
        <v>840</v>
      </c>
      <c r="B841" s="89" t="s">
        <v>505</v>
      </c>
      <c r="C841" s="4" t="str">
        <f t="shared" si="176"/>
        <v>LlaveD86467366346100002692</v>
      </c>
      <c r="D841" s="25" t="str">
        <f>VLOOKUP(E841,'NO MODIFICAR'!J:K,2,0)</f>
        <v>D864</v>
      </c>
      <c r="E841" s="102" t="s">
        <v>55</v>
      </c>
      <c r="F841" s="33" t="str">
        <f>VLOOKUP(D841,'NO MODIFICAR'!F:H,3,0)</f>
        <v xml:space="preserve">CENTRO </v>
      </c>
      <c r="G841" s="28">
        <v>67366346</v>
      </c>
      <c r="H841" s="93" t="s">
        <v>540</v>
      </c>
      <c r="I841" s="94">
        <v>10000269</v>
      </c>
      <c r="J841" s="4" t="str">
        <f>VLOOKUP(I841,'Materiales,canteras'!C:D,2,0)</f>
        <v>Grava Triturada Caliza 13 mm -</v>
      </c>
      <c r="K841" s="25">
        <f>VLOOKUP(I841,'Materiales,canteras'!C:E,3,0)</f>
        <v>1.423</v>
      </c>
      <c r="L841" s="105">
        <v>126.28</v>
      </c>
      <c r="M841" s="28" t="s">
        <v>93</v>
      </c>
      <c r="N841" s="57">
        <f t="shared" ca="1" si="177"/>
        <v>46267</v>
      </c>
      <c r="O841" s="43" t="s">
        <v>201</v>
      </c>
      <c r="R841">
        <v>3.95</v>
      </c>
      <c r="S841" s="82">
        <v>263</v>
      </c>
      <c r="T841" s="66">
        <f t="shared" si="171"/>
        <v>-132.77000000000001</v>
      </c>
      <c r="U841" s="46">
        <f t="shared" si="175"/>
        <v>126.28</v>
      </c>
      <c r="V841" s="82">
        <v>0</v>
      </c>
      <c r="W841" s="4">
        <v>2</v>
      </c>
      <c r="X841" s="195">
        <f t="shared" si="170"/>
        <v>126.28</v>
      </c>
      <c r="Y841" s="29" t="e">
        <f>IF(+VLOOKUP(I841,P.Referencia!E:S,3,FALSE)&lt;=L841,"Champion","Gerente")</f>
        <v>#N/A</v>
      </c>
      <c r="Z841" s="39" t="e">
        <f>VLOOKUP(I841,P.Referencia!E:S,3,0)</f>
        <v>#N/A</v>
      </c>
      <c r="AA841" s="40" t="e">
        <f t="shared" si="172"/>
        <v>#N/A</v>
      </c>
      <c r="AB841" s="41" t="e">
        <f t="shared" si="173"/>
        <v>#N/A</v>
      </c>
      <c r="AC841" s="41" t="e">
        <f t="shared" si="174"/>
        <v>#N/A</v>
      </c>
    </row>
    <row r="842" spans="1:29" hidden="1" x14ac:dyDescent="0.25">
      <c r="A842" s="24">
        <v>841</v>
      </c>
      <c r="B842" s="89" t="s">
        <v>505</v>
      </c>
      <c r="C842" s="4" t="str">
        <f t="shared" si="176"/>
        <v>LlaveD86467366346100010742</v>
      </c>
      <c r="D842" s="25" t="str">
        <f>VLOOKUP(E842,'NO MODIFICAR'!J:K,2,0)</f>
        <v>D864</v>
      </c>
      <c r="E842" s="102" t="s">
        <v>55</v>
      </c>
      <c r="F842" s="33" t="str">
        <f>VLOOKUP(D842,'NO MODIFICAR'!F:H,3,0)</f>
        <v xml:space="preserve">CENTRO </v>
      </c>
      <c r="G842" s="28">
        <v>67366346</v>
      </c>
      <c r="H842" s="93" t="s">
        <v>540</v>
      </c>
      <c r="I842" s="94">
        <v>10001074</v>
      </c>
      <c r="J842" s="4" t="str">
        <f>VLOOKUP(I842,'Materiales,canteras'!C:D,2,0)</f>
        <v>Grava Triturada Caliza 40 mm -</v>
      </c>
      <c r="K842" s="25">
        <f>VLOOKUP(I842,'Materiales,canteras'!C:E,3,0)</f>
        <v>1.4</v>
      </c>
      <c r="L842" s="105">
        <v>120.75</v>
      </c>
      <c r="M842" s="28" t="s">
        <v>93</v>
      </c>
      <c r="N842" s="57">
        <f t="shared" ca="1" si="177"/>
        <v>46267</v>
      </c>
      <c r="O842" s="43" t="s">
        <v>201</v>
      </c>
      <c r="R842">
        <v>3.47</v>
      </c>
      <c r="S842" s="82">
        <v>231</v>
      </c>
      <c r="T842" s="66">
        <f t="shared" si="171"/>
        <v>-106.78</v>
      </c>
      <c r="U842" s="46">
        <f t="shared" si="175"/>
        <v>120.75</v>
      </c>
      <c r="V842" s="82">
        <v>0</v>
      </c>
      <c r="W842" s="4">
        <v>2</v>
      </c>
      <c r="X842" s="195">
        <f t="shared" si="170"/>
        <v>120.75</v>
      </c>
      <c r="Y842" s="29" t="e">
        <f>IF(+VLOOKUP(I842,P.Referencia!E:S,3,FALSE)&lt;=L842,"Champion","Gerente")</f>
        <v>#N/A</v>
      </c>
      <c r="Z842" s="39" t="e">
        <f>VLOOKUP(I842,P.Referencia!E:S,3,0)</f>
        <v>#N/A</v>
      </c>
      <c r="AA842" s="40" t="e">
        <f t="shared" si="172"/>
        <v>#N/A</v>
      </c>
      <c r="AB842" s="41" t="e">
        <f t="shared" si="173"/>
        <v>#N/A</v>
      </c>
      <c r="AC842" s="41" t="e">
        <f t="shared" si="174"/>
        <v>#N/A</v>
      </c>
    </row>
    <row r="843" spans="1:29" hidden="1" x14ac:dyDescent="0.25">
      <c r="A843" s="24">
        <v>842</v>
      </c>
      <c r="B843" s="89" t="s">
        <v>505</v>
      </c>
      <c r="C843" s="4" t="str">
        <f t="shared" si="176"/>
        <v>LlaveD86467366371100002692</v>
      </c>
      <c r="D843" s="25" t="str">
        <f>VLOOKUP(E843,'NO MODIFICAR'!J:K,2,0)</f>
        <v>D864</v>
      </c>
      <c r="E843" s="102" t="s">
        <v>55</v>
      </c>
      <c r="F843" s="33" t="str">
        <f>VLOOKUP(D843,'NO MODIFICAR'!F:H,3,0)</f>
        <v xml:space="preserve">CENTRO </v>
      </c>
      <c r="G843" s="28">
        <v>67366371</v>
      </c>
      <c r="H843" s="93" t="s">
        <v>541</v>
      </c>
      <c r="I843" s="94">
        <v>10000269</v>
      </c>
      <c r="J843" s="4" t="str">
        <f>VLOOKUP(I843,'Materiales,canteras'!C:D,2,0)</f>
        <v>Grava Triturada Caliza 13 mm -</v>
      </c>
      <c r="K843" s="25">
        <f>VLOOKUP(I843,'Materiales,canteras'!C:E,3,0)</f>
        <v>1.423</v>
      </c>
      <c r="L843" s="105">
        <v>126.28</v>
      </c>
      <c r="M843" s="28" t="s">
        <v>93</v>
      </c>
      <c r="N843" s="57">
        <f t="shared" ca="1" si="177"/>
        <v>46267</v>
      </c>
      <c r="O843" s="43" t="s">
        <v>201</v>
      </c>
      <c r="R843">
        <v>3.95</v>
      </c>
      <c r="S843" s="82">
        <v>263</v>
      </c>
      <c r="T843" s="66">
        <f t="shared" si="171"/>
        <v>-132.77000000000001</v>
      </c>
      <c r="U843" s="46">
        <f t="shared" si="175"/>
        <v>126.28</v>
      </c>
      <c r="V843" s="82">
        <v>0</v>
      </c>
      <c r="W843" s="4">
        <v>2</v>
      </c>
      <c r="X843" s="195">
        <f t="shared" si="170"/>
        <v>126.28</v>
      </c>
      <c r="Y843" s="29" t="e">
        <f>IF(+VLOOKUP(I843,P.Referencia!E:S,3,FALSE)&lt;=L843,"Champion","Gerente")</f>
        <v>#N/A</v>
      </c>
      <c r="Z843" s="39" t="e">
        <f>VLOOKUP(I843,P.Referencia!E:S,3,0)</f>
        <v>#N/A</v>
      </c>
      <c r="AA843" s="40" t="e">
        <f t="shared" si="172"/>
        <v>#N/A</v>
      </c>
      <c r="AB843" s="41" t="e">
        <f t="shared" si="173"/>
        <v>#N/A</v>
      </c>
      <c r="AC843" s="41" t="e">
        <f t="shared" si="174"/>
        <v>#N/A</v>
      </c>
    </row>
    <row r="844" spans="1:29" hidden="1" x14ac:dyDescent="0.25">
      <c r="A844" s="24">
        <v>843</v>
      </c>
      <c r="B844" s="89" t="s">
        <v>505</v>
      </c>
      <c r="C844" s="4" t="str">
        <f t="shared" si="176"/>
        <v>LlaveD86467366371100010742</v>
      </c>
      <c r="D844" s="25" t="str">
        <f>VLOOKUP(E844,'NO MODIFICAR'!J:K,2,0)</f>
        <v>D864</v>
      </c>
      <c r="E844" s="102" t="s">
        <v>55</v>
      </c>
      <c r="F844" s="33" t="str">
        <f>VLOOKUP(D844,'NO MODIFICAR'!F:H,3,0)</f>
        <v xml:space="preserve">CENTRO </v>
      </c>
      <c r="G844" s="28">
        <v>67366371</v>
      </c>
      <c r="H844" s="93" t="s">
        <v>541</v>
      </c>
      <c r="I844" s="94">
        <v>10001074</v>
      </c>
      <c r="J844" s="4" t="str">
        <f>VLOOKUP(I844,'Materiales,canteras'!C:D,2,0)</f>
        <v>Grava Triturada Caliza 40 mm -</v>
      </c>
      <c r="K844" s="25">
        <f>VLOOKUP(I844,'Materiales,canteras'!C:E,3,0)</f>
        <v>1.4</v>
      </c>
      <c r="L844" s="105">
        <v>120.75</v>
      </c>
      <c r="M844" s="28" t="s">
        <v>93</v>
      </c>
      <c r="N844" s="57">
        <f t="shared" ca="1" si="177"/>
        <v>46267</v>
      </c>
      <c r="O844" s="43" t="s">
        <v>201</v>
      </c>
      <c r="R844">
        <v>3.47</v>
      </c>
      <c r="S844" s="82">
        <v>231</v>
      </c>
      <c r="T844" s="66">
        <f t="shared" si="171"/>
        <v>-106.78</v>
      </c>
      <c r="U844" s="46">
        <f t="shared" si="175"/>
        <v>120.75</v>
      </c>
      <c r="V844" s="82">
        <v>0</v>
      </c>
      <c r="W844" s="4">
        <v>2</v>
      </c>
      <c r="X844" s="195">
        <f t="shared" si="170"/>
        <v>120.75</v>
      </c>
      <c r="Y844" s="29" t="e">
        <f>IF(+VLOOKUP(I844,P.Referencia!E:S,3,FALSE)&lt;=L844,"Champion","Gerente")</f>
        <v>#N/A</v>
      </c>
      <c r="Z844" s="39" t="e">
        <f>VLOOKUP(I844,P.Referencia!E:S,3,0)</f>
        <v>#N/A</v>
      </c>
      <c r="AA844" s="40" t="e">
        <f t="shared" si="172"/>
        <v>#N/A</v>
      </c>
      <c r="AB844" s="41" t="e">
        <f t="shared" si="173"/>
        <v>#N/A</v>
      </c>
      <c r="AC844" s="41" t="e">
        <f t="shared" si="174"/>
        <v>#N/A</v>
      </c>
    </row>
    <row r="845" spans="1:29" hidden="1" x14ac:dyDescent="0.25">
      <c r="A845" s="24">
        <v>844</v>
      </c>
      <c r="B845" s="89" t="s">
        <v>505</v>
      </c>
      <c r="C845" s="4" t="str">
        <f t="shared" ref="C845:C850" si="178">_xlfn.CONCAT($C$1,D845,G845,I845,W845)</f>
        <v>LlaveD81667367584100002621</v>
      </c>
      <c r="D845" s="25" t="str">
        <f>VLOOKUP(E845,'NO MODIFICAR'!J:K,2,0)</f>
        <v>D816</v>
      </c>
      <c r="E845" s="102" t="s">
        <v>15</v>
      </c>
      <c r="F845" s="33" t="str">
        <f>VLOOKUP(D845,'NO MODIFICAR'!F:H,3,0)</f>
        <v>NORESTE</v>
      </c>
      <c r="G845" s="28">
        <v>67367584</v>
      </c>
      <c r="H845" s="93" t="s">
        <v>556</v>
      </c>
      <c r="I845" s="94">
        <v>10000262</v>
      </c>
      <c r="J845" s="4" t="str">
        <f>VLOOKUP(I845,'Materiales,canteras'!C:D,2,0)</f>
        <v>Base H Triturada Caliza 1 1/2"</v>
      </c>
      <c r="K845" s="25">
        <f>VLOOKUP(I845,'Materiales,canteras'!C:E,3,0)</f>
        <v>1.821</v>
      </c>
      <c r="L845" s="105">
        <v>308</v>
      </c>
      <c r="M845" s="28" t="s">
        <v>93</v>
      </c>
      <c r="N845" s="57">
        <f t="shared" ca="1" si="177"/>
        <v>46267</v>
      </c>
      <c r="O845" s="43" t="s">
        <v>201</v>
      </c>
      <c r="S845" s="82">
        <v>357</v>
      </c>
      <c r="T845" s="66">
        <f t="shared" si="171"/>
        <v>-49</v>
      </c>
      <c r="U845" s="46">
        <f t="shared" si="175"/>
        <v>308</v>
      </c>
      <c r="V845" s="82">
        <v>68.010000000000005</v>
      </c>
      <c r="W845" s="4">
        <v>1</v>
      </c>
      <c r="X845" s="195">
        <f t="shared" si="170"/>
        <v>376.01</v>
      </c>
      <c r="Y845" s="29" t="e">
        <f>IF(+VLOOKUP(I845,P.Referencia!E:S,3,FALSE)&lt;=L845,"Champion","Gerente")</f>
        <v>#N/A</v>
      </c>
      <c r="Z845" s="39" t="e">
        <f>VLOOKUP(I845,P.Referencia!E:S,3,0)</f>
        <v>#N/A</v>
      </c>
      <c r="AA845" s="40" t="e">
        <f t="shared" si="172"/>
        <v>#N/A</v>
      </c>
      <c r="AB845" s="41" t="e">
        <f t="shared" si="173"/>
        <v>#N/A</v>
      </c>
      <c r="AC845" s="41" t="e">
        <f t="shared" si="174"/>
        <v>#N/A</v>
      </c>
    </row>
    <row r="846" spans="1:29" hidden="1" x14ac:dyDescent="0.25">
      <c r="A846" s="24">
        <v>845</v>
      </c>
      <c r="B846" s="89" t="s">
        <v>505</v>
      </c>
      <c r="C846" s="4" t="str">
        <f t="shared" si="178"/>
        <v>LlaveD81667367584100364881</v>
      </c>
      <c r="D846" s="25" t="str">
        <f>VLOOKUP(E846,'NO MODIFICAR'!J:K,2,0)</f>
        <v>D816</v>
      </c>
      <c r="E846" s="102" t="s">
        <v>15</v>
      </c>
      <c r="F846" s="33" t="str">
        <f>VLOOKUP(D846,'NO MODIFICAR'!F:H,3,0)</f>
        <v>NORESTE</v>
      </c>
      <c r="G846" s="28">
        <v>67367584</v>
      </c>
      <c r="H846" s="93" t="s">
        <v>556</v>
      </c>
      <c r="I846" s="94">
        <v>10036488</v>
      </c>
      <c r="J846" s="4" t="str">
        <f>VLOOKUP(I846,'Materiales,canteras'!C:D,2,0)</f>
        <v>Base H Trit Caliza 3/4" a Fino</v>
      </c>
      <c r="K846" s="25">
        <f>VLOOKUP(I846,'Materiales,canteras'!C:E,3,0)</f>
        <v>1.78</v>
      </c>
      <c r="L846" s="105">
        <v>308</v>
      </c>
      <c r="M846" s="28" t="s">
        <v>93</v>
      </c>
      <c r="N846" s="57">
        <f t="shared" ca="1" si="177"/>
        <v>46267</v>
      </c>
      <c r="O846" s="43" t="s">
        <v>201</v>
      </c>
      <c r="S846" s="82">
        <v>357</v>
      </c>
      <c r="T846" s="66">
        <f t="shared" si="171"/>
        <v>-49</v>
      </c>
      <c r="U846" s="46">
        <f t="shared" si="175"/>
        <v>308</v>
      </c>
      <c r="V846" s="82">
        <v>68.010000000000005</v>
      </c>
      <c r="W846" s="4">
        <v>1</v>
      </c>
      <c r="X846" s="195">
        <f t="shared" si="170"/>
        <v>376.01</v>
      </c>
      <c r="Y846" s="29" t="e">
        <f>IF(+VLOOKUP(I846,P.Referencia!E:S,3,FALSE)&lt;=L846,"Champion","Gerente")</f>
        <v>#N/A</v>
      </c>
      <c r="Z846" s="39" t="e">
        <f>VLOOKUP(I846,P.Referencia!E:S,3,0)</f>
        <v>#N/A</v>
      </c>
      <c r="AA846" s="40" t="e">
        <f t="shared" si="172"/>
        <v>#N/A</v>
      </c>
      <c r="AB846" s="41" t="e">
        <f t="shared" si="173"/>
        <v>#N/A</v>
      </c>
      <c r="AC846" s="41" t="e">
        <f t="shared" si="174"/>
        <v>#N/A</v>
      </c>
    </row>
    <row r="847" spans="1:29" hidden="1" x14ac:dyDescent="0.25">
      <c r="A847" s="24">
        <v>846</v>
      </c>
      <c r="B847" s="89" t="s">
        <v>505</v>
      </c>
      <c r="C847" s="4" t="str">
        <f t="shared" si="178"/>
        <v>LlaveD81667367541100002621</v>
      </c>
      <c r="D847" s="25" t="str">
        <f>VLOOKUP(E847,'NO MODIFICAR'!J:K,2,0)</f>
        <v>D816</v>
      </c>
      <c r="E847" s="102" t="s">
        <v>15</v>
      </c>
      <c r="F847" s="33" t="str">
        <f>VLOOKUP(D847,'NO MODIFICAR'!F:H,3,0)</f>
        <v>NORESTE</v>
      </c>
      <c r="G847" s="28">
        <v>67367541</v>
      </c>
      <c r="H847" s="93" t="s">
        <v>557</v>
      </c>
      <c r="I847" s="94">
        <v>10000262</v>
      </c>
      <c r="J847" s="4" t="str">
        <f>VLOOKUP(I847,'Materiales,canteras'!C:D,2,0)</f>
        <v>Base H Triturada Caliza 1 1/2"</v>
      </c>
      <c r="K847" s="25">
        <f>VLOOKUP(I847,'Materiales,canteras'!C:E,3,0)</f>
        <v>1.821</v>
      </c>
      <c r="L847" s="105">
        <v>308</v>
      </c>
      <c r="M847" s="28" t="s">
        <v>93</v>
      </c>
      <c r="N847" s="57">
        <f t="shared" ca="1" si="177"/>
        <v>46267</v>
      </c>
      <c r="O847" s="43" t="s">
        <v>201</v>
      </c>
      <c r="S847" s="82">
        <v>357</v>
      </c>
      <c r="T847" s="66">
        <f t="shared" si="171"/>
        <v>-49</v>
      </c>
      <c r="U847" s="46">
        <f t="shared" si="175"/>
        <v>308</v>
      </c>
      <c r="V847" s="82">
        <v>68.010000000000005</v>
      </c>
      <c r="W847" s="4">
        <v>1</v>
      </c>
      <c r="X847" s="195">
        <f t="shared" si="170"/>
        <v>376.01</v>
      </c>
      <c r="Y847" s="29" t="e">
        <f>IF(+VLOOKUP(I847,P.Referencia!E:S,3,FALSE)&lt;=L847,"Champion","Gerente")</f>
        <v>#N/A</v>
      </c>
      <c r="Z847" s="39" t="e">
        <f>VLOOKUP(I847,P.Referencia!E:S,3,0)</f>
        <v>#N/A</v>
      </c>
      <c r="AA847" s="40" t="e">
        <f t="shared" si="172"/>
        <v>#N/A</v>
      </c>
      <c r="AB847" s="41" t="e">
        <f t="shared" si="173"/>
        <v>#N/A</v>
      </c>
      <c r="AC847" s="41" t="e">
        <f t="shared" si="174"/>
        <v>#N/A</v>
      </c>
    </row>
    <row r="848" spans="1:29" hidden="1" x14ac:dyDescent="0.25">
      <c r="A848" s="24">
        <v>847</v>
      </c>
      <c r="B848" s="89" t="s">
        <v>505</v>
      </c>
      <c r="C848" s="4" t="str">
        <f t="shared" si="178"/>
        <v>LlaveD81667367541100364881</v>
      </c>
      <c r="D848" s="25" t="str">
        <f>VLOOKUP(E848,'NO MODIFICAR'!J:K,2,0)</f>
        <v>D816</v>
      </c>
      <c r="E848" s="102" t="s">
        <v>15</v>
      </c>
      <c r="F848" s="33" t="str">
        <f>VLOOKUP(D848,'NO MODIFICAR'!F:H,3,0)</f>
        <v>NORESTE</v>
      </c>
      <c r="G848" s="28">
        <v>67367541</v>
      </c>
      <c r="H848" s="93" t="s">
        <v>557</v>
      </c>
      <c r="I848" s="94">
        <v>10036488</v>
      </c>
      <c r="J848" s="4" t="str">
        <f>VLOOKUP(I848,'Materiales,canteras'!C:D,2,0)</f>
        <v>Base H Trit Caliza 3/4" a Fino</v>
      </c>
      <c r="K848" s="25">
        <f>VLOOKUP(I848,'Materiales,canteras'!C:E,3,0)</f>
        <v>1.78</v>
      </c>
      <c r="L848" s="105">
        <v>308</v>
      </c>
      <c r="M848" s="28" t="s">
        <v>93</v>
      </c>
      <c r="N848" s="57">
        <f t="shared" ca="1" si="177"/>
        <v>46267</v>
      </c>
      <c r="O848" s="43" t="s">
        <v>201</v>
      </c>
      <c r="S848" s="82">
        <v>357</v>
      </c>
      <c r="T848" s="66">
        <f t="shared" si="171"/>
        <v>-49</v>
      </c>
      <c r="U848" s="46">
        <f t="shared" si="175"/>
        <v>308</v>
      </c>
      <c r="V848" s="82">
        <v>68.010000000000005</v>
      </c>
      <c r="W848" s="4">
        <v>1</v>
      </c>
      <c r="X848" s="195">
        <f t="shared" si="170"/>
        <v>376.01</v>
      </c>
      <c r="Y848" s="29" t="e">
        <f>IF(+VLOOKUP(I848,P.Referencia!E:S,3,FALSE)&lt;=L848,"Champion","Gerente")</f>
        <v>#N/A</v>
      </c>
      <c r="Z848" s="39" t="e">
        <f>VLOOKUP(I848,P.Referencia!E:S,3,0)</f>
        <v>#N/A</v>
      </c>
      <c r="AA848" s="40" t="e">
        <f t="shared" si="172"/>
        <v>#N/A</v>
      </c>
      <c r="AB848" s="41" t="e">
        <f t="shared" si="173"/>
        <v>#N/A</v>
      </c>
      <c r="AC848" s="41" t="e">
        <f t="shared" si="174"/>
        <v>#N/A</v>
      </c>
    </row>
    <row r="849" spans="1:29" hidden="1" x14ac:dyDescent="0.25">
      <c r="A849" s="24">
        <v>848</v>
      </c>
      <c r="B849" s="89" t="s">
        <v>505</v>
      </c>
      <c r="C849" s="4" t="str">
        <f t="shared" si="178"/>
        <v>LlaveD81667367595100002621</v>
      </c>
      <c r="D849" s="25" t="str">
        <f>VLOOKUP(E849,'NO MODIFICAR'!J:K,2,0)</f>
        <v>D816</v>
      </c>
      <c r="E849" s="102" t="s">
        <v>15</v>
      </c>
      <c r="F849" s="33" t="str">
        <f>VLOOKUP(D849,'NO MODIFICAR'!F:H,3,0)</f>
        <v>NORESTE</v>
      </c>
      <c r="G849" s="28">
        <v>67367595</v>
      </c>
      <c r="H849" s="93" t="s">
        <v>558</v>
      </c>
      <c r="I849" s="94">
        <v>10000262</v>
      </c>
      <c r="J849" s="4" t="str">
        <f>VLOOKUP(I849,'Materiales,canteras'!C:D,2,0)</f>
        <v>Base H Triturada Caliza 1 1/2"</v>
      </c>
      <c r="K849" s="25">
        <f>VLOOKUP(I849,'Materiales,canteras'!C:E,3,0)</f>
        <v>1.821</v>
      </c>
      <c r="L849" s="105">
        <v>308</v>
      </c>
      <c r="M849" s="28" t="s">
        <v>93</v>
      </c>
      <c r="N849" s="57">
        <f t="shared" ca="1" si="177"/>
        <v>46267</v>
      </c>
      <c r="O849" s="43" t="s">
        <v>201</v>
      </c>
      <c r="S849" s="82">
        <v>357</v>
      </c>
      <c r="T849" s="66">
        <f t="shared" si="171"/>
        <v>-49</v>
      </c>
      <c r="U849" s="46">
        <f t="shared" si="175"/>
        <v>308</v>
      </c>
      <c r="V849" s="82">
        <v>68.010000000000005</v>
      </c>
      <c r="W849" s="4">
        <v>1</v>
      </c>
      <c r="X849" s="195">
        <f t="shared" si="170"/>
        <v>376.01</v>
      </c>
      <c r="Y849" s="29" t="e">
        <f>IF(+VLOOKUP(I849,P.Referencia!E:S,3,FALSE)&lt;=L849,"Champion","Gerente")</f>
        <v>#N/A</v>
      </c>
      <c r="Z849" s="39" t="e">
        <f>VLOOKUP(I849,P.Referencia!E:S,3,0)</f>
        <v>#N/A</v>
      </c>
      <c r="AA849" s="40" t="e">
        <f t="shared" si="172"/>
        <v>#N/A</v>
      </c>
      <c r="AB849" s="41" t="e">
        <f t="shared" si="173"/>
        <v>#N/A</v>
      </c>
      <c r="AC849" s="41" t="e">
        <f t="shared" si="174"/>
        <v>#N/A</v>
      </c>
    </row>
    <row r="850" spans="1:29" hidden="1" x14ac:dyDescent="0.25">
      <c r="A850" s="24">
        <v>849</v>
      </c>
      <c r="B850" s="89" t="s">
        <v>505</v>
      </c>
      <c r="C850" s="4" t="str">
        <f t="shared" si="178"/>
        <v>LlaveD81667367595100364881</v>
      </c>
      <c r="D850" s="25" t="str">
        <f>VLOOKUP(E850,'NO MODIFICAR'!J:K,2,0)</f>
        <v>D816</v>
      </c>
      <c r="E850" s="102" t="s">
        <v>15</v>
      </c>
      <c r="F850" s="33" t="str">
        <f>VLOOKUP(D850,'NO MODIFICAR'!F:H,3,0)</f>
        <v>NORESTE</v>
      </c>
      <c r="G850" s="28">
        <v>67367595</v>
      </c>
      <c r="H850" s="93" t="s">
        <v>558</v>
      </c>
      <c r="I850" s="94">
        <v>10036488</v>
      </c>
      <c r="J850" s="4" t="str">
        <f>VLOOKUP(I850,'Materiales,canteras'!C:D,2,0)</f>
        <v>Base H Trit Caliza 3/4" a Fino</v>
      </c>
      <c r="K850" s="25">
        <f>VLOOKUP(I850,'Materiales,canteras'!C:E,3,0)</f>
        <v>1.78</v>
      </c>
      <c r="L850" s="105">
        <v>308</v>
      </c>
      <c r="M850" s="28" t="s">
        <v>93</v>
      </c>
      <c r="N850" s="57">
        <f t="shared" ca="1" si="177"/>
        <v>46267</v>
      </c>
      <c r="O850" s="43" t="s">
        <v>201</v>
      </c>
      <c r="S850" s="82">
        <v>357</v>
      </c>
      <c r="T850" s="66">
        <f t="shared" si="171"/>
        <v>-49</v>
      </c>
      <c r="U850" s="46">
        <f t="shared" si="175"/>
        <v>308</v>
      </c>
      <c r="V850" s="82">
        <v>68.010000000000005</v>
      </c>
      <c r="W850" s="4">
        <v>1</v>
      </c>
      <c r="X850" s="195">
        <f t="shared" si="170"/>
        <v>376.01</v>
      </c>
      <c r="Y850" s="29" t="e">
        <f>IF(+VLOOKUP(I850,P.Referencia!E:S,3,FALSE)&lt;=L850,"Champion","Gerente")</f>
        <v>#N/A</v>
      </c>
      <c r="Z850" s="39" t="e">
        <f>VLOOKUP(I850,P.Referencia!E:S,3,0)</f>
        <v>#N/A</v>
      </c>
      <c r="AA850" s="40" t="e">
        <f t="shared" si="172"/>
        <v>#N/A</v>
      </c>
      <c r="AB850" s="41" t="e">
        <f t="shared" si="173"/>
        <v>#N/A</v>
      </c>
      <c r="AC850" s="41" t="e">
        <f t="shared" si="174"/>
        <v>#N/A</v>
      </c>
    </row>
    <row r="851" spans="1:29" hidden="1" x14ac:dyDescent="0.25">
      <c r="A851" s="24">
        <v>850</v>
      </c>
      <c r="B851" s="89" t="s">
        <v>505</v>
      </c>
      <c r="C851" s="4" t="str">
        <f t="shared" ref="C851:C859" si="179">_xlfn.CONCAT($C$1,D851,G851,I851,W851)</f>
        <v>LlaveD86167367978100002312</v>
      </c>
      <c r="D851" s="25" t="str">
        <f>VLOOKUP(E851,'NO MODIFICAR'!J:K,2,0)</f>
        <v>D861</v>
      </c>
      <c r="E851" s="102" t="s">
        <v>44</v>
      </c>
      <c r="F851" s="33" t="str">
        <f>VLOOKUP(D851,'NO MODIFICAR'!F:H,3,0)</f>
        <v xml:space="preserve">CENTRO </v>
      </c>
      <c r="G851" s="28">
        <v>67367978</v>
      </c>
      <c r="H851" s="93" t="s">
        <v>559</v>
      </c>
      <c r="I851" s="94">
        <v>10000231</v>
      </c>
      <c r="J851" s="4" t="str">
        <f>VLOOKUP(I851,'Materiales,canteras'!C:D,2,0)</f>
        <v>Grava Triturada Basalto 20 mm</v>
      </c>
      <c r="K851" s="25">
        <f>VLOOKUP(I851,'Materiales,canteras'!C:E,3,0)</f>
        <v>1.5649999999999999</v>
      </c>
      <c r="L851" s="105">
        <v>227.16</v>
      </c>
      <c r="M851" s="28" t="s">
        <v>93</v>
      </c>
      <c r="N851" s="57">
        <f t="shared" ca="1" si="177"/>
        <v>46267</v>
      </c>
      <c r="O851" s="43" t="s">
        <v>201</v>
      </c>
      <c r="S851" s="82"/>
      <c r="T851" s="66">
        <f t="shared" si="171"/>
        <v>227.16</v>
      </c>
      <c r="U851" s="46">
        <f t="shared" si="175"/>
        <v>227.16</v>
      </c>
      <c r="V851" s="82">
        <v>0</v>
      </c>
      <c r="W851" s="4">
        <v>2</v>
      </c>
      <c r="X851" s="195">
        <f t="shared" si="170"/>
        <v>227.16</v>
      </c>
      <c r="Y851" s="29" t="e">
        <f>IF(+VLOOKUP(I851,P.Referencia!E:S,3,FALSE)&lt;=L851,"Champion","Gerente")</f>
        <v>#N/A</v>
      </c>
      <c r="Z851" s="39" t="e">
        <f>VLOOKUP(I851,P.Referencia!E:S,3,0)</f>
        <v>#N/A</v>
      </c>
      <c r="AA851" s="40" t="e">
        <f t="shared" si="172"/>
        <v>#N/A</v>
      </c>
      <c r="AB851" s="41" t="e">
        <f t="shared" si="173"/>
        <v>#N/A</v>
      </c>
      <c r="AC851" s="41" t="e">
        <f t="shared" si="174"/>
        <v>#N/A</v>
      </c>
    </row>
    <row r="852" spans="1:29" hidden="1" x14ac:dyDescent="0.25">
      <c r="A852" s="24">
        <v>851</v>
      </c>
      <c r="B852" s="89" t="s">
        <v>505</v>
      </c>
      <c r="C852" s="4" t="str">
        <f t="shared" si="179"/>
        <v>LlaveD86167367978100003112</v>
      </c>
      <c r="D852" s="25" t="str">
        <f>VLOOKUP(E852,'NO MODIFICAR'!J:K,2,0)</f>
        <v>D861</v>
      </c>
      <c r="E852" s="102" t="s">
        <v>44</v>
      </c>
      <c r="F852" s="33" t="str">
        <f>VLOOKUP(D852,'NO MODIFICAR'!F:H,3,0)</f>
        <v xml:space="preserve">CENTRO </v>
      </c>
      <c r="G852" s="28">
        <v>67367978</v>
      </c>
      <c r="H852" s="93" t="s">
        <v>559</v>
      </c>
      <c r="I852" s="94">
        <v>10000311</v>
      </c>
      <c r="J852" s="4" t="str">
        <f>VLOOKUP(I852,'Materiales,canteras'!C:D,2,0)</f>
        <v>Arena Triturada Basalto  Malla</v>
      </c>
      <c r="K852" s="25">
        <f>VLOOKUP(I852,'Materiales,canteras'!C:E,3,0)</f>
        <v>1.651</v>
      </c>
      <c r="L852" s="105">
        <v>211.99</v>
      </c>
      <c r="M852" s="28" t="s">
        <v>93</v>
      </c>
      <c r="N852" s="57">
        <f t="shared" ca="1" si="177"/>
        <v>46267</v>
      </c>
      <c r="O852" s="43" t="s">
        <v>201</v>
      </c>
      <c r="S852" s="82"/>
      <c r="T852" s="66">
        <f t="shared" si="171"/>
        <v>211.99</v>
      </c>
      <c r="U852" s="46">
        <f t="shared" si="175"/>
        <v>211.99</v>
      </c>
      <c r="V852" s="82">
        <v>0</v>
      </c>
      <c r="W852" s="4">
        <v>2</v>
      </c>
      <c r="X852" s="195">
        <f t="shared" si="170"/>
        <v>211.99</v>
      </c>
      <c r="Y852" s="29" t="e">
        <f>IF(+VLOOKUP(I852,P.Referencia!E:S,3,FALSE)&lt;=L852,"Champion","Gerente")</f>
        <v>#N/A</v>
      </c>
      <c r="Z852" s="39" t="e">
        <f>VLOOKUP(I852,P.Referencia!E:S,3,0)</f>
        <v>#N/A</v>
      </c>
      <c r="AA852" s="40" t="e">
        <f t="shared" si="172"/>
        <v>#N/A</v>
      </c>
      <c r="AB852" s="41" t="e">
        <f t="shared" si="173"/>
        <v>#N/A</v>
      </c>
      <c r="AC852" s="41" t="e">
        <f t="shared" si="174"/>
        <v>#N/A</v>
      </c>
    </row>
    <row r="853" spans="1:29" hidden="1" x14ac:dyDescent="0.25">
      <c r="A853" s="24">
        <v>852</v>
      </c>
      <c r="B853" s="89" t="s">
        <v>505</v>
      </c>
      <c r="C853" s="4" t="str">
        <f t="shared" si="179"/>
        <v>LlaveD86167367978100031532</v>
      </c>
      <c r="D853" s="25" t="str">
        <f>VLOOKUP(E853,'NO MODIFICAR'!J:K,2,0)</f>
        <v>D861</v>
      </c>
      <c r="E853" s="102" t="s">
        <v>44</v>
      </c>
      <c r="F853" s="33" t="str">
        <f>VLOOKUP(D853,'NO MODIFICAR'!F:H,3,0)</f>
        <v xml:space="preserve">CENTRO </v>
      </c>
      <c r="G853" s="28">
        <v>67367978</v>
      </c>
      <c r="H853" s="93" t="s">
        <v>559</v>
      </c>
      <c r="I853" s="94">
        <v>10003153</v>
      </c>
      <c r="J853" s="4" t="str">
        <f>VLOOKUP(I853,'Materiales,canteras'!C:D,2,0)</f>
        <v>Grava Triturada Basalto 13 mm</v>
      </c>
      <c r="K853" s="25">
        <f>VLOOKUP(I853,'Materiales,canteras'!C:E,3,0)</f>
        <v>1.546</v>
      </c>
      <c r="L853" s="105">
        <v>228.15</v>
      </c>
      <c r="M853" s="28" t="s">
        <v>93</v>
      </c>
      <c r="N853" s="57">
        <f t="shared" ca="1" si="177"/>
        <v>46267</v>
      </c>
      <c r="O853" s="43" t="s">
        <v>201</v>
      </c>
      <c r="S853" s="82"/>
      <c r="T853" s="66">
        <f t="shared" si="171"/>
        <v>228.15</v>
      </c>
      <c r="U853" s="46">
        <f t="shared" si="175"/>
        <v>228.15</v>
      </c>
      <c r="V853" s="82">
        <v>0</v>
      </c>
      <c r="W853" s="4">
        <v>2</v>
      </c>
      <c r="X853" s="195">
        <f t="shared" si="170"/>
        <v>228.15</v>
      </c>
      <c r="Y853" s="29" t="e">
        <f>IF(+VLOOKUP(I853,P.Referencia!E:S,3,FALSE)&lt;=L853,"Champion","Gerente")</f>
        <v>#N/A</v>
      </c>
      <c r="Z853" s="39" t="e">
        <f>VLOOKUP(I853,P.Referencia!E:S,3,0)</f>
        <v>#N/A</v>
      </c>
      <c r="AA853" s="40" t="e">
        <f t="shared" si="172"/>
        <v>#N/A</v>
      </c>
      <c r="AB853" s="41" t="e">
        <f t="shared" si="173"/>
        <v>#N/A</v>
      </c>
      <c r="AC853" s="41" t="e">
        <f t="shared" si="174"/>
        <v>#N/A</v>
      </c>
    </row>
    <row r="854" spans="1:29" hidden="1" x14ac:dyDescent="0.25">
      <c r="A854" s="24">
        <v>853</v>
      </c>
      <c r="B854" s="89" t="s">
        <v>505</v>
      </c>
      <c r="C854" s="4" t="str">
        <f t="shared" si="179"/>
        <v>LlaveD86167367978100002292</v>
      </c>
      <c r="D854" s="25" t="str">
        <f>VLOOKUP(E854,'NO MODIFICAR'!J:K,2,0)</f>
        <v>D861</v>
      </c>
      <c r="E854" s="102" t="s">
        <v>44</v>
      </c>
      <c r="F854" s="33" t="str">
        <f>VLOOKUP(D854,'NO MODIFICAR'!F:H,3,0)</f>
        <v xml:space="preserve">CENTRO </v>
      </c>
      <c r="G854" s="28">
        <v>67367978</v>
      </c>
      <c r="H854" s="93" t="s">
        <v>559</v>
      </c>
      <c r="I854" s="94">
        <v>10000229</v>
      </c>
      <c r="J854" s="4" t="str">
        <f>VLOOKUP(I854,'Materiales,canteras'!C:D,2,0)</f>
        <v>Grava Triturada Basalto  10 mm</v>
      </c>
      <c r="K854" s="25">
        <f>VLOOKUP(I854,'Materiales,canteras'!C:E,3,0)</f>
        <v>1.522</v>
      </c>
      <c r="L854" s="105">
        <v>239.2</v>
      </c>
      <c r="M854" s="28" t="s">
        <v>93</v>
      </c>
      <c r="N854" s="57">
        <f t="shared" ca="1" si="177"/>
        <v>46267</v>
      </c>
      <c r="O854" s="43" t="s">
        <v>201</v>
      </c>
      <c r="S854" s="82"/>
      <c r="T854" s="66">
        <f t="shared" si="171"/>
        <v>239.2</v>
      </c>
      <c r="U854" s="46">
        <f t="shared" si="175"/>
        <v>239.2</v>
      </c>
      <c r="V854" s="82">
        <v>0</v>
      </c>
      <c r="W854" s="4">
        <v>2</v>
      </c>
      <c r="X854" s="195">
        <f t="shared" si="170"/>
        <v>239.2</v>
      </c>
      <c r="Y854" s="29" t="e">
        <f>IF(+VLOOKUP(I854,P.Referencia!E:S,3,FALSE)&lt;=L854,"Champion","Gerente")</f>
        <v>#N/A</v>
      </c>
      <c r="Z854" s="39" t="e">
        <f>VLOOKUP(I854,P.Referencia!E:S,3,0)</f>
        <v>#N/A</v>
      </c>
      <c r="AA854" s="40" t="e">
        <f t="shared" si="172"/>
        <v>#N/A</v>
      </c>
      <c r="AB854" s="41" t="e">
        <f t="shared" si="173"/>
        <v>#N/A</v>
      </c>
      <c r="AC854" s="41" t="e">
        <f t="shared" si="174"/>
        <v>#N/A</v>
      </c>
    </row>
    <row r="855" spans="1:29" hidden="1" x14ac:dyDescent="0.25">
      <c r="A855" s="24">
        <v>854</v>
      </c>
      <c r="B855" s="89" t="s">
        <v>505</v>
      </c>
      <c r="C855" s="4" t="str">
        <f t="shared" si="179"/>
        <v>LlaveD86167367978100002902</v>
      </c>
      <c r="D855" s="25" t="str">
        <f>VLOOKUP(E855,'NO MODIFICAR'!J:K,2,0)</f>
        <v>D861</v>
      </c>
      <c r="E855" s="102" t="s">
        <v>44</v>
      </c>
      <c r="F855" s="33" t="str">
        <f>VLOOKUP(D855,'NO MODIFICAR'!F:H,3,0)</f>
        <v xml:space="preserve">CENTRO </v>
      </c>
      <c r="G855" s="28">
        <v>67367978</v>
      </c>
      <c r="H855" s="93" t="s">
        <v>559</v>
      </c>
      <c r="I855" s="94">
        <v>10000290</v>
      </c>
      <c r="J855" s="4" t="str">
        <f>VLOOKUP(I855,'Materiales,canteras'!C:D,2,0)</f>
        <v>Polvos Triturado Basalto 3/4"</v>
      </c>
      <c r="K855" s="25">
        <f>VLOOKUP(I855,'Materiales,canteras'!C:E,3,0)</f>
        <v>1.3720000000000001</v>
      </c>
      <c r="L855" s="105">
        <v>19.8</v>
      </c>
      <c r="M855" s="28" t="s">
        <v>93</v>
      </c>
      <c r="N855" s="57">
        <f t="shared" ca="1" si="177"/>
        <v>46267</v>
      </c>
      <c r="O855" s="43" t="s">
        <v>201</v>
      </c>
      <c r="S855" s="82"/>
      <c r="T855" s="66">
        <f t="shared" si="171"/>
        <v>19.8</v>
      </c>
      <c r="U855" s="46">
        <f t="shared" si="175"/>
        <v>19.8</v>
      </c>
      <c r="V855" s="82">
        <v>0</v>
      </c>
      <c r="W855" s="4">
        <v>2</v>
      </c>
      <c r="X855" s="195">
        <f t="shared" si="170"/>
        <v>19.8</v>
      </c>
      <c r="Y855" s="29" t="e">
        <f>IF(+VLOOKUP(I855,P.Referencia!E:S,3,FALSE)&lt;=L855,"Champion","Gerente")</f>
        <v>#N/A</v>
      </c>
      <c r="Z855" s="39" t="e">
        <f>VLOOKUP(I855,P.Referencia!E:S,3,0)</f>
        <v>#N/A</v>
      </c>
      <c r="AA855" s="40" t="e">
        <f t="shared" si="172"/>
        <v>#N/A</v>
      </c>
      <c r="AB855" s="41" t="e">
        <f t="shared" si="173"/>
        <v>#N/A</v>
      </c>
      <c r="AC855" s="41" t="e">
        <f t="shared" si="174"/>
        <v>#N/A</v>
      </c>
    </row>
    <row r="856" spans="1:29" hidden="1" x14ac:dyDescent="0.25">
      <c r="A856" s="24">
        <v>854</v>
      </c>
      <c r="B856" s="89" t="s">
        <v>505</v>
      </c>
      <c r="C856" s="4" t="str">
        <f t="shared" si="179"/>
        <v>LlaveD86167367978100014502</v>
      </c>
      <c r="D856" s="25" t="str">
        <f>VLOOKUP(E856,'NO MODIFICAR'!J:K,2,0)</f>
        <v>D861</v>
      </c>
      <c r="E856" s="102" t="s">
        <v>44</v>
      </c>
      <c r="F856" s="33" t="str">
        <f>VLOOKUP(D856,'NO MODIFICAR'!F:H,3,0)</f>
        <v xml:space="preserve">CENTRO </v>
      </c>
      <c r="G856" s="28">
        <v>67367978</v>
      </c>
      <c r="H856" s="93" t="s">
        <v>559</v>
      </c>
      <c r="I856" s="94">
        <v>10001450</v>
      </c>
      <c r="J856" s="4" t="str">
        <f>VLOOKUP(I856,'Materiales,canteras'!C:D,2,0)</f>
        <v>Base Hidraúlica Basalto de 1 /1/2</v>
      </c>
      <c r="K856" s="25">
        <f>VLOOKUP(I856,'Materiales,canteras'!C:E,3,0)</f>
        <v>1.7490000000000001</v>
      </c>
      <c r="L856" s="105">
        <v>224.29</v>
      </c>
      <c r="M856" s="28" t="s">
        <v>93</v>
      </c>
      <c r="N856" s="57">
        <f t="shared" ca="1" si="177"/>
        <v>46267</v>
      </c>
      <c r="O856" s="43" t="s">
        <v>201</v>
      </c>
      <c r="S856" s="82"/>
      <c r="T856" s="66">
        <f t="shared" si="171"/>
        <v>224.29</v>
      </c>
      <c r="U856" s="46">
        <f t="shared" si="175"/>
        <v>224.29</v>
      </c>
      <c r="V856" s="82">
        <v>0</v>
      </c>
      <c r="W856" s="4">
        <v>2</v>
      </c>
      <c r="X856" s="195">
        <f t="shared" si="170"/>
        <v>224.29</v>
      </c>
      <c r="Y856" s="29" t="e">
        <f>IF(+VLOOKUP(I856,P.Referencia!E:S,3,FALSE)&lt;=L856,"Champion","Gerente")</f>
        <v>#N/A</v>
      </c>
      <c r="Z856" s="39" t="e">
        <f>VLOOKUP(I856,P.Referencia!E:S,3,0)</f>
        <v>#N/A</v>
      </c>
      <c r="AA856" s="40" t="e">
        <f t="shared" si="172"/>
        <v>#N/A</v>
      </c>
      <c r="AB856" s="41" t="e">
        <f t="shared" si="173"/>
        <v>#N/A</v>
      </c>
      <c r="AC856" s="41" t="e">
        <f t="shared" si="174"/>
        <v>#N/A</v>
      </c>
    </row>
    <row r="857" spans="1:29" hidden="1" x14ac:dyDescent="0.25">
      <c r="A857" s="24">
        <v>856</v>
      </c>
      <c r="B857" s="89" t="s">
        <v>505</v>
      </c>
      <c r="C857" s="4" t="str">
        <f t="shared" si="179"/>
        <v>LlaveD86467303785100010732</v>
      </c>
      <c r="D857" s="25" t="str">
        <f>VLOOKUP(E857,'NO MODIFICAR'!J:K,2,0)</f>
        <v>D864</v>
      </c>
      <c r="E857" s="102" t="s">
        <v>55</v>
      </c>
      <c r="F857" s="33" t="str">
        <f>VLOOKUP(D857,'NO MODIFICAR'!F:H,3,0)</f>
        <v xml:space="preserve">CENTRO </v>
      </c>
      <c r="G857" s="28">
        <v>67303785</v>
      </c>
      <c r="H857" s="93" t="s">
        <v>237</v>
      </c>
      <c r="I857" s="94">
        <v>10001073</v>
      </c>
      <c r="J857" s="4" t="str">
        <f>VLOOKUP(I857,'Materiales,canteras'!C:D,2,0)</f>
        <v>Arena Triturada Caliza Malla 4</v>
      </c>
      <c r="K857" s="25">
        <f>VLOOKUP(I857,'Materiales,canteras'!C:E,3,0)</f>
        <v>1.56</v>
      </c>
      <c r="L857" s="105">
        <v>105</v>
      </c>
      <c r="M857" s="28" t="s">
        <v>93</v>
      </c>
      <c r="N857" s="57">
        <f t="shared" ca="1" si="177"/>
        <v>46267</v>
      </c>
      <c r="O857" s="43" t="s">
        <v>201</v>
      </c>
      <c r="S857" s="82">
        <v>158</v>
      </c>
      <c r="T857" s="66">
        <f t="shared" si="171"/>
        <v>-53</v>
      </c>
      <c r="U857" s="46">
        <f t="shared" si="175"/>
        <v>105</v>
      </c>
      <c r="V857" s="82">
        <v>0</v>
      </c>
      <c r="W857" s="4">
        <v>2</v>
      </c>
      <c r="X857" s="195">
        <f t="shared" si="170"/>
        <v>105</v>
      </c>
      <c r="Y857" s="29" t="e">
        <f>IF(+VLOOKUP(I857,P.Referencia!E:S,3,FALSE)&lt;=L857,"Champion","Gerente")</f>
        <v>#N/A</v>
      </c>
      <c r="Z857" s="39" t="e">
        <f>VLOOKUP(I857,P.Referencia!E:S,3,0)</f>
        <v>#N/A</v>
      </c>
      <c r="AA857" s="40" t="e">
        <f t="shared" si="172"/>
        <v>#N/A</v>
      </c>
      <c r="AB857" s="41" t="e">
        <f t="shared" si="173"/>
        <v>#N/A</v>
      </c>
      <c r="AC857" s="41" t="e">
        <f t="shared" si="174"/>
        <v>#N/A</v>
      </c>
    </row>
    <row r="858" spans="1:29" hidden="1" x14ac:dyDescent="0.25">
      <c r="A858" s="24">
        <v>857</v>
      </c>
      <c r="B858" s="89" t="s">
        <v>505</v>
      </c>
      <c r="C858" s="4" t="str">
        <f t="shared" si="179"/>
        <v>LlaveD86467303785100002362</v>
      </c>
      <c r="D858" s="25" t="str">
        <f>VLOOKUP(E858,'NO MODIFICAR'!J:K,2,0)</f>
        <v>D864</v>
      </c>
      <c r="E858" s="102" t="s">
        <v>55</v>
      </c>
      <c r="F858" s="33" t="str">
        <f>VLOOKUP(D858,'NO MODIFICAR'!F:H,3,0)</f>
        <v xml:space="preserve">CENTRO </v>
      </c>
      <c r="G858" s="28">
        <v>67303785</v>
      </c>
      <c r="H858" s="93" t="s">
        <v>237</v>
      </c>
      <c r="I858" s="94">
        <v>10000236</v>
      </c>
      <c r="J858" s="4" t="str">
        <f>VLOOKUP(I858,'Materiales,canteras'!C:D,2,0)</f>
        <v>Grava Triturada Caliza 10 mm -</v>
      </c>
      <c r="K858" s="25">
        <f>VLOOKUP(I858,'Materiales,canteras'!C:E,3,0)</f>
        <v>1.41</v>
      </c>
      <c r="L858" s="105">
        <v>196</v>
      </c>
      <c r="M858" s="28" t="s">
        <v>93</v>
      </c>
      <c r="N858" s="57">
        <f t="shared" ca="1" si="177"/>
        <v>46267</v>
      </c>
      <c r="O858" s="43" t="s">
        <v>201</v>
      </c>
      <c r="S858" s="82">
        <v>252</v>
      </c>
      <c r="T858" s="66">
        <f t="shared" si="171"/>
        <v>-56</v>
      </c>
      <c r="U858" s="46">
        <f t="shared" si="175"/>
        <v>196</v>
      </c>
      <c r="V858" s="82">
        <v>0</v>
      </c>
      <c r="W858" s="4">
        <v>2</v>
      </c>
      <c r="X858" s="195">
        <f t="shared" si="170"/>
        <v>196</v>
      </c>
      <c r="Y858" s="29" t="e">
        <f>IF(+VLOOKUP(I858,P.Referencia!E:S,3,FALSE)&lt;=L858,"Champion","Gerente")</f>
        <v>#N/A</v>
      </c>
      <c r="Z858" s="39" t="e">
        <f>VLOOKUP(I858,P.Referencia!E:S,3,0)</f>
        <v>#N/A</v>
      </c>
      <c r="AA858" s="40" t="e">
        <f t="shared" si="172"/>
        <v>#N/A</v>
      </c>
      <c r="AB858" s="41" t="e">
        <f t="shared" si="173"/>
        <v>#N/A</v>
      </c>
      <c r="AC858" s="41" t="e">
        <f t="shared" si="174"/>
        <v>#N/A</v>
      </c>
    </row>
    <row r="859" spans="1:29" hidden="1" x14ac:dyDescent="0.25">
      <c r="A859" s="24">
        <v>858</v>
      </c>
      <c r="B859" s="89" t="s">
        <v>505</v>
      </c>
      <c r="C859" s="4" t="str">
        <f t="shared" si="179"/>
        <v>LlaveD86467303785100002402</v>
      </c>
      <c r="D859" s="25" t="str">
        <f>VLOOKUP(E859,'NO MODIFICAR'!J:K,2,0)</f>
        <v>D864</v>
      </c>
      <c r="E859" s="102" t="s">
        <v>55</v>
      </c>
      <c r="F859" s="33" t="str">
        <f>VLOOKUP(D859,'NO MODIFICAR'!F:H,3,0)</f>
        <v xml:space="preserve">CENTRO </v>
      </c>
      <c r="G859" s="28">
        <v>67303785</v>
      </c>
      <c r="H859" s="93" t="s">
        <v>237</v>
      </c>
      <c r="I859" s="94">
        <v>10000240</v>
      </c>
      <c r="J859" s="4" t="str">
        <f>VLOOKUP(I859,'Materiales,canteras'!C:D,2,0)</f>
        <v>Grava Triturada Caliza 20 mm -</v>
      </c>
      <c r="K859" s="25">
        <f>VLOOKUP(I859,'Materiales,canteras'!C:E,3,0)</f>
        <v>1.462</v>
      </c>
      <c r="L859" s="105">
        <v>175</v>
      </c>
      <c r="M859" s="28" t="s">
        <v>93</v>
      </c>
      <c r="N859" s="57">
        <f t="shared" ca="1" si="177"/>
        <v>46267</v>
      </c>
      <c r="O859" s="43" t="s">
        <v>201</v>
      </c>
      <c r="S859" s="82">
        <v>294</v>
      </c>
      <c r="T859" s="66">
        <f t="shared" si="171"/>
        <v>-119</v>
      </c>
      <c r="U859" s="46">
        <f t="shared" si="175"/>
        <v>175</v>
      </c>
      <c r="V859" s="82">
        <v>0</v>
      </c>
      <c r="W859" s="4">
        <v>2</v>
      </c>
      <c r="X859" s="195">
        <f t="shared" si="170"/>
        <v>175</v>
      </c>
      <c r="Y859" s="29" t="e">
        <f>IF(+VLOOKUP(I859,P.Referencia!E:S,3,FALSE)&lt;=L859,"Champion","Gerente")</f>
        <v>#N/A</v>
      </c>
      <c r="Z859" s="39" t="e">
        <f>VLOOKUP(I859,P.Referencia!E:S,3,0)</f>
        <v>#N/A</v>
      </c>
      <c r="AA859" s="40" t="e">
        <f t="shared" si="172"/>
        <v>#N/A</v>
      </c>
      <c r="AB859" s="41" t="e">
        <f t="shared" si="173"/>
        <v>#N/A</v>
      </c>
      <c r="AC859" s="41" t="e">
        <f t="shared" si="174"/>
        <v>#N/A</v>
      </c>
    </row>
    <row r="860" spans="1:29" hidden="1" x14ac:dyDescent="0.25">
      <c r="A860" s="24">
        <v>859</v>
      </c>
      <c r="B860" s="89" t="s">
        <v>505</v>
      </c>
      <c r="C860" s="4" t="str">
        <f>_xlfn.CONCAT($C$1,D860,G860,I860,W860)</f>
        <v>LlaveD86467303785100002692</v>
      </c>
      <c r="D860" s="25" t="str">
        <f>VLOOKUP(E860,'NO MODIFICAR'!J:K,2,0)</f>
        <v>D864</v>
      </c>
      <c r="E860" s="102" t="s">
        <v>55</v>
      </c>
      <c r="F860" s="33" t="str">
        <f>VLOOKUP(D860,'NO MODIFICAR'!F:H,3,0)</f>
        <v xml:space="preserve">CENTRO </v>
      </c>
      <c r="G860" s="28">
        <v>67303785</v>
      </c>
      <c r="H860" s="93" t="s">
        <v>237</v>
      </c>
      <c r="I860" s="94">
        <v>10000269</v>
      </c>
      <c r="J860" s="4" t="str">
        <f>VLOOKUP(I860,'Materiales,canteras'!C:D,2,0)</f>
        <v>Grava Triturada Caliza 13 mm -</v>
      </c>
      <c r="K860" s="25">
        <f>VLOOKUP(I860,'Materiales,canteras'!C:E,3,0)</f>
        <v>1.423</v>
      </c>
      <c r="L860" s="105">
        <v>168</v>
      </c>
      <c r="M860" s="28" t="s">
        <v>93</v>
      </c>
      <c r="N860" s="57">
        <f t="shared" ca="1" si="177"/>
        <v>46267</v>
      </c>
      <c r="O860" s="43" t="s">
        <v>201</v>
      </c>
      <c r="S860" s="82">
        <v>263</v>
      </c>
      <c r="T860" s="66">
        <f t="shared" si="171"/>
        <v>-95</v>
      </c>
      <c r="U860" s="46">
        <f t="shared" si="175"/>
        <v>168</v>
      </c>
      <c r="V860" s="82">
        <v>0</v>
      </c>
      <c r="W860" s="4">
        <v>2</v>
      </c>
      <c r="X860" s="195">
        <f t="shared" si="170"/>
        <v>168</v>
      </c>
      <c r="Y860" s="29" t="e">
        <f>IF(+VLOOKUP(I860,P.Referencia!E:S,3,FALSE)&lt;=L860,"Champion","Gerente")</f>
        <v>#N/A</v>
      </c>
      <c r="Z860" s="39" t="e">
        <f>VLOOKUP(I860,P.Referencia!E:S,3,0)</f>
        <v>#N/A</v>
      </c>
      <c r="AA860" s="40" t="e">
        <f t="shared" si="172"/>
        <v>#N/A</v>
      </c>
      <c r="AB860" s="41" t="e">
        <f t="shared" si="173"/>
        <v>#N/A</v>
      </c>
      <c r="AC860" s="41" t="e">
        <f t="shared" si="174"/>
        <v>#N/A</v>
      </c>
    </row>
    <row r="861" spans="1:29" hidden="1" x14ac:dyDescent="0.25">
      <c r="A861" s="24">
        <v>860</v>
      </c>
      <c r="B861" s="89" t="s">
        <v>505</v>
      </c>
      <c r="C861" s="4" t="str">
        <f t="shared" ref="C861:C865" si="180">_xlfn.CONCAT($C$1,D861,G861,I861,W861)</f>
        <v>LlaveD86467303785100010742</v>
      </c>
      <c r="D861" s="25" t="str">
        <f>VLOOKUP(E861,'NO MODIFICAR'!J:K,2,0)</f>
        <v>D864</v>
      </c>
      <c r="E861" s="102" t="s">
        <v>55</v>
      </c>
      <c r="F861" s="33" t="str">
        <f>VLOOKUP(D861,'NO MODIFICAR'!F:H,3,0)</f>
        <v xml:space="preserve">CENTRO </v>
      </c>
      <c r="G861" s="28">
        <v>67303785</v>
      </c>
      <c r="H861" s="93" t="s">
        <v>237</v>
      </c>
      <c r="I861" s="94">
        <v>10001074</v>
      </c>
      <c r="J861" s="4" t="str">
        <f>VLOOKUP(I861,'Materiales,canteras'!C:D,2,0)</f>
        <v>Grava Triturada Caliza 40 mm -</v>
      </c>
      <c r="K861" s="25">
        <f>VLOOKUP(I861,'Materiales,canteras'!C:E,3,0)</f>
        <v>1.4</v>
      </c>
      <c r="L861" s="105">
        <v>169</v>
      </c>
      <c r="M861" s="28" t="s">
        <v>93</v>
      </c>
      <c r="N861" s="57">
        <f t="shared" ca="1" si="177"/>
        <v>46267</v>
      </c>
      <c r="O861" s="43" t="s">
        <v>201</v>
      </c>
      <c r="S861" s="82">
        <v>231</v>
      </c>
      <c r="T861" s="66">
        <f t="shared" si="171"/>
        <v>-62</v>
      </c>
      <c r="U861" s="46">
        <f t="shared" si="175"/>
        <v>169</v>
      </c>
      <c r="V861" s="82">
        <v>0</v>
      </c>
      <c r="W861" s="4">
        <v>2</v>
      </c>
      <c r="X861" s="195">
        <f t="shared" si="170"/>
        <v>169</v>
      </c>
      <c r="Y861" s="29" t="e">
        <f>IF(+VLOOKUP(I861,P.Referencia!E:S,3,FALSE)&lt;=L861,"Champion","Gerente")</f>
        <v>#N/A</v>
      </c>
      <c r="Z861" s="39" t="e">
        <f>VLOOKUP(I861,P.Referencia!E:S,3,0)</f>
        <v>#N/A</v>
      </c>
      <c r="AA861" s="40" t="e">
        <f t="shared" si="172"/>
        <v>#N/A</v>
      </c>
      <c r="AB861" s="41" t="e">
        <f t="shared" si="173"/>
        <v>#N/A</v>
      </c>
      <c r="AC861" s="41" t="e">
        <f t="shared" si="174"/>
        <v>#N/A</v>
      </c>
    </row>
    <row r="862" spans="1:29" hidden="1" x14ac:dyDescent="0.25">
      <c r="A862" s="24">
        <v>861</v>
      </c>
      <c r="B862" s="89" t="s">
        <v>505</v>
      </c>
      <c r="C862" s="4" t="str">
        <f t="shared" si="180"/>
        <v>LlaveD86467322601100010732</v>
      </c>
      <c r="D862" s="25" t="str">
        <f>VLOOKUP(E862,'NO MODIFICAR'!J:K,2,0)</f>
        <v>D864</v>
      </c>
      <c r="E862" s="102" t="s">
        <v>55</v>
      </c>
      <c r="F862" s="33" t="str">
        <f>VLOOKUP(D862,'NO MODIFICAR'!F:H,3,0)</f>
        <v xml:space="preserve">CENTRO </v>
      </c>
      <c r="G862" s="28">
        <v>67322601</v>
      </c>
      <c r="H862" s="93" t="s">
        <v>560</v>
      </c>
      <c r="I862" s="94">
        <v>10001073</v>
      </c>
      <c r="J862" s="4" t="str">
        <f>VLOOKUP(I862,'Materiales,canteras'!C:D,2,0)</f>
        <v>Arena Triturada Caliza Malla 4</v>
      </c>
      <c r="K862" s="25">
        <f>VLOOKUP(I862,'Materiales,canteras'!C:E,3,0)</f>
        <v>1.56</v>
      </c>
      <c r="L862" s="105">
        <v>92.6</v>
      </c>
      <c r="M862" s="28" t="s">
        <v>93</v>
      </c>
      <c r="N862" s="57">
        <f t="shared" ca="1" si="177"/>
        <v>46267</v>
      </c>
      <c r="O862" s="43" t="s">
        <v>201</v>
      </c>
      <c r="S862" s="82">
        <v>158</v>
      </c>
      <c r="T862" s="66">
        <f t="shared" si="171"/>
        <v>-65.400000000000006</v>
      </c>
      <c r="U862" s="46">
        <f t="shared" si="175"/>
        <v>92.6</v>
      </c>
      <c r="V862" s="82">
        <v>0</v>
      </c>
      <c r="W862" s="4">
        <v>2</v>
      </c>
      <c r="X862" s="195">
        <f t="shared" si="170"/>
        <v>92.6</v>
      </c>
      <c r="Y862" s="29" t="e">
        <f>IF(+VLOOKUP(I862,P.Referencia!E:S,3,FALSE)&lt;=L862,"Champion","Gerente")</f>
        <v>#N/A</v>
      </c>
      <c r="Z862" s="39" t="e">
        <f>VLOOKUP(I862,P.Referencia!E:S,3,0)</f>
        <v>#N/A</v>
      </c>
      <c r="AA862" s="40" t="e">
        <f t="shared" si="172"/>
        <v>#N/A</v>
      </c>
      <c r="AB862" s="41" t="e">
        <f t="shared" si="173"/>
        <v>#N/A</v>
      </c>
      <c r="AC862" s="41" t="e">
        <f t="shared" si="174"/>
        <v>#N/A</v>
      </c>
    </row>
    <row r="863" spans="1:29" hidden="1" x14ac:dyDescent="0.25">
      <c r="A863" s="24">
        <v>862</v>
      </c>
      <c r="B863" s="89" t="s">
        <v>505</v>
      </c>
      <c r="C863" s="4" t="str">
        <f t="shared" si="180"/>
        <v>LlaveD86467322601100002362</v>
      </c>
      <c r="D863" s="25" t="str">
        <f>VLOOKUP(E863,'NO MODIFICAR'!J:K,2,0)</f>
        <v>D864</v>
      </c>
      <c r="E863" s="102" t="s">
        <v>55</v>
      </c>
      <c r="F863" s="33" t="str">
        <f>VLOOKUP(D863,'NO MODIFICAR'!F:H,3,0)</f>
        <v xml:space="preserve">CENTRO </v>
      </c>
      <c r="G863" s="28">
        <v>67322601</v>
      </c>
      <c r="H863" s="93" t="s">
        <v>560</v>
      </c>
      <c r="I863" s="94">
        <v>10000236</v>
      </c>
      <c r="J863" s="4" t="str">
        <f>VLOOKUP(I863,'Materiales,canteras'!C:D,2,0)</f>
        <v>Grava Triturada Caliza 10 mm -</v>
      </c>
      <c r="K863" s="25">
        <f>VLOOKUP(I863,'Materiales,canteras'!C:E,3,0)</f>
        <v>1.41</v>
      </c>
      <c r="L863" s="105">
        <v>196</v>
      </c>
      <c r="M863" s="28" t="s">
        <v>93</v>
      </c>
      <c r="N863" s="57">
        <f t="shared" ca="1" si="177"/>
        <v>46267</v>
      </c>
      <c r="O863" s="43" t="s">
        <v>201</v>
      </c>
      <c r="S863" s="82">
        <v>252</v>
      </c>
      <c r="T863" s="66">
        <f t="shared" si="171"/>
        <v>-56</v>
      </c>
      <c r="U863" s="46">
        <f t="shared" si="175"/>
        <v>196</v>
      </c>
      <c r="V863" s="82">
        <v>0</v>
      </c>
      <c r="W863" s="4">
        <v>2</v>
      </c>
      <c r="X863" s="195">
        <f t="shared" si="170"/>
        <v>196</v>
      </c>
      <c r="Y863" s="29" t="e">
        <f>IF(+VLOOKUP(I863,P.Referencia!E:S,3,FALSE)&lt;=L863,"Champion","Gerente")</f>
        <v>#N/A</v>
      </c>
      <c r="Z863" s="39" t="e">
        <f>VLOOKUP(I863,P.Referencia!E:S,3,0)</f>
        <v>#N/A</v>
      </c>
      <c r="AA863" s="40" t="e">
        <f t="shared" si="172"/>
        <v>#N/A</v>
      </c>
      <c r="AB863" s="41" t="e">
        <f t="shared" si="173"/>
        <v>#N/A</v>
      </c>
      <c r="AC863" s="41" t="e">
        <f t="shared" si="174"/>
        <v>#N/A</v>
      </c>
    </row>
    <row r="864" spans="1:29" hidden="1" x14ac:dyDescent="0.25">
      <c r="A864" s="24">
        <v>863</v>
      </c>
      <c r="B864" s="89" t="s">
        <v>505</v>
      </c>
      <c r="C864" s="4" t="str">
        <f t="shared" si="180"/>
        <v>LlaveD86467322601100002402</v>
      </c>
      <c r="D864" s="25" t="str">
        <f>VLOOKUP(E864,'NO MODIFICAR'!J:K,2,0)</f>
        <v>D864</v>
      </c>
      <c r="E864" s="102" t="s">
        <v>55</v>
      </c>
      <c r="F864" s="33" t="str">
        <f>VLOOKUP(D864,'NO MODIFICAR'!F:H,3,0)</f>
        <v xml:space="preserve">CENTRO </v>
      </c>
      <c r="G864" s="28">
        <v>67322601</v>
      </c>
      <c r="H864" s="93" t="s">
        <v>560</v>
      </c>
      <c r="I864" s="94">
        <v>10000240</v>
      </c>
      <c r="J864" s="4" t="str">
        <f>VLOOKUP(I864,'Materiales,canteras'!C:D,2,0)</f>
        <v>Grava Triturada Caliza 20 mm -</v>
      </c>
      <c r="K864" s="25">
        <f>VLOOKUP(I864,'Materiales,canteras'!C:E,3,0)</f>
        <v>1.462</v>
      </c>
      <c r="L864" s="105">
        <v>174.5</v>
      </c>
      <c r="M864" s="28" t="s">
        <v>93</v>
      </c>
      <c r="N864" s="57">
        <f t="shared" ca="1" si="177"/>
        <v>46267</v>
      </c>
      <c r="O864" s="43" t="s">
        <v>201</v>
      </c>
      <c r="S864" s="82">
        <v>294</v>
      </c>
      <c r="T864" s="66">
        <f t="shared" si="171"/>
        <v>-119.5</v>
      </c>
      <c r="U864" s="46">
        <f t="shared" si="175"/>
        <v>174.5</v>
      </c>
      <c r="V864" s="82">
        <v>0</v>
      </c>
      <c r="W864" s="4">
        <v>2</v>
      </c>
      <c r="X864" s="195">
        <f t="shared" ref="X864:X871" si="181">U864+V864</f>
        <v>174.5</v>
      </c>
      <c r="Y864" s="29" t="e">
        <f>IF(+VLOOKUP(I864,P.Referencia!E:S,3,FALSE)&lt;=L864,"Champion","Gerente")</f>
        <v>#N/A</v>
      </c>
      <c r="Z864" s="39" t="e">
        <f>VLOOKUP(I864,P.Referencia!E:S,3,0)</f>
        <v>#N/A</v>
      </c>
      <c r="AA864" s="40" t="e">
        <f t="shared" si="172"/>
        <v>#N/A</v>
      </c>
      <c r="AB864" s="41" t="e">
        <f t="shared" si="173"/>
        <v>#N/A</v>
      </c>
      <c r="AC864" s="41" t="e">
        <f t="shared" si="174"/>
        <v>#N/A</v>
      </c>
    </row>
    <row r="865" spans="1:30" hidden="1" x14ac:dyDescent="0.25">
      <c r="A865" s="24">
        <v>864</v>
      </c>
      <c r="B865" s="89" t="s">
        <v>505</v>
      </c>
      <c r="C865" s="4" t="str">
        <f t="shared" si="180"/>
        <v>LlaveD86467322601100002692</v>
      </c>
      <c r="D865" s="25" t="str">
        <f>VLOOKUP(E865,'NO MODIFICAR'!J:K,2,0)</f>
        <v>D864</v>
      </c>
      <c r="E865" s="102" t="s">
        <v>55</v>
      </c>
      <c r="F865" s="33" t="str">
        <f>VLOOKUP(D865,'NO MODIFICAR'!F:H,3,0)</f>
        <v xml:space="preserve">CENTRO </v>
      </c>
      <c r="G865" s="28">
        <v>67322601</v>
      </c>
      <c r="H865" s="93" t="s">
        <v>560</v>
      </c>
      <c r="I865" s="94">
        <v>10000269</v>
      </c>
      <c r="J865" s="4" t="str">
        <f>VLOOKUP(I865,'Materiales,canteras'!C:D,2,0)</f>
        <v>Grava Triturada Caliza 13 mm -</v>
      </c>
      <c r="K865" s="25">
        <f>VLOOKUP(I865,'Materiales,canteras'!C:E,3,0)</f>
        <v>1.423</v>
      </c>
      <c r="L865" s="105">
        <v>160</v>
      </c>
      <c r="M865" s="28" t="s">
        <v>93</v>
      </c>
      <c r="N865" s="57">
        <f t="shared" ca="1" si="177"/>
        <v>46267</v>
      </c>
      <c r="O865" s="43" t="s">
        <v>201</v>
      </c>
      <c r="S865" s="82">
        <v>263</v>
      </c>
      <c r="T865" s="66">
        <f t="shared" si="171"/>
        <v>-103</v>
      </c>
      <c r="U865" s="46">
        <f t="shared" si="175"/>
        <v>160</v>
      </c>
      <c r="V865" s="82">
        <v>0</v>
      </c>
      <c r="W865" s="4">
        <v>2</v>
      </c>
      <c r="X865" s="195">
        <f t="shared" si="181"/>
        <v>160</v>
      </c>
      <c r="Y865" s="29" t="e">
        <f>IF(+VLOOKUP(I865,P.Referencia!E:S,3,FALSE)&lt;=L865,"Champion","Gerente")</f>
        <v>#N/A</v>
      </c>
      <c r="Z865" s="39" t="e">
        <f>VLOOKUP(I865,P.Referencia!E:S,3,0)</f>
        <v>#N/A</v>
      </c>
      <c r="AA865" s="40" t="e">
        <f t="shared" si="172"/>
        <v>#N/A</v>
      </c>
      <c r="AB865" s="41" t="e">
        <f t="shared" si="173"/>
        <v>#N/A</v>
      </c>
      <c r="AC865" s="41" t="e">
        <f t="shared" si="174"/>
        <v>#N/A</v>
      </c>
    </row>
    <row r="866" spans="1:30" hidden="1" x14ac:dyDescent="0.25">
      <c r="A866" s="24">
        <v>865</v>
      </c>
      <c r="B866" s="89" t="s">
        <v>505</v>
      </c>
      <c r="C866" s="4" t="str">
        <f t="shared" ref="C866:C871" si="182">_xlfn.CONCAT($C$1,D866,G866,I866,W866)</f>
        <v>LlaveD86467322601100010742</v>
      </c>
      <c r="D866" s="25" t="str">
        <f>VLOOKUP(E866,'NO MODIFICAR'!J:K,2,0)</f>
        <v>D864</v>
      </c>
      <c r="E866" s="102" t="s">
        <v>55</v>
      </c>
      <c r="F866" s="33" t="str">
        <f>VLOOKUP(D866,'NO MODIFICAR'!F:H,3,0)</f>
        <v xml:space="preserve">CENTRO </v>
      </c>
      <c r="G866" s="28">
        <v>67322601</v>
      </c>
      <c r="H866" s="93" t="s">
        <v>560</v>
      </c>
      <c r="I866" s="94">
        <v>10001074</v>
      </c>
      <c r="J866" s="4" t="str">
        <f>VLOOKUP(I866,'Materiales,canteras'!C:D,2,0)</f>
        <v>Grava Triturada Caliza 40 mm -</v>
      </c>
      <c r="K866" s="25">
        <f>VLOOKUP(I866,'Materiales,canteras'!C:E,3,0)</f>
        <v>1.4</v>
      </c>
      <c r="L866" s="105">
        <v>151.41999999999999</v>
      </c>
      <c r="M866" s="28" t="s">
        <v>93</v>
      </c>
      <c r="N866" s="57">
        <f t="shared" ca="1" si="177"/>
        <v>46267</v>
      </c>
      <c r="O866" s="43" t="s">
        <v>201</v>
      </c>
      <c r="S866" s="82">
        <v>151.41999999999999</v>
      </c>
      <c r="T866" s="66">
        <f t="shared" si="171"/>
        <v>0</v>
      </c>
      <c r="U866" s="46">
        <f t="shared" si="175"/>
        <v>151.41999999999999</v>
      </c>
      <c r="V866" s="82">
        <v>0</v>
      </c>
      <c r="W866" s="4">
        <v>2</v>
      </c>
      <c r="X866" s="195">
        <f t="shared" si="181"/>
        <v>151.41999999999999</v>
      </c>
      <c r="Y866" s="29" t="e">
        <f>IF(+VLOOKUP(I866,P.Referencia!E:S,3,FALSE)&lt;=L866,"Champion","Gerente")</f>
        <v>#N/A</v>
      </c>
      <c r="Z866" s="39" t="e">
        <f>VLOOKUP(I866,P.Referencia!E:S,3,0)</f>
        <v>#N/A</v>
      </c>
      <c r="AA866" s="40" t="e">
        <f t="shared" si="172"/>
        <v>#N/A</v>
      </c>
      <c r="AB866" s="41" t="e">
        <f t="shared" si="173"/>
        <v>#N/A</v>
      </c>
      <c r="AC866" s="41" t="e">
        <f t="shared" si="174"/>
        <v>#N/A</v>
      </c>
    </row>
    <row r="867" spans="1:30" hidden="1" x14ac:dyDescent="0.25">
      <c r="A867" s="24">
        <v>866</v>
      </c>
      <c r="B867" s="89" t="s">
        <v>505</v>
      </c>
      <c r="C867" s="4" t="str">
        <f t="shared" si="182"/>
        <v>LlaveD86167367978100002312</v>
      </c>
      <c r="D867" s="25" t="str">
        <f>VLOOKUP(E867,'NO MODIFICAR'!J:K,2,0)</f>
        <v>D861</v>
      </c>
      <c r="E867" s="102" t="s">
        <v>44</v>
      </c>
      <c r="F867" s="33" t="str">
        <f>VLOOKUP(D867,'NO MODIFICAR'!F:H,3,0)</f>
        <v xml:space="preserve">CENTRO </v>
      </c>
      <c r="G867" s="28">
        <v>67367978</v>
      </c>
      <c r="H867" s="93" t="s">
        <v>559</v>
      </c>
      <c r="I867" s="94">
        <v>10000231</v>
      </c>
      <c r="J867" s="4" t="str">
        <f>VLOOKUP(I867,'Materiales,canteras'!C:D,2,0)</f>
        <v>Grava Triturada Basalto 20 mm</v>
      </c>
      <c r="K867" s="25">
        <f>VLOOKUP(I867,'Materiales,canteras'!C:E,3,0)</f>
        <v>1.5649999999999999</v>
      </c>
      <c r="L867" s="105">
        <v>227.16</v>
      </c>
      <c r="M867" s="28" t="s">
        <v>93</v>
      </c>
      <c r="N867" s="57">
        <f t="shared" ca="1" si="177"/>
        <v>46267</v>
      </c>
      <c r="O867" s="43" t="s">
        <v>201</v>
      </c>
      <c r="R867">
        <v>4.62</v>
      </c>
      <c r="S867" s="82">
        <v>308</v>
      </c>
      <c r="T867" s="66">
        <f t="shared" si="171"/>
        <v>-76.22</v>
      </c>
      <c r="U867" s="46">
        <f t="shared" si="175"/>
        <v>227.16</v>
      </c>
      <c r="V867" s="82">
        <v>0</v>
      </c>
      <c r="W867" s="4">
        <v>2</v>
      </c>
      <c r="X867" s="195">
        <f t="shared" si="181"/>
        <v>227.16</v>
      </c>
      <c r="Y867" s="29" t="e">
        <f>IF(+VLOOKUP(I867,P.Referencia!E:S,3,FALSE)&lt;=L867,"Champion","Gerente")</f>
        <v>#N/A</v>
      </c>
      <c r="Z867" s="39" t="e">
        <f>VLOOKUP(I867,P.Referencia!E:S,3,0)</f>
        <v>#N/A</v>
      </c>
      <c r="AA867" s="40" t="e">
        <f t="shared" si="172"/>
        <v>#N/A</v>
      </c>
      <c r="AB867" s="41" t="e">
        <f t="shared" si="173"/>
        <v>#N/A</v>
      </c>
      <c r="AC867" s="41" t="e">
        <f t="shared" si="174"/>
        <v>#N/A</v>
      </c>
    </row>
    <row r="868" spans="1:30" hidden="1" x14ac:dyDescent="0.25">
      <c r="A868" s="24">
        <v>867</v>
      </c>
      <c r="B868" s="89" t="s">
        <v>505</v>
      </c>
      <c r="C868" s="4" t="str">
        <f t="shared" si="182"/>
        <v>LlaveD86167367978100003112</v>
      </c>
      <c r="D868" s="25" t="str">
        <f>VLOOKUP(E868,'NO MODIFICAR'!J:K,2,0)</f>
        <v>D861</v>
      </c>
      <c r="E868" s="102" t="s">
        <v>44</v>
      </c>
      <c r="F868" s="33" t="str">
        <f>VLOOKUP(D868,'NO MODIFICAR'!F:H,3,0)</f>
        <v xml:space="preserve">CENTRO </v>
      </c>
      <c r="G868" s="28">
        <v>67367978</v>
      </c>
      <c r="H868" s="93" t="s">
        <v>559</v>
      </c>
      <c r="I868" s="94">
        <v>10000311</v>
      </c>
      <c r="J868" s="4" t="str">
        <f>VLOOKUP(I868,'Materiales,canteras'!C:D,2,0)</f>
        <v>Arena Triturada Basalto  Malla</v>
      </c>
      <c r="K868" s="25">
        <f>VLOOKUP(I868,'Materiales,canteras'!C:E,3,0)</f>
        <v>1.651</v>
      </c>
      <c r="L868" s="105">
        <v>211.99</v>
      </c>
      <c r="M868" s="28" t="s">
        <v>93</v>
      </c>
      <c r="N868" s="57">
        <f t="shared" ca="1" si="177"/>
        <v>46267</v>
      </c>
      <c r="O868" s="43" t="s">
        <v>201</v>
      </c>
      <c r="R868">
        <v>4.29</v>
      </c>
      <c r="S868" s="82">
        <v>286</v>
      </c>
      <c r="T868" s="66">
        <f t="shared" si="171"/>
        <v>-69.71999999999997</v>
      </c>
      <c r="U868" s="46">
        <f t="shared" si="175"/>
        <v>211.99</v>
      </c>
      <c r="V868" s="82">
        <v>0</v>
      </c>
      <c r="W868" s="4">
        <v>2</v>
      </c>
      <c r="X868" s="195">
        <f t="shared" si="181"/>
        <v>211.99</v>
      </c>
      <c r="Y868" s="29" t="e">
        <f>IF(+VLOOKUP(I868,P.Referencia!E:S,3,FALSE)&lt;=L868,"Champion","Gerente")</f>
        <v>#N/A</v>
      </c>
      <c r="Z868" s="39" t="e">
        <f>VLOOKUP(I868,P.Referencia!E:S,3,0)</f>
        <v>#N/A</v>
      </c>
      <c r="AA868" s="40" t="e">
        <f t="shared" si="172"/>
        <v>#N/A</v>
      </c>
      <c r="AB868" s="41" t="e">
        <f t="shared" si="173"/>
        <v>#N/A</v>
      </c>
      <c r="AC868" s="41" t="e">
        <f t="shared" si="174"/>
        <v>#N/A</v>
      </c>
    </row>
    <row r="869" spans="1:30" hidden="1" x14ac:dyDescent="0.25">
      <c r="A869" s="24">
        <v>868</v>
      </c>
      <c r="B869" s="89" t="s">
        <v>505</v>
      </c>
      <c r="C869" s="4" t="str">
        <f t="shared" si="182"/>
        <v>LlaveD86167367978100031532</v>
      </c>
      <c r="D869" s="25" t="str">
        <f>VLOOKUP(E869,'NO MODIFICAR'!J:K,2,0)</f>
        <v>D861</v>
      </c>
      <c r="E869" s="102" t="s">
        <v>44</v>
      </c>
      <c r="F869" s="33" t="str">
        <f>VLOOKUP(D869,'NO MODIFICAR'!F:H,3,0)</f>
        <v xml:space="preserve">CENTRO </v>
      </c>
      <c r="G869" s="28">
        <v>67367978</v>
      </c>
      <c r="H869" s="93" t="s">
        <v>559</v>
      </c>
      <c r="I869" s="94">
        <v>10003153</v>
      </c>
      <c r="J869" s="4" t="str">
        <f>VLOOKUP(I869,'Materiales,canteras'!C:D,2,0)</f>
        <v>Grava Triturada Basalto 13 mm</v>
      </c>
      <c r="K869" s="25">
        <f>VLOOKUP(I869,'Materiales,canteras'!C:E,3,0)</f>
        <v>1.546</v>
      </c>
      <c r="L869" s="105">
        <v>228.15</v>
      </c>
      <c r="M869" s="28" t="s">
        <v>93</v>
      </c>
      <c r="N869" s="57">
        <f t="shared" ca="1" si="177"/>
        <v>46267</v>
      </c>
      <c r="O869" s="43" t="s">
        <v>201</v>
      </c>
      <c r="R869">
        <v>4.46</v>
      </c>
      <c r="S869" s="82">
        <v>297</v>
      </c>
      <c r="T869" s="66">
        <f t="shared" si="171"/>
        <v>-64.390000000000015</v>
      </c>
      <c r="U869" s="46">
        <f t="shared" si="175"/>
        <v>228.15</v>
      </c>
      <c r="V869" s="82">
        <v>0</v>
      </c>
      <c r="W869" s="4">
        <v>2</v>
      </c>
      <c r="X869" s="195">
        <f t="shared" si="181"/>
        <v>228.15</v>
      </c>
      <c r="Y869" s="29" t="e">
        <f>IF(+VLOOKUP(I869,P.Referencia!E:S,3,FALSE)&lt;=L869,"Champion","Gerente")</f>
        <v>#N/A</v>
      </c>
      <c r="Z869" s="39" t="e">
        <f>VLOOKUP(I869,P.Referencia!E:S,3,0)</f>
        <v>#N/A</v>
      </c>
      <c r="AA869" s="40" t="e">
        <f t="shared" si="172"/>
        <v>#N/A</v>
      </c>
      <c r="AB869" s="41" t="e">
        <f t="shared" si="173"/>
        <v>#N/A</v>
      </c>
      <c r="AC869" s="41" t="e">
        <f t="shared" si="174"/>
        <v>#N/A</v>
      </c>
    </row>
    <row r="870" spans="1:30" hidden="1" x14ac:dyDescent="0.25">
      <c r="A870" s="24">
        <v>869</v>
      </c>
      <c r="B870" s="89" t="s">
        <v>505</v>
      </c>
      <c r="C870" s="4" t="str">
        <f t="shared" si="182"/>
        <v>LlaveD86167367978100002292</v>
      </c>
      <c r="D870" s="25" t="str">
        <f>VLOOKUP(E870,'NO MODIFICAR'!J:K,2,0)</f>
        <v>D861</v>
      </c>
      <c r="E870" s="102" t="s">
        <v>44</v>
      </c>
      <c r="F870" s="33" t="str">
        <f>VLOOKUP(D870,'NO MODIFICAR'!F:H,3,0)</f>
        <v xml:space="preserve">CENTRO </v>
      </c>
      <c r="G870" s="28">
        <v>67367978</v>
      </c>
      <c r="H870" s="93" t="s">
        <v>559</v>
      </c>
      <c r="I870" s="94">
        <v>10000229</v>
      </c>
      <c r="J870" s="4" t="str">
        <f>VLOOKUP(I870,'Materiales,canteras'!C:D,2,0)</f>
        <v>Grava Triturada Basalto  10 mm</v>
      </c>
      <c r="K870" s="25">
        <f>VLOOKUP(I870,'Materiales,canteras'!C:E,3,0)</f>
        <v>1.522</v>
      </c>
      <c r="L870" s="105">
        <v>239.2</v>
      </c>
      <c r="M870" s="28" t="s">
        <v>93</v>
      </c>
      <c r="N870" s="57">
        <f t="shared" ca="1" si="177"/>
        <v>46267</v>
      </c>
      <c r="O870" s="43" t="s">
        <v>201</v>
      </c>
      <c r="R870">
        <v>5.28</v>
      </c>
      <c r="S870" s="82">
        <v>352</v>
      </c>
      <c r="T870" s="66">
        <f t="shared" si="171"/>
        <v>-107.52000000000004</v>
      </c>
      <c r="U870" s="46">
        <f t="shared" si="175"/>
        <v>239.2</v>
      </c>
      <c r="V870" s="82">
        <v>0</v>
      </c>
      <c r="W870" s="4">
        <v>2</v>
      </c>
      <c r="X870" s="195">
        <f t="shared" si="181"/>
        <v>239.2</v>
      </c>
      <c r="Y870" s="29" t="e">
        <f>IF(+VLOOKUP(I870,P.Referencia!E:S,3,FALSE)&lt;=L870,"Champion","Gerente")</f>
        <v>#N/A</v>
      </c>
      <c r="Z870" s="39" t="e">
        <f>VLOOKUP(I870,P.Referencia!E:S,3,0)</f>
        <v>#N/A</v>
      </c>
      <c r="AA870" s="40" t="e">
        <f t="shared" si="172"/>
        <v>#N/A</v>
      </c>
      <c r="AB870" s="41" t="e">
        <f t="shared" si="173"/>
        <v>#N/A</v>
      </c>
      <c r="AC870" s="41" t="e">
        <f t="shared" si="174"/>
        <v>#N/A</v>
      </c>
    </row>
    <row r="871" spans="1:30" hidden="1" x14ac:dyDescent="0.25">
      <c r="A871" s="24">
        <v>870</v>
      </c>
      <c r="B871" s="89" t="s">
        <v>505</v>
      </c>
      <c r="C871" s="4" t="str">
        <f t="shared" si="182"/>
        <v>LlaveD86167367978100002902</v>
      </c>
      <c r="D871" s="25" t="str">
        <f>VLOOKUP(E871,'NO MODIFICAR'!J:K,2,0)</f>
        <v>D861</v>
      </c>
      <c r="E871" s="102" t="s">
        <v>44</v>
      </c>
      <c r="F871" s="33" t="str">
        <f>VLOOKUP(D871,'NO MODIFICAR'!F:H,3,0)</f>
        <v xml:space="preserve">CENTRO </v>
      </c>
      <c r="G871" s="28">
        <v>67367978</v>
      </c>
      <c r="H871" s="93" t="s">
        <v>559</v>
      </c>
      <c r="I871" s="94">
        <v>10000290</v>
      </c>
      <c r="J871" s="4" t="str">
        <f>VLOOKUP(I871,'Materiales,canteras'!C:D,2,0)</f>
        <v>Polvos Triturado Basalto 3/4"</v>
      </c>
      <c r="K871" s="25">
        <f>VLOOKUP(I871,'Materiales,canteras'!C:E,3,0)</f>
        <v>1.3720000000000001</v>
      </c>
      <c r="L871" s="105">
        <v>19.8</v>
      </c>
      <c r="M871" s="28" t="s">
        <v>93</v>
      </c>
      <c r="N871" s="57">
        <f t="shared" ca="1" si="177"/>
        <v>46267</v>
      </c>
      <c r="O871" s="43" t="s">
        <v>201</v>
      </c>
      <c r="R871">
        <v>0.42</v>
      </c>
      <c r="S871" s="82">
        <v>28</v>
      </c>
      <c r="T871" s="66">
        <f t="shared" si="171"/>
        <v>-7.7799999999999976</v>
      </c>
      <c r="U871" s="46">
        <f t="shared" si="175"/>
        <v>19.8</v>
      </c>
      <c r="V871" s="82">
        <v>0</v>
      </c>
      <c r="W871" s="4">
        <v>2</v>
      </c>
      <c r="X871" s="195">
        <f t="shared" si="181"/>
        <v>19.8</v>
      </c>
      <c r="Y871" s="29" t="e">
        <f>IF(+VLOOKUP(I871,P.Referencia!E:S,3,FALSE)&lt;=L871,"Champion","Gerente")</f>
        <v>#N/A</v>
      </c>
      <c r="Z871" s="39" t="e">
        <f>VLOOKUP(I871,P.Referencia!E:S,3,0)</f>
        <v>#N/A</v>
      </c>
      <c r="AA871" s="40" t="e">
        <f t="shared" si="172"/>
        <v>#N/A</v>
      </c>
      <c r="AB871" s="41" t="e">
        <f t="shared" si="173"/>
        <v>#N/A</v>
      </c>
      <c r="AC871" s="41" t="e">
        <f t="shared" si="174"/>
        <v>#N/A</v>
      </c>
    </row>
    <row r="872" spans="1:30" hidden="1" x14ac:dyDescent="0.25">
      <c r="A872" s="24">
        <v>871</v>
      </c>
      <c r="B872" s="89" t="s">
        <v>505</v>
      </c>
      <c r="C872" s="4" t="str">
        <f t="shared" ref="C872:C875" si="183">_xlfn.CONCAT($C$1,D872,G872,I872,W872)</f>
        <v>LlaveD86167367978100014502</v>
      </c>
      <c r="D872" s="25" t="str">
        <f>VLOOKUP(E872,'NO MODIFICAR'!J:K,2,0)</f>
        <v>D861</v>
      </c>
      <c r="E872" s="102" t="s">
        <v>44</v>
      </c>
      <c r="F872" s="33" t="str">
        <f>VLOOKUP(D872,'NO MODIFICAR'!F:H,3,0)</f>
        <v xml:space="preserve">CENTRO </v>
      </c>
      <c r="G872" s="28">
        <v>67367978</v>
      </c>
      <c r="H872" s="93" t="s">
        <v>559</v>
      </c>
      <c r="I872" s="94">
        <v>10001450</v>
      </c>
      <c r="J872" s="4" t="str">
        <f>VLOOKUP(I872,'Materiales,canteras'!C:D,2,0)</f>
        <v>Base Hidraúlica Basalto de 1 /1/2</v>
      </c>
      <c r="K872" s="25">
        <f>VLOOKUP(I872,'Materiales,canteras'!C:E,3,0)</f>
        <v>1.7490000000000001</v>
      </c>
      <c r="L872" s="105">
        <v>224.29</v>
      </c>
      <c r="M872" s="28" t="s">
        <v>93</v>
      </c>
      <c r="N872" s="57">
        <f t="shared" ca="1" si="177"/>
        <v>46267</v>
      </c>
      <c r="O872" s="43" t="s">
        <v>201</v>
      </c>
      <c r="R872">
        <v>4.29</v>
      </c>
      <c r="S872" s="82">
        <v>286</v>
      </c>
      <c r="T872" s="66">
        <f t="shared" si="171"/>
        <v>-57.419999999999987</v>
      </c>
      <c r="U872" s="46">
        <f t="shared" si="175"/>
        <v>224.29</v>
      </c>
      <c r="V872" s="82">
        <v>0</v>
      </c>
      <c r="W872" s="4">
        <v>2</v>
      </c>
      <c r="X872" s="195">
        <f t="shared" ref="X872:X877" si="184">U872+V872</f>
        <v>224.29</v>
      </c>
      <c r="Y872" s="29" t="e">
        <f>IF(+VLOOKUP(I872,P.Referencia!E:S,3,FALSE)&lt;=L872,"Champion","Gerente")</f>
        <v>#N/A</v>
      </c>
      <c r="Z872" s="39" t="e">
        <f>VLOOKUP(I872,P.Referencia!E:S,3,0)</f>
        <v>#N/A</v>
      </c>
      <c r="AA872" s="40" t="e">
        <f t="shared" ref="AA872:AA877" si="185">(Z872-U872)/U872</f>
        <v>#N/A</v>
      </c>
      <c r="AB872" s="41" t="e">
        <f t="shared" ref="AB872:AB877" si="186">U872*AA872</f>
        <v>#N/A</v>
      </c>
      <c r="AC872" s="41" t="e">
        <f t="shared" ref="AC872:AC877" si="187">U872+AB872</f>
        <v>#N/A</v>
      </c>
    </row>
    <row r="873" spans="1:30" hidden="1" x14ac:dyDescent="0.25">
      <c r="A873" s="24">
        <v>872</v>
      </c>
      <c r="B873" s="89" t="s">
        <v>505</v>
      </c>
      <c r="C873" s="4" t="str">
        <f t="shared" si="183"/>
        <v>LlaveD86165612044100024991</v>
      </c>
      <c r="D873" s="25" t="str">
        <f>VLOOKUP(E873,'NO MODIFICAR'!J:K,2,0)</f>
        <v>D861</v>
      </c>
      <c r="E873" s="102" t="s">
        <v>44</v>
      </c>
      <c r="F873" s="33" t="str">
        <f>VLOOKUP(D873,'NO MODIFICAR'!F:H,3,0)</f>
        <v xml:space="preserve">CENTRO </v>
      </c>
      <c r="G873" s="28">
        <v>65612044</v>
      </c>
      <c r="H873" s="93" t="s">
        <v>561</v>
      </c>
      <c r="I873" s="94">
        <v>10002499</v>
      </c>
      <c r="J873" s="4" t="str">
        <f>VLOOKUP(I873,'Materiales,canteras'!C:D,2,0)</f>
        <v>Arena Triturada Basalto Malla 4  -Mezcla</v>
      </c>
      <c r="K873" s="25">
        <f>VLOOKUP(I873,'Materiales,canteras'!C:E,3,0)</f>
        <v>1.6659999999999999</v>
      </c>
      <c r="L873" s="105">
        <v>184.56</v>
      </c>
      <c r="M873" s="28" t="s">
        <v>93</v>
      </c>
      <c r="N873" s="57">
        <f t="shared" ca="1" si="177"/>
        <v>46267</v>
      </c>
      <c r="O873" s="43" t="s">
        <v>201</v>
      </c>
      <c r="S873" s="82">
        <v>198</v>
      </c>
      <c r="T873" s="66">
        <f t="shared" si="171"/>
        <v>-13.439999999999998</v>
      </c>
      <c r="U873" s="46">
        <f t="shared" si="175"/>
        <v>184.56</v>
      </c>
      <c r="V873" s="82">
        <v>52</v>
      </c>
      <c r="W873" s="4">
        <v>1</v>
      </c>
      <c r="X873" s="195">
        <f t="shared" si="184"/>
        <v>236.56</v>
      </c>
      <c r="Y873" s="29" t="e">
        <f>IF(+VLOOKUP(I873,P.Referencia!E:S,3,FALSE)&lt;=L873,"Champion","Gerente")</f>
        <v>#N/A</v>
      </c>
      <c r="Z873" s="39" t="e">
        <f>VLOOKUP(I873,P.Referencia!E:S,3,0)</f>
        <v>#N/A</v>
      </c>
      <c r="AA873" s="40" t="e">
        <f t="shared" si="185"/>
        <v>#N/A</v>
      </c>
      <c r="AB873" s="41" t="e">
        <f t="shared" si="186"/>
        <v>#N/A</v>
      </c>
      <c r="AC873" s="41" t="e">
        <f t="shared" si="187"/>
        <v>#N/A</v>
      </c>
      <c r="AD873" t="s">
        <v>563</v>
      </c>
    </row>
    <row r="874" spans="1:30" hidden="1" x14ac:dyDescent="0.25">
      <c r="A874" s="24">
        <v>873</v>
      </c>
      <c r="B874" s="89" t="s">
        <v>505</v>
      </c>
      <c r="C874" s="4" t="str">
        <f t="shared" si="183"/>
        <v>LlaveD86167346311100024991</v>
      </c>
      <c r="D874" s="25" t="str">
        <f>VLOOKUP(E874,'NO MODIFICAR'!J:K,2,0)</f>
        <v>D861</v>
      </c>
      <c r="E874" s="102" t="s">
        <v>44</v>
      </c>
      <c r="F874" s="33" t="str">
        <f>VLOOKUP(D874,'NO MODIFICAR'!F:H,3,0)</f>
        <v xml:space="preserve">CENTRO </v>
      </c>
      <c r="G874" s="28">
        <v>67346311</v>
      </c>
      <c r="H874" s="93" t="s">
        <v>562</v>
      </c>
      <c r="I874" s="94">
        <v>10002499</v>
      </c>
      <c r="J874" s="4" t="str">
        <f>VLOOKUP(I874,'Materiales,canteras'!C:D,2,0)</f>
        <v>Arena Triturada Basalto Malla 4  -Mezcla</v>
      </c>
      <c r="K874" s="25">
        <f>VLOOKUP(I874,'Materiales,canteras'!C:E,3,0)</f>
        <v>1.6659999999999999</v>
      </c>
      <c r="L874" s="105">
        <v>184.56</v>
      </c>
      <c r="M874" s="28" t="s">
        <v>93</v>
      </c>
      <c r="N874" s="57">
        <f t="shared" ca="1" si="177"/>
        <v>46267</v>
      </c>
      <c r="O874" s="43" t="s">
        <v>201</v>
      </c>
      <c r="R874">
        <v>23.76</v>
      </c>
      <c r="S874" s="82">
        <v>198</v>
      </c>
      <c r="T874" s="66">
        <f t="shared" si="171"/>
        <v>10.319999999999993</v>
      </c>
      <c r="U874" s="46">
        <f t="shared" si="175"/>
        <v>184.56</v>
      </c>
      <c r="V874" s="82">
        <v>52</v>
      </c>
      <c r="W874" s="4">
        <v>1</v>
      </c>
      <c r="X874" s="195">
        <f t="shared" si="184"/>
        <v>236.56</v>
      </c>
      <c r="Y874" s="29" t="e">
        <f>IF(+VLOOKUP(I874,P.Referencia!E:S,3,FALSE)&lt;=L874,"Champion","Gerente")</f>
        <v>#N/A</v>
      </c>
      <c r="Z874" s="39" t="e">
        <f>VLOOKUP(I874,P.Referencia!E:S,3,0)</f>
        <v>#N/A</v>
      </c>
      <c r="AA874" s="40" t="e">
        <f t="shared" si="185"/>
        <v>#N/A</v>
      </c>
      <c r="AB874" s="41" t="e">
        <f t="shared" si="186"/>
        <v>#N/A</v>
      </c>
      <c r="AC874" s="41" t="e">
        <f t="shared" si="187"/>
        <v>#N/A</v>
      </c>
    </row>
    <row r="875" spans="1:30" hidden="1" x14ac:dyDescent="0.25">
      <c r="A875" s="24">
        <v>874</v>
      </c>
      <c r="B875" s="89" t="s">
        <v>505</v>
      </c>
      <c r="C875" s="4" t="str">
        <f t="shared" si="183"/>
        <v>LlaveD86166913819100002312</v>
      </c>
      <c r="D875" s="25" t="str">
        <f>VLOOKUP(E875,'NO MODIFICAR'!J:K,2,0)</f>
        <v>D861</v>
      </c>
      <c r="E875" s="102" t="s">
        <v>44</v>
      </c>
      <c r="F875" s="33" t="str">
        <f>VLOOKUP(D875,'NO MODIFICAR'!F:H,3,0)</f>
        <v xml:space="preserve">CENTRO </v>
      </c>
      <c r="G875" s="28">
        <v>66913819</v>
      </c>
      <c r="H875" s="93" t="s">
        <v>211</v>
      </c>
      <c r="I875" s="94">
        <v>10000231</v>
      </c>
      <c r="J875" s="4" t="str">
        <f>VLOOKUP(I875,'Materiales,canteras'!C:D,2,0)</f>
        <v>Grava Triturada Basalto 20 mm</v>
      </c>
      <c r="K875" s="25">
        <f>VLOOKUP(I875,'Materiales,canteras'!C:E,3,0)</f>
        <v>1.5649999999999999</v>
      </c>
      <c r="L875" s="105">
        <v>212</v>
      </c>
      <c r="M875" s="28" t="s">
        <v>93</v>
      </c>
      <c r="N875" s="57">
        <f t="shared" ca="1" si="177"/>
        <v>46267</v>
      </c>
      <c r="O875" s="43" t="s">
        <v>201</v>
      </c>
      <c r="S875" s="82">
        <v>308</v>
      </c>
      <c r="T875" s="66">
        <f t="shared" si="171"/>
        <v>-96</v>
      </c>
      <c r="U875" s="46">
        <f t="shared" si="175"/>
        <v>212</v>
      </c>
      <c r="V875" s="82">
        <v>0</v>
      </c>
      <c r="W875" s="4">
        <v>2</v>
      </c>
      <c r="X875" s="195">
        <f t="shared" si="184"/>
        <v>212</v>
      </c>
      <c r="Y875" s="29" t="e">
        <f>IF(+VLOOKUP(I875,P.Referencia!E:S,3,FALSE)&lt;=L875,"Champion","Gerente")</f>
        <v>#N/A</v>
      </c>
      <c r="Z875" s="39" t="e">
        <f>VLOOKUP(I875,P.Referencia!E:S,3,0)</f>
        <v>#N/A</v>
      </c>
      <c r="AA875" s="40" t="e">
        <f t="shared" si="185"/>
        <v>#N/A</v>
      </c>
      <c r="AB875" s="41" t="e">
        <f t="shared" si="186"/>
        <v>#N/A</v>
      </c>
      <c r="AC875" s="41" t="e">
        <f t="shared" si="187"/>
        <v>#N/A</v>
      </c>
      <c r="AD875" t="s">
        <v>564</v>
      </c>
    </row>
    <row r="876" spans="1:30" hidden="1" x14ac:dyDescent="0.25">
      <c r="A876" s="24">
        <v>875</v>
      </c>
      <c r="B876" s="89" t="s">
        <v>505</v>
      </c>
      <c r="C876" s="4" t="str">
        <f t="shared" ref="C876:C933" si="188">_xlfn.CONCAT($C$1,D876,G876,I876,W876)</f>
        <v>LlaveD86166913897100002312</v>
      </c>
      <c r="D876" s="25" t="str">
        <f>VLOOKUP(E876,'NO MODIFICAR'!J:K,2,0)</f>
        <v>D861</v>
      </c>
      <c r="E876" s="102" t="s">
        <v>44</v>
      </c>
      <c r="F876" s="33" t="str">
        <f>VLOOKUP(D876,'NO MODIFICAR'!F:H,3,0)</f>
        <v xml:space="preserve">CENTRO </v>
      </c>
      <c r="G876" s="28">
        <v>66913897</v>
      </c>
      <c r="H876" s="93" t="s">
        <v>212</v>
      </c>
      <c r="I876" s="94">
        <v>10000231</v>
      </c>
      <c r="J876" s="4" t="str">
        <f>VLOOKUP(I876,'Materiales,canteras'!C:D,2,0)</f>
        <v>Grava Triturada Basalto 20 mm</v>
      </c>
      <c r="K876" s="25">
        <f>VLOOKUP(I876,'Materiales,canteras'!C:E,3,0)</f>
        <v>1.5649999999999999</v>
      </c>
      <c r="L876" s="105">
        <v>212</v>
      </c>
      <c r="M876" s="28" t="s">
        <v>93</v>
      </c>
      <c r="N876" s="57">
        <f t="shared" ca="1" si="177"/>
        <v>46267</v>
      </c>
      <c r="O876" s="43" t="s">
        <v>201</v>
      </c>
      <c r="S876" s="82">
        <v>308</v>
      </c>
      <c r="T876" s="66">
        <f t="shared" si="171"/>
        <v>-96</v>
      </c>
      <c r="U876" s="46">
        <f t="shared" si="175"/>
        <v>212</v>
      </c>
      <c r="V876" s="82">
        <v>0</v>
      </c>
      <c r="W876" s="4">
        <v>2</v>
      </c>
      <c r="X876" s="195">
        <f t="shared" si="184"/>
        <v>212</v>
      </c>
      <c r="Y876" s="29" t="e">
        <f>IF(+VLOOKUP(I876,P.Referencia!E:S,3,FALSE)&lt;=L876,"Champion","Gerente")</f>
        <v>#N/A</v>
      </c>
      <c r="Z876" s="39" t="e">
        <f>VLOOKUP(I876,P.Referencia!E:S,3,0)</f>
        <v>#N/A</v>
      </c>
      <c r="AA876" s="40" t="e">
        <f t="shared" si="185"/>
        <v>#N/A</v>
      </c>
      <c r="AB876" s="41" t="e">
        <f t="shared" si="186"/>
        <v>#N/A</v>
      </c>
      <c r="AC876" s="41" t="e">
        <f t="shared" si="187"/>
        <v>#N/A</v>
      </c>
      <c r="AD876" t="s">
        <v>564</v>
      </c>
    </row>
    <row r="877" spans="1:30" hidden="1" x14ac:dyDescent="0.25">
      <c r="A877" s="24">
        <v>876</v>
      </c>
      <c r="B877" s="89" t="s">
        <v>505</v>
      </c>
      <c r="C877" s="4" t="str">
        <f t="shared" si="188"/>
        <v>LlaveD86166936788100002312</v>
      </c>
      <c r="D877" s="25" t="str">
        <f>VLOOKUP(E877,'NO MODIFICAR'!J:K,2,0)</f>
        <v>D861</v>
      </c>
      <c r="E877" s="102" t="s">
        <v>44</v>
      </c>
      <c r="F877" s="33" t="str">
        <f>VLOOKUP(D877,'NO MODIFICAR'!F:H,3,0)</f>
        <v xml:space="preserve">CENTRO </v>
      </c>
      <c r="G877" s="28">
        <v>66936788</v>
      </c>
      <c r="H877" s="93" t="s">
        <v>213</v>
      </c>
      <c r="I877" s="94">
        <v>10000231</v>
      </c>
      <c r="J877" s="4" t="str">
        <f>VLOOKUP(I877,'Materiales,canteras'!C:D,2,0)</f>
        <v>Grava Triturada Basalto 20 mm</v>
      </c>
      <c r="K877" s="25">
        <f>VLOOKUP(I877,'Materiales,canteras'!C:E,3,0)</f>
        <v>1.5649999999999999</v>
      </c>
      <c r="L877" s="105">
        <v>212</v>
      </c>
      <c r="M877" s="28" t="s">
        <v>93</v>
      </c>
      <c r="N877" s="57">
        <f t="shared" ca="1" si="177"/>
        <v>46267</v>
      </c>
      <c r="O877" s="43" t="s">
        <v>201</v>
      </c>
      <c r="S877" s="82">
        <v>308</v>
      </c>
      <c r="T877" s="66">
        <f t="shared" si="171"/>
        <v>-96</v>
      </c>
      <c r="U877" s="46">
        <f t="shared" si="175"/>
        <v>212</v>
      </c>
      <c r="V877" s="82">
        <v>0</v>
      </c>
      <c r="W877" s="4">
        <v>2</v>
      </c>
      <c r="X877" s="195">
        <f t="shared" si="184"/>
        <v>212</v>
      </c>
      <c r="Y877" s="29" t="e">
        <f>IF(+VLOOKUP(I877,P.Referencia!E:S,3,FALSE)&lt;=L877,"Champion","Gerente")</f>
        <v>#N/A</v>
      </c>
      <c r="Z877" s="39" t="e">
        <f>VLOOKUP(I877,P.Referencia!E:S,3,0)</f>
        <v>#N/A</v>
      </c>
      <c r="AA877" s="40" t="e">
        <f t="shared" si="185"/>
        <v>#N/A</v>
      </c>
      <c r="AB877" s="41" t="e">
        <f t="shared" si="186"/>
        <v>#N/A</v>
      </c>
      <c r="AC877" s="41" t="e">
        <f t="shared" si="187"/>
        <v>#N/A</v>
      </c>
      <c r="AD877" t="s">
        <v>564</v>
      </c>
    </row>
    <row r="878" spans="1:30" hidden="1" x14ac:dyDescent="0.25">
      <c r="A878" s="24">
        <v>877</v>
      </c>
      <c r="B878" s="89" t="s">
        <v>505</v>
      </c>
      <c r="C878" s="4" t="str">
        <f t="shared" si="188"/>
        <v>LlaveD86166932813100002312</v>
      </c>
      <c r="D878" s="25" t="str">
        <f>VLOOKUP(E878,'NO MODIFICAR'!J:K,2,0)</f>
        <v>D861</v>
      </c>
      <c r="E878" s="102" t="s">
        <v>44</v>
      </c>
      <c r="F878" s="33" t="str">
        <f>VLOOKUP(D878,'NO MODIFICAR'!F:H,3,0)</f>
        <v xml:space="preserve">CENTRO </v>
      </c>
      <c r="G878" s="28">
        <v>66932813</v>
      </c>
      <c r="H878" s="93" t="s">
        <v>214</v>
      </c>
      <c r="I878" s="94">
        <v>10000231</v>
      </c>
      <c r="J878" s="4" t="str">
        <f>VLOOKUP(I878,'Materiales,canteras'!C:D,2,0)</f>
        <v>Grava Triturada Basalto 20 mm</v>
      </c>
      <c r="K878" s="25">
        <f>VLOOKUP(I878,'Materiales,canteras'!C:E,3,0)</f>
        <v>1.5649999999999999</v>
      </c>
      <c r="L878" s="105">
        <v>212</v>
      </c>
      <c r="M878" s="28" t="s">
        <v>93</v>
      </c>
      <c r="N878" s="57">
        <f t="shared" ca="1" si="177"/>
        <v>46267</v>
      </c>
      <c r="O878" s="43" t="s">
        <v>201</v>
      </c>
      <c r="R878">
        <v>12.32</v>
      </c>
      <c r="S878" s="82">
        <v>308</v>
      </c>
      <c r="T878" s="66">
        <f t="shared" si="171"/>
        <v>-83.68</v>
      </c>
      <c r="U878" s="46">
        <f t="shared" si="175"/>
        <v>212</v>
      </c>
      <c r="V878" s="82">
        <v>0</v>
      </c>
      <c r="W878" s="4">
        <v>2</v>
      </c>
      <c r="X878" s="195">
        <f t="shared" ref="X878:X932" si="189">U878+V878</f>
        <v>212</v>
      </c>
      <c r="Y878" s="29" t="e">
        <f>IF(+VLOOKUP(I878,P.Referencia!E:S,3,FALSE)&lt;=L878,"Champion","Gerente")</f>
        <v>#N/A</v>
      </c>
      <c r="Z878" s="39" t="e">
        <f>VLOOKUP(I878,P.Referencia!E:S,3,0)</f>
        <v>#N/A</v>
      </c>
      <c r="AA878" s="40" t="e">
        <f t="shared" ref="AA878:AA896" si="190">(Z878-U878)/U878</f>
        <v>#N/A</v>
      </c>
      <c r="AB878" s="41" t="e">
        <f t="shared" ref="AB878:AB896" si="191">U878*AA878</f>
        <v>#N/A</v>
      </c>
      <c r="AC878" s="41" t="e">
        <f t="shared" ref="AC878:AC896" si="192">U878+AB878</f>
        <v>#N/A</v>
      </c>
      <c r="AD878" t="s">
        <v>564</v>
      </c>
    </row>
    <row r="879" spans="1:30" hidden="1" x14ac:dyDescent="0.25">
      <c r="A879" s="24">
        <v>878</v>
      </c>
      <c r="B879" s="89" t="s">
        <v>505</v>
      </c>
      <c r="C879" s="4" t="str">
        <f t="shared" si="188"/>
        <v>LlaveD86167082802100002312</v>
      </c>
      <c r="D879" s="25" t="str">
        <f>VLOOKUP(E879,'NO MODIFICAR'!J:K,2,0)</f>
        <v>D861</v>
      </c>
      <c r="E879" s="102" t="s">
        <v>44</v>
      </c>
      <c r="F879" s="33" t="str">
        <f>VLOOKUP(D879,'NO MODIFICAR'!F:H,3,0)</f>
        <v xml:space="preserve">CENTRO </v>
      </c>
      <c r="G879" s="28">
        <v>67082802</v>
      </c>
      <c r="H879" s="93" t="s">
        <v>265</v>
      </c>
      <c r="I879" s="94">
        <v>10000231</v>
      </c>
      <c r="J879" s="4" t="str">
        <f>VLOOKUP(I879,'Materiales,canteras'!C:D,2,0)</f>
        <v>Grava Triturada Basalto 20 mm</v>
      </c>
      <c r="K879" s="25">
        <f>VLOOKUP(I879,'Materiales,canteras'!C:E,3,0)</f>
        <v>1.5649999999999999</v>
      </c>
      <c r="L879" s="105">
        <v>212</v>
      </c>
      <c r="M879" s="28" t="s">
        <v>93</v>
      </c>
      <c r="N879" s="57">
        <f t="shared" ca="1" si="177"/>
        <v>46267</v>
      </c>
      <c r="O879" s="43" t="s">
        <v>201</v>
      </c>
      <c r="R879">
        <v>4.62</v>
      </c>
      <c r="S879" s="82">
        <v>308</v>
      </c>
      <c r="T879" s="66">
        <f t="shared" si="171"/>
        <v>-91.38</v>
      </c>
      <c r="U879" s="46">
        <f t="shared" si="175"/>
        <v>212</v>
      </c>
      <c r="V879" s="82">
        <v>0</v>
      </c>
      <c r="W879" s="4">
        <v>2</v>
      </c>
      <c r="X879" s="195">
        <f t="shared" si="189"/>
        <v>212</v>
      </c>
      <c r="Y879" s="29" t="e">
        <f>IF(+VLOOKUP(I879,P.Referencia!E:S,3,FALSE)&lt;=L879,"Champion","Gerente")</f>
        <v>#N/A</v>
      </c>
      <c r="Z879" s="39" t="e">
        <f>VLOOKUP(I879,P.Referencia!E:S,3,0)</f>
        <v>#N/A</v>
      </c>
      <c r="AA879" s="40" t="e">
        <f t="shared" si="190"/>
        <v>#N/A</v>
      </c>
      <c r="AB879" s="41" t="e">
        <f t="shared" si="191"/>
        <v>#N/A</v>
      </c>
      <c r="AC879" s="41" t="e">
        <f t="shared" si="192"/>
        <v>#N/A</v>
      </c>
      <c r="AD879" t="s">
        <v>564</v>
      </c>
    </row>
    <row r="880" spans="1:30" hidden="1" x14ac:dyDescent="0.25">
      <c r="A880" s="24">
        <v>879</v>
      </c>
      <c r="B880" s="89" t="s">
        <v>566</v>
      </c>
      <c r="C880" s="4" t="str">
        <f t="shared" si="188"/>
        <v>LlaveD81667318318100002621</v>
      </c>
      <c r="D880" s="25" t="str">
        <f>VLOOKUP(E880,'NO MODIFICAR'!J:K,2,0)</f>
        <v>D816</v>
      </c>
      <c r="E880" s="102" t="s">
        <v>15</v>
      </c>
      <c r="F880" s="33" t="str">
        <f>VLOOKUP(D880,'NO MODIFICAR'!F:H,3,0)</f>
        <v>NORESTE</v>
      </c>
      <c r="G880" s="28">
        <v>67318318</v>
      </c>
      <c r="H880" s="93" t="s">
        <v>565</v>
      </c>
      <c r="I880" s="94">
        <v>10000262</v>
      </c>
      <c r="J880" s="4" t="str">
        <f>VLOOKUP(I880,'Materiales,canteras'!C:D,2,0)</f>
        <v>Base H Triturada Caliza 1 1/2"</v>
      </c>
      <c r="K880" s="25">
        <f>VLOOKUP(I880,'Materiales,canteras'!C:E,3,0)</f>
        <v>1.821</v>
      </c>
      <c r="L880" s="105">
        <v>300.49</v>
      </c>
      <c r="M880" s="28" t="s">
        <v>93</v>
      </c>
      <c r="N880" s="57">
        <f t="shared" ca="1" si="177"/>
        <v>46267</v>
      </c>
      <c r="O880" s="43" t="s">
        <v>201</v>
      </c>
      <c r="S880" s="82">
        <v>357</v>
      </c>
      <c r="T880" s="66">
        <f t="shared" ref="T880:T943" si="193">L880-((S880-P880)-(Q880)-(R880))</f>
        <v>-56.509999999999991</v>
      </c>
      <c r="U880" s="46">
        <f t="shared" si="175"/>
        <v>300.49</v>
      </c>
      <c r="V880" s="82">
        <v>118.51</v>
      </c>
      <c r="W880" s="4">
        <v>1</v>
      </c>
      <c r="X880" s="195">
        <f t="shared" si="189"/>
        <v>419</v>
      </c>
      <c r="Y880" s="29" t="e">
        <f>IF(+VLOOKUP(I880,P.Referencia!E:S,3,FALSE)&lt;=L880,"Champion","Gerente")</f>
        <v>#N/A</v>
      </c>
      <c r="Z880" s="39" t="e">
        <f>VLOOKUP(I880,P.Referencia!E:S,3,0)</f>
        <v>#N/A</v>
      </c>
      <c r="AA880" s="40" t="e">
        <f t="shared" si="190"/>
        <v>#N/A</v>
      </c>
      <c r="AB880" s="41" t="e">
        <f t="shared" si="191"/>
        <v>#N/A</v>
      </c>
      <c r="AC880" s="41" t="e">
        <f t="shared" si="192"/>
        <v>#N/A</v>
      </c>
    </row>
    <row r="881" spans="1:29" hidden="1" x14ac:dyDescent="0.25">
      <c r="A881" s="24">
        <v>880</v>
      </c>
      <c r="B881" s="89" t="s">
        <v>566</v>
      </c>
      <c r="C881" s="4" t="str">
        <f t="shared" si="188"/>
        <v>LlaveD81667318318100364881</v>
      </c>
      <c r="D881" s="25" t="str">
        <f>VLOOKUP(E881,'NO MODIFICAR'!J:K,2,0)</f>
        <v>D816</v>
      </c>
      <c r="E881" s="102" t="s">
        <v>15</v>
      </c>
      <c r="F881" s="33" t="str">
        <f>VLOOKUP(D881,'NO MODIFICAR'!F:H,3,0)</f>
        <v>NORESTE</v>
      </c>
      <c r="G881" s="28">
        <v>67318318</v>
      </c>
      <c r="H881" s="93" t="s">
        <v>565</v>
      </c>
      <c r="I881" s="94">
        <v>10036488</v>
      </c>
      <c r="J881" s="4" t="str">
        <f>VLOOKUP(I881,'Materiales,canteras'!C:D,2,0)</f>
        <v>Base H Trit Caliza 3/4" a Fino</v>
      </c>
      <c r="K881" s="25">
        <f>VLOOKUP(I881,'Materiales,canteras'!C:E,3,0)</f>
        <v>1.78</v>
      </c>
      <c r="L881" s="105">
        <v>300.49</v>
      </c>
      <c r="M881" s="28" t="s">
        <v>93</v>
      </c>
      <c r="N881" s="57">
        <f t="shared" ca="1" si="177"/>
        <v>46267</v>
      </c>
      <c r="O881" s="43" t="s">
        <v>201</v>
      </c>
      <c r="S881" s="82">
        <v>357</v>
      </c>
      <c r="T881" s="66">
        <f t="shared" si="193"/>
        <v>-56.509999999999991</v>
      </c>
      <c r="U881" s="46">
        <f t="shared" si="175"/>
        <v>300.49</v>
      </c>
      <c r="V881" s="82">
        <v>118.51</v>
      </c>
      <c r="W881" s="4">
        <v>1</v>
      </c>
      <c r="X881" s="195">
        <f t="shared" si="189"/>
        <v>419</v>
      </c>
      <c r="Y881" s="29" t="e">
        <f>IF(+VLOOKUP(I881,P.Referencia!E:S,3,FALSE)&lt;=L881,"Champion","Gerente")</f>
        <v>#N/A</v>
      </c>
      <c r="Z881" s="39" t="e">
        <f>VLOOKUP(I881,P.Referencia!E:S,3,0)</f>
        <v>#N/A</v>
      </c>
      <c r="AA881" s="40" t="e">
        <f t="shared" si="190"/>
        <v>#N/A</v>
      </c>
      <c r="AB881" s="41" t="e">
        <f t="shared" si="191"/>
        <v>#N/A</v>
      </c>
      <c r="AC881" s="41" t="e">
        <f t="shared" si="192"/>
        <v>#N/A</v>
      </c>
    </row>
    <row r="882" spans="1:29" hidden="1" x14ac:dyDescent="0.25">
      <c r="A882" s="24">
        <v>881</v>
      </c>
      <c r="B882" s="89" t="s">
        <v>566</v>
      </c>
      <c r="C882" s="4" t="str">
        <f t="shared" si="188"/>
        <v>LlaveD89367298855100512952</v>
      </c>
      <c r="D882" s="25" t="str">
        <f>VLOOKUP(E882,'NO MODIFICAR'!J:K,2,0)</f>
        <v>D893</v>
      </c>
      <c r="E882" s="102" t="s">
        <v>253</v>
      </c>
      <c r="F882" s="33" t="str">
        <f>VLOOKUP(D882,'NO MODIFICAR'!F:H,3,0)</f>
        <v>NORESTE</v>
      </c>
      <c r="G882" s="28" t="s">
        <v>567</v>
      </c>
      <c r="H882" s="93" t="s">
        <v>568</v>
      </c>
      <c r="I882" s="94">
        <v>10051295</v>
      </c>
      <c r="J882" s="4" t="str">
        <f>VLOOKUP(I882,'Materiales,canteras'!C:D,2,0)</f>
        <v>Grava Triturada Basalto 10 mm</v>
      </c>
      <c r="K882" s="25">
        <f>VLOOKUP(I882,'Materiales,canteras'!C:E,3,0)</f>
        <v>1.2529999999999999</v>
      </c>
      <c r="L882" s="105">
        <v>325</v>
      </c>
      <c r="M882" s="28" t="s">
        <v>93</v>
      </c>
      <c r="N882" s="57">
        <f t="shared" ca="1" si="177"/>
        <v>46267</v>
      </c>
      <c r="O882" s="43" t="s">
        <v>201</v>
      </c>
      <c r="S882" s="82">
        <v>395</v>
      </c>
      <c r="T882" s="66">
        <f t="shared" si="193"/>
        <v>-70</v>
      </c>
      <c r="U882" s="46">
        <f t="shared" si="175"/>
        <v>325</v>
      </c>
      <c r="V882" s="82">
        <v>0</v>
      </c>
      <c r="W882" s="4">
        <v>2</v>
      </c>
      <c r="X882" s="195">
        <f t="shared" si="189"/>
        <v>325</v>
      </c>
      <c r="Y882" s="29" t="e">
        <f>IF(+VLOOKUP(I882,P.Referencia!E:S,3,FALSE)&lt;=L882,"Champion","Gerente")</f>
        <v>#N/A</v>
      </c>
      <c r="Z882" s="39" t="e">
        <f>VLOOKUP(I882,P.Referencia!E:S,3,0)</f>
        <v>#N/A</v>
      </c>
      <c r="AA882" s="40" t="e">
        <f t="shared" si="190"/>
        <v>#N/A</v>
      </c>
      <c r="AB882" s="41" t="e">
        <f t="shared" si="191"/>
        <v>#N/A</v>
      </c>
      <c r="AC882" s="41" t="e">
        <f t="shared" si="192"/>
        <v>#N/A</v>
      </c>
    </row>
    <row r="883" spans="1:29" hidden="1" x14ac:dyDescent="0.25">
      <c r="A883" s="24">
        <v>882</v>
      </c>
      <c r="B883" s="89" t="s">
        <v>566</v>
      </c>
      <c r="C883" s="4" t="str">
        <f t="shared" si="188"/>
        <v>LlaveD86165164446100014502</v>
      </c>
      <c r="D883" s="25" t="str">
        <f>VLOOKUP(E883,'NO MODIFICAR'!J:K,2,0)</f>
        <v>D861</v>
      </c>
      <c r="E883" s="102" t="s">
        <v>44</v>
      </c>
      <c r="F883" s="33" t="str">
        <f>VLOOKUP(D883,'NO MODIFICAR'!F:H,3,0)</f>
        <v xml:space="preserve">CENTRO </v>
      </c>
      <c r="G883" s="28">
        <v>65164446</v>
      </c>
      <c r="H883" s="93" t="s">
        <v>569</v>
      </c>
      <c r="I883" s="94">
        <v>10001450</v>
      </c>
      <c r="J883" s="4" t="str">
        <f>VLOOKUP(I883,'Materiales,canteras'!C:D,2,0)</f>
        <v>Base Hidraúlica Basalto de 1 /1/2</v>
      </c>
      <c r="K883" s="25">
        <f>VLOOKUP(I883,'Materiales,canteras'!C:E,3,0)</f>
        <v>1.7490000000000001</v>
      </c>
      <c r="L883" s="105">
        <v>215</v>
      </c>
      <c r="M883" s="28" t="s">
        <v>93</v>
      </c>
      <c r="N883" s="57">
        <f t="shared" ca="1" si="177"/>
        <v>46267</v>
      </c>
      <c r="O883" s="43" t="s">
        <v>201</v>
      </c>
      <c r="R883">
        <v>4.29</v>
      </c>
      <c r="S883" s="82">
        <v>286</v>
      </c>
      <c r="T883" s="66">
        <f t="shared" si="193"/>
        <v>-66.70999999999998</v>
      </c>
      <c r="U883" s="46">
        <f t="shared" si="175"/>
        <v>215</v>
      </c>
      <c r="V883" s="82">
        <v>0</v>
      </c>
      <c r="W883" s="4">
        <v>2</v>
      </c>
      <c r="X883" s="195">
        <f t="shared" si="189"/>
        <v>215</v>
      </c>
      <c r="Y883" s="29" t="e">
        <f>IF(+VLOOKUP(I883,P.Referencia!E:S,3,FALSE)&lt;=L883,"Champion","Gerente")</f>
        <v>#N/A</v>
      </c>
      <c r="Z883" s="39" t="e">
        <f>VLOOKUP(I883,P.Referencia!E:S,3,0)</f>
        <v>#N/A</v>
      </c>
      <c r="AA883" s="40" t="e">
        <f t="shared" si="190"/>
        <v>#N/A</v>
      </c>
      <c r="AB883" s="41" t="e">
        <f t="shared" si="191"/>
        <v>#N/A</v>
      </c>
      <c r="AC883" s="41" t="e">
        <f t="shared" si="192"/>
        <v>#N/A</v>
      </c>
    </row>
    <row r="884" spans="1:29" hidden="1" x14ac:dyDescent="0.25">
      <c r="A884" s="24">
        <v>883</v>
      </c>
      <c r="B884" s="89" t="s">
        <v>571</v>
      </c>
      <c r="C884" s="4" t="str">
        <f t="shared" si="188"/>
        <v>LlaveD86365025949100389502</v>
      </c>
      <c r="D884" s="25" t="str">
        <f>VLOOKUP(E884,'NO MODIFICAR'!J:K,2,0)</f>
        <v>D863</v>
      </c>
      <c r="E884" s="102" t="s">
        <v>53</v>
      </c>
      <c r="F884" s="33" t="str">
        <f>VLOOKUP(D884,'NO MODIFICAR'!F:H,3,0)</f>
        <v>NORESTE</v>
      </c>
      <c r="G884" s="28">
        <v>65025949</v>
      </c>
      <c r="H884" s="93" t="s">
        <v>570</v>
      </c>
      <c r="I884" s="94">
        <v>10038950</v>
      </c>
      <c r="J884" s="4" t="str">
        <f>VLOOKUP(I884,'Materiales,canteras'!C:D,2,0)</f>
        <v>Grava Triturada Caliza 20 mm -</v>
      </c>
      <c r="K884" s="25">
        <f>VLOOKUP(I884,'Materiales,canteras'!C:E,3,0)</f>
        <v>1.474</v>
      </c>
      <c r="L884" s="105">
        <v>172.35</v>
      </c>
      <c r="M884" s="28" t="s">
        <v>93</v>
      </c>
      <c r="N884" s="57">
        <f t="shared" ca="1" si="177"/>
        <v>46267</v>
      </c>
      <c r="O884" s="43" t="s">
        <v>201</v>
      </c>
      <c r="R884">
        <v>10.65</v>
      </c>
      <c r="S884" s="82">
        <v>213</v>
      </c>
      <c r="T884" s="66">
        <f t="shared" si="193"/>
        <v>-30</v>
      </c>
      <c r="U884" s="46">
        <f t="shared" si="175"/>
        <v>172.35</v>
      </c>
      <c r="V884" s="82">
        <v>0</v>
      </c>
      <c r="W884" s="4">
        <v>2</v>
      </c>
      <c r="X884" s="195">
        <f t="shared" si="189"/>
        <v>172.35</v>
      </c>
      <c r="Y884" s="29" t="e">
        <f>IF(+VLOOKUP(I884,P.Referencia!E:S,3,FALSE)&lt;=L884,"Champion","Gerente")</f>
        <v>#N/A</v>
      </c>
      <c r="Z884" s="39" t="e">
        <f>VLOOKUP(I884,P.Referencia!E:S,3,0)</f>
        <v>#N/A</v>
      </c>
      <c r="AA884" s="40" t="e">
        <f t="shared" si="190"/>
        <v>#N/A</v>
      </c>
      <c r="AB884" s="41" t="e">
        <f t="shared" si="191"/>
        <v>#N/A</v>
      </c>
      <c r="AC884" s="41" t="e">
        <f t="shared" si="192"/>
        <v>#N/A</v>
      </c>
    </row>
    <row r="885" spans="1:29" hidden="1" x14ac:dyDescent="0.25">
      <c r="A885" s="24">
        <v>884</v>
      </c>
      <c r="B885" s="89" t="s">
        <v>571</v>
      </c>
      <c r="C885" s="4" t="str">
        <f t="shared" si="188"/>
        <v>LlaveD86365025949100389522</v>
      </c>
      <c r="D885" s="25" t="str">
        <f>VLOOKUP(E885,'NO MODIFICAR'!J:K,2,0)</f>
        <v>D863</v>
      </c>
      <c r="E885" s="102" t="s">
        <v>53</v>
      </c>
      <c r="F885" s="33" t="str">
        <f>VLOOKUP(D885,'NO MODIFICAR'!F:H,3,0)</f>
        <v>NORESTE</v>
      </c>
      <c r="G885" s="28">
        <v>65025949</v>
      </c>
      <c r="H885" s="93" t="s">
        <v>570</v>
      </c>
      <c r="I885" s="94">
        <v>10038952</v>
      </c>
      <c r="J885" s="4" t="str">
        <f>VLOOKUP(I885,'Materiales,canteras'!C:D,2,0)</f>
        <v>Arena Triturada Caliza Malla 4</v>
      </c>
      <c r="K885" s="25">
        <f>VLOOKUP(I885,'Materiales,canteras'!C:E,3,0)</f>
        <v>1.6</v>
      </c>
      <c r="L885" s="105">
        <v>172.35</v>
      </c>
      <c r="M885" s="28" t="s">
        <v>93</v>
      </c>
      <c r="N885" s="57">
        <f t="shared" ca="1" si="177"/>
        <v>46267</v>
      </c>
      <c r="O885" s="43" t="s">
        <v>201</v>
      </c>
      <c r="R885">
        <v>9.8000000000000007</v>
      </c>
      <c r="S885" s="82">
        <v>196</v>
      </c>
      <c r="T885" s="66">
        <f t="shared" si="193"/>
        <v>-13.849999999999994</v>
      </c>
      <c r="U885" s="46">
        <f t="shared" si="175"/>
        <v>172.35</v>
      </c>
      <c r="V885" s="82">
        <v>0</v>
      </c>
      <c r="W885" s="4">
        <v>2</v>
      </c>
      <c r="X885" s="195">
        <f t="shared" si="189"/>
        <v>172.35</v>
      </c>
      <c r="Y885" s="29" t="e">
        <f>IF(+VLOOKUP(I885,P.Referencia!E:S,3,FALSE)&lt;=L885,"Champion","Gerente")</f>
        <v>#N/A</v>
      </c>
      <c r="Z885" s="39" t="e">
        <f>VLOOKUP(I885,P.Referencia!E:S,3,0)</f>
        <v>#N/A</v>
      </c>
      <c r="AA885" s="40" t="e">
        <f t="shared" si="190"/>
        <v>#N/A</v>
      </c>
      <c r="AB885" s="41" t="e">
        <f t="shared" si="191"/>
        <v>#N/A</v>
      </c>
      <c r="AC885" s="41" t="e">
        <f t="shared" si="192"/>
        <v>#N/A</v>
      </c>
    </row>
    <row r="886" spans="1:29" hidden="1" x14ac:dyDescent="0.25">
      <c r="A886" s="24">
        <v>885</v>
      </c>
      <c r="B886" s="89" t="s">
        <v>571</v>
      </c>
      <c r="C886" s="4" t="str">
        <f t="shared" si="188"/>
        <v>LlaveD86365025949100496722</v>
      </c>
      <c r="D886" s="25" t="str">
        <f>VLOOKUP(E886,'NO MODIFICAR'!J:K,2,0)</f>
        <v>D863</v>
      </c>
      <c r="E886" s="102" t="s">
        <v>53</v>
      </c>
      <c r="F886" s="33" t="str">
        <f>VLOOKUP(D886,'NO MODIFICAR'!F:H,3,0)</f>
        <v>NORESTE</v>
      </c>
      <c r="G886" s="28">
        <v>65025949</v>
      </c>
      <c r="H886" s="93" t="s">
        <v>570</v>
      </c>
      <c r="I886" s="94">
        <v>10049672</v>
      </c>
      <c r="J886" s="4" t="str">
        <f>VLOOKUP(I886,'Materiales,canteras'!C:D,2,0)</f>
        <v>Grava Triturada Caliza 40- 4mm</v>
      </c>
      <c r="K886" s="25">
        <f>VLOOKUP(I886,'Materiales,canteras'!C:E,3,0)</f>
        <v>1.625</v>
      </c>
      <c r="L886" s="105">
        <v>134.38</v>
      </c>
      <c r="M886" s="28" t="s">
        <v>93</v>
      </c>
      <c r="N886" s="57">
        <f t="shared" ca="1" si="177"/>
        <v>46267</v>
      </c>
      <c r="O886" s="43" t="s">
        <v>201</v>
      </c>
      <c r="R886">
        <v>9.1999999999999993</v>
      </c>
      <c r="S886" s="82">
        <v>184</v>
      </c>
      <c r="T886" s="66">
        <f t="shared" si="193"/>
        <v>-40.420000000000016</v>
      </c>
      <c r="U886" s="46">
        <f t="shared" si="175"/>
        <v>134.38</v>
      </c>
      <c r="V886" s="82">
        <v>0</v>
      </c>
      <c r="W886" s="4">
        <v>2</v>
      </c>
      <c r="X886" s="195">
        <f t="shared" si="189"/>
        <v>134.38</v>
      </c>
      <c r="Y886" s="29" t="e">
        <f>IF(+VLOOKUP(I886,P.Referencia!E:S,3,FALSE)&lt;=L886,"Champion","Gerente")</f>
        <v>#N/A</v>
      </c>
      <c r="Z886" s="39" t="e">
        <f>VLOOKUP(I886,P.Referencia!E:S,3,0)</f>
        <v>#N/A</v>
      </c>
      <c r="AA886" s="40" t="e">
        <f t="shared" si="190"/>
        <v>#N/A</v>
      </c>
      <c r="AB886" s="41" t="e">
        <f t="shared" si="191"/>
        <v>#N/A</v>
      </c>
      <c r="AC886" s="41" t="e">
        <f t="shared" si="192"/>
        <v>#N/A</v>
      </c>
    </row>
    <row r="887" spans="1:29" hidden="1" x14ac:dyDescent="0.25">
      <c r="A887" s="24">
        <v>886</v>
      </c>
      <c r="B887" s="89" t="s">
        <v>571</v>
      </c>
      <c r="C887" s="4" t="str">
        <f t="shared" si="188"/>
        <v>LlaveD86365025949100389492</v>
      </c>
      <c r="D887" s="25" t="str">
        <f>VLOOKUP(E887,'NO MODIFICAR'!J:K,2,0)</f>
        <v>D863</v>
      </c>
      <c r="E887" s="102" t="s">
        <v>53</v>
      </c>
      <c r="F887" s="33" t="str">
        <f>VLOOKUP(D887,'NO MODIFICAR'!F:H,3,0)</f>
        <v>NORESTE</v>
      </c>
      <c r="G887" s="28">
        <v>65025949</v>
      </c>
      <c r="H887" s="93" t="s">
        <v>570</v>
      </c>
      <c r="I887" s="94">
        <v>10038949</v>
      </c>
      <c r="J887" s="4" t="str">
        <f>VLOOKUP(I887,'Materiales,canteras'!C:D,2,0)</f>
        <v>Grava Triturada Caliza 10 mm -</v>
      </c>
      <c r="K887" s="25">
        <f>VLOOKUP(I887,'Materiales,canteras'!C:E,3,0)</f>
        <v>1.5</v>
      </c>
      <c r="L887" s="105">
        <v>188.72</v>
      </c>
      <c r="M887" s="28" t="s">
        <v>93</v>
      </c>
      <c r="N887" s="57">
        <f t="shared" ca="1" si="177"/>
        <v>46267</v>
      </c>
      <c r="O887" s="43" t="s">
        <v>201</v>
      </c>
      <c r="R887">
        <v>9.8000000000000007</v>
      </c>
      <c r="S887" s="82">
        <v>196</v>
      </c>
      <c r="T887" s="66">
        <f t="shared" si="193"/>
        <v>2.5200000000000102</v>
      </c>
      <c r="U887" s="46">
        <f t="shared" si="175"/>
        <v>188.72</v>
      </c>
      <c r="V887" s="82">
        <v>0</v>
      </c>
      <c r="W887" s="4">
        <v>2</v>
      </c>
      <c r="X887" s="195">
        <f t="shared" si="189"/>
        <v>188.72</v>
      </c>
      <c r="Y887" s="29" t="e">
        <f>IF(+VLOOKUP(I887,P.Referencia!E:S,3,FALSE)&lt;=L887,"Champion","Gerente")</f>
        <v>#N/A</v>
      </c>
      <c r="Z887" s="39" t="e">
        <f>VLOOKUP(I887,P.Referencia!E:S,3,0)</f>
        <v>#N/A</v>
      </c>
      <c r="AA887" s="40" t="e">
        <f t="shared" si="190"/>
        <v>#N/A</v>
      </c>
      <c r="AB887" s="41" t="e">
        <f t="shared" si="191"/>
        <v>#N/A</v>
      </c>
      <c r="AC887" s="41" t="e">
        <f t="shared" si="192"/>
        <v>#N/A</v>
      </c>
    </row>
    <row r="888" spans="1:29" hidden="1" x14ac:dyDescent="0.25">
      <c r="A888" s="24">
        <v>887</v>
      </c>
      <c r="B888" s="89" t="s">
        <v>571</v>
      </c>
      <c r="C888" s="4" t="str">
        <f t="shared" si="188"/>
        <v>LlaveD86165665709100002312</v>
      </c>
      <c r="D888" s="25" t="str">
        <f>VLOOKUP(E888,'NO MODIFICAR'!J:K,2,0)</f>
        <v>D861</v>
      </c>
      <c r="E888" s="102" t="s">
        <v>44</v>
      </c>
      <c r="F888" s="33" t="str">
        <f>VLOOKUP(D888,'NO MODIFICAR'!F:H,3,0)</f>
        <v xml:space="preserve">CENTRO </v>
      </c>
      <c r="G888" s="28">
        <v>65665709</v>
      </c>
      <c r="H888" s="93" t="s">
        <v>572</v>
      </c>
      <c r="I888" s="94">
        <v>10000231</v>
      </c>
      <c r="J888" s="4" t="str">
        <f>VLOOKUP(I888,'Materiales,canteras'!C:D,2,0)</f>
        <v>Grava Triturada Basalto 20 mm</v>
      </c>
      <c r="K888" s="25">
        <f>VLOOKUP(I888,'Materiales,canteras'!C:E,3,0)</f>
        <v>1.5649999999999999</v>
      </c>
      <c r="L888" s="105">
        <v>255</v>
      </c>
      <c r="M888" s="28" t="s">
        <v>93</v>
      </c>
      <c r="N888" s="57">
        <f t="shared" ca="1" si="177"/>
        <v>46267</v>
      </c>
      <c r="O888" s="43" t="s">
        <v>201</v>
      </c>
      <c r="R888">
        <v>4.62</v>
      </c>
      <c r="S888" s="82">
        <v>308</v>
      </c>
      <c r="T888" s="66">
        <f t="shared" si="193"/>
        <v>-48.379999999999995</v>
      </c>
      <c r="U888" s="46">
        <f t="shared" si="175"/>
        <v>255</v>
      </c>
      <c r="V888" s="82">
        <v>0</v>
      </c>
      <c r="W888" s="4">
        <v>2</v>
      </c>
      <c r="X888" s="195">
        <f t="shared" si="189"/>
        <v>255</v>
      </c>
      <c r="Y888" s="29" t="e">
        <f>IF(+VLOOKUP(I888,P.Referencia!E:S,3,FALSE)&lt;=L888,"Champion","Gerente")</f>
        <v>#N/A</v>
      </c>
      <c r="Z888" s="39" t="e">
        <f>VLOOKUP(I888,P.Referencia!E:S,3,0)</f>
        <v>#N/A</v>
      </c>
      <c r="AA888" s="40" t="e">
        <f t="shared" si="190"/>
        <v>#N/A</v>
      </c>
      <c r="AB888" s="41" t="e">
        <f t="shared" si="191"/>
        <v>#N/A</v>
      </c>
      <c r="AC888" s="41" t="e">
        <f t="shared" si="192"/>
        <v>#N/A</v>
      </c>
    </row>
    <row r="889" spans="1:29" hidden="1" x14ac:dyDescent="0.25">
      <c r="A889" s="24">
        <v>888</v>
      </c>
      <c r="B889" s="89" t="s">
        <v>571</v>
      </c>
      <c r="C889" s="4" t="str">
        <f t="shared" si="188"/>
        <v>LlaveD86165665709100003112</v>
      </c>
      <c r="D889" s="25" t="str">
        <f>VLOOKUP(E889,'NO MODIFICAR'!J:K,2,0)</f>
        <v>D861</v>
      </c>
      <c r="E889" s="102" t="s">
        <v>44</v>
      </c>
      <c r="F889" s="33" t="str">
        <f>VLOOKUP(D889,'NO MODIFICAR'!F:H,3,0)</f>
        <v xml:space="preserve">CENTRO </v>
      </c>
      <c r="G889" s="28">
        <v>65665709</v>
      </c>
      <c r="H889" s="93" t="s">
        <v>572</v>
      </c>
      <c r="I889" s="94">
        <v>10000311</v>
      </c>
      <c r="J889" s="4" t="str">
        <f>VLOOKUP(I889,'Materiales,canteras'!C:D,2,0)</f>
        <v>Arena Triturada Basalto  Malla</v>
      </c>
      <c r="K889" s="25">
        <f>VLOOKUP(I889,'Materiales,canteras'!C:E,3,0)</f>
        <v>1.651</v>
      </c>
      <c r="L889" s="105">
        <v>240</v>
      </c>
      <c r="M889" s="28" t="s">
        <v>93</v>
      </c>
      <c r="N889" s="57">
        <f t="shared" ca="1" si="177"/>
        <v>46267</v>
      </c>
      <c r="O889" s="43" t="s">
        <v>201</v>
      </c>
      <c r="R889">
        <v>4.29</v>
      </c>
      <c r="S889" s="82">
        <v>286</v>
      </c>
      <c r="T889" s="66">
        <f t="shared" si="193"/>
        <v>-41.70999999999998</v>
      </c>
      <c r="U889" s="46">
        <f t="shared" si="175"/>
        <v>240</v>
      </c>
      <c r="V889" s="82">
        <v>0</v>
      </c>
      <c r="W889" s="4">
        <v>2</v>
      </c>
      <c r="X889" s="195">
        <f t="shared" si="189"/>
        <v>240</v>
      </c>
      <c r="Y889" s="29" t="e">
        <f>IF(+VLOOKUP(I889,P.Referencia!E:S,3,FALSE)&lt;=L889,"Champion","Gerente")</f>
        <v>#N/A</v>
      </c>
      <c r="Z889" s="39" t="e">
        <f>VLOOKUP(I889,P.Referencia!E:S,3,0)</f>
        <v>#N/A</v>
      </c>
      <c r="AA889" s="40" t="e">
        <f t="shared" si="190"/>
        <v>#N/A</v>
      </c>
      <c r="AB889" s="41" t="e">
        <f t="shared" si="191"/>
        <v>#N/A</v>
      </c>
      <c r="AC889" s="41" t="e">
        <f t="shared" si="192"/>
        <v>#N/A</v>
      </c>
    </row>
    <row r="890" spans="1:29" hidden="1" x14ac:dyDescent="0.25">
      <c r="A890" s="24">
        <v>889</v>
      </c>
      <c r="B890" s="89" t="s">
        <v>571</v>
      </c>
      <c r="C890" s="4" t="str">
        <f t="shared" si="188"/>
        <v>LlaveD86165665709100002292</v>
      </c>
      <c r="D890" s="25" t="str">
        <f>VLOOKUP(E890,'NO MODIFICAR'!J:K,2,0)</f>
        <v>D861</v>
      </c>
      <c r="E890" s="102" t="s">
        <v>44</v>
      </c>
      <c r="F890" s="33" t="str">
        <f>VLOOKUP(D890,'NO MODIFICAR'!F:H,3,0)</f>
        <v xml:space="preserve">CENTRO </v>
      </c>
      <c r="G890" s="28">
        <v>65665709</v>
      </c>
      <c r="H890" s="93" t="s">
        <v>572</v>
      </c>
      <c r="I890" s="94">
        <v>10000229</v>
      </c>
      <c r="J890" s="4" t="str">
        <f>VLOOKUP(I890,'Materiales,canteras'!C:D,2,0)</f>
        <v>Grava Triturada Basalto  10 mm</v>
      </c>
      <c r="K890" s="25">
        <f>VLOOKUP(I890,'Materiales,canteras'!C:E,3,0)</f>
        <v>1.522</v>
      </c>
      <c r="L890" s="105">
        <v>255</v>
      </c>
      <c r="M890" s="28" t="s">
        <v>93</v>
      </c>
      <c r="N890" s="57">
        <f t="shared" ca="1" si="177"/>
        <v>46267</v>
      </c>
      <c r="O890" s="43" t="s">
        <v>201</v>
      </c>
      <c r="R890">
        <v>5.28</v>
      </c>
      <c r="S890" s="82">
        <v>352</v>
      </c>
      <c r="T890" s="66">
        <f t="shared" si="193"/>
        <v>-91.720000000000027</v>
      </c>
      <c r="U890" s="46">
        <f t="shared" si="175"/>
        <v>255</v>
      </c>
      <c r="V890" s="82">
        <v>0</v>
      </c>
      <c r="W890" s="4">
        <v>2</v>
      </c>
      <c r="X890" s="195">
        <f t="shared" si="189"/>
        <v>255</v>
      </c>
      <c r="Y890" s="29" t="e">
        <f>IF(+VLOOKUP(I890,P.Referencia!E:S,3,FALSE)&lt;=L890,"Champion","Gerente")</f>
        <v>#N/A</v>
      </c>
      <c r="Z890" s="39" t="e">
        <f>VLOOKUP(I890,P.Referencia!E:S,3,0)</f>
        <v>#N/A</v>
      </c>
      <c r="AA890" s="40" t="e">
        <f t="shared" si="190"/>
        <v>#N/A</v>
      </c>
      <c r="AB890" s="41" t="e">
        <f t="shared" si="191"/>
        <v>#N/A</v>
      </c>
      <c r="AC890" s="41" t="e">
        <f t="shared" si="192"/>
        <v>#N/A</v>
      </c>
    </row>
    <row r="891" spans="1:29" hidden="1" x14ac:dyDescent="0.25">
      <c r="A891" s="24">
        <v>890</v>
      </c>
      <c r="B891" s="89" t="s">
        <v>571</v>
      </c>
      <c r="C891" s="4" t="str">
        <f t="shared" si="188"/>
        <v>LlaveD86465361550100010732</v>
      </c>
      <c r="D891" s="25" t="str">
        <f>VLOOKUP(E891,'NO MODIFICAR'!J:K,2,0)</f>
        <v>D864</v>
      </c>
      <c r="E891" s="102" t="s">
        <v>55</v>
      </c>
      <c r="F891" s="33" t="str">
        <f>VLOOKUP(D891,'NO MODIFICAR'!F:H,3,0)</f>
        <v xml:space="preserve">CENTRO </v>
      </c>
      <c r="G891" s="28">
        <v>65361550</v>
      </c>
      <c r="H891" s="93" t="s">
        <v>573</v>
      </c>
      <c r="I891" s="94">
        <v>10001073</v>
      </c>
      <c r="J891" s="4" t="str">
        <f>VLOOKUP(I891,'Materiales,canteras'!C:D,2,0)</f>
        <v>Arena Triturada Caliza Malla 4</v>
      </c>
      <c r="K891" s="25">
        <f>VLOOKUP(I891,'Materiales,canteras'!C:E,3,0)</f>
        <v>1.56</v>
      </c>
      <c r="L891" s="105">
        <v>110</v>
      </c>
      <c r="M891" s="28" t="s">
        <v>93</v>
      </c>
      <c r="N891" s="57">
        <f t="shared" ca="1" si="177"/>
        <v>46267</v>
      </c>
      <c r="O891" s="43" t="s">
        <v>201</v>
      </c>
      <c r="S891" s="82">
        <v>158</v>
      </c>
      <c r="T891" s="66">
        <f t="shared" si="193"/>
        <v>-48</v>
      </c>
      <c r="U891" s="46">
        <f t="shared" si="175"/>
        <v>110</v>
      </c>
      <c r="V891" s="82">
        <v>0</v>
      </c>
      <c r="W891" s="4">
        <v>2</v>
      </c>
      <c r="X891" s="195">
        <f t="shared" si="189"/>
        <v>110</v>
      </c>
      <c r="Y891" s="29" t="e">
        <f>IF(+VLOOKUP(I891,P.Referencia!E:S,3,FALSE)&lt;=L891,"Champion","Gerente")</f>
        <v>#N/A</v>
      </c>
      <c r="Z891" s="39" t="e">
        <f>VLOOKUP(I891,P.Referencia!E:S,3,0)</f>
        <v>#N/A</v>
      </c>
      <c r="AA891" s="40" t="e">
        <f t="shared" si="190"/>
        <v>#N/A</v>
      </c>
      <c r="AB891" s="41" t="e">
        <f t="shared" si="191"/>
        <v>#N/A</v>
      </c>
      <c r="AC891" s="41" t="e">
        <f t="shared" si="192"/>
        <v>#N/A</v>
      </c>
    </row>
    <row r="892" spans="1:29" hidden="1" x14ac:dyDescent="0.25">
      <c r="A892" s="24">
        <v>891</v>
      </c>
      <c r="B892" s="89" t="s">
        <v>571</v>
      </c>
      <c r="C892" s="4" t="str">
        <f t="shared" si="188"/>
        <v>LlaveD86465361550100002362</v>
      </c>
      <c r="D892" s="25" t="str">
        <f>VLOOKUP(E892,'NO MODIFICAR'!J:K,2,0)</f>
        <v>D864</v>
      </c>
      <c r="E892" s="102" t="s">
        <v>55</v>
      </c>
      <c r="F892" s="33" t="str">
        <f>VLOOKUP(D892,'NO MODIFICAR'!F:H,3,0)</f>
        <v xml:space="preserve">CENTRO </v>
      </c>
      <c r="G892" s="28">
        <v>65361550</v>
      </c>
      <c r="H892" s="93" t="s">
        <v>573</v>
      </c>
      <c r="I892" s="94">
        <v>10000236</v>
      </c>
      <c r="J892" s="4" t="str">
        <f>VLOOKUP(I892,'Materiales,canteras'!C:D,2,0)</f>
        <v>Grava Triturada Caliza 10 mm -</v>
      </c>
      <c r="K892" s="25">
        <f>VLOOKUP(I892,'Materiales,canteras'!C:E,3,0)</f>
        <v>1.41</v>
      </c>
      <c r="L892" s="105">
        <v>160.1</v>
      </c>
      <c r="M892" s="28" t="s">
        <v>93</v>
      </c>
      <c r="N892" s="57">
        <f t="shared" ca="1" si="177"/>
        <v>46267</v>
      </c>
      <c r="O892" s="43" t="s">
        <v>201</v>
      </c>
      <c r="S892" s="82">
        <v>252</v>
      </c>
      <c r="T892" s="66">
        <f t="shared" si="193"/>
        <v>-91.9</v>
      </c>
      <c r="U892" s="46">
        <f t="shared" ref="U892:U949" si="194">L892</f>
        <v>160.1</v>
      </c>
      <c r="V892" s="82">
        <v>0</v>
      </c>
      <c r="W892" s="4">
        <v>2</v>
      </c>
      <c r="X892" s="195">
        <f t="shared" si="189"/>
        <v>160.1</v>
      </c>
      <c r="Y892" s="29" t="e">
        <f>IF(+VLOOKUP(I892,P.Referencia!E:S,3,FALSE)&lt;=L892,"Champion","Gerente")</f>
        <v>#N/A</v>
      </c>
      <c r="Z892" s="39" t="e">
        <f>VLOOKUP(I892,P.Referencia!E:S,3,0)</f>
        <v>#N/A</v>
      </c>
      <c r="AA892" s="40" t="e">
        <f t="shared" si="190"/>
        <v>#N/A</v>
      </c>
      <c r="AB892" s="41" t="e">
        <f t="shared" si="191"/>
        <v>#N/A</v>
      </c>
      <c r="AC892" s="41" t="e">
        <f t="shared" si="192"/>
        <v>#N/A</v>
      </c>
    </row>
    <row r="893" spans="1:29" hidden="1" x14ac:dyDescent="0.25">
      <c r="A893" s="24">
        <v>892</v>
      </c>
      <c r="B893" s="89" t="s">
        <v>571</v>
      </c>
      <c r="C893" s="4" t="str">
        <f t="shared" si="188"/>
        <v>LlaveD86465361550100002402</v>
      </c>
      <c r="D893" s="25" t="str">
        <f>VLOOKUP(E893,'NO MODIFICAR'!J:K,2,0)</f>
        <v>D864</v>
      </c>
      <c r="E893" s="102" t="s">
        <v>55</v>
      </c>
      <c r="F893" s="33" t="str">
        <f>VLOOKUP(D893,'NO MODIFICAR'!F:H,3,0)</f>
        <v xml:space="preserve">CENTRO </v>
      </c>
      <c r="G893" s="28">
        <v>65361550</v>
      </c>
      <c r="H893" s="93" t="s">
        <v>573</v>
      </c>
      <c r="I893" s="94">
        <v>10000240</v>
      </c>
      <c r="J893" s="4" t="str">
        <f>VLOOKUP(I893,'Materiales,canteras'!C:D,2,0)</f>
        <v>Grava Triturada Caliza 20 mm -</v>
      </c>
      <c r="K893" s="25">
        <f>VLOOKUP(I893,'Materiales,canteras'!C:E,3,0)</f>
        <v>1.462</v>
      </c>
      <c r="L893" s="105">
        <v>165</v>
      </c>
      <c r="M893" s="28" t="s">
        <v>93</v>
      </c>
      <c r="N893" s="57">
        <f t="shared" ca="1" si="177"/>
        <v>46267</v>
      </c>
      <c r="O893" s="43" t="s">
        <v>201</v>
      </c>
      <c r="S893" s="82">
        <v>294</v>
      </c>
      <c r="T893" s="66">
        <f t="shared" si="193"/>
        <v>-129</v>
      </c>
      <c r="U893" s="46">
        <f t="shared" si="194"/>
        <v>165</v>
      </c>
      <c r="V893" s="82">
        <v>0</v>
      </c>
      <c r="W893" s="4">
        <v>2</v>
      </c>
      <c r="X893" s="195">
        <f t="shared" si="189"/>
        <v>165</v>
      </c>
      <c r="Y893" s="29" t="e">
        <f>IF(+VLOOKUP(I893,P.Referencia!E:S,3,FALSE)&lt;=L893,"Champion","Gerente")</f>
        <v>#N/A</v>
      </c>
      <c r="Z893" s="39" t="e">
        <f>VLOOKUP(I893,P.Referencia!E:S,3,0)</f>
        <v>#N/A</v>
      </c>
      <c r="AA893" s="40" t="e">
        <f t="shared" si="190"/>
        <v>#N/A</v>
      </c>
      <c r="AB893" s="41" t="e">
        <f t="shared" si="191"/>
        <v>#N/A</v>
      </c>
      <c r="AC893" s="41" t="e">
        <f t="shared" si="192"/>
        <v>#N/A</v>
      </c>
    </row>
    <row r="894" spans="1:29" hidden="1" x14ac:dyDescent="0.25">
      <c r="A894" s="24">
        <v>893</v>
      </c>
      <c r="B894" s="89" t="s">
        <v>571</v>
      </c>
      <c r="C894" s="4" t="str">
        <f t="shared" si="188"/>
        <v>LlaveD86465361550100002692</v>
      </c>
      <c r="D894" s="25" t="str">
        <f>VLOOKUP(E894,'NO MODIFICAR'!J:K,2,0)</f>
        <v>D864</v>
      </c>
      <c r="E894" s="102" t="s">
        <v>55</v>
      </c>
      <c r="F894" s="33" t="str">
        <f>VLOOKUP(D894,'NO MODIFICAR'!F:H,3,0)</f>
        <v xml:space="preserve">CENTRO </v>
      </c>
      <c r="G894" s="28">
        <v>65361550</v>
      </c>
      <c r="H894" s="93" t="s">
        <v>573</v>
      </c>
      <c r="I894" s="94">
        <v>10000269</v>
      </c>
      <c r="J894" s="4" t="str">
        <f>VLOOKUP(I894,'Materiales,canteras'!C:D,2,0)</f>
        <v>Grava Triturada Caliza 13 mm -</v>
      </c>
      <c r="K894" s="25">
        <f>VLOOKUP(I894,'Materiales,canteras'!C:E,3,0)</f>
        <v>1.423</v>
      </c>
      <c r="L894" s="105">
        <v>175.22</v>
      </c>
      <c r="M894" s="28" t="s">
        <v>93</v>
      </c>
      <c r="N894" s="57">
        <f t="shared" ca="1" si="177"/>
        <v>46267</v>
      </c>
      <c r="O894" s="43" t="s">
        <v>201</v>
      </c>
      <c r="S894" s="82">
        <v>263</v>
      </c>
      <c r="T894" s="66">
        <f t="shared" si="193"/>
        <v>-87.78</v>
      </c>
      <c r="U894" s="46">
        <f t="shared" si="194"/>
        <v>175.22</v>
      </c>
      <c r="V894" s="82">
        <v>0</v>
      </c>
      <c r="W894" s="4">
        <v>2</v>
      </c>
      <c r="X894" s="195">
        <f t="shared" si="189"/>
        <v>175.22</v>
      </c>
      <c r="Y894" s="29" t="e">
        <f>IF(+VLOOKUP(I894,P.Referencia!E:S,3,FALSE)&lt;=L894,"Champion","Gerente")</f>
        <v>#N/A</v>
      </c>
      <c r="Z894" s="39" t="e">
        <f>VLOOKUP(I894,P.Referencia!E:S,3,0)</f>
        <v>#N/A</v>
      </c>
      <c r="AA894" s="40" t="e">
        <f t="shared" si="190"/>
        <v>#N/A</v>
      </c>
      <c r="AB894" s="41" t="e">
        <f t="shared" si="191"/>
        <v>#N/A</v>
      </c>
      <c r="AC894" s="41" t="e">
        <f t="shared" si="192"/>
        <v>#N/A</v>
      </c>
    </row>
    <row r="895" spans="1:29" hidden="1" x14ac:dyDescent="0.25">
      <c r="A895" s="24">
        <v>894</v>
      </c>
      <c r="B895" s="89" t="s">
        <v>571</v>
      </c>
      <c r="C895" s="4" t="str">
        <f t="shared" si="188"/>
        <v>LlaveD86465361550100010742</v>
      </c>
      <c r="D895" s="25" t="str">
        <f>VLOOKUP(E895,'NO MODIFICAR'!J:K,2,0)</f>
        <v>D864</v>
      </c>
      <c r="E895" s="102" t="s">
        <v>55</v>
      </c>
      <c r="F895" s="33" t="str">
        <f>VLOOKUP(D895,'NO MODIFICAR'!F:H,3,0)</f>
        <v xml:space="preserve">CENTRO </v>
      </c>
      <c r="G895" s="28">
        <v>65361550</v>
      </c>
      <c r="H895" s="93" t="s">
        <v>573</v>
      </c>
      <c r="I895" s="94">
        <v>10001074</v>
      </c>
      <c r="J895" s="4" t="str">
        <f>VLOOKUP(I895,'Materiales,canteras'!C:D,2,0)</f>
        <v>Grava Triturada Caliza 40 mm -</v>
      </c>
      <c r="K895" s="25">
        <f>VLOOKUP(I895,'Materiales,canteras'!C:E,3,0)</f>
        <v>1.4</v>
      </c>
      <c r="L895" s="105">
        <v>162</v>
      </c>
      <c r="M895" s="28" t="s">
        <v>93</v>
      </c>
      <c r="N895" s="57">
        <f t="shared" ca="1" si="177"/>
        <v>46267</v>
      </c>
      <c r="O895" s="43" t="s">
        <v>201</v>
      </c>
      <c r="S895" s="82">
        <v>231</v>
      </c>
      <c r="T895" s="66">
        <f t="shared" si="193"/>
        <v>-69</v>
      </c>
      <c r="U895" s="46">
        <f t="shared" si="194"/>
        <v>162</v>
      </c>
      <c r="V895" s="82">
        <v>0</v>
      </c>
      <c r="W895" s="4">
        <v>2</v>
      </c>
      <c r="X895" s="195">
        <f t="shared" si="189"/>
        <v>162</v>
      </c>
      <c r="Y895" s="29" t="e">
        <f>IF(+VLOOKUP(I895,P.Referencia!E:S,3,FALSE)&lt;=L895,"Champion","Gerente")</f>
        <v>#N/A</v>
      </c>
      <c r="Z895" s="39" t="e">
        <f>VLOOKUP(I895,P.Referencia!E:S,3,0)</f>
        <v>#N/A</v>
      </c>
      <c r="AA895" s="40" t="e">
        <f t="shared" si="190"/>
        <v>#N/A</v>
      </c>
      <c r="AB895" s="41" t="e">
        <f t="shared" si="191"/>
        <v>#N/A</v>
      </c>
      <c r="AC895" s="41" t="e">
        <f t="shared" si="192"/>
        <v>#N/A</v>
      </c>
    </row>
    <row r="896" spans="1:29" hidden="1" x14ac:dyDescent="0.25">
      <c r="A896" s="24">
        <v>895</v>
      </c>
      <c r="B896" s="89" t="s">
        <v>571</v>
      </c>
      <c r="C896" s="4" t="str">
        <f t="shared" si="188"/>
        <v>LlaveD8646688331810001073</v>
      </c>
      <c r="D896" s="25" t="str">
        <f>VLOOKUP(E896,'NO MODIFICAR'!J:K,2,0)</f>
        <v>D864</v>
      </c>
      <c r="E896" s="102" t="s">
        <v>55</v>
      </c>
      <c r="F896" s="33" t="str">
        <f>VLOOKUP(D896,'NO MODIFICAR'!F:H,3,0)</f>
        <v xml:space="preserve">CENTRO </v>
      </c>
      <c r="G896" s="28">
        <v>66883318</v>
      </c>
      <c r="H896" s="93" t="s">
        <v>574</v>
      </c>
      <c r="I896" s="94">
        <v>10001073</v>
      </c>
      <c r="J896" s="4" t="str">
        <f>VLOOKUP(I896,'Materiales,canteras'!C:D,2,0)</f>
        <v>Arena Triturada Caliza Malla 4</v>
      </c>
      <c r="K896" s="25">
        <f>VLOOKUP(I896,'Materiales,canteras'!C:E,3,0)</f>
        <v>1.56</v>
      </c>
      <c r="L896" s="105">
        <v>120.1</v>
      </c>
      <c r="M896" s="28" t="s">
        <v>93</v>
      </c>
      <c r="N896" s="57">
        <f t="shared" ca="1" si="177"/>
        <v>46267</v>
      </c>
      <c r="O896" s="43" t="s">
        <v>201</v>
      </c>
      <c r="S896" s="82"/>
      <c r="T896" s="66">
        <f t="shared" si="193"/>
        <v>120.1</v>
      </c>
      <c r="U896" s="46">
        <f t="shared" si="194"/>
        <v>120.1</v>
      </c>
      <c r="V896" s="82"/>
      <c r="X896" s="195">
        <f t="shared" si="189"/>
        <v>120.1</v>
      </c>
      <c r="Y896" s="29" t="e">
        <f>IF(+VLOOKUP(I896,P.Referencia!E:S,3,FALSE)&lt;=L896,"Champion","Gerente")</f>
        <v>#N/A</v>
      </c>
      <c r="Z896" s="39" t="e">
        <f>VLOOKUP(I896,P.Referencia!E:S,3,0)</f>
        <v>#N/A</v>
      </c>
      <c r="AA896" s="40" t="e">
        <f t="shared" si="190"/>
        <v>#N/A</v>
      </c>
      <c r="AB896" s="41" t="e">
        <f t="shared" si="191"/>
        <v>#N/A</v>
      </c>
      <c r="AC896" s="41" t="e">
        <f t="shared" si="192"/>
        <v>#N/A</v>
      </c>
    </row>
    <row r="897" spans="1:29" hidden="1" x14ac:dyDescent="0.25">
      <c r="A897" s="24">
        <v>896</v>
      </c>
      <c r="B897" s="89" t="s">
        <v>571</v>
      </c>
      <c r="C897" s="4" t="str">
        <f t="shared" si="188"/>
        <v>LlaveD8646688331810000236</v>
      </c>
      <c r="D897" s="25" t="str">
        <f>VLOOKUP(E897,'NO MODIFICAR'!J:K,2,0)</f>
        <v>D864</v>
      </c>
      <c r="E897" s="102" t="s">
        <v>55</v>
      </c>
      <c r="F897" s="33" t="str">
        <f>VLOOKUP(D897,'NO MODIFICAR'!F:H,3,0)</f>
        <v xml:space="preserve">CENTRO </v>
      </c>
      <c r="G897" s="28">
        <v>66883318</v>
      </c>
      <c r="H897" s="93" t="s">
        <v>574</v>
      </c>
      <c r="I897" s="94">
        <v>10000236</v>
      </c>
      <c r="J897" s="4" t="str">
        <f>VLOOKUP(I897,'Materiales,canteras'!C:D,2,0)</f>
        <v>Grava Triturada Caliza 10 mm -</v>
      </c>
      <c r="K897" s="25">
        <f>VLOOKUP(I897,'Materiales,canteras'!C:E,3,0)</f>
        <v>1.41</v>
      </c>
      <c r="L897" s="105">
        <v>196</v>
      </c>
      <c r="M897" s="28" t="s">
        <v>93</v>
      </c>
      <c r="N897" s="57">
        <f t="shared" ca="1" si="177"/>
        <v>46267</v>
      </c>
      <c r="O897" s="43" t="s">
        <v>201</v>
      </c>
      <c r="S897" s="82"/>
      <c r="T897" s="66">
        <f t="shared" si="193"/>
        <v>196</v>
      </c>
      <c r="U897" s="46">
        <f t="shared" si="194"/>
        <v>196</v>
      </c>
      <c r="V897" s="82"/>
      <c r="X897" s="195">
        <f t="shared" si="189"/>
        <v>196</v>
      </c>
      <c r="Y897" s="29" t="e">
        <f>IF(+VLOOKUP(I897,P.Referencia!E:S,3,FALSE)&lt;=L897,"Champion","Gerente")</f>
        <v>#N/A</v>
      </c>
      <c r="Z897" s="39" t="e">
        <f>VLOOKUP(I897,P.Referencia!E:S,3,0)</f>
        <v>#N/A</v>
      </c>
      <c r="AA897" s="40" t="e">
        <f t="shared" ref="AA897:AA916" si="195">(Z897-U897)/U897</f>
        <v>#N/A</v>
      </c>
      <c r="AB897" s="41" t="e">
        <f t="shared" ref="AB897:AB916" si="196">U897*AA897</f>
        <v>#N/A</v>
      </c>
      <c r="AC897" s="41" t="e">
        <f t="shared" ref="AC897:AC916" si="197">U897+AB897</f>
        <v>#N/A</v>
      </c>
    </row>
    <row r="898" spans="1:29" hidden="1" x14ac:dyDescent="0.25">
      <c r="A898" s="24">
        <v>897</v>
      </c>
      <c r="B898" s="89" t="s">
        <v>571</v>
      </c>
      <c r="C898" s="4" t="str">
        <f t="shared" si="188"/>
        <v>LlaveD8646688331810000240</v>
      </c>
      <c r="D898" s="25" t="str">
        <f>VLOOKUP(E898,'NO MODIFICAR'!J:K,2,0)</f>
        <v>D864</v>
      </c>
      <c r="E898" s="102" t="s">
        <v>55</v>
      </c>
      <c r="F898" s="33" t="str">
        <f>VLOOKUP(D898,'NO MODIFICAR'!F:H,3,0)</f>
        <v xml:space="preserve">CENTRO </v>
      </c>
      <c r="G898" s="28">
        <v>66883318</v>
      </c>
      <c r="H898" s="93" t="s">
        <v>574</v>
      </c>
      <c r="I898" s="94">
        <v>10000240</v>
      </c>
      <c r="J898" s="4" t="str">
        <f>VLOOKUP(I898,'Materiales,canteras'!C:D,2,0)</f>
        <v>Grava Triturada Caliza 20 mm -</v>
      </c>
      <c r="K898" s="25">
        <f>VLOOKUP(I898,'Materiales,canteras'!C:E,3,0)</f>
        <v>1.462</v>
      </c>
      <c r="L898" s="105">
        <v>152.25</v>
      </c>
      <c r="M898" s="28" t="s">
        <v>93</v>
      </c>
      <c r="N898" s="57">
        <f t="shared" ca="1" si="177"/>
        <v>46267</v>
      </c>
      <c r="O898" s="43" t="s">
        <v>201</v>
      </c>
      <c r="S898" s="82"/>
      <c r="T898" s="66">
        <f t="shared" si="193"/>
        <v>152.25</v>
      </c>
      <c r="U898" s="46">
        <f t="shared" si="194"/>
        <v>152.25</v>
      </c>
      <c r="V898" s="82"/>
      <c r="X898" s="195">
        <f t="shared" si="189"/>
        <v>152.25</v>
      </c>
      <c r="Y898" s="29" t="e">
        <f>IF(+VLOOKUP(I898,P.Referencia!E:S,3,FALSE)&lt;=L898,"Champion","Gerente")</f>
        <v>#N/A</v>
      </c>
      <c r="Z898" s="39" t="e">
        <f>VLOOKUP(I898,P.Referencia!E:S,3,0)</f>
        <v>#N/A</v>
      </c>
      <c r="AA898" s="40" t="e">
        <f t="shared" si="195"/>
        <v>#N/A</v>
      </c>
      <c r="AB898" s="41" t="e">
        <f t="shared" si="196"/>
        <v>#N/A</v>
      </c>
      <c r="AC898" s="41" t="e">
        <f t="shared" si="197"/>
        <v>#N/A</v>
      </c>
    </row>
    <row r="899" spans="1:29" hidden="1" x14ac:dyDescent="0.25">
      <c r="A899" s="24">
        <v>898</v>
      </c>
      <c r="B899" s="89" t="s">
        <v>571</v>
      </c>
      <c r="C899" s="4" t="str">
        <f t="shared" si="188"/>
        <v>LlaveD8646688331810000269</v>
      </c>
      <c r="D899" s="25" t="str">
        <f>VLOOKUP(E899,'NO MODIFICAR'!J:K,2,0)</f>
        <v>D864</v>
      </c>
      <c r="E899" s="102" t="s">
        <v>55</v>
      </c>
      <c r="F899" s="33" t="str">
        <f>VLOOKUP(D899,'NO MODIFICAR'!F:H,3,0)</f>
        <v xml:space="preserve">CENTRO </v>
      </c>
      <c r="G899" s="28">
        <v>66883318</v>
      </c>
      <c r="H899" s="93" t="s">
        <v>574</v>
      </c>
      <c r="I899" s="94">
        <v>10000269</v>
      </c>
      <c r="J899" s="4" t="str">
        <f>VLOOKUP(I899,'Materiales,canteras'!C:D,2,0)</f>
        <v>Grava Triturada Caliza 13 mm -</v>
      </c>
      <c r="K899" s="25">
        <f>VLOOKUP(I899,'Materiales,canteras'!C:E,3,0)</f>
        <v>1.423</v>
      </c>
      <c r="L899" s="105">
        <v>168</v>
      </c>
      <c r="M899" s="28" t="s">
        <v>93</v>
      </c>
      <c r="N899" s="57">
        <f t="shared" ca="1" si="177"/>
        <v>46267</v>
      </c>
      <c r="O899" s="43" t="s">
        <v>201</v>
      </c>
      <c r="S899" s="82"/>
      <c r="T899" s="66">
        <f t="shared" si="193"/>
        <v>168</v>
      </c>
      <c r="U899" s="46">
        <f t="shared" si="194"/>
        <v>168</v>
      </c>
      <c r="V899" s="82"/>
      <c r="X899" s="195">
        <f t="shared" si="189"/>
        <v>168</v>
      </c>
      <c r="Y899" s="29" t="e">
        <f>IF(+VLOOKUP(I899,P.Referencia!E:S,3,FALSE)&lt;=L899,"Champion","Gerente")</f>
        <v>#N/A</v>
      </c>
      <c r="Z899" s="39" t="e">
        <f>VLOOKUP(I899,P.Referencia!E:S,3,0)</f>
        <v>#N/A</v>
      </c>
      <c r="AA899" s="40" t="e">
        <f t="shared" si="195"/>
        <v>#N/A</v>
      </c>
      <c r="AB899" s="41" t="e">
        <f t="shared" si="196"/>
        <v>#N/A</v>
      </c>
      <c r="AC899" s="41" t="e">
        <f t="shared" si="197"/>
        <v>#N/A</v>
      </c>
    </row>
    <row r="900" spans="1:29" hidden="1" x14ac:dyDescent="0.25">
      <c r="A900" s="24">
        <v>899</v>
      </c>
      <c r="B900" s="89" t="s">
        <v>571</v>
      </c>
      <c r="C900" s="4" t="str">
        <f t="shared" si="188"/>
        <v>LlaveD8646688331810001074</v>
      </c>
      <c r="D900" s="25" t="str">
        <f>VLOOKUP(E900,'NO MODIFICAR'!J:K,2,0)</f>
        <v>D864</v>
      </c>
      <c r="E900" s="102" t="s">
        <v>55</v>
      </c>
      <c r="F900" s="33" t="str">
        <f>VLOOKUP(D900,'NO MODIFICAR'!F:H,3,0)</f>
        <v xml:space="preserve">CENTRO </v>
      </c>
      <c r="G900" s="28">
        <v>66883318</v>
      </c>
      <c r="H900" s="93" t="s">
        <v>574</v>
      </c>
      <c r="I900" s="94">
        <v>10001074</v>
      </c>
      <c r="J900" s="4" t="str">
        <f>VLOOKUP(I900,'Materiales,canteras'!C:D,2,0)</f>
        <v>Grava Triturada Caliza 40 mm -</v>
      </c>
      <c r="K900" s="25">
        <f>VLOOKUP(I900,'Materiales,canteras'!C:E,3,0)</f>
        <v>1.4</v>
      </c>
      <c r="L900" s="105">
        <v>154.35</v>
      </c>
      <c r="M900" s="28" t="s">
        <v>93</v>
      </c>
      <c r="N900" s="57">
        <f t="shared" ca="1" si="177"/>
        <v>46267</v>
      </c>
      <c r="O900" s="43" t="s">
        <v>201</v>
      </c>
      <c r="S900" s="82"/>
      <c r="T900" s="66">
        <f t="shared" si="193"/>
        <v>154.35</v>
      </c>
      <c r="U900" s="46">
        <f t="shared" si="194"/>
        <v>154.35</v>
      </c>
      <c r="V900" s="82"/>
      <c r="X900" s="195">
        <f t="shared" si="189"/>
        <v>154.35</v>
      </c>
      <c r="Y900" s="29" t="e">
        <f>IF(+VLOOKUP(I900,P.Referencia!E:S,3,FALSE)&lt;=L900,"Champion","Gerente")</f>
        <v>#N/A</v>
      </c>
      <c r="Z900" s="39" t="e">
        <f>VLOOKUP(I900,P.Referencia!E:S,3,0)</f>
        <v>#N/A</v>
      </c>
      <c r="AA900" s="40" t="e">
        <f t="shared" si="195"/>
        <v>#N/A</v>
      </c>
      <c r="AB900" s="41" t="e">
        <f t="shared" si="196"/>
        <v>#N/A</v>
      </c>
      <c r="AC900" s="41" t="e">
        <f t="shared" si="197"/>
        <v>#N/A</v>
      </c>
    </row>
    <row r="901" spans="1:29" hidden="1" x14ac:dyDescent="0.25">
      <c r="A901" s="24">
        <v>900</v>
      </c>
      <c r="B901" s="89" t="s">
        <v>571</v>
      </c>
      <c r="C901" s="4" t="str">
        <f t="shared" si="188"/>
        <v>LlaveD86467078426100010732</v>
      </c>
      <c r="D901" s="25" t="str">
        <f>VLOOKUP(E901,'NO MODIFICAR'!J:K,2,0)</f>
        <v>D864</v>
      </c>
      <c r="E901" s="102" t="s">
        <v>55</v>
      </c>
      <c r="F901" s="33" t="str">
        <f>VLOOKUP(D901,'NO MODIFICAR'!F:H,3,0)</f>
        <v xml:space="preserve">CENTRO </v>
      </c>
      <c r="G901" s="28">
        <v>67078426</v>
      </c>
      <c r="H901" s="93" t="s">
        <v>575</v>
      </c>
      <c r="I901" s="94">
        <v>10001073</v>
      </c>
      <c r="J901" s="4" t="str">
        <f>VLOOKUP(I901,'Materiales,canteras'!C:D,2,0)</f>
        <v>Arena Triturada Caliza Malla 4</v>
      </c>
      <c r="K901" s="25">
        <f>VLOOKUP(I901,'Materiales,canteras'!C:E,3,0)</f>
        <v>1.56</v>
      </c>
      <c r="L901" s="105">
        <v>92.6</v>
      </c>
      <c r="M901" s="28" t="s">
        <v>93</v>
      </c>
      <c r="N901" s="57">
        <f t="shared" ref="N901:N966" ca="1" si="198">TODAY()</f>
        <v>46267</v>
      </c>
      <c r="O901" s="43" t="s">
        <v>201</v>
      </c>
      <c r="S901" s="82"/>
      <c r="T901" s="66">
        <f t="shared" si="193"/>
        <v>92.6</v>
      </c>
      <c r="U901" s="46">
        <f t="shared" si="194"/>
        <v>92.6</v>
      </c>
      <c r="V901" s="82">
        <v>0</v>
      </c>
      <c r="W901" s="4">
        <v>2</v>
      </c>
      <c r="X901" s="195">
        <f t="shared" si="189"/>
        <v>92.6</v>
      </c>
      <c r="Y901" s="29" t="e">
        <f>IF(+VLOOKUP(I901,P.Referencia!E:S,3,FALSE)&lt;=L901,"Champion","Gerente")</f>
        <v>#N/A</v>
      </c>
      <c r="Z901" s="39" t="e">
        <f>VLOOKUP(I901,P.Referencia!E:S,3,0)</f>
        <v>#N/A</v>
      </c>
      <c r="AA901" s="40" t="e">
        <f t="shared" si="195"/>
        <v>#N/A</v>
      </c>
      <c r="AB901" s="41" t="e">
        <f t="shared" si="196"/>
        <v>#N/A</v>
      </c>
      <c r="AC901" s="41" t="e">
        <f t="shared" si="197"/>
        <v>#N/A</v>
      </c>
    </row>
    <row r="902" spans="1:29" hidden="1" x14ac:dyDescent="0.25">
      <c r="A902" s="24">
        <v>901</v>
      </c>
      <c r="B902" s="89" t="s">
        <v>571</v>
      </c>
      <c r="C902" s="4" t="str">
        <f t="shared" si="188"/>
        <v>LlaveD86467078426100002362</v>
      </c>
      <c r="D902" s="25" t="str">
        <f>VLOOKUP(E902,'NO MODIFICAR'!J:K,2,0)</f>
        <v>D864</v>
      </c>
      <c r="E902" s="102" t="s">
        <v>55</v>
      </c>
      <c r="F902" s="33" t="str">
        <f>VLOOKUP(D902,'NO MODIFICAR'!F:H,3,0)</f>
        <v xml:space="preserve">CENTRO </v>
      </c>
      <c r="G902" s="28">
        <v>67078426</v>
      </c>
      <c r="H902" s="93" t="s">
        <v>575</v>
      </c>
      <c r="I902" s="94">
        <v>10000236</v>
      </c>
      <c r="J902" s="4" t="str">
        <f>VLOOKUP(I902,'Materiales,canteras'!C:D,2,0)</f>
        <v>Grava Triturada Caliza 10 mm -</v>
      </c>
      <c r="K902" s="25">
        <f>VLOOKUP(I902,'Materiales,canteras'!C:E,3,0)</f>
        <v>1.41</v>
      </c>
      <c r="L902" s="105">
        <v>196</v>
      </c>
      <c r="M902" s="28" t="s">
        <v>93</v>
      </c>
      <c r="N902" s="57">
        <f t="shared" ca="1" si="198"/>
        <v>46267</v>
      </c>
      <c r="O902" s="43" t="s">
        <v>201</v>
      </c>
      <c r="S902" s="82"/>
      <c r="T902" s="66">
        <f t="shared" si="193"/>
        <v>196</v>
      </c>
      <c r="U902" s="46">
        <f t="shared" si="194"/>
        <v>196</v>
      </c>
      <c r="V902" s="82">
        <v>0</v>
      </c>
      <c r="W902" s="4">
        <v>2</v>
      </c>
      <c r="X902" s="195">
        <f t="shared" si="189"/>
        <v>196</v>
      </c>
      <c r="Y902" s="29" t="e">
        <f>IF(+VLOOKUP(I902,P.Referencia!E:S,3,FALSE)&lt;=L902,"Champion","Gerente")</f>
        <v>#N/A</v>
      </c>
      <c r="Z902" s="39" t="e">
        <f>VLOOKUP(I902,P.Referencia!E:S,3,0)</f>
        <v>#N/A</v>
      </c>
      <c r="AA902" s="40" t="e">
        <f t="shared" si="195"/>
        <v>#N/A</v>
      </c>
      <c r="AB902" s="41" t="e">
        <f t="shared" si="196"/>
        <v>#N/A</v>
      </c>
      <c r="AC902" s="41" t="e">
        <f t="shared" si="197"/>
        <v>#N/A</v>
      </c>
    </row>
    <row r="903" spans="1:29" hidden="1" x14ac:dyDescent="0.25">
      <c r="A903" s="24">
        <v>902</v>
      </c>
      <c r="B903" s="89" t="s">
        <v>571</v>
      </c>
      <c r="C903" s="4" t="str">
        <f t="shared" si="188"/>
        <v>LlaveD86467078426100002402</v>
      </c>
      <c r="D903" s="25" t="str">
        <f>VLOOKUP(E903,'NO MODIFICAR'!J:K,2,0)</f>
        <v>D864</v>
      </c>
      <c r="E903" s="102" t="s">
        <v>55</v>
      </c>
      <c r="F903" s="33" t="str">
        <f>VLOOKUP(D903,'NO MODIFICAR'!F:H,3,0)</f>
        <v xml:space="preserve">CENTRO </v>
      </c>
      <c r="G903" s="28">
        <v>67078426</v>
      </c>
      <c r="H903" s="93" t="s">
        <v>575</v>
      </c>
      <c r="I903" s="94">
        <v>10000240</v>
      </c>
      <c r="J903" s="4" t="str">
        <f>VLOOKUP(I903,'Materiales,canteras'!C:D,2,0)</f>
        <v>Grava Triturada Caliza 20 mm -</v>
      </c>
      <c r="K903" s="25">
        <f>VLOOKUP(I903,'Materiales,canteras'!C:E,3,0)</f>
        <v>1.462</v>
      </c>
      <c r="L903" s="105">
        <v>174.5</v>
      </c>
      <c r="M903" s="28" t="s">
        <v>93</v>
      </c>
      <c r="N903" s="57">
        <f t="shared" ca="1" si="198"/>
        <v>46267</v>
      </c>
      <c r="O903" s="43" t="s">
        <v>201</v>
      </c>
      <c r="S903" s="82"/>
      <c r="T903" s="66">
        <f t="shared" si="193"/>
        <v>174.5</v>
      </c>
      <c r="U903" s="46">
        <f t="shared" si="194"/>
        <v>174.5</v>
      </c>
      <c r="V903" s="82">
        <v>0</v>
      </c>
      <c r="W903" s="4">
        <v>2</v>
      </c>
      <c r="X903" s="195">
        <f t="shared" si="189"/>
        <v>174.5</v>
      </c>
      <c r="Y903" s="29" t="e">
        <f>IF(+VLOOKUP(I903,P.Referencia!E:S,3,FALSE)&lt;=L903,"Champion","Gerente")</f>
        <v>#N/A</v>
      </c>
      <c r="Z903" s="39" t="e">
        <f>VLOOKUP(I903,P.Referencia!E:S,3,0)</f>
        <v>#N/A</v>
      </c>
      <c r="AA903" s="40" t="e">
        <f t="shared" si="195"/>
        <v>#N/A</v>
      </c>
      <c r="AB903" s="41" t="e">
        <f t="shared" si="196"/>
        <v>#N/A</v>
      </c>
      <c r="AC903" s="41" t="e">
        <f t="shared" si="197"/>
        <v>#N/A</v>
      </c>
    </row>
    <row r="904" spans="1:29" hidden="1" x14ac:dyDescent="0.25">
      <c r="A904" s="24">
        <v>903</v>
      </c>
      <c r="B904" s="89" t="s">
        <v>571</v>
      </c>
      <c r="C904" s="4" t="str">
        <f t="shared" si="188"/>
        <v>LlaveD86467078426100002692</v>
      </c>
      <c r="D904" s="25" t="str">
        <f>VLOOKUP(E904,'NO MODIFICAR'!J:K,2,0)</f>
        <v>D864</v>
      </c>
      <c r="E904" s="102" t="s">
        <v>55</v>
      </c>
      <c r="F904" s="33" t="str">
        <f>VLOOKUP(D904,'NO MODIFICAR'!F:H,3,0)</f>
        <v xml:space="preserve">CENTRO </v>
      </c>
      <c r="G904" s="28">
        <v>67078426</v>
      </c>
      <c r="H904" s="93" t="s">
        <v>575</v>
      </c>
      <c r="I904" s="94">
        <v>10000269</v>
      </c>
      <c r="J904" s="4" t="str">
        <f>VLOOKUP(I904,'Materiales,canteras'!C:D,2,0)</f>
        <v>Grava Triturada Caliza 13 mm -</v>
      </c>
      <c r="K904" s="25">
        <f>VLOOKUP(I904,'Materiales,canteras'!C:E,3,0)</f>
        <v>1.423</v>
      </c>
      <c r="L904" s="105">
        <v>160</v>
      </c>
      <c r="M904" s="28" t="s">
        <v>93</v>
      </c>
      <c r="N904" s="57">
        <f t="shared" ca="1" si="198"/>
        <v>46267</v>
      </c>
      <c r="O904" s="43" t="s">
        <v>201</v>
      </c>
      <c r="S904" s="82"/>
      <c r="T904" s="66">
        <f t="shared" si="193"/>
        <v>160</v>
      </c>
      <c r="U904" s="46">
        <f t="shared" si="194"/>
        <v>160</v>
      </c>
      <c r="V904" s="82">
        <v>0</v>
      </c>
      <c r="W904" s="4">
        <v>2</v>
      </c>
      <c r="X904" s="195">
        <f t="shared" si="189"/>
        <v>160</v>
      </c>
      <c r="Y904" s="29" t="e">
        <f>IF(+VLOOKUP(I904,P.Referencia!E:S,3,FALSE)&lt;=L904,"Champion","Gerente")</f>
        <v>#N/A</v>
      </c>
      <c r="Z904" s="39" t="e">
        <f>VLOOKUP(I904,P.Referencia!E:S,3,0)</f>
        <v>#N/A</v>
      </c>
      <c r="AA904" s="40" t="e">
        <f t="shared" si="195"/>
        <v>#N/A</v>
      </c>
      <c r="AB904" s="41" t="e">
        <f t="shared" si="196"/>
        <v>#N/A</v>
      </c>
      <c r="AC904" s="41" t="e">
        <f t="shared" si="197"/>
        <v>#N/A</v>
      </c>
    </row>
    <row r="905" spans="1:29" hidden="1" x14ac:dyDescent="0.25">
      <c r="A905" s="24">
        <v>904</v>
      </c>
      <c r="B905" s="89" t="s">
        <v>571</v>
      </c>
      <c r="C905" s="4" t="str">
        <f t="shared" si="188"/>
        <v>LlaveD86467078426100010742</v>
      </c>
      <c r="D905" s="25" t="str">
        <f>VLOOKUP(E905,'NO MODIFICAR'!J:K,2,0)</f>
        <v>D864</v>
      </c>
      <c r="E905" s="102" t="s">
        <v>55</v>
      </c>
      <c r="F905" s="33" t="str">
        <f>VLOOKUP(D905,'NO MODIFICAR'!F:H,3,0)</f>
        <v xml:space="preserve">CENTRO </v>
      </c>
      <c r="G905" s="28">
        <v>67078426</v>
      </c>
      <c r="H905" s="93" t="s">
        <v>575</v>
      </c>
      <c r="I905" s="94">
        <v>10001074</v>
      </c>
      <c r="J905" s="4" t="str">
        <f>VLOOKUP(I905,'Materiales,canteras'!C:D,2,0)</f>
        <v>Grava Triturada Caliza 40 mm -</v>
      </c>
      <c r="K905" s="25">
        <f>VLOOKUP(I905,'Materiales,canteras'!C:E,3,0)</f>
        <v>1.4</v>
      </c>
      <c r="L905" s="105">
        <v>151.41999999999999</v>
      </c>
      <c r="M905" s="28" t="s">
        <v>93</v>
      </c>
      <c r="N905" s="57">
        <f t="shared" ca="1" si="198"/>
        <v>46267</v>
      </c>
      <c r="O905" s="43" t="s">
        <v>201</v>
      </c>
      <c r="S905" s="82"/>
      <c r="T905" s="66">
        <f t="shared" si="193"/>
        <v>151.41999999999999</v>
      </c>
      <c r="U905" s="46">
        <f t="shared" si="194"/>
        <v>151.41999999999999</v>
      </c>
      <c r="V905" s="82">
        <v>0</v>
      </c>
      <c r="W905" s="4">
        <v>2</v>
      </c>
      <c r="X905" s="195">
        <f t="shared" si="189"/>
        <v>151.41999999999999</v>
      </c>
      <c r="Y905" s="29" t="e">
        <f>IF(+VLOOKUP(I905,P.Referencia!E:S,3,FALSE)&lt;=L905,"Champion","Gerente")</f>
        <v>#N/A</v>
      </c>
      <c r="Z905" s="39" t="e">
        <f>VLOOKUP(I905,P.Referencia!E:S,3,0)</f>
        <v>#N/A</v>
      </c>
      <c r="AA905" s="40" t="e">
        <f t="shared" si="195"/>
        <v>#N/A</v>
      </c>
      <c r="AB905" s="41" t="e">
        <f t="shared" si="196"/>
        <v>#N/A</v>
      </c>
      <c r="AC905" s="41" t="e">
        <f t="shared" si="197"/>
        <v>#N/A</v>
      </c>
    </row>
    <row r="906" spans="1:29" hidden="1" x14ac:dyDescent="0.25">
      <c r="A906" s="24">
        <v>905</v>
      </c>
      <c r="B906" s="89" t="s">
        <v>571</v>
      </c>
      <c r="C906" s="4" t="str">
        <f t="shared" si="188"/>
        <v>LlaveD86466881565100010732</v>
      </c>
      <c r="D906" s="25" t="str">
        <f>VLOOKUP(E906,'NO MODIFICAR'!J:K,2,0)</f>
        <v>D864</v>
      </c>
      <c r="E906" s="102" t="s">
        <v>55</v>
      </c>
      <c r="F906" s="33" t="str">
        <f>VLOOKUP(D906,'NO MODIFICAR'!F:H,3,0)</f>
        <v xml:space="preserve">CENTRO </v>
      </c>
      <c r="G906" s="28">
        <v>66881565</v>
      </c>
      <c r="H906" s="93" t="s">
        <v>576</v>
      </c>
      <c r="I906" s="94">
        <v>10001073</v>
      </c>
      <c r="J906" s="4" t="str">
        <f>VLOOKUP(I906,'Materiales,canteras'!C:D,2,0)</f>
        <v>Arena Triturada Caliza Malla 4</v>
      </c>
      <c r="K906" s="25">
        <f>VLOOKUP(I906,'Materiales,canteras'!C:E,3,0)</f>
        <v>1.56</v>
      </c>
      <c r="L906" s="105">
        <v>92.6</v>
      </c>
      <c r="M906" s="28" t="s">
        <v>93</v>
      </c>
      <c r="N906" s="57">
        <f t="shared" ca="1" si="198"/>
        <v>46267</v>
      </c>
      <c r="O906" s="43" t="s">
        <v>201</v>
      </c>
      <c r="S906" s="82"/>
      <c r="T906" s="66">
        <f t="shared" si="193"/>
        <v>92.6</v>
      </c>
      <c r="U906" s="46">
        <f t="shared" si="194"/>
        <v>92.6</v>
      </c>
      <c r="V906" s="82">
        <v>0</v>
      </c>
      <c r="W906" s="4">
        <v>2</v>
      </c>
      <c r="X906" s="195">
        <f t="shared" si="189"/>
        <v>92.6</v>
      </c>
      <c r="Y906" s="29" t="e">
        <f>IF(+VLOOKUP(I906,P.Referencia!E:S,3,FALSE)&lt;=L906,"Champion","Gerente")</f>
        <v>#N/A</v>
      </c>
      <c r="Z906" s="39" t="e">
        <f>VLOOKUP(I906,P.Referencia!E:S,3,0)</f>
        <v>#N/A</v>
      </c>
      <c r="AA906" s="40" t="e">
        <f t="shared" si="195"/>
        <v>#N/A</v>
      </c>
      <c r="AB906" s="41" t="e">
        <f t="shared" si="196"/>
        <v>#N/A</v>
      </c>
      <c r="AC906" s="41" t="e">
        <f t="shared" si="197"/>
        <v>#N/A</v>
      </c>
    </row>
    <row r="907" spans="1:29" hidden="1" x14ac:dyDescent="0.25">
      <c r="A907" s="24">
        <v>906</v>
      </c>
      <c r="B907" s="89" t="s">
        <v>571</v>
      </c>
      <c r="C907" s="4" t="str">
        <f t="shared" si="188"/>
        <v>LlaveD86466881565100002362</v>
      </c>
      <c r="D907" s="25" t="str">
        <f>VLOOKUP(E907,'NO MODIFICAR'!J:K,2,0)</f>
        <v>D864</v>
      </c>
      <c r="E907" s="102" t="s">
        <v>55</v>
      </c>
      <c r="F907" s="33" t="str">
        <f>VLOOKUP(D907,'NO MODIFICAR'!F:H,3,0)</f>
        <v xml:space="preserve">CENTRO </v>
      </c>
      <c r="G907" s="28">
        <v>66881565</v>
      </c>
      <c r="H907" s="93" t="s">
        <v>576</v>
      </c>
      <c r="I907" s="94">
        <v>10000236</v>
      </c>
      <c r="J907" s="4" t="str">
        <f>VLOOKUP(I907,'Materiales,canteras'!C:D,2,0)</f>
        <v>Grava Triturada Caliza 10 mm -</v>
      </c>
      <c r="K907" s="25">
        <f>VLOOKUP(I907,'Materiales,canteras'!C:E,3,0)</f>
        <v>1.41</v>
      </c>
      <c r="L907" s="105">
        <v>196</v>
      </c>
      <c r="M907" s="28" t="s">
        <v>93</v>
      </c>
      <c r="N907" s="57">
        <f t="shared" ca="1" si="198"/>
        <v>46267</v>
      </c>
      <c r="O907" s="43" t="s">
        <v>201</v>
      </c>
      <c r="S907" s="82"/>
      <c r="T907" s="66">
        <f t="shared" si="193"/>
        <v>196</v>
      </c>
      <c r="U907" s="46">
        <f t="shared" si="194"/>
        <v>196</v>
      </c>
      <c r="V907" s="82">
        <v>0</v>
      </c>
      <c r="W907" s="4">
        <v>2</v>
      </c>
      <c r="X907" s="195">
        <f t="shared" si="189"/>
        <v>196</v>
      </c>
      <c r="Y907" s="29" t="e">
        <f>IF(+VLOOKUP(I907,P.Referencia!E:S,3,FALSE)&lt;=L907,"Champion","Gerente")</f>
        <v>#N/A</v>
      </c>
      <c r="Z907" s="39" t="e">
        <f>VLOOKUP(I907,P.Referencia!E:S,3,0)</f>
        <v>#N/A</v>
      </c>
      <c r="AA907" s="40" t="e">
        <f t="shared" si="195"/>
        <v>#N/A</v>
      </c>
      <c r="AB907" s="41" t="e">
        <f t="shared" si="196"/>
        <v>#N/A</v>
      </c>
      <c r="AC907" s="41" t="e">
        <f t="shared" si="197"/>
        <v>#N/A</v>
      </c>
    </row>
    <row r="908" spans="1:29" hidden="1" x14ac:dyDescent="0.25">
      <c r="A908" s="24">
        <v>907</v>
      </c>
      <c r="B908" s="89" t="s">
        <v>571</v>
      </c>
      <c r="C908" s="4" t="str">
        <f t="shared" si="188"/>
        <v>LlaveD86466881565100002402</v>
      </c>
      <c r="D908" s="25" t="str">
        <f>VLOOKUP(E908,'NO MODIFICAR'!J:K,2,0)</f>
        <v>D864</v>
      </c>
      <c r="E908" s="102" t="s">
        <v>55</v>
      </c>
      <c r="F908" s="33" t="str">
        <f>VLOOKUP(D908,'NO MODIFICAR'!F:H,3,0)</f>
        <v xml:space="preserve">CENTRO </v>
      </c>
      <c r="G908" s="28">
        <v>66881565</v>
      </c>
      <c r="H908" s="93" t="s">
        <v>576</v>
      </c>
      <c r="I908" s="94">
        <v>10000240</v>
      </c>
      <c r="J908" s="4" t="str">
        <f>VLOOKUP(I908,'Materiales,canteras'!C:D,2,0)</f>
        <v>Grava Triturada Caliza 20 mm -</v>
      </c>
      <c r="K908" s="25">
        <f>VLOOKUP(I908,'Materiales,canteras'!C:E,3,0)</f>
        <v>1.462</v>
      </c>
      <c r="L908" s="105">
        <v>174.5</v>
      </c>
      <c r="M908" s="28" t="s">
        <v>93</v>
      </c>
      <c r="N908" s="57">
        <f t="shared" ca="1" si="198"/>
        <v>46267</v>
      </c>
      <c r="O908" s="43" t="s">
        <v>201</v>
      </c>
      <c r="S908" s="82"/>
      <c r="T908" s="66">
        <f t="shared" si="193"/>
        <v>174.5</v>
      </c>
      <c r="U908" s="46">
        <f t="shared" si="194"/>
        <v>174.5</v>
      </c>
      <c r="V908" s="82">
        <v>0</v>
      </c>
      <c r="W908" s="4">
        <v>2</v>
      </c>
      <c r="X908" s="195">
        <f t="shared" si="189"/>
        <v>174.5</v>
      </c>
      <c r="Y908" s="29" t="e">
        <f>IF(+VLOOKUP(I908,P.Referencia!E:S,3,FALSE)&lt;=L908,"Champion","Gerente")</f>
        <v>#N/A</v>
      </c>
      <c r="Z908" s="39" t="e">
        <f>VLOOKUP(I908,P.Referencia!E:S,3,0)</f>
        <v>#N/A</v>
      </c>
      <c r="AA908" s="40" t="e">
        <f t="shared" si="195"/>
        <v>#N/A</v>
      </c>
      <c r="AB908" s="41" t="e">
        <f t="shared" si="196"/>
        <v>#N/A</v>
      </c>
      <c r="AC908" s="41" t="e">
        <f t="shared" si="197"/>
        <v>#N/A</v>
      </c>
    </row>
    <row r="909" spans="1:29" hidden="1" x14ac:dyDescent="0.25">
      <c r="A909" s="24">
        <v>908</v>
      </c>
      <c r="B909" s="89" t="s">
        <v>571</v>
      </c>
      <c r="C909" s="4" t="str">
        <f t="shared" si="188"/>
        <v>LlaveD86466881565100002692</v>
      </c>
      <c r="D909" s="25" t="str">
        <f>VLOOKUP(E909,'NO MODIFICAR'!J:K,2,0)</f>
        <v>D864</v>
      </c>
      <c r="E909" s="102" t="s">
        <v>55</v>
      </c>
      <c r="F909" s="33" t="str">
        <f>VLOOKUP(D909,'NO MODIFICAR'!F:H,3,0)</f>
        <v xml:space="preserve">CENTRO </v>
      </c>
      <c r="G909" s="28">
        <v>66881565</v>
      </c>
      <c r="H909" s="93" t="s">
        <v>576</v>
      </c>
      <c r="I909" s="94">
        <v>10000269</v>
      </c>
      <c r="J909" s="4" t="str">
        <f>VLOOKUP(I909,'Materiales,canteras'!C:D,2,0)</f>
        <v>Grava Triturada Caliza 13 mm -</v>
      </c>
      <c r="K909" s="25">
        <f>VLOOKUP(I909,'Materiales,canteras'!C:E,3,0)</f>
        <v>1.423</v>
      </c>
      <c r="L909" s="105">
        <v>160</v>
      </c>
      <c r="M909" s="28" t="s">
        <v>93</v>
      </c>
      <c r="N909" s="57">
        <f t="shared" ca="1" si="198"/>
        <v>46267</v>
      </c>
      <c r="O909" s="43" t="s">
        <v>201</v>
      </c>
      <c r="S909" s="82"/>
      <c r="T909" s="66">
        <f t="shared" si="193"/>
        <v>160</v>
      </c>
      <c r="U909" s="46">
        <f t="shared" si="194"/>
        <v>160</v>
      </c>
      <c r="V909" s="82">
        <v>0</v>
      </c>
      <c r="W909" s="4">
        <v>2</v>
      </c>
      <c r="X909" s="195">
        <f t="shared" si="189"/>
        <v>160</v>
      </c>
      <c r="Y909" s="29" t="e">
        <f>IF(+VLOOKUP(I909,P.Referencia!E:S,3,FALSE)&lt;=L909,"Champion","Gerente")</f>
        <v>#N/A</v>
      </c>
      <c r="Z909" s="39" t="e">
        <f>VLOOKUP(I909,P.Referencia!E:S,3,0)</f>
        <v>#N/A</v>
      </c>
      <c r="AA909" s="40" t="e">
        <f t="shared" si="195"/>
        <v>#N/A</v>
      </c>
      <c r="AB909" s="41" t="e">
        <f t="shared" si="196"/>
        <v>#N/A</v>
      </c>
      <c r="AC909" s="41" t="e">
        <f t="shared" si="197"/>
        <v>#N/A</v>
      </c>
    </row>
    <row r="910" spans="1:29" hidden="1" x14ac:dyDescent="0.25">
      <c r="A910" s="24">
        <v>909</v>
      </c>
      <c r="B910" s="89" t="s">
        <v>571</v>
      </c>
      <c r="C910" s="4" t="str">
        <f t="shared" si="188"/>
        <v>LlaveD86466881565100010742</v>
      </c>
      <c r="D910" s="25" t="str">
        <f>VLOOKUP(E910,'NO MODIFICAR'!J:K,2,0)</f>
        <v>D864</v>
      </c>
      <c r="E910" s="102" t="s">
        <v>55</v>
      </c>
      <c r="F910" s="33" t="str">
        <f>VLOOKUP(D910,'NO MODIFICAR'!F:H,3,0)</f>
        <v xml:space="preserve">CENTRO </v>
      </c>
      <c r="G910" s="28">
        <v>66881565</v>
      </c>
      <c r="H910" s="93" t="s">
        <v>576</v>
      </c>
      <c r="I910" s="94">
        <v>10001074</v>
      </c>
      <c r="J910" s="4" t="str">
        <f>VLOOKUP(I910,'Materiales,canteras'!C:D,2,0)</f>
        <v>Grava Triturada Caliza 40 mm -</v>
      </c>
      <c r="K910" s="25">
        <f>VLOOKUP(I910,'Materiales,canteras'!C:E,3,0)</f>
        <v>1.4</v>
      </c>
      <c r="L910" s="105">
        <v>151.41999999999999</v>
      </c>
      <c r="M910" s="28" t="s">
        <v>93</v>
      </c>
      <c r="N910" s="57">
        <f t="shared" ca="1" si="198"/>
        <v>46267</v>
      </c>
      <c r="O910" s="43" t="s">
        <v>201</v>
      </c>
      <c r="S910" s="82"/>
      <c r="T910" s="66">
        <f t="shared" si="193"/>
        <v>151.41999999999999</v>
      </c>
      <c r="U910" s="46">
        <f t="shared" si="194"/>
        <v>151.41999999999999</v>
      </c>
      <c r="V910" s="82">
        <v>0</v>
      </c>
      <c r="W910" s="4">
        <v>2</v>
      </c>
      <c r="X910" s="195">
        <f t="shared" si="189"/>
        <v>151.41999999999999</v>
      </c>
      <c r="Y910" s="29" t="e">
        <f>IF(+VLOOKUP(I910,P.Referencia!E:S,3,FALSE)&lt;=L910,"Champion","Gerente")</f>
        <v>#N/A</v>
      </c>
      <c r="Z910" s="39" t="e">
        <f>VLOOKUP(I910,P.Referencia!E:S,3,0)</f>
        <v>#N/A</v>
      </c>
      <c r="AA910" s="40" t="e">
        <f t="shared" si="195"/>
        <v>#N/A</v>
      </c>
      <c r="AB910" s="41" t="e">
        <f t="shared" si="196"/>
        <v>#N/A</v>
      </c>
      <c r="AC910" s="41" t="e">
        <f t="shared" si="197"/>
        <v>#N/A</v>
      </c>
    </row>
    <row r="911" spans="1:29" hidden="1" x14ac:dyDescent="0.25">
      <c r="A911" s="24">
        <v>910</v>
      </c>
      <c r="B911" s="89" t="s">
        <v>571</v>
      </c>
      <c r="C911" s="4" t="str">
        <f t="shared" si="188"/>
        <v>LlaveD86465763944100010732</v>
      </c>
      <c r="D911" s="25" t="str">
        <f>VLOOKUP(E911,'NO MODIFICAR'!J:K,2,0)</f>
        <v>D864</v>
      </c>
      <c r="E911" s="102" t="s">
        <v>55</v>
      </c>
      <c r="F911" s="33" t="str">
        <f>VLOOKUP(D911,'NO MODIFICAR'!F:H,3,0)</f>
        <v xml:space="preserve">CENTRO </v>
      </c>
      <c r="G911" s="28">
        <v>65763944</v>
      </c>
      <c r="H911" s="93" t="s">
        <v>577</v>
      </c>
      <c r="I911" s="94">
        <v>10001073</v>
      </c>
      <c r="J911" s="4" t="str">
        <f>VLOOKUP(I911,'Materiales,canteras'!C:D,2,0)</f>
        <v>Arena Triturada Caliza Malla 4</v>
      </c>
      <c r="K911" s="25">
        <f>VLOOKUP(I911,'Materiales,canteras'!C:E,3,0)</f>
        <v>1.56</v>
      </c>
      <c r="L911" s="105">
        <v>92.6</v>
      </c>
      <c r="M911" s="28" t="s">
        <v>93</v>
      </c>
      <c r="N911" s="57">
        <f t="shared" ca="1" si="198"/>
        <v>46267</v>
      </c>
      <c r="O911" s="43" t="s">
        <v>201</v>
      </c>
      <c r="S911" s="82"/>
      <c r="T911" s="66">
        <f t="shared" si="193"/>
        <v>92.6</v>
      </c>
      <c r="U911" s="46">
        <f t="shared" si="194"/>
        <v>92.6</v>
      </c>
      <c r="V911" s="82">
        <v>0</v>
      </c>
      <c r="W911" s="4">
        <v>2</v>
      </c>
      <c r="X911" s="195">
        <f t="shared" si="189"/>
        <v>92.6</v>
      </c>
      <c r="Y911" s="29" t="e">
        <f>IF(+VLOOKUP(I911,P.Referencia!E:S,3,FALSE)&lt;=L911,"Champion","Gerente")</f>
        <v>#N/A</v>
      </c>
      <c r="Z911" s="39" t="e">
        <f>VLOOKUP(I911,P.Referencia!E:S,3,0)</f>
        <v>#N/A</v>
      </c>
      <c r="AA911" s="40" t="e">
        <f t="shared" si="195"/>
        <v>#N/A</v>
      </c>
      <c r="AB911" s="41" t="e">
        <f t="shared" si="196"/>
        <v>#N/A</v>
      </c>
      <c r="AC911" s="41" t="e">
        <f t="shared" si="197"/>
        <v>#N/A</v>
      </c>
    </row>
    <row r="912" spans="1:29" hidden="1" x14ac:dyDescent="0.25">
      <c r="A912" s="24">
        <v>911</v>
      </c>
      <c r="B912" s="89" t="s">
        <v>571</v>
      </c>
      <c r="C912" s="4" t="str">
        <f t="shared" si="188"/>
        <v>LlaveD86465763944100002362</v>
      </c>
      <c r="D912" s="25" t="str">
        <f>VLOOKUP(E912,'NO MODIFICAR'!J:K,2,0)</f>
        <v>D864</v>
      </c>
      <c r="E912" s="102" t="s">
        <v>55</v>
      </c>
      <c r="F912" s="33" t="str">
        <f>VLOOKUP(D912,'NO MODIFICAR'!F:H,3,0)</f>
        <v xml:space="preserve">CENTRO </v>
      </c>
      <c r="G912" s="28">
        <v>65763944</v>
      </c>
      <c r="H912" s="93" t="s">
        <v>577</v>
      </c>
      <c r="I912" s="94">
        <v>10000236</v>
      </c>
      <c r="J912" s="4" t="str">
        <f>VLOOKUP(I912,'Materiales,canteras'!C:D,2,0)</f>
        <v>Grava Triturada Caliza 10 mm -</v>
      </c>
      <c r="K912" s="25">
        <f>VLOOKUP(I912,'Materiales,canteras'!C:E,3,0)</f>
        <v>1.41</v>
      </c>
      <c r="L912" s="105">
        <v>196</v>
      </c>
      <c r="M912" s="28" t="s">
        <v>93</v>
      </c>
      <c r="N912" s="57">
        <f t="shared" ca="1" si="198"/>
        <v>46267</v>
      </c>
      <c r="O912" s="43" t="s">
        <v>201</v>
      </c>
      <c r="S912" s="82"/>
      <c r="T912" s="66">
        <f t="shared" si="193"/>
        <v>196</v>
      </c>
      <c r="U912" s="46">
        <f t="shared" si="194"/>
        <v>196</v>
      </c>
      <c r="V912" s="82">
        <v>0</v>
      </c>
      <c r="W912" s="4">
        <v>2</v>
      </c>
      <c r="X912" s="195">
        <f t="shared" si="189"/>
        <v>196</v>
      </c>
      <c r="Y912" s="29" t="e">
        <f>IF(+VLOOKUP(I912,P.Referencia!E:S,3,FALSE)&lt;=L912,"Champion","Gerente")</f>
        <v>#N/A</v>
      </c>
      <c r="Z912" s="39" t="e">
        <f>VLOOKUP(I912,P.Referencia!E:S,3,0)</f>
        <v>#N/A</v>
      </c>
      <c r="AA912" s="40" t="e">
        <f t="shared" si="195"/>
        <v>#N/A</v>
      </c>
      <c r="AB912" s="41" t="e">
        <f t="shared" si="196"/>
        <v>#N/A</v>
      </c>
      <c r="AC912" s="41" t="e">
        <f t="shared" si="197"/>
        <v>#N/A</v>
      </c>
    </row>
    <row r="913" spans="1:29" hidden="1" x14ac:dyDescent="0.25">
      <c r="A913" s="24">
        <v>912</v>
      </c>
      <c r="B913" s="89" t="s">
        <v>571</v>
      </c>
      <c r="C913" s="4" t="str">
        <f t="shared" si="188"/>
        <v>LlaveD86465763944100002402</v>
      </c>
      <c r="D913" s="25" t="str">
        <f>VLOOKUP(E913,'NO MODIFICAR'!J:K,2,0)</f>
        <v>D864</v>
      </c>
      <c r="E913" s="102" t="s">
        <v>55</v>
      </c>
      <c r="F913" s="33" t="str">
        <f>VLOOKUP(D913,'NO MODIFICAR'!F:H,3,0)</f>
        <v xml:space="preserve">CENTRO </v>
      </c>
      <c r="G913" s="28">
        <v>65763944</v>
      </c>
      <c r="H913" s="93" t="s">
        <v>577</v>
      </c>
      <c r="I913" s="94">
        <v>10000240</v>
      </c>
      <c r="J913" s="4" t="str">
        <f>VLOOKUP(I913,'Materiales,canteras'!C:D,2,0)</f>
        <v>Grava Triturada Caliza 20 mm -</v>
      </c>
      <c r="K913" s="25">
        <f>VLOOKUP(I913,'Materiales,canteras'!C:E,3,0)</f>
        <v>1.462</v>
      </c>
      <c r="L913" s="105">
        <v>174.5</v>
      </c>
      <c r="M913" s="28" t="s">
        <v>93</v>
      </c>
      <c r="N913" s="57">
        <f t="shared" ca="1" si="198"/>
        <v>46267</v>
      </c>
      <c r="O913" s="43" t="s">
        <v>201</v>
      </c>
      <c r="S913" s="82"/>
      <c r="T913" s="66">
        <f t="shared" si="193"/>
        <v>174.5</v>
      </c>
      <c r="U913" s="46">
        <f t="shared" si="194"/>
        <v>174.5</v>
      </c>
      <c r="V913" s="82">
        <v>0</v>
      </c>
      <c r="W913" s="4">
        <v>2</v>
      </c>
      <c r="X913" s="195">
        <f t="shared" si="189"/>
        <v>174.5</v>
      </c>
      <c r="Y913" s="29" t="e">
        <f>IF(+VLOOKUP(I913,P.Referencia!E:S,3,FALSE)&lt;=L913,"Champion","Gerente")</f>
        <v>#N/A</v>
      </c>
      <c r="Z913" s="39" t="e">
        <f>VLOOKUP(I913,P.Referencia!E:S,3,0)</f>
        <v>#N/A</v>
      </c>
      <c r="AA913" s="40" t="e">
        <f t="shared" si="195"/>
        <v>#N/A</v>
      </c>
      <c r="AB913" s="41" t="e">
        <f t="shared" si="196"/>
        <v>#N/A</v>
      </c>
      <c r="AC913" s="41" t="e">
        <f t="shared" si="197"/>
        <v>#N/A</v>
      </c>
    </row>
    <row r="914" spans="1:29" hidden="1" x14ac:dyDescent="0.25">
      <c r="A914" s="24">
        <v>913</v>
      </c>
      <c r="B914" s="89" t="s">
        <v>571</v>
      </c>
      <c r="C914" s="4" t="str">
        <f t="shared" si="188"/>
        <v>LlaveD86465763944100002692</v>
      </c>
      <c r="D914" s="25" t="str">
        <f>VLOOKUP(E914,'NO MODIFICAR'!J:K,2,0)</f>
        <v>D864</v>
      </c>
      <c r="E914" s="102" t="s">
        <v>55</v>
      </c>
      <c r="F914" s="33" t="str">
        <f>VLOOKUP(D914,'NO MODIFICAR'!F:H,3,0)</f>
        <v xml:space="preserve">CENTRO </v>
      </c>
      <c r="G914" s="28">
        <v>65763944</v>
      </c>
      <c r="H914" s="93" t="s">
        <v>577</v>
      </c>
      <c r="I914" s="94">
        <v>10000269</v>
      </c>
      <c r="J914" s="4" t="str">
        <f>VLOOKUP(I914,'Materiales,canteras'!C:D,2,0)</f>
        <v>Grava Triturada Caliza 13 mm -</v>
      </c>
      <c r="K914" s="25">
        <f>VLOOKUP(I914,'Materiales,canteras'!C:E,3,0)</f>
        <v>1.423</v>
      </c>
      <c r="L914" s="105">
        <v>160</v>
      </c>
      <c r="M914" s="28" t="s">
        <v>93</v>
      </c>
      <c r="N914" s="57">
        <f t="shared" ca="1" si="198"/>
        <v>46267</v>
      </c>
      <c r="O914" s="43" t="s">
        <v>201</v>
      </c>
      <c r="S914" s="82"/>
      <c r="T914" s="66">
        <f t="shared" si="193"/>
        <v>160</v>
      </c>
      <c r="U914" s="46">
        <f t="shared" si="194"/>
        <v>160</v>
      </c>
      <c r="V914" s="82">
        <v>0</v>
      </c>
      <c r="W914" s="4">
        <v>2</v>
      </c>
      <c r="X914" s="195">
        <f t="shared" si="189"/>
        <v>160</v>
      </c>
      <c r="Y914" s="29" t="e">
        <f>IF(+VLOOKUP(I914,P.Referencia!E:S,3,FALSE)&lt;=L914,"Champion","Gerente")</f>
        <v>#N/A</v>
      </c>
      <c r="Z914" s="39" t="e">
        <f>VLOOKUP(I914,P.Referencia!E:S,3,0)</f>
        <v>#N/A</v>
      </c>
      <c r="AA914" s="40" t="e">
        <f t="shared" si="195"/>
        <v>#N/A</v>
      </c>
      <c r="AB914" s="41" t="e">
        <f t="shared" si="196"/>
        <v>#N/A</v>
      </c>
      <c r="AC914" s="41" t="e">
        <f t="shared" si="197"/>
        <v>#N/A</v>
      </c>
    </row>
    <row r="915" spans="1:29" hidden="1" x14ac:dyDescent="0.25">
      <c r="A915" s="24">
        <v>914</v>
      </c>
      <c r="B915" s="89" t="s">
        <v>571</v>
      </c>
      <c r="C915" s="4" t="str">
        <f t="shared" si="188"/>
        <v>LlaveD86465763944100010742</v>
      </c>
      <c r="D915" s="25" t="str">
        <f>VLOOKUP(E915,'NO MODIFICAR'!J:K,2,0)</f>
        <v>D864</v>
      </c>
      <c r="E915" s="102" t="s">
        <v>55</v>
      </c>
      <c r="F915" s="33" t="str">
        <f>VLOOKUP(D915,'NO MODIFICAR'!F:H,3,0)</f>
        <v xml:space="preserve">CENTRO </v>
      </c>
      <c r="G915" s="28">
        <v>65763944</v>
      </c>
      <c r="H915" s="93" t="s">
        <v>577</v>
      </c>
      <c r="I915" s="94">
        <v>10001074</v>
      </c>
      <c r="J915" s="4" t="str">
        <f>VLOOKUP(I915,'Materiales,canteras'!C:D,2,0)</f>
        <v>Grava Triturada Caliza 40 mm -</v>
      </c>
      <c r="K915" s="25">
        <f>VLOOKUP(I915,'Materiales,canteras'!C:E,3,0)</f>
        <v>1.4</v>
      </c>
      <c r="L915" s="105">
        <v>151.41999999999999</v>
      </c>
      <c r="M915" s="28" t="s">
        <v>93</v>
      </c>
      <c r="N915" s="57">
        <f t="shared" ca="1" si="198"/>
        <v>46267</v>
      </c>
      <c r="O915" s="43" t="s">
        <v>201</v>
      </c>
      <c r="S915" s="82"/>
      <c r="T915" s="66">
        <f t="shared" si="193"/>
        <v>151.41999999999999</v>
      </c>
      <c r="U915" s="46">
        <f t="shared" si="194"/>
        <v>151.41999999999999</v>
      </c>
      <c r="V915" s="82">
        <v>0</v>
      </c>
      <c r="W915" s="4">
        <v>2</v>
      </c>
      <c r="X915" s="195">
        <f t="shared" si="189"/>
        <v>151.41999999999999</v>
      </c>
      <c r="Y915" s="29" t="e">
        <f>IF(+VLOOKUP(I915,P.Referencia!E:S,3,FALSE)&lt;=L915,"Champion","Gerente")</f>
        <v>#N/A</v>
      </c>
      <c r="Z915" s="39" t="e">
        <f>VLOOKUP(I915,P.Referencia!E:S,3,0)</f>
        <v>#N/A</v>
      </c>
      <c r="AA915" s="40" t="e">
        <f t="shared" si="195"/>
        <v>#N/A</v>
      </c>
      <c r="AB915" s="41" t="e">
        <f t="shared" si="196"/>
        <v>#N/A</v>
      </c>
      <c r="AC915" s="41" t="e">
        <f t="shared" si="197"/>
        <v>#N/A</v>
      </c>
    </row>
    <row r="916" spans="1:29" hidden="1" x14ac:dyDescent="0.25">
      <c r="A916" s="24">
        <v>915</v>
      </c>
      <c r="B916" s="89" t="s">
        <v>571</v>
      </c>
      <c r="C916" s="4" t="str">
        <f t="shared" si="188"/>
        <v>LlaveD86465714354100010732</v>
      </c>
      <c r="D916" s="25" t="str">
        <f>VLOOKUP(E916,'NO MODIFICAR'!J:K,2,0)</f>
        <v>D864</v>
      </c>
      <c r="E916" s="102" t="s">
        <v>55</v>
      </c>
      <c r="F916" s="33" t="str">
        <f>VLOOKUP(D916,'NO MODIFICAR'!F:H,3,0)</f>
        <v xml:space="preserve">CENTRO </v>
      </c>
      <c r="G916" s="28">
        <v>65714354</v>
      </c>
      <c r="H916" s="93" t="s">
        <v>578</v>
      </c>
      <c r="I916" s="94">
        <v>10001073</v>
      </c>
      <c r="J916" s="4" t="str">
        <f>VLOOKUP(I916,'Materiales,canteras'!C:D,2,0)</f>
        <v>Arena Triturada Caliza Malla 4</v>
      </c>
      <c r="K916" s="25">
        <f>VLOOKUP(I916,'Materiales,canteras'!C:E,3,0)</f>
        <v>1.56</v>
      </c>
      <c r="L916" s="105">
        <v>92.6</v>
      </c>
      <c r="M916" s="28" t="s">
        <v>93</v>
      </c>
      <c r="N916" s="57">
        <f t="shared" ca="1" si="198"/>
        <v>46267</v>
      </c>
      <c r="O916" s="43" t="s">
        <v>201</v>
      </c>
      <c r="S916" s="82"/>
      <c r="T916" s="66">
        <f t="shared" si="193"/>
        <v>92.6</v>
      </c>
      <c r="U916" s="46">
        <f t="shared" si="194"/>
        <v>92.6</v>
      </c>
      <c r="V916" s="82">
        <v>0</v>
      </c>
      <c r="W916" s="4">
        <v>2</v>
      </c>
      <c r="X916" s="195">
        <f t="shared" si="189"/>
        <v>92.6</v>
      </c>
      <c r="Y916" s="29" t="e">
        <f>IF(+VLOOKUP(I916,P.Referencia!E:S,3,FALSE)&lt;=L916,"Champion","Gerente")</f>
        <v>#N/A</v>
      </c>
      <c r="Z916" s="39" t="e">
        <f>VLOOKUP(I916,P.Referencia!E:S,3,0)</f>
        <v>#N/A</v>
      </c>
      <c r="AA916" s="40" t="e">
        <f t="shared" si="195"/>
        <v>#N/A</v>
      </c>
      <c r="AB916" s="41" t="e">
        <f t="shared" si="196"/>
        <v>#N/A</v>
      </c>
      <c r="AC916" s="41" t="e">
        <f t="shared" si="197"/>
        <v>#N/A</v>
      </c>
    </row>
    <row r="917" spans="1:29" hidden="1" x14ac:dyDescent="0.25">
      <c r="A917" s="24">
        <v>916</v>
      </c>
      <c r="B917" s="89" t="s">
        <v>571</v>
      </c>
      <c r="C917" s="4" t="str">
        <f t="shared" si="188"/>
        <v>LlaveD86465714354100002362</v>
      </c>
      <c r="D917" s="25" t="str">
        <f>VLOOKUP(E917,'NO MODIFICAR'!J:K,2,0)</f>
        <v>D864</v>
      </c>
      <c r="E917" s="102" t="s">
        <v>55</v>
      </c>
      <c r="F917" s="33" t="str">
        <f>VLOOKUP(D917,'NO MODIFICAR'!F:H,3,0)</f>
        <v xml:space="preserve">CENTRO </v>
      </c>
      <c r="G917" s="28">
        <v>65714354</v>
      </c>
      <c r="H917" s="93" t="s">
        <v>578</v>
      </c>
      <c r="I917" s="94">
        <v>10000236</v>
      </c>
      <c r="J917" s="4" t="str">
        <f>VLOOKUP(I917,'Materiales,canteras'!C:D,2,0)</f>
        <v>Grava Triturada Caliza 10 mm -</v>
      </c>
      <c r="K917" s="25">
        <f>VLOOKUP(I917,'Materiales,canteras'!C:E,3,0)</f>
        <v>1.41</v>
      </c>
      <c r="L917" s="105">
        <v>196</v>
      </c>
      <c r="M917" s="28" t="s">
        <v>93</v>
      </c>
      <c r="N917" s="57">
        <f t="shared" ca="1" si="198"/>
        <v>46267</v>
      </c>
      <c r="O917" s="43" t="s">
        <v>201</v>
      </c>
      <c r="S917" s="82"/>
      <c r="T917" s="66">
        <f t="shared" si="193"/>
        <v>196</v>
      </c>
      <c r="U917" s="46">
        <f t="shared" si="194"/>
        <v>196</v>
      </c>
      <c r="V917" s="82">
        <v>0</v>
      </c>
      <c r="W917" s="4">
        <v>2</v>
      </c>
      <c r="X917" s="195">
        <f t="shared" si="189"/>
        <v>196</v>
      </c>
      <c r="Y917" s="29" t="e">
        <f>IF(+VLOOKUP(I917,P.Referencia!E:S,3,FALSE)&lt;=L917,"Champion","Gerente")</f>
        <v>#N/A</v>
      </c>
      <c r="Z917" s="39" t="e">
        <f>VLOOKUP(I917,P.Referencia!E:S,3,0)</f>
        <v>#N/A</v>
      </c>
      <c r="AA917" s="40" t="e">
        <f t="shared" ref="AA917:AA932" si="199">(Z917-U917)/U917</f>
        <v>#N/A</v>
      </c>
      <c r="AB917" s="41" t="e">
        <f t="shared" ref="AB917:AB932" si="200">U917*AA917</f>
        <v>#N/A</v>
      </c>
      <c r="AC917" s="41" t="e">
        <f t="shared" ref="AC917:AC932" si="201">U917+AB917</f>
        <v>#N/A</v>
      </c>
    </row>
    <row r="918" spans="1:29" hidden="1" x14ac:dyDescent="0.25">
      <c r="A918" s="24">
        <v>917</v>
      </c>
      <c r="B918" s="89" t="s">
        <v>571</v>
      </c>
      <c r="C918" s="4" t="str">
        <f t="shared" si="188"/>
        <v>LlaveD86465714354100002402</v>
      </c>
      <c r="D918" s="25" t="str">
        <f>VLOOKUP(E918,'NO MODIFICAR'!J:K,2,0)</f>
        <v>D864</v>
      </c>
      <c r="E918" s="102" t="s">
        <v>55</v>
      </c>
      <c r="F918" s="33" t="str">
        <f>VLOOKUP(D918,'NO MODIFICAR'!F:H,3,0)</f>
        <v xml:space="preserve">CENTRO </v>
      </c>
      <c r="G918" s="28">
        <v>65714354</v>
      </c>
      <c r="H918" s="93" t="s">
        <v>578</v>
      </c>
      <c r="I918" s="94">
        <v>10000240</v>
      </c>
      <c r="J918" s="4" t="str">
        <f>VLOOKUP(I918,'Materiales,canteras'!C:D,2,0)</f>
        <v>Grava Triturada Caliza 20 mm -</v>
      </c>
      <c r="K918" s="25">
        <f>VLOOKUP(I918,'Materiales,canteras'!C:E,3,0)</f>
        <v>1.462</v>
      </c>
      <c r="L918" s="105">
        <v>174.5</v>
      </c>
      <c r="M918" s="28" t="s">
        <v>93</v>
      </c>
      <c r="N918" s="57">
        <f t="shared" ca="1" si="198"/>
        <v>46267</v>
      </c>
      <c r="O918" s="43" t="s">
        <v>201</v>
      </c>
      <c r="S918" s="82"/>
      <c r="T918" s="66">
        <f t="shared" si="193"/>
        <v>174.5</v>
      </c>
      <c r="U918" s="46">
        <f t="shared" si="194"/>
        <v>174.5</v>
      </c>
      <c r="V918" s="82">
        <v>0</v>
      </c>
      <c r="W918" s="4">
        <v>2</v>
      </c>
      <c r="X918" s="195">
        <f t="shared" si="189"/>
        <v>174.5</v>
      </c>
      <c r="Y918" s="29" t="e">
        <f>IF(+VLOOKUP(I918,P.Referencia!E:S,3,FALSE)&lt;=L918,"Champion","Gerente")</f>
        <v>#N/A</v>
      </c>
      <c r="Z918" s="39" t="e">
        <f>VLOOKUP(I918,P.Referencia!E:S,3,0)</f>
        <v>#N/A</v>
      </c>
      <c r="AA918" s="40" t="e">
        <f t="shared" si="199"/>
        <v>#N/A</v>
      </c>
      <c r="AB918" s="41" t="e">
        <f t="shared" si="200"/>
        <v>#N/A</v>
      </c>
      <c r="AC918" s="41" t="e">
        <f t="shared" si="201"/>
        <v>#N/A</v>
      </c>
    </row>
    <row r="919" spans="1:29" hidden="1" x14ac:dyDescent="0.25">
      <c r="A919" s="24">
        <v>918</v>
      </c>
      <c r="B919" s="89" t="s">
        <v>571</v>
      </c>
      <c r="C919" s="4" t="str">
        <f t="shared" si="188"/>
        <v>LlaveD86465714354100002692</v>
      </c>
      <c r="D919" s="25" t="str">
        <f>VLOOKUP(E919,'NO MODIFICAR'!J:K,2,0)</f>
        <v>D864</v>
      </c>
      <c r="E919" s="102" t="s">
        <v>55</v>
      </c>
      <c r="F919" s="33" t="str">
        <f>VLOOKUP(D919,'NO MODIFICAR'!F:H,3,0)</f>
        <v xml:space="preserve">CENTRO </v>
      </c>
      <c r="G919" s="28">
        <v>65714354</v>
      </c>
      <c r="H919" s="93" t="s">
        <v>578</v>
      </c>
      <c r="I919" s="94">
        <v>10000269</v>
      </c>
      <c r="J919" s="4" t="str">
        <f>VLOOKUP(I919,'Materiales,canteras'!C:D,2,0)</f>
        <v>Grava Triturada Caliza 13 mm -</v>
      </c>
      <c r="K919" s="25">
        <f>VLOOKUP(I919,'Materiales,canteras'!C:E,3,0)</f>
        <v>1.423</v>
      </c>
      <c r="L919" s="105">
        <v>160</v>
      </c>
      <c r="M919" s="28" t="s">
        <v>93</v>
      </c>
      <c r="N919" s="57">
        <f t="shared" ca="1" si="198"/>
        <v>46267</v>
      </c>
      <c r="O919" s="43" t="s">
        <v>201</v>
      </c>
      <c r="S919" s="82"/>
      <c r="T919" s="66">
        <f t="shared" si="193"/>
        <v>160</v>
      </c>
      <c r="U919" s="46">
        <f t="shared" si="194"/>
        <v>160</v>
      </c>
      <c r="V919" s="82">
        <v>0</v>
      </c>
      <c r="W919" s="4">
        <v>2</v>
      </c>
      <c r="X919" s="195">
        <f t="shared" si="189"/>
        <v>160</v>
      </c>
      <c r="Y919" s="29" t="e">
        <f>IF(+VLOOKUP(I919,P.Referencia!E:S,3,FALSE)&lt;=L919,"Champion","Gerente")</f>
        <v>#N/A</v>
      </c>
      <c r="Z919" s="39" t="e">
        <f>VLOOKUP(I919,P.Referencia!E:S,3,0)</f>
        <v>#N/A</v>
      </c>
      <c r="AA919" s="40" t="e">
        <f t="shared" si="199"/>
        <v>#N/A</v>
      </c>
      <c r="AB919" s="41" t="e">
        <f t="shared" si="200"/>
        <v>#N/A</v>
      </c>
      <c r="AC919" s="41" t="e">
        <f t="shared" si="201"/>
        <v>#N/A</v>
      </c>
    </row>
    <row r="920" spans="1:29" hidden="1" x14ac:dyDescent="0.25">
      <c r="A920" s="24">
        <v>919</v>
      </c>
      <c r="B920" s="89" t="s">
        <v>571</v>
      </c>
      <c r="C920" s="4" t="str">
        <f t="shared" si="188"/>
        <v>LlaveD86465714354100010742</v>
      </c>
      <c r="D920" s="25" t="str">
        <f>VLOOKUP(E920,'NO MODIFICAR'!J:K,2,0)</f>
        <v>D864</v>
      </c>
      <c r="E920" s="102" t="s">
        <v>55</v>
      </c>
      <c r="F920" s="33" t="str">
        <f>VLOOKUP(D920,'NO MODIFICAR'!F:H,3,0)</f>
        <v xml:space="preserve">CENTRO </v>
      </c>
      <c r="G920" s="28">
        <v>65714354</v>
      </c>
      <c r="H920" s="93" t="s">
        <v>578</v>
      </c>
      <c r="I920" s="94">
        <v>10001074</v>
      </c>
      <c r="J920" s="4" t="str">
        <f>VLOOKUP(I920,'Materiales,canteras'!C:D,2,0)</f>
        <v>Grava Triturada Caliza 40 mm -</v>
      </c>
      <c r="K920" s="25">
        <f>VLOOKUP(I920,'Materiales,canteras'!C:E,3,0)</f>
        <v>1.4</v>
      </c>
      <c r="L920" s="105">
        <v>151.41999999999999</v>
      </c>
      <c r="M920" s="28" t="s">
        <v>93</v>
      </c>
      <c r="N920" s="57">
        <f t="shared" ca="1" si="198"/>
        <v>46267</v>
      </c>
      <c r="O920" s="43" t="s">
        <v>201</v>
      </c>
      <c r="S920" s="82"/>
      <c r="T920" s="66">
        <f t="shared" si="193"/>
        <v>151.41999999999999</v>
      </c>
      <c r="U920" s="46">
        <f t="shared" si="194"/>
        <v>151.41999999999999</v>
      </c>
      <c r="V920" s="82">
        <v>0</v>
      </c>
      <c r="W920" s="4">
        <v>2</v>
      </c>
      <c r="X920" s="195">
        <f t="shared" si="189"/>
        <v>151.41999999999999</v>
      </c>
      <c r="Y920" s="29" t="e">
        <f>IF(+VLOOKUP(I920,P.Referencia!E:S,3,FALSE)&lt;=L920,"Champion","Gerente")</f>
        <v>#N/A</v>
      </c>
      <c r="Z920" s="39" t="e">
        <f>VLOOKUP(I920,P.Referencia!E:S,3,0)</f>
        <v>#N/A</v>
      </c>
      <c r="AA920" s="40" t="e">
        <f t="shared" si="199"/>
        <v>#N/A</v>
      </c>
      <c r="AB920" s="41" t="e">
        <f t="shared" si="200"/>
        <v>#N/A</v>
      </c>
      <c r="AC920" s="41" t="e">
        <f t="shared" si="201"/>
        <v>#N/A</v>
      </c>
    </row>
    <row r="921" spans="1:29" hidden="1" x14ac:dyDescent="0.25">
      <c r="A921" s="24">
        <v>920</v>
      </c>
      <c r="B921" s="89" t="s">
        <v>571</v>
      </c>
      <c r="C921" s="4" t="str">
        <f t="shared" si="188"/>
        <v>LlaveD81665003126100011702</v>
      </c>
      <c r="D921" s="25" t="str">
        <f>VLOOKUP(E921,'NO MODIFICAR'!J:K,2,0)</f>
        <v>D816</v>
      </c>
      <c r="E921" s="102" t="s">
        <v>15</v>
      </c>
      <c r="F921" s="33" t="str">
        <f>VLOOKUP(D921,'NO MODIFICAR'!F:H,3,0)</f>
        <v>NORESTE</v>
      </c>
      <c r="G921" s="28">
        <v>65003126</v>
      </c>
      <c r="H921" s="93" t="s">
        <v>579</v>
      </c>
      <c r="I921" s="94">
        <v>10001170</v>
      </c>
      <c r="J921" s="4" t="str">
        <f>VLOOKUP(I921,'Materiales,canteras'!C:D,2,0)</f>
        <v>Arena Triturada Caliza Block</v>
      </c>
      <c r="K921" s="25">
        <f>VLOOKUP(I921,'Materiales,canteras'!C:E,3,0)</f>
        <v>1.7709999999999999</v>
      </c>
      <c r="L921" s="105">
        <v>270</v>
      </c>
      <c r="M921" s="28" t="s">
        <v>93</v>
      </c>
      <c r="N921" s="57">
        <f t="shared" ca="1" si="198"/>
        <v>46267</v>
      </c>
      <c r="O921" s="43" t="s">
        <v>201</v>
      </c>
      <c r="Q921">
        <v>47.06</v>
      </c>
      <c r="R921">
        <v>3.15</v>
      </c>
      <c r="S921" s="82">
        <v>362</v>
      </c>
      <c r="T921" s="66">
        <f t="shared" si="193"/>
        <v>-41.79000000000002</v>
      </c>
      <c r="U921" s="46">
        <f t="shared" si="194"/>
        <v>270</v>
      </c>
      <c r="V921" s="82">
        <v>0</v>
      </c>
      <c r="W921" s="4">
        <v>2</v>
      </c>
      <c r="X921" s="195">
        <f t="shared" si="189"/>
        <v>270</v>
      </c>
      <c r="Y921" s="29" t="e">
        <f>IF(+VLOOKUP(I921,P.Referencia!E:S,3,FALSE)&lt;=L921,"Champion","Gerente")</f>
        <v>#N/A</v>
      </c>
      <c r="Z921" s="39" t="e">
        <f>VLOOKUP(I921,P.Referencia!E:S,3,0)</f>
        <v>#N/A</v>
      </c>
      <c r="AA921" s="40" t="e">
        <f t="shared" si="199"/>
        <v>#N/A</v>
      </c>
      <c r="AB921" s="41" t="e">
        <f t="shared" si="200"/>
        <v>#N/A</v>
      </c>
      <c r="AC921" s="41" t="e">
        <f t="shared" si="201"/>
        <v>#N/A</v>
      </c>
    </row>
    <row r="922" spans="1:29" hidden="1" x14ac:dyDescent="0.25">
      <c r="A922" s="24">
        <v>921</v>
      </c>
      <c r="B922" s="89" t="s">
        <v>571</v>
      </c>
      <c r="C922" s="4" t="str">
        <f t="shared" si="188"/>
        <v>LlaveD81667368599100001242</v>
      </c>
      <c r="D922" s="25" t="str">
        <f>VLOOKUP(E922,'NO MODIFICAR'!J:K,2,0)</f>
        <v>D816</v>
      </c>
      <c r="E922" s="102" t="s">
        <v>15</v>
      </c>
      <c r="F922" s="33" t="str">
        <f>VLOOKUP(D922,'NO MODIFICAR'!F:H,3,0)</f>
        <v>NORESTE</v>
      </c>
      <c r="G922" s="28">
        <v>67368599</v>
      </c>
      <c r="H922" s="93" t="s">
        <v>580</v>
      </c>
      <c r="I922" s="94">
        <v>10000124</v>
      </c>
      <c r="J922" s="4" t="str">
        <f>VLOOKUP(I922,'Materiales,canteras'!C:D,2,0)</f>
        <v>Arena Triturada Caliza Malla 4</v>
      </c>
      <c r="K922" s="25">
        <f>VLOOKUP(I922,'Materiales,canteras'!C:E,3,0)</f>
        <v>1.7390000000000001</v>
      </c>
      <c r="L922" s="105">
        <v>312</v>
      </c>
      <c r="M922" s="28" t="s">
        <v>93</v>
      </c>
      <c r="N922" s="57">
        <f t="shared" ca="1" si="198"/>
        <v>46267</v>
      </c>
      <c r="O922" s="43" t="s">
        <v>201</v>
      </c>
      <c r="R922">
        <v>7.43</v>
      </c>
      <c r="S922" s="82">
        <v>495</v>
      </c>
      <c r="T922" s="66">
        <f t="shared" si="193"/>
        <v>-175.57</v>
      </c>
      <c r="U922" s="46">
        <f t="shared" si="194"/>
        <v>312</v>
      </c>
      <c r="V922" s="82">
        <v>0</v>
      </c>
      <c r="W922" s="4">
        <v>2</v>
      </c>
      <c r="X922" s="195">
        <f t="shared" si="189"/>
        <v>312</v>
      </c>
      <c r="Y922" s="29" t="e">
        <f>IF(+VLOOKUP(I922,P.Referencia!E:S,3,FALSE)&lt;=L922,"Champion","Gerente")</f>
        <v>#N/A</v>
      </c>
      <c r="Z922" s="39" t="e">
        <f>VLOOKUP(I922,P.Referencia!E:S,3,0)</f>
        <v>#N/A</v>
      </c>
      <c r="AA922" s="40" t="e">
        <f t="shared" si="199"/>
        <v>#N/A</v>
      </c>
      <c r="AB922" s="41" t="e">
        <f t="shared" si="200"/>
        <v>#N/A</v>
      </c>
      <c r="AC922" s="41" t="e">
        <f t="shared" si="201"/>
        <v>#N/A</v>
      </c>
    </row>
    <row r="923" spans="1:29" hidden="1" x14ac:dyDescent="0.25">
      <c r="A923" s="24">
        <v>922</v>
      </c>
      <c r="B923" s="89" t="s">
        <v>571</v>
      </c>
      <c r="C923" s="4" t="str">
        <f t="shared" si="188"/>
        <v>LlaveD81667368599100002602</v>
      </c>
      <c r="D923" s="25" t="str">
        <f>VLOOKUP(E923,'NO MODIFICAR'!J:K,2,0)</f>
        <v>D816</v>
      </c>
      <c r="E923" s="102" t="s">
        <v>15</v>
      </c>
      <c r="F923" s="33" t="str">
        <f>VLOOKUP(D923,'NO MODIFICAR'!F:H,3,0)</f>
        <v>NORESTE</v>
      </c>
      <c r="G923" s="28">
        <v>67368599</v>
      </c>
      <c r="H923" s="93" t="s">
        <v>580</v>
      </c>
      <c r="I923" s="94">
        <v>10000260</v>
      </c>
      <c r="J923" s="4" t="str">
        <f>VLOOKUP(I923,'Materiales,canteras'!C:D,2,0)</f>
        <v>Arena Triturada Caliza Malla 5</v>
      </c>
      <c r="K923" s="25">
        <f>VLOOKUP(I923,'Materiales,canteras'!C:E,3,0)</f>
        <v>1.72</v>
      </c>
      <c r="L923" s="105">
        <v>430</v>
      </c>
      <c r="M923" s="28" t="s">
        <v>93</v>
      </c>
      <c r="N923" s="57">
        <f t="shared" ca="1" si="198"/>
        <v>46267</v>
      </c>
      <c r="O923" s="43" t="s">
        <v>201</v>
      </c>
      <c r="R923">
        <v>7.43</v>
      </c>
      <c r="S923" s="82">
        <v>495</v>
      </c>
      <c r="T923" s="66">
        <f t="shared" si="193"/>
        <v>-57.569999999999993</v>
      </c>
      <c r="U923" s="46">
        <f t="shared" si="194"/>
        <v>430</v>
      </c>
      <c r="V923" s="82">
        <v>0</v>
      </c>
      <c r="W923" s="4">
        <v>2</v>
      </c>
      <c r="X923" s="195">
        <f t="shared" si="189"/>
        <v>430</v>
      </c>
      <c r="Y923" s="29" t="e">
        <f>IF(+VLOOKUP(I923,P.Referencia!E:S,3,FALSE)&lt;=L923,"Champion","Gerente")</f>
        <v>#N/A</v>
      </c>
      <c r="Z923" s="39" t="e">
        <f>VLOOKUP(I923,P.Referencia!E:S,3,0)</f>
        <v>#N/A</v>
      </c>
      <c r="AA923" s="40" t="e">
        <f t="shared" si="199"/>
        <v>#N/A</v>
      </c>
      <c r="AB923" s="41" t="e">
        <f t="shared" si="200"/>
        <v>#N/A</v>
      </c>
      <c r="AC923" s="41" t="e">
        <f t="shared" si="201"/>
        <v>#N/A</v>
      </c>
    </row>
    <row r="924" spans="1:29" hidden="1" x14ac:dyDescent="0.25">
      <c r="A924" s="24">
        <v>923</v>
      </c>
      <c r="B924" s="89" t="s">
        <v>571</v>
      </c>
      <c r="C924" s="4" t="str">
        <f t="shared" si="188"/>
        <v>LlaveD81667368599100002372</v>
      </c>
      <c r="D924" s="25" t="str">
        <f>VLOOKUP(E924,'NO MODIFICAR'!J:K,2,0)</f>
        <v>D816</v>
      </c>
      <c r="E924" s="102" t="s">
        <v>15</v>
      </c>
      <c r="F924" s="33" t="str">
        <f>VLOOKUP(D924,'NO MODIFICAR'!F:H,3,0)</f>
        <v>NORESTE</v>
      </c>
      <c r="G924" s="28">
        <v>67368599</v>
      </c>
      <c r="H924" s="93" t="s">
        <v>580</v>
      </c>
      <c r="I924" s="94">
        <v>10000237</v>
      </c>
      <c r="J924" s="4" t="str">
        <f>VLOOKUP(I924,'Materiales,canteras'!C:D,2,0)</f>
        <v>Grava Triturada Caliza 10 mm -</v>
      </c>
      <c r="K924" s="25">
        <f>VLOOKUP(I924,'Materiales,canteras'!C:E,3,0)</f>
        <v>1.5620000000000001</v>
      </c>
      <c r="L924" s="105">
        <v>358</v>
      </c>
      <c r="M924" s="28" t="s">
        <v>93</v>
      </c>
      <c r="N924" s="57">
        <f t="shared" ca="1" si="198"/>
        <v>46267</v>
      </c>
      <c r="O924" s="43" t="s">
        <v>201</v>
      </c>
      <c r="R924">
        <v>6.21</v>
      </c>
      <c r="S924" s="82">
        <v>414</v>
      </c>
      <c r="T924" s="66">
        <f t="shared" si="193"/>
        <v>-49.79000000000002</v>
      </c>
      <c r="U924" s="46">
        <f t="shared" si="194"/>
        <v>358</v>
      </c>
      <c r="V924" s="82">
        <v>0</v>
      </c>
      <c r="W924" s="4">
        <v>2</v>
      </c>
      <c r="X924" s="195">
        <f t="shared" si="189"/>
        <v>358</v>
      </c>
      <c r="Y924" s="29" t="e">
        <f>IF(+VLOOKUP(I924,P.Referencia!E:S,3,FALSE)&lt;=L924,"Champion","Gerente")</f>
        <v>#N/A</v>
      </c>
      <c r="Z924" s="39" t="e">
        <f>VLOOKUP(I924,P.Referencia!E:S,3,0)</f>
        <v>#N/A</v>
      </c>
      <c r="AA924" s="40" t="e">
        <f t="shared" si="199"/>
        <v>#N/A</v>
      </c>
      <c r="AB924" s="41" t="e">
        <f t="shared" si="200"/>
        <v>#N/A</v>
      </c>
      <c r="AC924" s="41" t="e">
        <f t="shared" si="201"/>
        <v>#N/A</v>
      </c>
    </row>
    <row r="925" spans="1:29" hidden="1" x14ac:dyDescent="0.25">
      <c r="A925" s="24">
        <v>924</v>
      </c>
      <c r="B925" s="89" t="s">
        <v>571</v>
      </c>
      <c r="C925" s="4" t="str">
        <f t="shared" si="188"/>
        <v>LlaveD81667368599100002412</v>
      </c>
      <c r="D925" s="25" t="str">
        <f>VLOOKUP(E925,'NO MODIFICAR'!J:K,2,0)</f>
        <v>D816</v>
      </c>
      <c r="E925" s="102" t="s">
        <v>15</v>
      </c>
      <c r="F925" s="33" t="str">
        <f>VLOOKUP(D925,'NO MODIFICAR'!F:H,3,0)</f>
        <v>NORESTE</v>
      </c>
      <c r="G925" s="28">
        <v>67368599</v>
      </c>
      <c r="H925" s="93" t="s">
        <v>580</v>
      </c>
      <c r="I925" s="94">
        <v>10000241</v>
      </c>
      <c r="J925" s="4" t="str">
        <f>VLOOKUP(I925,'Materiales,canteras'!C:D,2,0)</f>
        <v>Grava Triturada Caliza 20 mm -</v>
      </c>
      <c r="K925" s="25">
        <f>VLOOKUP(I925,'Materiales,canteras'!C:E,3,0)</f>
        <v>1.43</v>
      </c>
      <c r="L925" s="105">
        <v>312</v>
      </c>
      <c r="M925" s="28" t="s">
        <v>93</v>
      </c>
      <c r="N925" s="57">
        <f t="shared" ca="1" si="198"/>
        <v>46267</v>
      </c>
      <c r="O925" s="43" t="s">
        <v>201</v>
      </c>
      <c r="R925">
        <v>6.21</v>
      </c>
      <c r="S925" s="82">
        <v>414</v>
      </c>
      <c r="T925" s="66">
        <f t="shared" si="193"/>
        <v>-95.79000000000002</v>
      </c>
      <c r="U925" s="46">
        <f t="shared" si="194"/>
        <v>312</v>
      </c>
      <c r="V925" s="82">
        <v>0</v>
      </c>
      <c r="W925" s="4">
        <v>2</v>
      </c>
      <c r="X925" s="195">
        <f t="shared" si="189"/>
        <v>312</v>
      </c>
      <c r="Y925" s="29" t="e">
        <f>IF(+VLOOKUP(I925,P.Referencia!E:S,3,FALSE)&lt;=L925,"Champion","Gerente")</f>
        <v>#N/A</v>
      </c>
      <c r="Z925" s="39" t="e">
        <f>VLOOKUP(I925,P.Referencia!E:S,3,0)</f>
        <v>#N/A</v>
      </c>
      <c r="AA925" s="40" t="e">
        <f t="shared" si="199"/>
        <v>#N/A</v>
      </c>
      <c r="AB925" s="41" t="e">
        <f t="shared" si="200"/>
        <v>#N/A</v>
      </c>
      <c r="AC925" s="41" t="e">
        <f t="shared" si="201"/>
        <v>#N/A</v>
      </c>
    </row>
    <row r="926" spans="1:29" hidden="1" x14ac:dyDescent="0.25">
      <c r="A926" s="24">
        <v>925</v>
      </c>
      <c r="B926" s="89" t="s">
        <v>571</v>
      </c>
      <c r="C926" s="4" t="str">
        <f t="shared" si="188"/>
        <v>LlaveD81667368599100011702</v>
      </c>
      <c r="D926" s="25" t="str">
        <f>VLOOKUP(E926,'NO MODIFICAR'!J:K,2,0)</f>
        <v>D816</v>
      </c>
      <c r="E926" s="102" t="s">
        <v>15</v>
      </c>
      <c r="F926" s="33" t="str">
        <f>VLOOKUP(D926,'NO MODIFICAR'!F:H,3,0)</f>
        <v>NORESTE</v>
      </c>
      <c r="G926" s="28">
        <v>67368599</v>
      </c>
      <c r="H926" s="93" t="s">
        <v>580</v>
      </c>
      <c r="I926" s="94">
        <v>10001170</v>
      </c>
      <c r="J926" s="4" t="str">
        <f>VLOOKUP(I926,'Materiales,canteras'!C:D,2,0)</f>
        <v>Arena Triturada Caliza Block</v>
      </c>
      <c r="K926" s="25">
        <f>VLOOKUP(I926,'Materiales,canteras'!C:E,3,0)</f>
        <v>1.7709999999999999</v>
      </c>
      <c r="L926" s="105">
        <v>312</v>
      </c>
      <c r="M926" s="28" t="s">
        <v>93</v>
      </c>
      <c r="N926" s="57">
        <f t="shared" ca="1" si="198"/>
        <v>46267</v>
      </c>
      <c r="O926" s="43" t="s">
        <v>201</v>
      </c>
      <c r="Q926">
        <v>47.06</v>
      </c>
      <c r="R926">
        <v>4.72</v>
      </c>
      <c r="S926" s="82">
        <v>362</v>
      </c>
      <c r="T926" s="66">
        <f t="shared" si="193"/>
        <v>1.7800000000000296</v>
      </c>
      <c r="U926" s="46">
        <f t="shared" si="194"/>
        <v>312</v>
      </c>
      <c r="V926" s="82">
        <v>0</v>
      </c>
      <c r="W926" s="4">
        <v>2</v>
      </c>
      <c r="X926" s="195">
        <f t="shared" si="189"/>
        <v>312</v>
      </c>
      <c r="Y926" s="29" t="e">
        <f>IF(+VLOOKUP(I926,P.Referencia!E:S,3,FALSE)&lt;=L926,"Champion","Gerente")</f>
        <v>#N/A</v>
      </c>
      <c r="Z926" s="39" t="e">
        <f>VLOOKUP(I926,P.Referencia!E:S,3,0)</f>
        <v>#N/A</v>
      </c>
      <c r="AA926" s="40" t="e">
        <f t="shared" si="199"/>
        <v>#N/A</v>
      </c>
      <c r="AB926" s="41" t="e">
        <f t="shared" si="200"/>
        <v>#N/A</v>
      </c>
      <c r="AC926" s="41" t="e">
        <f t="shared" si="201"/>
        <v>#N/A</v>
      </c>
    </row>
    <row r="927" spans="1:29" hidden="1" x14ac:dyDescent="0.25">
      <c r="A927" s="24">
        <v>926</v>
      </c>
      <c r="B927" s="89" t="s">
        <v>571</v>
      </c>
      <c r="C927" s="4" t="str">
        <f t="shared" si="188"/>
        <v>LlaveD81667359566100002621</v>
      </c>
      <c r="D927" s="25" t="str">
        <f>VLOOKUP(E927,'NO MODIFICAR'!J:K,2,0)</f>
        <v>D816</v>
      </c>
      <c r="E927" s="102" t="s">
        <v>15</v>
      </c>
      <c r="F927" s="33" t="str">
        <f>VLOOKUP(D927,'NO MODIFICAR'!F:H,3,0)</f>
        <v>NORESTE</v>
      </c>
      <c r="G927" s="28">
        <v>67359566</v>
      </c>
      <c r="H927" s="93" t="s">
        <v>507</v>
      </c>
      <c r="I927" s="94">
        <v>10000262</v>
      </c>
      <c r="J927" s="4" t="str">
        <f>VLOOKUP(I927,'Materiales,canteras'!C:D,2,0)</f>
        <v>Base H Triturada Caliza 1 1/2"</v>
      </c>
      <c r="K927" s="25">
        <f>VLOOKUP(I927,'Materiales,canteras'!C:E,3,0)</f>
        <v>1.821</v>
      </c>
      <c r="L927" s="105">
        <v>294.35000000000002</v>
      </c>
      <c r="M927" s="28" t="s">
        <v>93</v>
      </c>
      <c r="N927" s="57">
        <f t="shared" ca="1" si="198"/>
        <v>46267</v>
      </c>
      <c r="O927" s="43" t="s">
        <v>201</v>
      </c>
      <c r="R927">
        <v>17.850000000000001</v>
      </c>
      <c r="S927" s="82">
        <v>357</v>
      </c>
      <c r="T927" s="66">
        <f t="shared" si="193"/>
        <v>-44.799999999999955</v>
      </c>
      <c r="U927" s="46">
        <f t="shared" si="194"/>
        <v>294.35000000000002</v>
      </c>
      <c r="V927" s="82">
        <v>94.65</v>
      </c>
      <c r="W927" s="4">
        <v>1</v>
      </c>
      <c r="X927" s="195">
        <f t="shared" si="189"/>
        <v>389</v>
      </c>
      <c r="Y927" s="29" t="e">
        <f>IF(+VLOOKUP(I927,P.Referencia!E:S,3,FALSE)&lt;=L927,"Champion","Gerente")</f>
        <v>#N/A</v>
      </c>
      <c r="Z927" s="39" t="e">
        <f>VLOOKUP(I927,P.Referencia!E:S,3,0)</f>
        <v>#N/A</v>
      </c>
      <c r="AA927" s="40" t="e">
        <f t="shared" si="199"/>
        <v>#N/A</v>
      </c>
      <c r="AB927" s="41" t="e">
        <f t="shared" si="200"/>
        <v>#N/A</v>
      </c>
      <c r="AC927" s="41" t="e">
        <f t="shared" si="201"/>
        <v>#N/A</v>
      </c>
    </row>
    <row r="928" spans="1:29" hidden="1" x14ac:dyDescent="0.25">
      <c r="A928" s="24">
        <v>927</v>
      </c>
      <c r="B928" s="89" t="s">
        <v>571</v>
      </c>
      <c r="C928" s="4" t="str">
        <f t="shared" si="188"/>
        <v>LlaveD81667359566100364881</v>
      </c>
      <c r="D928" s="25" t="str">
        <f>VLOOKUP(E928,'NO MODIFICAR'!J:K,2,0)</f>
        <v>D816</v>
      </c>
      <c r="E928" s="102" t="s">
        <v>15</v>
      </c>
      <c r="F928" s="33" t="str">
        <f>VLOOKUP(D928,'NO MODIFICAR'!F:H,3,0)</f>
        <v>NORESTE</v>
      </c>
      <c r="G928" s="28">
        <v>67359566</v>
      </c>
      <c r="H928" s="93" t="s">
        <v>507</v>
      </c>
      <c r="I928" s="94">
        <v>10036488</v>
      </c>
      <c r="J928" s="4" t="str">
        <f>VLOOKUP(I928,'Materiales,canteras'!C:D,2,0)</f>
        <v>Base H Trit Caliza 3/4" a Fino</v>
      </c>
      <c r="K928" s="25">
        <f>VLOOKUP(I928,'Materiales,canteras'!C:E,3,0)</f>
        <v>1.78</v>
      </c>
      <c r="L928" s="105">
        <v>294.35000000000002</v>
      </c>
      <c r="M928" s="28" t="s">
        <v>93</v>
      </c>
      <c r="N928" s="57">
        <f t="shared" ca="1" si="198"/>
        <v>46267</v>
      </c>
      <c r="O928" s="43" t="s">
        <v>201</v>
      </c>
      <c r="R928">
        <v>17.850000000000001</v>
      </c>
      <c r="S928" s="82">
        <v>357</v>
      </c>
      <c r="T928" s="66">
        <f t="shared" si="193"/>
        <v>-44.799999999999955</v>
      </c>
      <c r="U928" s="46">
        <f t="shared" si="194"/>
        <v>294.35000000000002</v>
      </c>
      <c r="V928" s="82">
        <v>94.65</v>
      </c>
      <c r="W928" s="4">
        <v>1</v>
      </c>
      <c r="X928" s="195">
        <f t="shared" si="189"/>
        <v>389</v>
      </c>
      <c r="Y928" s="29" t="e">
        <f>IF(+VLOOKUP(I928,P.Referencia!E:S,3,FALSE)&lt;=L928,"Champion","Gerente")</f>
        <v>#N/A</v>
      </c>
      <c r="Z928" s="39" t="e">
        <f>VLOOKUP(I928,P.Referencia!E:S,3,0)</f>
        <v>#N/A</v>
      </c>
      <c r="AA928" s="40" t="e">
        <f t="shared" si="199"/>
        <v>#N/A</v>
      </c>
      <c r="AB928" s="41" t="e">
        <f t="shared" si="200"/>
        <v>#N/A</v>
      </c>
      <c r="AC928" s="41" t="e">
        <f t="shared" si="201"/>
        <v>#N/A</v>
      </c>
    </row>
    <row r="929" spans="1:29" hidden="1" x14ac:dyDescent="0.25">
      <c r="A929" s="24">
        <v>928</v>
      </c>
      <c r="B929" s="89" t="s">
        <v>571</v>
      </c>
      <c r="C929" s="4" t="str">
        <f t="shared" si="188"/>
        <v>LlaveD86167368759100003112</v>
      </c>
      <c r="D929" s="25" t="str">
        <f>VLOOKUP(E929,'NO MODIFICAR'!J:K,2,0)</f>
        <v>D861</v>
      </c>
      <c r="E929" s="102" t="s">
        <v>44</v>
      </c>
      <c r="F929" s="33" t="str">
        <f>VLOOKUP(D929,'NO MODIFICAR'!F:H,3,0)</f>
        <v xml:space="preserve">CENTRO </v>
      </c>
      <c r="G929" s="28">
        <v>67368759</v>
      </c>
      <c r="H929" s="93" t="s">
        <v>581</v>
      </c>
      <c r="I929" s="94">
        <v>10000311</v>
      </c>
      <c r="J929" s="4" t="str">
        <f>VLOOKUP(I929,'Materiales,canteras'!C:D,2,0)</f>
        <v>Arena Triturada Basalto  Malla</v>
      </c>
      <c r="K929" s="25">
        <f>VLOOKUP(I929,'Materiales,canteras'!C:E,3,0)</f>
        <v>1.651</v>
      </c>
      <c r="L929" s="105">
        <v>220</v>
      </c>
      <c r="M929" s="28" t="s">
        <v>93</v>
      </c>
      <c r="N929" s="57">
        <f t="shared" ca="1" si="198"/>
        <v>46267</v>
      </c>
      <c r="O929" s="43" t="s">
        <v>201</v>
      </c>
      <c r="R929">
        <v>4.29</v>
      </c>
      <c r="S929" s="82">
        <v>286</v>
      </c>
      <c r="T929" s="66">
        <f t="shared" si="193"/>
        <v>-61.70999999999998</v>
      </c>
      <c r="U929" s="46">
        <f t="shared" si="194"/>
        <v>220</v>
      </c>
      <c r="V929" s="82">
        <v>0</v>
      </c>
      <c r="W929" s="4">
        <v>2</v>
      </c>
      <c r="X929" s="195">
        <f t="shared" si="189"/>
        <v>220</v>
      </c>
      <c r="Y929" s="29" t="e">
        <f>IF(+VLOOKUP(I929,P.Referencia!E:S,3,FALSE)&lt;=L929,"Champion","Gerente")</f>
        <v>#N/A</v>
      </c>
      <c r="Z929" s="39" t="e">
        <f>VLOOKUP(I929,P.Referencia!E:S,3,0)</f>
        <v>#N/A</v>
      </c>
      <c r="AA929" s="40" t="e">
        <f t="shared" si="199"/>
        <v>#N/A</v>
      </c>
      <c r="AB929" s="41" t="e">
        <f t="shared" si="200"/>
        <v>#N/A</v>
      </c>
      <c r="AC929" s="41" t="e">
        <f t="shared" si="201"/>
        <v>#N/A</v>
      </c>
    </row>
    <row r="930" spans="1:29" hidden="1" x14ac:dyDescent="0.25">
      <c r="A930" s="24">
        <v>929</v>
      </c>
      <c r="B930" s="89" t="s">
        <v>571</v>
      </c>
      <c r="C930" s="4" t="str">
        <f t="shared" si="188"/>
        <v>LlaveD86365000657100389502</v>
      </c>
      <c r="D930" s="25" t="str">
        <f>VLOOKUP(E930,'NO MODIFICAR'!J:K,2,0)</f>
        <v>D863</v>
      </c>
      <c r="E930" s="102" t="s">
        <v>53</v>
      </c>
      <c r="F930" s="33" t="str">
        <f>VLOOKUP(D930,'NO MODIFICAR'!F:H,3,0)</f>
        <v>NORESTE</v>
      </c>
      <c r="G930" s="28">
        <v>65000657</v>
      </c>
      <c r="H930" s="93" t="s">
        <v>582</v>
      </c>
      <c r="I930" s="94">
        <v>10038950</v>
      </c>
      <c r="J930" s="4" t="str">
        <f>VLOOKUP(I930,'Materiales,canteras'!C:D,2,0)</f>
        <v>Grava Triturada Caliza 20 mm -</v>
      </c>
      <c r="K930" s="25">
        <f>VLOOKUP(I930,'Materiales,canteras'!C:E,3,0)</f>
        <v>1.474</v>
      </c>
      <c r="L930" s="105">
        <v>171.81</v>
      </c>
      <c r="M930" s="28" t="s">
        <v>93</v>
      </c>
      <c r="N930" s="57">
        <f t="shared" ca="1" si="198"/>
        <v>46267</v>
      </c>
      <c r="O930" s="43" t="s">
        <v>201</v>
      </c>
      <c r="S930" s="82">
        <v>213</v>
      </c>
      <c r="T930" s="66">
        <f t="shared" si="193"/>
        <v>-41.19</v>
      </c>
      <c r="U930" s="46">
        <f t="shared" si="194"/>
        <v>171.81</v>
      </c>
      <c r="V930" s="82">
        <v>0</v>
      </c>
      <c r="W930" s="4">
        <v>2</v>
      </c>
      <c r="X930" s="195">
        <f t="shared" si="189"/>
        <v>171.81</v>
      </c>
      <c r="Y930" s="29" t="e">
        <f>IF(+VLOOKUP(I930,P.Referencia!E:S,3,FALSE)&lt;=L930,"Champion","Gerente")</f>
        <v>#N/A</v>
      </c>
      <c r="Z930" s="39" t="e">
        <f>VLOOKUP(I930,P.Referencia!E:S,3,0)</f>
        <v>#N/A</v>
      </c>
      <c r="AA930" s="40" t="e">
        <f t="shared" si="199"/>
        <v>#N/A</v>
      </c>
      <c r="AB930" s="41" t="e">
        <f t="shared" si="200"/>
        <v>#N/A</v>
      </c>
      <c r="AC930" s="41" t="e">
        <f t="shared" si="201"/>
        <v>#N/A</v>
      </c>
    </row>
    <row r="931" spans="1:29" hidden="1" x14ac:dyDescent="0.25">
      <c r="A931" s="24">
        <v>930</v>
      </c>
      <c r="B931" s="89" t="s">
        <v>571</v>
      </c>
      <c r="C931" s="4" t="str">
        <f t="shared" si="188"/>
        <v>LlaveD86365000657100389522</v>
      </c>
      <c r="D931" s="25" t="str">
        <f>VLOOKUP(E931,'NO MODIFICAR'!J:K,2,0)</f>
        <v>D863</v>
      </c>
      <c r="E931" s="102" t="s">
        <v>53</v>
      </c>
      <c r="F931" s="33" t="str">
        <f>VLOOKUP(D931,'NO MODIFICAR'!F:H,3,0)</f>
        <v>NORESTE</v>
      </c>
      <c r="G931" s="28">
        <v>65000657</v>
      </c>
      <c r="H931" s="93" t="s">
        <v>582</v>
      </c>
      <c r="I931" s="94">
        <v>10038952</v>
      </c>
      <c r="J931" s="4" t="str">
        <f>VLOOKUP(I931,'Materiales,canteras'!C:D,2,0)</f>
        <v>Arena Triturada Caliza Malla 4</v>
      </c>
      <c r="K931" s="25">
        <f>VLOOKUP(I931,'Materiales,canteras'!C:E,3,0)</f>
        <v>1.6</v>
      </c>
      <c r="L931" s="105">
        <v>171.81</v>
      </c>
      <c r="M931" s="28" t="s">
        <v>93</v>
      </c>
      <c r="N931" s="57">
        <f t="shared" ca="1" si="198"/>
        <v>46267</v>
      </c>
      <c r="O931" s="43" t="s">
        <v>201</v>
      </c>
      <c r="S931" s="82">
        <v>196</v>
      </c>
      <c r="T931" s="66">
        <f t="shared" si="193"/>
        <v>-24.189999999999998</v>
      </c>
      <c r="U931" s="46">
        <f t="shared" si="194"/>
        <v>171.81</v>
      </c>
      <c r="V931" s="82">
        <v>0</v>
      </c>
      <c r="W931" s="4">
        <v>2</v>
      </c>
      <c r="X931" s="195">
        <f t="shared" si="189"/>
        <v>171.81</v>
      </c>
      <c r="Y931" s="29" t="e">
        <f>IF(+VLOOKUP(I931,P.Referencia!E:S,3,FALSE)&lt;=L931,"Champion","Gerente")</f>
        <v>#N/A</v>
      </c>
      <c r="Z931" s="39" t="e">
        <f>VLOOKUP(I931,P.Referencia!E:S,3,0)</f>
        <v>#N/A</v>
      </c>
      <c r="AA931" s="40" t="e">
        <f t="shared" si="199"/>
        <v>#N/A</v>
      </c>
      <c r="AB931" s="41" t="e">
        <f t="shared" si="200"/>
        <v>#N/A</v>
      </c>
      <c r="AC931" s="41" t="e">
        <f t="shared" si="201"/>
        <v>#N/A</v>
      </c>
    </row>
    <row r="932" spans="1:29" hidden="1" x14ac:dyDescent="0.25">
      <c r="A932" s="24">
        <v>931</v>
      </c>
      <c r="B932" s="89" t="s">
        <v>571</v>
      </c>
      <c r="C932" s="4" t="str">
        <f t="shared" si="188"/>
        <v>LlaveD86365000657100496722</v>
      </c>
      <c r="D932" s="25" t="str">
        <f>VLOOKUP(E932,'NO MODIFICAR'!J:K,2,0)</f>
        <v>D863</v>
      </c>
      <c r="E932" s="102" t="s">
        <v>53</v>
      </c>
      <c r="F932" s="33" t="str">
        <f>VLOOKUP(D932,'NO MODIFICAR'!F:H,3,0)</f>
        <v>NORESTE</v>
      </c>
      <c r="G932" s="28">
        <v>65000657</v>
      </c>
      <c r="H932" s="93" t="s">
        <v>582</v>
      </c>
      <c r="I932" s="94">
        <v>10049672</v>
      </c>
      <c r="J932" s="4" t="str">
        <f>VLOOKUP(I932,'Materiales,canteras'!C:D,2,0)</f>
        <v>Grava Triturada Caliza 40- 4mm</v>
      </c>
      <c r="K932" s="25">
        <f>VLOOKUP(I932,'Materiales,canteras'!C:E,3,0)</f>
        <v>1.625</v>
      </c>
      <c r="L932" s="105">
        <v>171.81</v>
      </c>
      <c r="M932" s="28" t="s">
        <v>93</v>
      </c>
      <c r="N932" s="57">
        <f t="shared" ca="1" si="198"/>
        <v>46267</v>
      </c>
      <c r="O932" s="43" t="s">
        <v>201</v>
      </c>
      <c r="S932" s="82">
        <v>184</v>
      </c>
      <c r="T932" s="66">
        <f t="shared" si="193"/>
        <v>-12.189999999999998</v>
      </c>
      <c r="U932" s="46">
        <f t="shared" si="194"/>
        <v>171.81</v>
      </c>
      <c r="V932" s="82">
        <v>0</v>
      </c>
      <c r="W932" s="4">
        <v>2</v>
      </c>
      <c r="X932" s="195">
        <f t="shared" si="189"/>
        <v>171.81</v>
      </c>
      <c r="Y932" s="29" t="e">
        <f>IF(+VLOOKUP(I932,P.Referencia!E:S,3,FALSE)&lt;=L932,"Champion","Gerente")</f>
        <v>#N/A</v>
      </c>
      <c r="Z932" s="39" t="e">
        <f>VLOOKUP(I932,P.Referencia!E:S,3,0)</f>
        <v>#N/A</v>
      </c>
      <c r="AA932" s="40" t="e">
        <f t="shared" si="199"/>
        <v>#N/A</v>
      </c>
      <c r="AB932" s="41" t="e">
        <f t="shared" si="200"/>
        <v>#N/A</v>
      </c>
      <c r="AC932" s="41" t="e">
        <f t="shared" si="201"/>
        <v>#N/A</v>
      </c>
    </row>
    <row r="933" spans="1:29" hidden="1" x14ac:dyDescent="0.25">
      <c r="A933" s="24">
        <v>932</v>
      </c>
      <c r="B933" s="89" t="s">
        <v>571</v>
      </c>
      <c r="C933" s="4" t="str">
        <f t="shared" si="188"/>
        <v>LlaveD86365000657100389492</v>
      </c>
      <c r="D933" s="25" t="str">
        <f>VLOOKUP(E933,'NO MODIFICAR'!J:K,2,0)</f>
        <v>D863</v>
      </c>
      <c r="E933" s="102" t="s">
        <v>53</v>
      </c>
      <c r="F933" s="33" t="str">
        <f>VLOOKUP(D933,'NO MODIFICAR'!F:H,3,0)</f>
        <v>NORESTE</v>
      </c>
      <c r="G933" s="28">
        <v>65000657</v>
      </c>
      <c r="H933" s="93" t="s">
        <v>582</v>
      </c>
      <c r="I933" s="94">
        <v>10038949</v>
      </c>
      <c r="J933" s="4" t="str">
        <f>VLOOKUP(I933,'Materiales,canteras'!C:D,2,0)</f>
        <v>Grava Triturada Caliza 10 mm -</v>
      </c>
      <c r="K933" s="25">
        <f>VLOOKUP(I933,'Materiales,canteras'!C:E,3,0)</f>
        <v>1.5</v>
      </c>
      <c r="L933" s="105">
        <v>173.39</v>
      </c>
      <c r="M933" s="28" t="s">
        <v>93</v>
      </c>
      <c r="N933" s="57">
        <f t="shared" ca="1" si="198"/>
        <v>46267</v>
      </c>
      <c r="O933" s="43" t="s">
        <v>201</v>
      </c>
      <c r="S933" s="82">
        <v>196</v>
      </c>
      <c r="T933" s="66">
        <f t="shared" si="193"/>
        <v>-22.610000000000014</v>
      </c>
      <c r="U933" s="46">
        <f t="shared" si="194"/>
        <v>173.39</v>
      </c>
      <c r="V933" s="82">
        <v>0</v>
      </c>
      <c r="W933" s="4">
        <v>2</v>
      </c>
      <c r="X933" s="195">
        <f t="shared" ref="X933:X949" si="202">U933+V933</f>
        <v>173.39</v>
      </c>
      <c r="Y933" s="29" t="e">
        <f>IF(+VLOOKUP(I933,P.Referencia!E:S,3,FALSE)&lt;=L933,"Champion","Gerente")</f>
        <v>#N/A</v>
      </c>
      <c r="Z933" s="39" t="e">
        <f>VLOOKUP(I933,P.Referencia!E:S,3,0)</f>
        <v>#N/A</v>
      </c>
      <c r="AA933" s="40" t="e">
        <f t="shared" ref="AA933:AA949" si="203">(Z933-U933)/U933</f>
        <v>#N/A</v>
      </c>
      <c r="AB933" s="41" t="e">
        <f t="shared" ref="AB933:AB949" si="204">U933*AA933</f>
        <v>#N/A</v>
      </c>
      <c r="AC933" s="41" t="e">
        <f t="shared" ref="AC933:AC949" si="205">U933+AB933</f>
        <v>#N/A</v>
      </c>
    </row>
    <row r="934" spans="1:29" hidden="1" x14ac:dyDescent="0.25">
      <c r="A934" s="24">
        <v>933</v>
      </c>
      <c r="B934" s="89" t="s">
        <v>571</v>
      </c>
      <c r="C934" s="4" t="str">
        <f t="shared" ref="C934" si="206">_xlfn.CONCAT($C$1,D934,G934,I934,W934)</f>
        <v>LlaveD86365000657100389572</v>
      </c>
      <c r="D934" s="25" t="str">
        <f>VLOOKUP(E934,'NO MODIFICAR'!J:K,2,0)</f>
        <v>D863</v>
      </c>
      <c r="E934" s="102" t="s">
        <v>53</v>
      </c>
      <c r="F934" s="33" t="str">
        <f>VLOOKUP(D934,'NO MODIFICAR'!F:H,3,0)</f>
        <v>NORESTE</v>
      </c>
      <c r="G934" s="28">
        <v>65000657</v>
      </c>
      <c r="H934" s="93" t="s">
        <v>582</v>
      </c>
      <c r="I934" s="94">
        <v>10038957</v>
      </c>
      <c r="J934" s="4" t="str">
        <f>VLOOKUP(I934,'Materiales,canteras'!C:D,2,0)</f>
        <v>Arena Triturada Caliza Block</v>
      </c>
      <c r="K934" s="25">
        <f>VLOOKUP(I934,'Materiales,canteras'!C:E,3,0)</f>
        <v>1.6870000000000001</v>
      </c>
      <c r="L934" s="105">
        <v>156.19</v>
      </c>
      <c r="M934" s="28" t="s">
        <v>93</v>
      </c>
      <c r="N934" s="57">
        <f t="shared" ca="1" si="198"/>
        <v>46267</v>
      </c>
      <c r="O934" s="43" t="s">
        <v>201</v>
      </c>
      <c r="S934" s="82">
        <v>247</v>
      </c>
      <c r="T934" s="66">
        <f t="shared" si="193"/>
        <v>-90.81</v>
      </c>
      <c r="U934" s="46">
        <f t="shared" si="194"/>
        <v>156.19</v>
      </c>
      <c r="V934" s="82">
        <v>0</v>
      </c>
      <c r="W934" s="4">
        <v>2</v>
      </c>
      <c r="X934" s="195">
        <f t="shared" si="202"/>
        <v>156.19</v>
      </c>
      <c r="Y934" s="29" t="e">
        <f>IF(+VLOOKUP(I934,P.Referencia!E:S,3,FALSE)&lt;=L934,"Champion","Gerente")</f>
        <v>#N/A</v>
      </c>
      <c r="Z934" s="39" t="e">
        <f>VLOOKUP(I934,P.Referencia!E:S,3,0)</f>
        <v>#N/A</v>
      </c>
      <c r="AA934" s="40" t="e">
        <f t="shared" si="203"/>
        <v>#N/A</v>
      </c>
      <c r="AB934" s="41" t="e">
        <f t="shared" si="204"/>
        <v>#N/A</v>
      </c>
      <c r="AC934" s="41" t="e">
        <f t="shared" si="205"/>
        <v>#N/A</v>
      </c>
    </row>
    <row r="935" spans="1:29" hidden="1" x14ac:dyDescent="0.25">
      <c r="A935" s="24">
        <v>934</v>
      </c>
      <c r="B935" s="89" t="s">
        <v>571</v>
      </c>
      <c r="C935" s="4" t="str">
        <f t="shared" ref="C935:C953" si="207">_xlfn.CONCAT($C$1,D935,G935,I935,W935)</f>
        <v>LlaveD81667368599100001242</v>
      </c>
      <c r="D935" s="25" t="str">
        <f>VLOOKUP(E935,'NO MODIFICAR'!J:K,2,0)</f>
        <v>D816</v>
      </c>
      <c r="E935" s="102" t="s">
        <v>15</v>
      </c>
      <c r="F935" s="33" t="str">
        <f>VLOOKUP(D935,'NO MODIFICAR'!F:H,3,0)</f>
        <v>NORESTE</v>
      </c>
      <c r="G935" s="28">
        <v>67368599</v>
      </c>
      <c r="H935" s="93" t="s">
        <v>584</v>
      </c>
      <c r="I935" s="94">
        <v>10000124</v>
      </c>
      <c r="J935" s="4" t="str">
        <f>VLOOKUP(I935,'Materiales,canteras'!C:D,2,0)</f>
        <v>Arena Triturada Caliza Malla 4</v>
      </c>
      <c r="K935" s="25">
        <f>VLOOKUP(I935,'Materiales,canteras'!C:E,3,0)</f>
        <v>1.7390000000000001</v>
      </c>
      <c r="L935" s="105">
        <v>312</v>
      </c>
      <c r="M935" s="28" t="s">
        <v>93</v>
      </c>
      <c r="N935" s="57">
        <f t="shared" ca="1" si="198"/>
        <v>46267</v>
      </c>
      <c r="O935" s="43" t="s">
        <v>201</v>
      </c>
      <c r="R935">
        <v>7.43</v>
      </c>
      <c r="S935" s="82">
        <v>495</v>
      </c>
      <c r="T935" s="66">
        <f t="shared" si="193"/>
        <v>-175.57</v>
      </c>
      <c r="U935" s="46">
        <f t="shared" si="194"/>
        <v>312</v>
      </c>
      <c r="V935" s="82">
        <v>0</v>
      </c>
      <c r="W935" s="4">
        <v>2</v>
      </c>
      <c r="X935" s="195">
        <f t="shared" si="202"/>
        <v>312</v>
      </c>
      <c r="Y935" s="29" t="e">
        <f>IF(+VLOOKUP(I935,P.Referencia!E:S,3,FALSE)&lt;=L935,"Champion","Gerente")</f>
        <v>#N/A</v>
      </c>
      <c r="Z935" s="39" t="e">
        <f>VLOOKUP(I935,P.Referencia!E:S,3,0)</f>
        <v>#N/A</v>
      </c>
      <c r="AA935" s="40" t="e">
        <f t="shared" si="203"/>
        <v>#N/A</v>
      </c>
      <c r="AB935" s="41" t="e">
        <f t="shared" si="204"/>
        <v>#N/A</v>
      </c>
      <c r="AC935" s="41" t="e">
        <f t="shared" si="205"/>
        <v>#N/A</v>
      </c>
    </row>
    <row r="936" spans="1:29" hidden="1" x14ac:dyDescent="0.25">
      <c r="A936" s="24">
        <v>935</v>
      </c>
      <c r="B936" s="89" t="s">
        <v>571</v>
      </c>
      <c r="C936" s="4" t="str">
        <f t="shared" si="207"/>
        <v>LlaveD81667368599100002602</v>
      </c>
      <c r="D936" s="25" t="str">
        <f>VLOOKUP(E936,'NO MODIFICAR'!J:K,2,0)</f>
        <v>D816</v>
      </c>
      <c r="E936" s="102" t="s">
        <v>15</v>
      </c>
      <c r="F936" s="33" t="str">
        <f>VLOOKUP(D936,'NO MODIFICAR'!F:H,3,0)</f>
        <v>NORESTE</v>
      </c>
      <c r="G936" s="28">
        <v>67368599</v>
      </c>
      <c r="H936" s="93" t="s">
        <v>584</v>
      </c>
      <c r="I936" s="94">
        <v>10000260</v>
      </c>
      <c r="J936" s="4" t="str">
        <f>VLOOKUP(I936,'Materiales,canteras'!C:D,2,0)</f>
        <v>Arena Triturada Caliza Malla 5</v>
      </c>
      <c r="K936" s="25">
        <f>VLOOKUP(I936,'Materiales,canteras'!C:E,3,0)</f>
        <v>1.72</v>
      </c>
      <c r="L936" s="105">
        <v>430</v>
      </c>
      <c r="M936" s="28" t="s">
        <v>93</v>
      </c>
      <c r="N936" s="57">
        <f t="shared" ca="1" si="198"/>
        <v>46267</v>
      </c>
      <c r="O936" s="43" t="s">
        <v>201</v>
      </c>
      <c r="R936">
        <v>7.43</v>
      </c>
      <c r="S936" s="82">
        <v>495</v>
      </c>
      <c r="T936" s="66">
        <f t="shared" si="193"/>
        <v>-57.569999999999993</v>
      </c>
      <c r="U936" s="46">
        <f t="shared" si="194"/>
        <v>430</v>
      </c>
      <c r="V936" s="82">
        <v>0</v>
      </c>
      <c r="W936" s="4">
        <v>2</v>
      </c>
      <c r="X936" s="195">
        <f t="shared" si="202"/>
        <v>430</v>
      </c>
      <c r="Y936" s="29" t="e">
        <f>IF(+VLOOKUP(I936,P.Referencia!E:S,3,FALSE)&lt;=L936,"Champion","Gerente")</f>
        <v>#N/A</v>
      </c>
      <c r="Z936" s="39" t="e">
        <f>VLOOKUP(I936,P.Referencia!E:S,3,0)</f>
        <v>#N/A</v>
      </c>
      <c r="AA936" s="40" t="e">
        <f t="shared" si="203"/>
        <v>#N/A</v>
      </c>
      <c r="AB936" s="41" t="e">
        <f t="shared" si="204"/>
        <v>#N/A</v>
      </c>
      <c r="AC936" s="41" t="e">
        <f t="shared" si="205"/>
        <v>#N/A</v>
      </c>
    </row>
    <row r="937" spans="1:29" hidden="1" x14ac:dyDescent="0.25">
      <c r="A937" s="24">
        <v>936</v>
      </c>
      <c r="B937" s="89" t="s">
        <v>571</v>
      </c>
      <c r="C937" s="4" t="str">
        <f t="shared" si="207"/>
        <v>LlaveD81667368599100002372</v>
      </c>
      <c r="D937" s="25" t="str">
        <f>VLOOKUP(E937,'NO MODIFICAR'!J:K,2,0)</f>
        <v>D816</v>
      </c>
      <c r="E937" s="102" t="s">
        <v>15</v>
      </c>
      <c r="F937" s="33" t="str">
        <f>VLOOKUP(D937,'NO MODIFICAR'!F:H,3,0)</f>
        <v>NORESTE</v>
      </c>
      <c r="G937" s="28">
        <v>67368599</v>
      </c>
      <c r="H937" s="93" t="s">
        <v>584</v>
      </c>
      <c r="I937" s="94">
        <v>10000237</v>
      </c>
      <c r="J937" s="4" t="str">
        <f>VLOOKUP(I937,'Materiales,canteras'!C:D,2,0)</f>
        <v>Grava Triturada Caliza 10 mm -</v>
      </c>
      <c r="K937" s="25">
        <f>VLOOKUP(I937,'Materiales,canteras'!C:E,3,0)</f>
        <v>1.5620000000000001</v>
      </c>
      <c r="L937" s="105">
        <v>358</v>
      </c>
      <c r="M937" s="28" t="s">
        <v>93</v>
      </c>
      <c r="N937" s="57">
        <f t="shared" ca="1" si="198"/>
        <v>46267</v>
      </c>
      <c r="O937" s="43" t="s">
        <v>201</v>
      </c>
      <c r="R937">
        <v>6.21</v>
      </c>
      <c r="S937" s="82">
        <v>414</v>
      </c>
      <c r="T937" s="66">
        <f t="shared" si="193"/>
        <v>-49.79000000000002</v>
      </c>
      <c r="U937" s="46">
        <f t="shared" si="194"/>
        <v>358</v>
      </c>
      <c r="V937" s="82">
        <v>0</v>
      </c>
      <c r="W937" s="4">
        <v>2</v>
      </c>
      <c r="X937" s="195">
        <f t="shared" si="202"/>
        <v>358</v>
      </c>
      <c r="Y937" s="29" t="e">
        <f>IF(+VLOOKUP(I937,P.Referencia!E:S,3,FALSE)&lt;=L937,"Champion","Gerente")</f>
        <v>#N/A</v>
      </c>
      <c r="Z937" s="39" t="e">
        <f>VLOOKUP(I937,P.Referencia!E:S,3,0)</f>
        <v>#N/A</v>
      </c>
      <c r="AA937" s="40" t="e">
        <f t="shared" si="203"/>
        <v>#N/A</v>
      </c>
      <c r="AB937" s="41" t="e">
        <f t="shared" si="204"/>
        <v>#N/A</v>
      </c>
      <c r="AC937" s="41" t="e">
        <f t="shared" si="205"/>
        <v>#N/A</v>
      </c>
    </row>
    <row r="938" spans="1:29" hidden="1" x14ac:dyDescent="0.25">
      <c r="A938" s="24">
        <v>937</v>
      </c>
      <c r="B938" s="89" t="s">
        <v>571</v>
      </c>
      <c r="C938" s="4" t="str">
        <f t="shared" si="207"/>
        <v>LlaveD81667368599100002412</v>
      </c>
      <c r="D938" s="25" t="str">
        <f>VLOOKUP(E938,'NO MODIFICAR'!J:K,2,0)</f>
        <v>D816</v>
      </c>
      <c r="E938" s="102" t="s">
        <v>15</v>
      </c>
      <c r="F938" s="33" t="str">
        <f>VLOOKUP(D938,'NO MODIFICAR'!F:H,3,0)</f>
        <v>NORESTE</v>
      </c>
      <c r="G938" s="28">
        <v>67368599</v>
      </c>
      <c r="H938" s="93" t="s">
        <v>584</v>
      </c>
      <c r="I938" s="94">
        <v>10000241</v>
      </c>
      <c r="J938" s="4" t="str">
        <f>VLOOKUP(I938,'Materiales,canteras'!C:D,2,0)</f>
        <v>Grava Triturada Caliza 20 mm -</v>
      </c>
      <c r="K938" s="25">
        <f>VLOOKUP(I938,'Materiales,canteras'!C:E,3,0)</f>
        <v>1.43</v>
      </c>
      <c r="L938" s="105">
        <v>312</v>
      </c>
      <c r="M938" s="28" t="s">
        <v>93</v>
      </c>
      <c r="N938" s="57">
        <f t="shared" ca="1" si="198"/>
        <v>46267</v>
      </c>
      <c r="O938" s="43" t="s">
        <v>201</v>
      </c>
      <c r="R938">
        <v>6.21</v>
      </c>
      <c r="S938" s="82">
        <v>414</v>
      </c>
      <c r="T938" s="66">
        <f t="shared" si="193"/>
        <v>-95.79000000000002</v>
      </c>
      <c r="U938" s="46">
        <f t="shared" si="194"/>
        <v>312</v>
      </c>
      <c r="V938" s="82">
        <v>0</v>
      </c>
      <c r="W938" s="4">
        <v>2</v>
      </c>
      <c r="X938" s="195">
        <f t="shared" si="202"/>
        <v>312</v>
      </c>
      <c r="Y938" s="29" t="e">
        <f>IF(+VLOOKUP(I938,P.Referencia!E:S,3,FALSE)&lt;=L938,"Champion","Gerente")</f>
        <v>#N/A</v>
      </c>
      <c r="Z938" s="39" t="e">
        <f>VLOOKUP(I938,P.Referencia!E:S,3,0)</f>
        <v>#N/A</v>
      </c>
      <c r="AA938" s="40" t="e">
        <f t="shared" si="203"/>
        <v>#N/A</v>
      </c>
      <c r="AB938" s="41" t="e">
        <f t="shared" si="204"/>
        <v>#N/A</v>
      </c>
      <c r="AC938" s="41" t="e">
        <f t="shared" si="205"/>
        <v>#N/A</v>
      </c>
    </row>
    <row r="939" spans="1:29" hidden="1" x14ac:dyDescent="0.25">
      <c r="A939" s="24">
        <v>938</v>
      </c>
      <c r="B939" s="89" t="s">
        <v>571</v>
      </c>
      <c r="C939" s="4" t="str">
        <f t="shared" si="207"/>
        <v>LlaveD81667368599100011702</v>
      </c>
      <c r="D939" s="25" t="str">
        <f>VLOOKUP(E939,'NO MODIFICAR'!J:K,2,0)</f>
        <v>D816</v>
      </c>
      <c r="E939" s="102" t="s">
        <v>15</v>
      </c>
      <c r="F939" s="33" t="str">
        <f>VLOOKUP(D939,'NO MODIFICAR'!F:H,3,0)</f>
        <v>NORESTE</v>
      </c>
      <c r="G939" s="28">
        <v>67368599</v>
      </c>
      <c r="H939" s="93" t="s">
        <v>584</v>
      </c>
      <c r="I939" s="94">
        <v>10001170</v>
      </c>
      <c r="J939" s="4" t="str">
        <f>VLOOKUP(I939,'Materiales,canteras'!C:D,2,0)</f>
        <v>Arena Triturada Caliza Block</v>
      </c>
      <c r="K939" s="25">
        <f>VLOOKUP(I939,'Materiales,canteras'!C:E,3,0)</f>
        <v>1.7709999999999999</v>
      </c>
      <c r="L939" s="105">
        <v>312</v>
      </c>
      <c r="M939" s="28" t="s">
        <v>93</v>
      </c>
      <c r="N939" s="57">
        <f t="shared" ca="1" si="198"/>
        <v>46267</v>
      </c>
      <c r="O939" s="43" t="s">
        <v>201</v>
      </c>
      <c r="Q939">
        <v>47.06</v>
      </c>
      <c r="R939">
        <v>4.72</v>
      </c>
      <c r="S939" s="82">
        <v>362</v>
      </c>
      <c r="T939" s="66">
        <f t="shared" si="193"/>
        <v>1.7800000000000296</v>
      </c>
      <c r="U939" s="46">
        <f t="shared" si="194"/>
        <v>312</v>
      </c>
      <c r="V939" s="82">
        <v>0</v>
      </c>
      <c r="W939" s="4">
        <v>2</v>
      </c>
      <c r="X939" s="195">
        <f t="shared" si="202"/>
        <v>312</v>
      </c>
      <c r="Y939" s="29" t="e">
        <f>IF(+VLOOKUP(I939,P.Referencia!E:S,3,FALSE)&lt;=L939,"Champion","Gerente")</f>
        <v>#N/A</v>
      </c>
      <c r="Z939" s="39" t="e">
        <f>VLOOKUP(I939,P.Referencia!E:S,3,0)</f>
        <v>#N/A</v>
      </c>
      <c r="AA939" s="40" t="e">
        <f t="shared" si="203"/>
        <v>#N/A</v>
      </c>
      <c r="AB939" s="41" t="e">
        <f t="shared" si="204"/>
        <v>#N/A</v>
      </c>
      <c r="AC939" s="41" t="e">
        <f t="shared" si="205"/>
        <v>#N/A</v>
      </c>
    </row>
    <row r="940" spans="1:29" hidden="1" x14ac:dyDescent="0.25">
      <c r="A940" s="24">
        <v>939</v>
      </c>
      <c r="B940" s="89" t="s">
        <v>571</v>
      </c>
      <c r="C940" s="4" t="str">
        <f t="shared" si="207"/>
        <v>LlaveD81667368038100002481</v>
      </c>
      <c r="D940" s="25" t="str">
        <f>VLOOKUP(E940,'NO MODIFICAR'!J:K,2,0)</f>
        <v>D816</v>
      </c>
      <c r="E940" s="102" t="s">
        <v>15</v>
      </c>
      <c r="F940" s="33" t="str">
        <f>VLOOKUP(D940,'NO MODIFICAR'!F:H,3,0)</f>
        <v>NORESTE</v>
      </c>
      <c r="G940" s="28">
        <v>67368038</v>
      </c>
      <c r="H940" s="93" t="s">
        <v>585</v>
      </c>
      <c r="I940" s="94">
        <v>10000248</v>
      </c>
      <c r="J940" s="4" t="str">
        <f>VLOOKUP(I940,'Materiales,canteras'!C:D,2,0)</f>
        <v>Sub-base Triturado Caliza 1 1/2" a Finos</v>
      </c>
      <c r="K940" s="25">
        <f>VLOOKUP(I940,'Materiales,canteras'!C:E,3,0)</f>
        <v>1.821</v>
      </c>
      <c r="L940" s="105">
        <v>302</v>
      </c>
      <c r="M940" s="28" t="s">
        <v>93</v>
      </c>
      <c r="N940" s="57">
        <f t="shared" ca="1" si="198"/>
        <v>46267</v>
      </c>
      <c r="O940" s="43" t="s">
        <v>201</v>
      </c>
      <c r="Q940">
        <v>16.100000000000001</v>
      </c>
      <c r="R940">
        <v>4.59</v>
      </c>
      <c r="S940" s="82">
        <v>322</v>
      </c>
      <c r="T940" s="66">
        <f t="shared" si="193"/>
        <v>0.68999999999999773</v>
      </c>
      <c r="U940" s="46">
        <f t="shared" si="194"/>
        <v>302</v>
      </c>
      <c r="V940" s="82">
        <v>80.510000000000005</v>
      </c>
      <c r="W940" s="4">
        <v>1</v>
      </c>
      <c r="X940" s="195">
        <f t="shared" si="202"/>
        <v>382.51</v>
      </c>
      <c r="Y940" s="29" t="e">
        <f>IF(+VLOOKUP(I940,P.Referencia!E:S,3,FALSE)&lt;=L940,"Champion","Gerente")</f>
        <v>#N/A</v>
      </c>
      <c r="Z940" s="39" t="e">
        <f>VLOOKUP(I940,P.Referencia!E:S,3,0)</f>
        <v>#N/A</v>
      </c>
      <c r="AA940" s="40" t="e">
        <f t="shared" si="203"/>
        <v>#N/A</v>
      </c>
      <c r="AB940" s="41" t="e">
        <f t="shared" si="204"/>
        <v>#N/A</v>
      </c>
      <c r="AC940" s="41" t="e">
        <f t="shared" si="205"/>
        <v>#N/A</v>
      </c>
    </row>
    <row r="941" spans="1:29" hidden="1" x14ac:dyDescent="0.25">
      <c r="A941" s="24">
        <v>940</v>
      </c>
      <c r="B941" s="89" t="s">
        <v>571</v>
      </c>
      <c r="C941" s="4" t="str">
        <f t="shared" si="207"/>
        <v>LlaveD81667368038100002621</v>
      </c>
      <c r="D941" s="25" t="str">
        <f>VLOOKUP(E941,'NO MODIFICAR'!J:K,2,0)</f>
        <v>D816</v>
      </c>
      <c r="E941" s="102" t="s">
        <v>15</v>
      </c>
      <c r="F941" s="33" t="str">
        <f>VLOOKUP(D941,'NO MODIFICAR'!F:H,3,0)</f>
        <v>NORESTE</v>
      </c>
      <c r="G941" s="28">
        <v>67368038</v>
      </c>
      <c r="H941" s="93" t="s">
        <v>585</v>
      </c>
      <c r="I941" s="94">
        <v>10000262</v>
      </c>
      <c r="J941" s="4" t="str">
        <f>VLOOKUP(I941,'Materiales,canteras'!C:D,2,0)</f>
        <v>Base H Triturada Caliza 1 1/2"</v>
      </c>
      <c r="K941" s="25">
        <f>VLOOKUP(I941,'Materiales,canteras'!C:E,3,0)</f>
        <v>1.821</v>
      </c>
      <c r="L941" s="105">
        <v>308</v>
      </c>
      <c r="M941" s="28" t="s">
        <v>93</v>
      </c>
      <c r="N941" s="57">
        <f t="shared" ca="1" si="198"/>
        <v>46267</v>
      </c>
      <c r="O941" s="43" t="s">
        <v>201</v>
      </c>
      <c r="Q941">
        <v>17.850000000000001</v>
      </c>
      <c r="R941">
        <v>5.09</v>
      </c>
      <c r="S941" s="82">
        <v>357</v>
      </c>
      <c r="T941" s="66">
        <f t="shared" si="193"/>
        <v>-26.060000000000002</v>
      </c>
      <c r="U941" s="46">
        <f t="shared" si="194"/>
        <v>308</v>
      </c>
      <c r="V941" s="82">
        <v>80.510000000000005</v>
      </c>
      <c r="W941" s="4">
        <v>1</v>
      </c>
      <c r="X941" s="195">
        <f t="shared" si="202"/>
        <v>388.51</v>
      </c>
      <c r="Y941" s="29" t="e">
        <f>IF(+VLOOKUP(I941,P.Referencia!E:S,3,FALSE)&lt;=L941,"Champion","Gerente")</f>
        <v>#N/A</v>
      </c>
      <c r="Z941" s="39" t="e">
        <f>VLOOKUP(I941,P.Referencia!E:S,3,0)</f>
        <v>#N/A</v>
      </c>
      <c r="AA941" s="40" t="e">
        <f t="shared" si="203"/>
        <v>#N/A</v>
      </c>
      <c r="AB941" s="41" t="e">
        <f t="shared" si="204"/>
        <v>#N/A</v>
      </c>
      <c r="AC941" s="41" t="e">
        <f t="shared" si="205"/>
        <v>#N/A</v>
      </c>
    </row>
    <row r="942" spans="1:29" hidden="1" x14ac:dyDescent="0.25">
      <c r="A942" s="24">
        <v>941</v>
      </c>
      <c r="B942" s="89" t="s">
        <v>571</v>
      </c>
      <c r="C942" s="4" t="str">
        <f t="shared" si="207"/>
        <v>LlaveD81667368038100364881</v>
      </c>
      <c r="D942" s="25" t="str">
        <f>VLOOKUP(E942,'NO MODIFICAR'!J:K,2,0)</f>
        <v>D816</v>
      </c>
      <c r="E942" s="102" t="s">
        <v>15</v>
      </c>
      <c r="F942" s="33" t="str">
        <f>VLOOKUP(D942,'NO MODIFICAR'!F:H,3,0)</f>
        <v>NORESTE</v>
      </c>
      <c r="G942" s="28">
        <v>67368038</v>
      </c>
      <c r="H942" s="93" t="s">
        <v>585</v>
      </c>
      <c r="I942" s="94">
        <v>10036488</v>
      </c>
      <c r="J942" s="4" t="str">
        <f>VLOOKUP(I942,'Materiales,canteras'!C:D,2,0)</f>
        <v>Base H Trit Caliza 3/4" a Fino</v>
      </c>
      <c r="K942" s="25">
        <f>VLOOKUP(I942,'Materiales,canteras'!C:E,3,0)</f>
        <v>1.78</v>
      </c>
      <c r="L942" s="105">
        <v>308</v>
      </c>
      <c r="M942" s="28" t="s">
        <v>93</v>
      </c>
      <c r="N942" s="57">
        <f t="shared" ca="1" si="198"/>
        <v>46267</v>
      </c>
      <c r="O942" s="43" t="s">
        <v>201</v>
      </c>
      <c r="Q942">
        <v>17.850000000000001</v>
      </c>
      <c r="R942">
        <v>5.09</v>
      </c>
      <c r="S942" s="82">
        <v>357</v>
      </c>
      <c r="T942" s="66">
        <f t="shared" si="193"/>
        <v>-26.060000000000002</v>
      </c>
      <c r="U942" s="46">
        <f t="shared" si="194"/>
        <v>308</v>
      </c>
      <c r="V942" s="82">
        <v>80.510000000000005</v>
      </c>
      <c r="W942" s="4">
        <v>1</v>
      </c>
      <c r="X942" s="195">
        <f t="shared" si="202"/>
        <v>388.51</v>
      </c>
      <c r="Y942" s="29" t="e">
        <f>IF(+VLOOKUP(I942,P.Referencia!E:S,3,FALSE)&lt;=L942,"Champion","Gerente")</f>
        <v>#N/A</v>
      </c>
      <c r="Z942" s="39" t="e">
        <f>VLOOKUP(I942,P.Referencia!E:S,3,0)</f>
        <v>#N/A</v>
      </c>
      <c r="AA942" s="40" t="e">
        <f t="shared" si="203"/>
        <v>#N/A</v>
      </c>
      <c r="AB942" s="41" t="e">
        <f t="shared" si="204"/>
        <v>#N/A</v>
      </c>
      <c r="AC942" s="41" t="e">
        <f t="shared" si="205"/>
        <v>#N/A</v>
      </c>
    </row>
    <row r="943" spans="1:29" hidden="1" x14ac:dyDescent="0.25">
      <c r="A943" s="24">
        <v>942</v>
      </c>
      <c r="B943" s="89" t="s">
        <v>571</v>
      </c>
      <c r="C943" s="4" t="str">
        <f t="shared" si="207"/>
        <v>LlaveD81667368038100001241</v>
      </c>
      <c r="D943" s="25" t="str">
        <f>VLOOKUP(E943,'NO MODIFICAR'!J:K,2,0)</f>
        <v>D816</v>
      </c>
      <c r="E943" s="102" t="s">
        <v>15</v>
      </c>
      <c r="F943" s="33" t="str">
        <f>VLOOKUP(D943,'NO MODIFICAR'!F:H,3,0)</f>
        <v>NORESTE</v>
      </c>
      <c r="G943" s="28">
        <v>67368038</v>
      </c>
      <c r="H943" s="93" t="s">
        <v>585</v>
      </c>
      <c r="I943" s="94">
        <v>10000124</v>
      </c>
      <c r="J943" s="4" t="str">
        <f>VLOOKUP(I943,'Materiales,canteras'!C:D,2,0)</f>
        <v>Arena Triturada Caliza Malla 4</v>
      </c>
      <c r="K943" s="25">
        <f>VLOOKUP(I943,'Materiales,canteras'!C:E,3,0)</f>
        <v>1.7390000000000001</v>
      </c>
      <c r="L943" s="105">
        <v>314</v>
      </c>
      <c r="M943" s="28" t="s">
        <v>93</v>
      </c>
      <c r="N943" s="57">
        <f t="shared" ca="1" si="198"/>
        <v>46267</v>
      </c>
      <c r="O943" s="43" t="s">
        <v>201</v>
      </c>
      <c r="Q943">
        <v>24.75</v>
      </c>
      <c r="R943">
        <v>7.05</v>
      </c>
      <c r="S943" s="82">
        <v>495</v>
      </c>
      <c r="T943" s="66">
        <f t="shared" si="193"/>
        <v>-149.19999999999999</v>
      </c>
      <c r="U943" s="46">
        <f t="shared" si="194"/>
        <v>314</v>
      </c>
      <c r="V943" s="82">
        <v>80.510000000000005</v>
      </c>
      <c r="W943" s="4">
        <v>1</v>
      </c>
      <c r="X943" s="195">
        <f t="shared" si="202"/>
        <v>394.51</v>
      </c>
      <c r="Y943" s="29" t="e">
        <f>IF(+VLOOKUP(I943,P.Referencia!E:S,3,FALSE)&lt;=L943,"Champion","Gerente")</f>
        <v>#N/A</v>
      </c>
      <c r="Z943" s="39" t="e">
        <f>VLOOKUP(I943,P.Referencia!E:S,3,0)</f>
        <v>#N/A</v>
      </c>
      <c r="AA943" s="40" t="e">
        <f t="shared" si="203"/>
        <v>#N/A</v>
      </c>
      <c r="AB943" s="41" t="e">
        <f t="shared" si="204"/>
        <v>#N/A</v>
      </c>
      <c r="AC943" s="41" t="e">
        <f t="shared" si="205"/>
        <v>#N/A</v>
      </c>
    </row>
    <row r="944" spans="1:29" hidden="1" x14ac:dyDescent="0.25">
      <c r="A944" s="24">
        <v>943</v>
      </c>
      <c r="B944" s="89" t="s">
        <v>571</v>
      </c>
      <c r="C944" s="4" t="str">
        <f t="shared" si="207"/>
        <v>LlaveD81667368038100002601</v>
      </c>
      <c r="D944" s="25" t="str">
        <f>VLOOKUP(E944,'NO MODIFICAR'!J:K,2,0)</f>
        <v>D816</v>
      </c>
      <c r="E944" s="102" t="s">
        <v>15</v>
      </c>
      <c r="F944" s="33" t="str">
        <f>VLOOKUP(D944,'NO MODIFICAR'!F:H,3,0)</f>
        <v>NORESTE</v>
      </c>
      <c r="G944" s="28">
        <v>67368038</v>
      </c>
      <c r="H944" s="93" t="s">
        <v>585</v>
      </c>
      <c r="I944" s="94">
        <v>10000260</v>
      </c>
      <c r="J944" s="4" t="str">
        <f>VLOOKUP(I944,'Materiales,canteras'!C:D,2,0)</f>
        <v>Arena Triturada Caliza Malla 5</v>
      </c>
      <c r="K944" s="25">
        <f>VLOOKUP(I944,'Materiales,canteras'!C:E,3,0)</f>
        <v>1.72</v>
      </c>
      <c r="L944" s="105">
        <v>431</v>
      </c>
      <c r="M944" s="28" t="s">
        <v>93</v>
      </c>
      <c r="N944" s="57">
        <f t="shared" ca="1" si="198"/>
        <v>46267</v>
      </c>
      <c r="O944" s="43" t="s">
        <v>201</v>
      </c>
      <c r="Q944">
        <v>24.75</v>
      </c>
      <c r="R944">
        <v>7.05</v>
      </c>
      <c r="S944" s="82">
        <v>495</v>
      </c>
      <c r="T944" s="66">
        <f t="shared" ref="T944:T949" si="208">L944-((S944-P944)-(Q944)-(R944))</f>
        <v>-32.199999999999989</v>
      </c>
      <c r="U944" s="46">
        <f t="shared" si="194"/>
        <v>431</v>
      </c>
      <c r="V944" s="82">
        <v>80.510000000000005</v>
      </c>
      <c r="W944" s="4">
        <v>1</v>
      </c>
      <c r="X944" s="195">
        <f t="shared" si="202"/>
        <v>511.51</v>
      </c>
      <c r="Y944" s="29" t="e">
        <f>IF(+VLOOKUP(I944,P.Referencia!E:S,3,FALSE)&lt;=L944,"Champion","Gerente")</f>
        <v>#N/A</v>
      </c>
      <c r="Z944" s="39" t="e">
        <f>VLOOKUP(I944,P.Referencia!E:S,3,0)</f>
        <v>#N/A</v>
      </c>
      <c r="AA944" s="40" t="e">
        <f t="shared" si="203"/>
        <v>#N/A</v>
      </c>
      <c r="AB944" s="41" t="e">
        <f t="shared" si="204"/>
        <v>#N/A</v>
      </c>
      <c r="AC944" s="41" t="e">
        <f t="shared" si="205"/>
        <v>#N/A</v>
      </c>
    </row>
    <row r="945" spans="1:30" hidden="1" x14ac:dyDescent="0.25">
      <c r="A945" s="24">
        <v>944</v>
      </c>
      <c r="B945" s="89" t="s">
        <v>571</v>
      </c>
      <c r="C945" s="4" t="str">
        <f t="shared" si="207"/>
        <v>LlaveD81667368038100002411</v>
      </c>
      <c r="D945" s="25" t="str">
        <f>VLOOKUP(E945,'NO MODIFICAR'!J:K,2,0)</f>
        <v>D816</v>
      </c>
      <c r="E945" s="102" t="s">
        <v>15</v>
      </c>
      <c r="F945" s="33" t="str">
        <f>VLOOKUP(D945,'NO MODIFICAR'!F:H,3,0)</f>
        <v>NORESTE</v>
      </c>
      <c r="G945" s="28">
        <v>67368038</v>
      </c>
      <c r="H945" s="93" t="s">
        <v>585</v>
      </c>
      <c r="I945" s="94">
        <v>10000241</v>
      </c>
      <c r="J945" s="4" t="str">
        <f>VLOOKUP(I945,'Materiales,canteras'!C:D,2,0)</f>
        <v>Grava Triturada Caliza 20 mm -</v>
      </c>
      <c r="K945" s="25">
        <f>VLOOKUP(I945,'Materiales,canteras'!C:E,3,0)</f>
        <v>1.43</v>
      </c>
      <c r="L945" s="105">
        <v>314</v>
      </c>
      <c r="M945" s="28" t="s">
        <v>93</v>
      </c>
      <c r="N945" s="57">
        <f t="shared" ca="1" si="198"/>
        <v>46267</v>
      </c>
      <c r="O945" s="43" t="s">
        <v>201</v>
      </c>
      <c r="Q945">
        <v>20.7</v>
      </c>
      <c r="R945">
        <v>5.9</v>
      </c>
      <c r="S945" s="82">
        <v>414</v>
      </c>
      <c r="T945" s="66">
        <f t="shared" si="208"/>
        <v>-73.400000000000034</v>
      </c>
      <c r="U945" s="46">
        <f t="shared" si="194"/>
        <v>314</v>
      </c>
      <c r="V945" s="82">
        <v>80.510000000000005</v>
      </c>
      <c r="W945" s="4">
        <v>1</v>
      </c>
      <c r="X945" s="195">
        <f t="shared" si="202"/>
        <v>394.51</v>
      </c>
      <c r="Y945" s="29" t="e">
        <f>IF(+VLOOKUP(I945,P.Referencia!E:S,3,FALSE)&lt;=L945,"Champion","Gerente")</f>
        <v>#N/A</v>
      </c>
      <c r="Z945" s="39" t="e">
        <f>VLOOKUP(I945,P.Referencia!E:S,3,0)</f>
        <v>#N/A</v>
      </c>
      <c r="AA945" s="40" t="e">
        <f t="shared" si="203"/>
        <v>#N/A</v>
      </c>
      <c r="AB945" s="41" t="e">
        <f t="shared" si="204"/>
        <v>#N/A</v>
      </c>
      <c r="AC945" s="41" t="e">
        <f t="shared" si="205"/>
        <v>#N/A</v>
      </c>
    </row>
    <row r="946" spans="1:30" hidden="1" x14ac:dyDescent="0.25">
      <c r="A946" s="24">
        <v>945</v>
      </c>
      <c r="B946" s="89" t="s">
        <v>571</v>
      </c>
      <c r="C946" s="4" t="str">
        <f t="shared" si="207"/>
        <v>LlaveD81667368038100012221</v>
      </c>
      <c r="D946" s="25" t="str">
        <f>VLOOKUP(E946,'NO MODIFICAR'!J:K,2,0)</f>
        <v>D816</v>
      </c>
      <c r="E946" s="102" t="s">
        <v>15</v>
      </c>
      <c r="F946" s="33" t="str">
        <f>VLOOKUP(D946,'NO MODIFICAR'!F:H,3,0)</f>
        <v>NORESTE</v>
      </c>
      <c r="G946" s="28">
        <v>67368038</v>
      </c>
      <c r="H946" s="93" t="s">
        <v>585</v>
      </c>
      <c r="I946" s="94">
        <v>10001222</v>
      </c>
      <c r="J946" s="4" t="str">
        <f>VLOOKUP(I946,'Materiales,canteras'!C:D,2,0)</f>
        <v>Mixto Grava 3/4 - Arena 4</v>
      </c>
      <c r="K946" s="25">
        <f>VLOOKUP(I946,'Materiales,canteras'!C:E,3,0)</f>
        <v>1.613</v>
      </c>
      <c r="L946" s="105">
        <v>314</v>
      </c>
      <c r="M946" s="28" t="s">
        <v>93</v>
      </c>
      <c r="N946" s="57">
        <f t="shared" ca="1" si="198"/>
        <v>46267</v>
      </c>
      <c r="O946" s="43" t="s">
        <v>201</v>
      </c>
      <c r="P946">
        <v>26.9</v>
      </c>
      <c r="Q946">
        <v>19</v>
      </c>
      <c r="R946">
        <v>5.0199999999999996</v>
      </c>
      <c r="S946" s="82">
        <v>380</v>
      </c>
      <c r="T946" s="66">
        <f t="shared" si="208"/>
        <v>-15.080000000000041</v>
      </c>
      <c r="U946" s="46">
        <f t="shared" si="194"/>
        <v>314</v>
      </c>
      <c r="V946" s="82">
        <v>80.510000000000005</v>
      </c>
      <c r="W946" s="4">
        <v>1</v>
      </c>
      <c r="X946" s="195">
        <f t="shared" si="202"/>
        <v>394.51</v>
      </c>
      <c r="Y946" s="29" t="e">
        <f>IF(+VLOOKUP(I946,P.Referencia!E:S,3,FALSE)&lt;=L946,"Champion","Gerente")</f>
        <v>#N/A</v>
      </c>
      <c r="Z946" s="39" t="e">
        <f>VLOOKUP(I946,P.Referencia!E:S,3,0)</f>
        <v>#N/A</v>
      </c>
      <c r="AA946" s="40" t="e">
        <f t="shared" si="203"/>
        <v>#N/A</v>
      </c>
      <c r="AB946" s="41" t="e">
        <f t="shared" si="204"/>
        <v>#N/A</v>
      </c>
      <c r="AC946" s="41" t="e">
        <f t="shared" si="205"/>
        <v>#N/A</v>
      </c>
    </row>
    <row r="947" spans="1:30" hidden="1" x14ac:dyDescent="0.25">
      <c r="A947" s="24">
        <v>946</v>
      </c>
      <c r="B947" s="89" t="s">
        <v>571</v>
      </c>
      <c r="C947" s="4" t="str">
        <f t="shared" si="207"/>
        <v>LlaveD81667368038100012011</v>
      </c>
      <c r="D947" s="25" t="str">
        <f>VLOOKUP(E947,'NO MODIFICAR'!J:K,2,0)</f>
        <v>D816</v>
      </c>
      <c r="E947" s="102" t="s">
        <v>15</v>
      </c>
      <c r="F947" s="33" t="str">
        <f>VLOOKUP(D947,'NO MODIFICAR'!F:H,3,0)</f>
        <v>NORESTE</v>
      </c>
      <c r="G947" s="28">
        <v>67368038</v>
      </c>
      <c r="H947" s="93" t="s">
        <v>585</v>
      </c>
      <c r="I947" s="94">
        <v>10001201</v>
      </c>
      <c r="J947" s="4" t="str">
        <f>VLOOKUP(I947,'Materiales,canteras'!C:D,2,0)</f>
        <v>No Clasificado Triturado Caliz</v>
      </c>
      <c r="K947" s="25">
        <f>VLOOKUP(I947,'Materiales,canteras'!C:E,3,0)</f>
        <v>1.698</v>
      </c>
      <c r="L947" s="105">
        <v>280</v>
      </c>
      <c r="M947" s="28" t="s">
        <v>93</v>
      </c>
      <c r="N947" s="57">
        <f t="shared" ca="1" si="198"/>
        <v>46267</v>
      </c>
      <c r="O947" s="43" t="s">
        <v>201</v>
      </c>
      <c r="Q947">
        <v>17.55</v>
      </c>
      <c r="R947">
        <v>5</v>
      </c>
      <c r="S947" s="82">
        <v>351</v>
      </c>
      <c r="T947" s="66">
        <f t="shared" si="208"/>
        <v>-48.449999999999989</v>
      </c>
      <c r="U947" s="46">
        <f t="shared" si="194"/>
        <v>280</v>
      </c>
      <c r="V947" s="82">
        <v>80.510000000000005</v>
      </c>
      <c r="W947" s="4">
        <v>1</v>
      </c>
      <c r="X947" s="195">
        <f t="shared" si="202"/>
        <v>360.51</v>
      </c>
      <c r="Y947" s="29" t="e">
        <f>IF(+VLOOKUP(I947,P.Referencia!E:S,3,FALSE)&lt;=L947,"Champion","Gerente")</f>
        <v>#N/A</v>
      </c>
      <c r="Z947" s="39" t="e">
        <f>VLOOKUP(I947,P.Referencia!E:S,3,0)</f>
        <v>#N/A</v>
      </c>
      <c r="AA947" s="40" t="e">
        <f t="shared" si="203"/>
        <v>#N/A</v>
      </c>
      <c r="AB947" s="41" t="e">
        <f t="shared" si="204"/>
        <v>#N/A</v>
      </c>
      <c r="AC947" s="41" t="e">
        <f t="shared" si="205"/>
        <v>#N/A</v>
      </c>
    </row>
    <row r="948" spans="1:30" hidden="1" x14ac:dyDescent="0.25">
      <c r="A948" s="24">
        <v>947</v>
      </c>
      <c r="B948" s="89" t="s">
        <v>571</v>
      </c>
      <c r="C948" s="4" t="str">
        <f t="shared" si="207"/>
        <v>LlaveD81667368599100002622</v>
      </c>
      <c r="D948" s="25" t="str">
        <f>VLOOKUP(E948,'NO MODIFICAR'!J:K,2,0)</f>
        <v>D816</v>
      </c>
      <c r="E948" s="102" t="s">
        <v>15</v>
      </c>
      <c r="F948" s="33" t="str">
        <f>VLOOKUP(D948,'NO MODIFICAR'!F:H,3,0)</f>
        <v>NORESTE</v>
      </c>
      <c r="G948" s="4">
        <v>67368599</v>
      </c>
      <c r="H948" s="253" t="s">
        <v>583</v>
      </c>
      <c r="I948" s="191">
        <v>10000262</v>
      </c>
      <c r="J948" s="4" t="str">
        <f>VLOOKUP(I948,'Materiales,canteras'!C:D,2,0)</f>
        <v>Base H Triturada Caliza 1 1/2"</v>
      </c>
      <c r="K948" s="25">
        <f>VLOOKUP(I948,'Materiales,canteras'!C:E,3,0)</f>
        <v>1.821</v>
      </c>
      <c r="L948" s="254">
        <v>310</v>
      </c>
      <c r="M948" s="28" t="s">
        <v>93</v>
      </c>
      <c r="N948" s="57">
        <f t="shared" ca="1" si="198"/>
        <v>46267</v>
      </c>
      <c r="O948" s="43" t="s">
        <v>201</v>
      </c>
      <c r="R948">
        <v>5.36</v>
      </c>
      <c r="S948" s="4">
        <v>357</v>
      </c>
      <c r="T948" s="66">
        <f t="shared" si="208"/>
        <v>-41.639999999999986</v>
      </c>
      <c r="U948" s="46">
        <f t="shared" si="194"/>
        <v>310</v>
      </c>
      <c r="V948" s="82">
        <v>0</v>
      </c>
      <c r="W948" s="4">
        <v>2</v>
      </c>
      <c r="X948" s="195">
        <f t="shared" si="202"/>
        <v>310</v>
      </c>
      <c r="Y948" s="29" t="e">
        <f>IF(+VLOOKUP(I948,P.Referencia!E:S,3,FALSE)&lt;=L948,"Champion","Gerente")</f>
        <v>#N/A</v>
      </c>
      <c r="Z948" s="39" t="e">
        <f>VLOOKUP(I948,P.Referencia!E:S,3,0)</f>
        <v>#N/A</v>
      </c>
      <c r="AA948" s="40" t="e">
        <f t="shared" si="203"/>
        <v>#N/A</v>
      </c>
      <c r="AB948" s="41" t="e">
        <f t="shared" si="204"/>
        <v>#N/A</v>
      </c>
      <c r="AC948" s="41" t="e">
        <f t="shared" si="205"/>
        <v>#N/A</v>
      </c>
    </row>
    <row r="949" spans="1:30" hidden="1" x14ac:dyDescent="0.25">
      <c r="A949" s="24">
        <v>948</v>
      </c>
      <c r="B949" s="89" t="s">
        <v>571</v>
      </c>
      <c r="C949" s="4" t="str">
        <f t="shared" si="207"/>
        <v>LlaveD81667368599100364882</v>
      </c>
      <c r="D949" s="25" t="str">
        <f>VLOOKUP(E949,'NO MODIFICAR'!J:K,2,0)</f>
        <v>D816</v>
      </c>
      <c r="E949" s="102" t="s">
        <v>15</v>
      </c>
      <c r="F949" s="33" t="str">
        <f>VLOOKUP(D949,'NO MODIFICAR'!F:H,3,0)</f>
        <v>NORESTE</v>
      </c>
      <c r="G949" s="4">
        <v>67368599</v>
      </c>
      <c r="H949" s="253" t="s">
        <v>583</v>
      </c>
      <c r="I949" s="29">
        <v>10036488</v>
      </c>
      <c r="J949" s="4" t="str">
        <f>VLOOKUP(I949,'Materiales,canteras'!C:D,2,0)</f>
        <v>Base H Trit Caliza 3/4" a Fino</v>
      </c>
      <c r="K949" s="25">
        <f>VLOOKUP(I949,'Materiales,canteras'!C:E,3,0)</f>
        <v>1.78</v>
      </c>
      <c r="L949" s="255">
        <v>310</v>
      </c>
      <c r="M949" s="28" t="s">
        <v>93</v>
      </c>
      <c r="N949" s="57">
        <f t="shared" ca="1" si="198"/>
        <v>46267</v>
      </c>
      <c r="O949" s="43" t="s">
        <v>201</v>
      </c>
      <c r="R949">
        <v>5.36</v>
      </c>
      <c r="S949" s="4">
        <v>357</v>
      </c>
      <c r="T949" s="66">
        <f t="shared" si="208"/>
        <v>-41.639999999999986</v>
      </c>
      <c r="U949" s="46">
        <f t="shared" si="194"/>
        <v>310</v>
      </c>
      <c r="V949" s="82">
        <v>0</v>
      </c>
      <c r="W949" s="4">
        <v>2</v>
      </c>
      <c r="X949" s="195">
        <f t="shared" si="202"/>
        <v>310</v>
      </c>
      <c r="Y949" s="29" t="e">
        <f>IF(+VLOOKUP(I949,P.Referencia!E:S,3,FALSE)&lt;=L949,"Champion","Gerente")</f>
        <v>#N/A</v>
      </c>
      <c r="Z949" s="39" t="e">
        <f>VLOOKUP(I949,P.Referencia!E:S,3,0)</f>
        <v>#N/A</v>
      </c>
      <c r="AA949" s="40" t="e">
        <f t="shared" si="203"/>
        <v>#N/A</v>
      </c>
      <c r="AB949" s="41" t="e">
        <f t="shared" si="204"/>
        <v>#N/A</v>
      </c>
      <c r="AC949" s="41" t="e">
        <f t="shared" si="205"/>
        <v>#N/A</v>
      </c>
    </row>
    <row r="950" spans="1:30" hidden="1" x14ac:dyDescent="0.25">
      <c r="A950" s="24">
        <v>949</v>
      </c>
      <c r="B950" s="89" t="s">
        <v>571</v>
      </c>
      <c r="C950" s="4" t="str">
        <f t="shared" si="207"/>
        <v>LlaveD81667368599100002482</v>
      </c>
      <c r="D950" s="25" t="str">
        <f>VLOOKUP(E950,'NO MODIFICAR'!J:K,2,0)</f>
        <v>D816</v>
      </c>
      <c r="E950" s="102" t="s">
        <v>15</v>
      </c>
      <c r="F950" s="33" t="str">
        <f>VLOOKUP(D950,'NO MODIFICAR'!F:H,3,0)</f>
        <v>NORESTE</v>
      </c>
      <c r="G950" s="4">
        <v>67368599</v>
      </c>
      <c r="H950" s="253" t="s">
        <v>583</v>
      </c>
      <c r="I950" s="29">
        <v>10000248</v>
      </c>
      <c r="J950" s="4" t="str">
        <f>VLOOKUP(I950,'Materiales,canteras'!C:D,2,0)</f>
        <v>Sub-base Triturado Caliza 1 1/2" a Finos</v>
      </c>
      <c r="K950" s="25">
        <f>VLOOKUP(I950,'Materiales,canteras'!C:E,3,0)</f>
        <v>1.821</v>
      </c>
      <c r="L950" s="255">
        <v>305</v>
      </c>
      <c r="M950" s="28" t="s">
        <v>93</v>
      </c>
      <c r="N950" s="57">
        <f t="shared" ca="1" si="198"/>
        <v>46267</v>
      </c>
      <c r="O950" s="43" t="s">
        <v>201</v>
      </c>
      <c r="R950">
        <v>4.83</v>
      </c>
      <c r="S950" s="4">
        <v>322</v>
      </c>
      <c r="T950" s="66">
        <f t="shared" ref="T950:T965" si="209">L950-((S950-P950)-(Q950)-(R950))</f>
        <v>-12.170000000000016</v>
      </c>
      <c r="U950" s="46">
        <f t="shared" ref="U950:U965" si="210">L950</f>
        <v>305</v>
      </c>
      <c r="V950" s="82">
        <v>0</v>
      </c>
      <c r="W950" s="4">
        <v>2</v>
      </c>
      <c r="X950" s="195">
        <f t="shared" ref="X950:X966" si="211">U950+V950</f>
        <v>305</v>
      </c>
      <c r="Y950" s="29" t="e">
        <f>IF(+VLOOKUP(I950,P.Referencia!E:S,3,FALSE)&lt;=L950,"Champion","Gerente")</f>
        <v>#N/A</v>
      </c>
      <c r="Z950" s="39" t="e">
        <f>VLOOKUP(I950,P.Referencia!E:S,3,0)</f>
        <v>#N/A</v>
      </c>
      <c r="AA950" s="40" t="e">
        <f t="shared" ref="AA950:AA966" si="212">(Z950-U950)/U950</f>
        <v>#N/A</v>
      </c>
      <c r="AB950" s="41" t="e">
        <f t="shared" ref="AB950:AB966" si="213">U950*AA950</f>
        <v>#N/A</v>
      </c>
      <c r="AC950" s="41" t="e">
        <f t="shared" ref="AC950:AC966" si="214">U950+AB950</f>
        <v>#N/A</v>
      </c>
    </row>
    <row r="951" spans="1:30" hidden="1" x14ac:dyDescent="0.25">
      <c r="A951" s="24">
        <v>950</v>
      </c>
      <c r="B951" s="89" t="s">
        <v>571</v>
      </c>
      <c r="C951" s="4" t="str">
        <f t="shared" si="207"/>
        <v>LlaveD81667368599100012012</v>
      </c>
      <c r="D951" s="25" t="str">
        <f>VLOOKUP(E951,'NO MODIFICAR'!J:K,2,0)</f>
        <v>D816</v>
      </c>
      <c r="E951" s="102" t="s">
        <v>15</v>
      </c>
      <c r="F951" s="33" t="str">
        <f>VLOOKUP(D951,'NO MODIFICAR'!F:H,3,0)</f>
        <v>NORESTE</v>
      </c>
      <c r="G951" s="28">
        <v>67368599</v>
      </c>
      <c r="H951" s="93" t="s">
        <v>583</v>
      </c>
      <c r="I951" s="94">
        <v>10001201</v>
      </c>
      <c r="J951" s="4" t="str">
        <f>VLOOKUP(I951,'Materiales,canteras'!C:D,2,0)</f>
        <v>No Clasificado Triturado Caliz</v>
      </c>
      <c r="K951" s="25">
        <f>VLOOKUP(I951,'Materiales,canteras'!C:E,3,0)</f>
        <v>1.698</v>
      </c>
      <c r="L951" s="105">
        <v>285</v>
      </c>
      <c r="M951" s="28" t="s">
        <v>93</v>
      </c>
      <c r="N951" s="57">
        <f t="shared" ca="1" si="198"/>
        <v>46267</v>
      </c>
      <c r="O951" s="43" t="s">
        <v>201</v>
      </c>
      <c r="R951">
        <v>5.27</v>
      </c>
      <c r="S951" s="82">
        <v>351</v>
      </c>
      <c r="T951" s="66">
        <f t="shared" si="209"/>
        <v>-60.730000000000018</v>
      </c>
      <c r="U951" s="46">
        <f t="shared" si="210"/>
        <v>285</v>
      </c>
      <c r="V951" s="82">
        <v>0</v>
      </c>
      <c r="W951" s="4">
        <v>2</v>
      </c>
      <c r="X951" s="195">
        <f t="shared" si="211"/>
        <v>285</v>
      </c>
      <c r="Y951" s="29" t="e">
        <f>IF(+VLOOKUP(I951,P.Referencia!E:S,3,FALSE)&lt;=L951,"Champion","Gerente")</f>
        <v>#N/A</v>
      </c>
      <c r="Z951" s="39" t="e">
        <f>VLOOKUP(I951,P.Referencia!E:S,3,0)</f>
        <v>#N/A</v>
      </c>
      <c r="AA951" s="40" t="e">
        <f t="shared" si="212"/>
        <v>#N/A</v>
      </c>
      <c r="AB951" s="41" t="e">
        <f t="shared" si="213"/>
        <v>#N/A</v>
      </c>
      <c r="AC951" s="41" t="e">
        <f t="shared" si="214"/>
        <v>#N/A</v>
      </c>
    </row>
    <row r="952" spans="1:30" hidden="1" x14ac:dyDescent="0.25">
      <c r="A952" s="24">
        <v>951</v>
      </c>
      <c r="B952" s="89" t="s">
        <v>571</v>
      </c>
      <c r="C952" s="4" t="str">
        <f t="shared" si="207"/>
        <v>LlaveD81667339273100002411</v>
      </c>
      <c r="D952" s="25" t="str">
        <f>VLOOKUP(E952,'NO MODIFICAR'!J:K,2,0)</f>
        <v>D816</v>
      </c>
      <c r="E952" s="102" t="s">
        <v>15</v>
      </c>
      <c r="F952" s="33" t="str">
        <f>VLOOKUP(D952,'NO MODIFICAR'!F:H,3,0)</f>
        <v>NORESTE</v>
      </c>
      <c r="G952" s="28">
        <v>67339273</v>
      </c>
      <c r="H952" s="93" t="s">
        <v>586</v>
      </c>
      <c r="I952" s="94">
        <v>10000241</v>
      </c>
      <c r="J952" s="4" t="str">
        <f>VLOOKUP(I952,'Materiales,canteras'!C:D,2,0)</f>
        <v>Grava Triturada Caliza 20 mm -</v>
      </c>
      <c r="K952" s="25">
        <f>VLOOKUP(I952,'Materiales,canteras'!C:E,3,0)</f>
        <v>1.43</v>
      </c>
      <c r="L952" s="105">
        <v>300.05</v>
      </c>
      <c r="M952" s="28" t="s">
        <v>93</v>
      </c>
      <c r="N952" s="57">
        <f t="shared" ca="1" si="198"/>
        <v>46267</v>
      </c>
      <c r="O952" s="43" t="s">
        <v>201</v>
      </c>
      <c r="R952">
        <v>20.7</v>
      </c>
      <c r="S952" s="82">
        <v>414</v>
      </c>
      <c r="T952" s="66">
        <f t="shared" si="209"/>
        <v>-93.25</v>
      </c>
      <c r="U952" s="46">
        <f t="shared" si="210"/>
        <v>300.05</v>
      </c>
      <c r="V952" s="82">
        <v>101.95</v>
      </c>
      <c r="W952" s="4">
        <v>1</v>
      </c>
      <c r="X952" s="195">
        <f t="shared" si="211"/>
        <v>402</v>
      </c>
      <c r="Y952" s="29" t="e">
        <f>IF(+VLOOKUP(I952,P.Referencia!E:S,3,FALSE)&lt;=L952,"Champion","Gerente")</f>
        <v>#N/A</v>
      </c>
      <c r="Z952" s="39" t="e">
        <f>VLOOKUP(I952,P.Referencia!E:S,3,0)</f>
        <v>#N/A</v>
      </c>
      <c r="AA952" s="40" t="e">
        <f t="shared" si="212"/>
        <v>#N/A</v>
      </c>
      <c r="AB952" s="41" t="e">
        <f t="shared" si="213"/>
        <v>#N/A</v>
      </c>
      <c r="AC952" s="41" t="e">
        <f t="shared" si="214"/>
        <v>#N/A</v>
      </c>
    </row>
    <row r="953" spans="1:30" hidden="1" x14ac:dyDescent="0.25">
      <c r="A953" s="24">
        <v>952</v>
      </c>
      <c r="B953" s="89" t="s">
        <v>571</v>
      </c>
      <c r="C953" s="4" t="str">
        <f t="shared" si="207"/>
        <v>LlaveD81667301730100002411</v>
      </c>
      <c r="D953" s="25" t="str">
        <f>VLOOKUP(E953,'NO MODIFICAR'!J:K,2,0)</f>
        <v>D816</v>
      </c>
      <c r="E953" s="102" t="s">
        <v>15</v>
      </c>
      <c r="F953" s="33" t="str">
        <f>VLOOKUP(D953,'NO MODIFICAR'!F:H,3,0)</f>
        <v>NORESTE</v>
      </c>
      <c r="G953" s="28">
        <v>67301730</v>
      </c>
      <c r="H953" s="93" t="s">
        <v>587</v>
      </c>
      <c r="I953" s="94">
        <v>10000241</v>
      </c>
      <c r="J953" s="4" t="str">
        <f>VLOOKUP(I953,'Materiales,canteras'!C:D,2,0)</f>
        <v>Grava Triturada Caliza 20 mm -</v>
      </c>
      <c r="K953" s="25">
        <f>VLOOKUP(I953,'Materiales,canteras'!C:E,3,0)</f>
        <v>1.43</v>
      </c>
      <c r="L953" s="105">
        <v>300</v>
      </c>
      <c r="M953" s="28" t="s">
        <v>93</v>
      </c>
      <c r="N953" s="57">
        <f t="shared" ca="1" si="198"/>
        <v>46267</v>
      </c>
      <c r="O953" s="43" t="s">
        <v>201</v>
      </c>
      <c r="S953" s="82">
        <v>414</v>
      </c>
      <c r="T953" s="66">
        <f t="shared" si="209"/>
        <v>-114</v>
      </c>
      <c r="U953" s="46">
        <f t="shared" si="210"/>
        <v>300</v>
      </c>
      <c r="V953" s="82">
        <v>66.97</v>
      </c>
      <c r="W953" s="4">
        <v>1</v>
      </c>
      <c r="X953" s="195">
        <f t="shared" si="211"/>
        <v>366.97</v>
      </c>
      <c r="Y953" s="29" t="e">
        <f>IF(+VLOOKUP(I953,P.Referencia!E:S,3,FALSE)&lt;=L953,"Champion","Gerente")</f>
        <v>#N/A</v>
      </c>
      <c r="Z953" s="39" t="e">
        <f>VLOOKUP(I953,P.Referencia!E:S,3,0)</f>
        <v>#N/A</v>
      </c>
      <c r="AA953" s="40" t="e">
        <f t="shared" si="212"/>
        <v>#N/A</v>
      </c>
      <c r="AB953" s="41" t="e">
        <f t="shared" si="213"/>
        <v>#N/A</v>
      </c>
      <c r="AC953" s="41" t="e">
        <f t="shared" si="214"/>
        <v>#N/A</v>
      </c>
    </row>
    <row r="954" spans="1:30" hidden="1" x14ac:dyDescent="0.25">
      <c r="A954" s="24">
        <v>953</v>
      </c>
      <c r="B954" s="89" t="s">
        <v>571</v>
      </c>
      <c r="C954" s="4" t="str">
        <f t="shared" ref="C954:C966" si="215">_xlfn.CONCAT($C$1,D954,G954,I954,W954)</f>
        <v>LlaveD917 65025949102486592</v>
      </c>
      <c r="D954" s="25" t="str">
        <f>VLOOKUP(E954,'NO MODIFICAR'!J:K,2,0)</f>
        <v xml:space="preserve">D917 </v>
      </c>
      <c r="E954" s="102" t="s">
        <v>84</v>
      </c>
      <c r="F954" s="148" t="s">
        <v>362</v>
      </c>
      <c r="G954" s="28">
        <v>65025949</v>
      </c>
      <c r="H954" s="93" t="s">
        <v>588</v>
      </c>
      <c r="I954" s="94">
        <v>10248659</v>
      </c>
      <c r="J954" s="4" t="str">
        <f>VLOOKUP(I954,'Materiales,canteras'!C:D,2,0)</f>
        <v>ARENA NO. 4</v>
      </c>
      <c r="K954" s="25">
        <f>VLOOKUP(I954,'Materiales,canteras'!C:E,3,0)</f>
        <v>1.673</v>
      </c>
      <c r="L954" s="105">
        <v>288.37</v>
      </c>
      <c r="M954" s="28" t="s">
        <v>93</v>
      </c>
      <c r="N954" s="57">
        <f t="shared" ca="1" si="198"/>
        <v>46267</v>
      </c>
      <c r="O954" s="43" t="s">
        <v>201</v>
      </c>
      <c r="S954" s="82">
        <v>104</v>
      </c>
      <c r="T954" s="66">
        <f t="shared" si="209"/>
        <v>184.37</v>
      </c>
      <c r="U954" s="46">
        <f t="shared" si="210"/>
        <v>288.37</v>
      </c>
      <c r="V954" s="82">
        <v>0</v>
      </c>
      <c r="W954" s="4">
        <v>2</v>
      </c>
      <c r="X954" s="195">
        <f t="shared" si="211"/>
        <v>288.37</v>
      </c>
      <c r="Y954" s="29" t="e">
        <f>IF(+VLOOKUP(I954,P.Referencia!E:S,3,FALSE)&lt;=L954,"Champion","Gerente")</f>
        <v>#N/A</v>
      </c>
      <c r="Z954" s="39" t="e">
        <f>VLOOKUP(I954,P.Referencia!E:S,3,0)</f>
        <v>#N/A</v>
      </c>
      <c r="AA954" s="40" t="e">
        <f t="shared" si="212"/>
        <v>#N/A</v>
      </c>
      <c r="AB954" s="41" t="e">
        <f t="shared" si="213"/>
        <v>#N/A</v>
      </c>
      <c r="AC954" s="41" t="e">
        <f t="shared" si="214"/>
        <v>#N/A</v>
      </c>
      <c r="AD954" t="s">
        <v>591</v>
      </c>
    </row>
    <row r="955" spans="1:30" hidden="1" x14ac:dyDescent="0.25">
      <c r="A955" s="24">
        <v>954</v>
      </c>
      <c r="B955" s="89" t="s">
        <v>571</v>
      </c>
      <c r="C955" s="4" t="str">
        <f t="shared" si="215"/>
        <v>LlaveD917 65025949102637012</v>
      </c>
      <c r="D955" s="25" t="str">
        <f>VLOOKUP(E955,'NO MODIFICAR'!J:K,2,0)</f>
        <v xml:space="preserve">D917 </v>
      </c>
      <c r="E955" s="102" t="s">
        <v>84</v>
      </c>
      <c r="F955" s="148" t="s">
        <v>362</v>
      </c>
      <c r="G955" s="28">
        <v>65025949</v>
      </c>
      <c r="H955" s="93" t="s">
        <v>588</v>
      </c>
      <c r="I955" s="94">
        <v>10263701</v>
      </c>
      <c r="J955" s="4" t="str">
        <f>VLOOKUP(I955,'Materiales,canteras'!C:D,2,0)</f>
        <v>GRAVA TRITURADA CALIZA 20MM</v>
      </c>
      <c r="K955" s="25">
        <f>VLOOKUP(I955,'Materiales,canteras'!C:E,3,0)</f>
        <v>1.363</v>
      </c>
      <c r="L955" s="105">
        <v>234.94</v>
      </c>
      <c r="M955" s="28" t="s">
        <v>93</v>
      </c>
      <c r="N955" s="57">
        <f t="shared" ca="1" si="198"/>
        <v>46267</v>
      </c>
      <c r="O955" s="43" t="s">
        <v>201</v>
      </c>
      <c r="S955" s="82">
        <v>90</v>
      </c>
      <c r="T955" s="66">
        <f t="shared" si="209"/>
        <v>144.94</v>
      </c>
      <c r="U955" s="46">
        <f t="shared" si="210"/>
        <v>234.94</v>
      </c>
      <c r="V955" s="82">
        <v>0</v>
      </c>
      <c r="W955" s="4">
        <v>2</v>
      </c>
      <c r="X955" s="195">
        <f t="shared" si="211"/>
        <v>234.94</v>
      </c>
      <c r="Y955" s="29" t="e">
        <f>IF(+VLOOKUP(I955,P.Referencia!E:S,3,FALSE)&lt;=L955,"Champion","Gerente")</f>
        <v>#N/A</v>
      </c>
      <c r="Z955" s="39" t="e">
        <f>VLOOKUP(I955,P.Referencia!E:S,3,0)</f>
        <v>#N/A</v>
      </c>
      <c r="AA955" s="40" t="e">
        <f t="shared" si="212"/>
        <v>#N/A</v>
      </c>
      <c r="AB955" s="41" t="e">
        <f t="shared" si="213"/>
        <v>#N/A</v>
      </c>
      <c r="AC955" s="41" t="e">
        <f t="shared" si="214"/>
        <v>#N/A</v>
      </c>
      <c r="AD955" t="s">
        <v>591</v>
      </c>
    </row>
    <row r="956" spans="1:30" hidden="1" x14ac:dyDescent="0.25">
      <c r="A956" s="24">
        <v>955</v>
      </c>
      <c r="B956" s="89" t="s">
        <v>571</v>
      </c>
      <c r="C956" s="4" t="str">
        <f t="shared" si="215"/>
        <v>LlaveD86467366360100002362</v>
      </c>
      <c r="D956" s="25" t="str">
        <f>VLOOKUP(E956,'NO MODIFICAR'!J:K,2,0)</f>
        <v>D864</v>
      </c>
      <c r="E956" s="102" t="s">
        <v>55</v>
      </c>
      <c r="F956" s="33" t="str">
        <f>VLOOKUP(D956,'NO MODIFICAR'!F:H,3,0)</f>
        <v xml:space="preserve">CENTRO </v>
      </c>
      <c r="G956" s="28">
        <v>67366360</v>
      </c>
      <c r="H956" s="93" t="s">
        <v>589</v>
      </c>
      <c r="I956" s="94">
        <v>10000236</v>
      </c>
      <c r="J956" s="4" t="str">
        <f>VLOOKUP(I956,'Materiales,canteras'!C:D,2,0)</f>
        <v>Grava Triturada Caliza 10 mm -</v>
      </c>
      <c r="K956" s="25">
        <f>VLOOKUP(I956,'Materiales,canteras'!C:E,3,0)</f>
        <v>1.41</v>
      </c>
      <c r="L956" s="105">
        <v>143</v>
      </c>
      <c r="M956" s="28" t="s">
        <v>93</v>
      </c>
      <c r="N956" s="57">
        <f t="shared" ca="1" si="198"/>
        <v>46267</v>
      </c>
      <c r="O956" s="43" t="s">
        <v>201</v>
      </c>
      <c r="R956">
        <v>3.78</v>
      </c>
      <c r="S956" s="82">
        <v>252</v>
      </c>
      <c r="T956" s="66">
        <f t="shared" si="209"/>
        <v>-105.22</v>
      </c>
      <c r="U956" s="46">
        <f t="shared" si="210"/>
        <v>143</v>
      </c>
      <c r="V956" s="82">
        <v>0</v>
      </c>
      <c r="W956" s="4">
        <v>2</v>
      </c>
      <c r="X956" s="195">
        <f t="shared" si="211"/>
        <v>143</v>
      </c>
      <c r="Y956" s="29" t="e">
        <f>IF(+VLOOKUP(I956,P.Referencia!E:S,3,FALSE)&lt;=L956,"Champion","Gerente")</f>
        <v>#N/A</v>
      </c>
      <c r="Z956" s="39" t="e">
        <f>VLOOKUP(I956,P.Referencia!E:S,3,0)</f>
        <v>#N/A</v>
      </c>
      <c r="AA956" s="40" t="e">
        <f t="shared" si="212"/>
        <v>#N/A</v>
      </c>
      <c r="AB956" s="41" t="e">
        <f t="shared" si="213"/>
        <v>#N/A</v>
      </c>
      <c r="AC956" s="41" t="e">
        <f t="shared" si="214"/>
        <v>#N/A</v>
      </c>
      <c r="AD956" t="s">
        <v>590</v>
      </c>
    </row>
    <row r="957" spans="1:30" hidden="1" x14ac:dyDescent="0.25">
      <c r="A957" s="24">
        <v>956</v>
      </c>
      <c r="B957" s="89" t="s">
        <v>571</v>
      </c>
      <c r="C957" s="4" t="str">
        <f t="shared" si="215"/>
        <v>LlaveD86467366360100002402</v>
      </c>
      <c r="D957" s="25" t="str">
        <f>VLOOKUP(E957,'NO MODIFICAR'!J:K,2,0)</f>
        <v>D864</v>
      </c>
      <c r="E957" s="102" t="s">
        <v>55</v>
      </c>
      <c r="F957" s="33" t="str">
        <f>VLOOKUP(D957,'NO MODIFICAR'!F:H,3,0)</f>
        <v xml:space="preserve">CENTRO </v>
      </c>
      <c r="G957" s="28">
        <v>67366360</v>
      </c>
      <c r="H957" s="93" t="s">
        <v>589</v>
      </c>
      <c r="I957" s="94">
        <v>10000240</v>
      </c>
      <c r="J957" s="4" t="str">
        <f>VLOOKUP(I957,'Materiales,canteras'!C:D,2,0)</f>
        <v>Grava Triturada Caliza 20 mm -</v>
      </c>
      <c r="K957" s="25">
        <f>VLOOKUP(I957,'Materiales,canteras'!C:E,3,0)</f>
        <v>1.462</v>
      </c>
      <c r="L957" s="105">
        <v>138</v>
      </c>
      <c r="M957" s="28" t="s">
        <v>93</v>
      </c>
      <c r="N957" s="57">
        <f t="shared" ca="1" si="198"/>
        <v>46267</v>
      </c>
      <c r="O957" s="43" t="s">
        <v>201</v>
      </c>
      <c r="R957">
        <v>4.41</v>
      </c>
      <c r="S957" s="82">
        <v>294</v>
      </c>
      <c r="T957" s="66">
        <f t="shared" si="209"/>
        <v>-151.58999999999997</v>
      </c>
      <c r="U957" s="46">
        <f t="shared" si="210"/>
        <v>138</v>
      </c>
      <c r="V957" s="82">
        <v>0</v>
      </c>
      <c r="W957" s="4">
        <v>2</v>
      </c>
      <c r="X957" s="195">
        <f t="shared" si="211"/>
        <v>138</v>
      </c>
      <c r="Y957" s="29" t="e">
        <f>IF(+VLOOKUP(I957,P.Referencia!E:S,3,FALSE)&lt;=L957,"Champion","Gerente")</f>
        <v>#N/A</v>
      </c>
      <c r="Z957" s="39" t="e">
        <f>VLOOKUP(I957,P.Referencia!E:S,3,0)</f>
        <v>#N/A</v>
      </c>
      <c r="AA957" s="40" t="e">
        <f t="shared" si="212"/>
        <v>#N/A</v>
      </c>
      <c r="AB957" s="41" t="e">
        <f t="shared" si="213"/>
        <v>#N/A</v>
      </c>
      <c r="AC957" s="41" t="e">
        <f t="shared" si="214"/>
        <v>#N/A</v>
      </c>
      <c r="AD957" t="s">
        <v>590</v>
      </c>
    </row>
    <row r="958" spans="1:30" hidden="1" x14ac:dyDescent="0.25">
      <c r="A958" s="24">
        <v>957</v>
      </c>
      <c r="B958" s="89" t="s">
        <v>571</v>
      </c>
      <c r="C958" s="4" t="str">
        <f t="shared" si="215"/>
        <v>LlaveD86467366360100002692</v>
      </c>
      <c r="D958" s="25" t="str">
        <f>VLOOKUP(E958,'NO MODIFICAR'!J:K,2,0)</f>
        <v>D864</v>
      </c>
      <c r="E958" s="102" t="s">
        <v>55</v>
      </c>
      <c r="F958" s="33" t="str">
        <f>VLOOKUP(D958,'NO MODIFICAR'!F:H,3,0)</f>
        <v xml:space="preserve">CENTRO </v>
      </c>
      <c r="G958" s="28">
        <v>67366360</v>
      </c>
      <c r="H958" s="93" t="s">
        <v>589</v>
      </c>
      <c r="I958" s="94">
        <v>10000269</v>
      </c>
      <c r="J958" s="4" t="str">
        <f>VLOOKUP(I958,'Materiales,canteras'!C:D,2,0)</f>
        <v>Grava Triturada Caliza 13 mm -</v>
      </c>
      <c r="K958" s="25">
        <f>VLOOKUP(I958,'Materiales,canteras'!C:E,3,0)</f>
        <v>1.423</v>
      </c>
      <c r="L958" s="105">
        <v>126.28</v>
      </c>
      <c r="M958" s="28" t="s">
        <v>93</v>
      </c>
      <c r="N958" s="57">
        <f t="shared" ca="1" si="198"/>
        <v>46267</v>
      </c>
      <c r="O958" s="43" t="s">
        <v>201</v>
      </c>
      <c r="R958">
        <v>3.95</v>
      </c>
      <c r="S958" s="82">
        <v>263</v>
      </c>
      <c r="T958" s="66">
        <f t="shared" si="209"/>
        <v>-132.77000000000001</v>
      </c>
      <c r="U958" s="46">
        <f t="shared" si="210"/>
        <v>126.28</v>
      </c>
      <c r="V958" s="82">
        <v>0</v>
      </c>
      <c r="W958" s="4">
        <v>2</v>
      </c>
      <c r="X958" s="195">
        <f t="shared" si="211"/>
        <v>126.28</v>
      </c>
      <c r="Y958" s="29" t="e">
        <f>IF(+VLOOKUP(I958,P.Referencia!E:S,3,FALSE)&lt;=L958,"Champion","Gerente")</f>
        <v>#N/A</v>
      </c>
      <c r="Z958" s="39" t="e">
        <f>VLOOKUP(I958,P.Referencia!E:S,3,0)</f>
        <v>#N/A</v>
      </c>
      <c r="AA958" s="40" t="e">
        <f t="shared" si="212"/>
        <v>#N/A</v>
      </c>
      <c r="AB958" s="41" t="e">
        <f t="shared" si="213"/>
        <v>#N/A</v>
      </c>
      <c r="AC958" s="41" t="e">
        <f t="shared" si="214"/>
        <v>#N/A</v>
      </c>
      <c r="AD958" t="s">
        <v>590</v>
      </c>
    </row>
    <row r="959" spans="1:30" hidden="1" x14ac:dyDescent="0.25">
      <c r="A959" s="24">
        <v>958</v>
      </c>
      <c r="B959" s="89" t="s">
        <v>571</v>
      </c>
      <c r="C959" s="4" t="str">
        <f t="shared" si="215"/>
        <v>LlaveD86467366360100010742</v>
      </c>
      <c r="D959" s="25" t="str">
        <f>VLOOKUP(E959,'NO MODIFICAR'!J:K,2,0)</f>
        <v>D864</v>
      </c>
      <c r="E959" s="102" t="s">
        <v>55</v>
      </c>
      <c r="F959" s="33" t="str">
        <f>VLOOKUP(D959,'NO MODIFICAR'!F:H,3,0)</f>
        <v xml:space="preserve">CENTRO </v>
      </c>
      <c r="G959" s="28">
        <v>67366360</v>
      </c>
      <c r="H959" s="93" t="s">
        <v>589</v>
      </c>
      <c r="I959" s="94">
        <v>10001074</v>
      </c>
      <c r="J959" s="4" t="str">
        <f>VLOOKUP(I959,'Materiales,canteras'!C:D,2,0)</f>
        <v>Grava Triturada Caliza 40 mm -</v>
      </c>
      <c r="K959" s="25">
        <f>VLOOKUP(I959,'Materiales,canteras'!C:E,3,0)</f>
        <v>1.4</v>
      </c>
      <c r="L959" s="105">
        <v>120.75</v>
      </c>
      <c r="M959" s="28" t="s">
        <v>93</v>
      </c>
      <c r="N959" s="57">
        <f t="shared" ca="1" si="198"/>
        <v>46267</v>
      </c>
      <c r="O959" s="43" t="s">
        <v>201</v>
      </c>
      <c r="R959">
        <v>3.47</v>
      </c>
      <c r="S959" s="82">
        <v>231</v>
      </c>
      <c r="T959" s="66">
        <f t="shared" si="209"/>
        <v>-106.78</v>
      </c>
      <c r="U959" s="46">
        <f t="shared" si="210"/>
        <v>120.75</v>
      </c>
      <c r="V959" s="82">
        <v>0</v>
      </c>
      <c r="W959" s="4">
        <v>2</v>
      </c>
      <c r="X959" s="195">
        <f t="shared" si="211"/>
        <v>120.75</v>
      </c>
      <c r="Y959" s="29" t="e">
        <f>IF(+VLOOKUP(I959,P.Referencia!E:S,3,FALSE)&lt;=L959,"Champion","Gerente")</f>
        <v>#N/A</v>
      </c>
      <c r="Z959" s="39" t="e">
        <f>VLOOKUP(I959,P.Referencia!E:S,3,0)</f>
        <v>#N/A</v>
      </c>
      <c r="AA959" s="40" t="e">
        <f t="shared" si="212"/>
        <v>#N/A</v>
      </c>
      <c r="AB959" s="41" t="e">
        <f t="shared" si="213"/>
        <v>#N/A</v>
      </c>
      <c r="AC959" s="41" t="e">
        <f t="shared" si="214"/>
        <v>#N/A</v>
      </c>
      <c r="AD959" t="s">
        <v>590</v>
      </c>
    </row>
    <row r="960" spans="1:30" hidden="1" x14ac:dyDescent="0.25">
      <c r="A960" s="24">
        <v>959</v>
      </c>
      <c r="B960" s="89" t="s">
        <v>571</v>
      </c>
      <c r="C960" s="4" t="str">
        <f t="shared" si="215"/>
        <v>LlaveD86467367416100002402</v>
      </c>
      <c r="D960" s="25" t="str">
        <f>VLOOKUP(E960,'NO MODIFICAR'!J:K,2,0)</f>
        <v>D864</v>
      </c>
      <c r="E960" s="102" t="s">
        <v>55</v>
      </c>
      <c r="F960" s="33" t="str">
        <f>VLOOKUP(D960,'NO MODIFICAR'!F:H,3,0)</f>
        <v xml:space="preserve">CENTRO </v>
      </c>
      <c r="G960" s="28">
        <v>67367416</v>
      </c>
      <c r="H960" s="93" t="s">
        <v>592</v>
      </c>
      <c r="I960" s="94">
        <v>10000240</v>
      </c>
      <c r="J960" s="4" t="str">
        <f>VLOOKUP(I960,'Materiales,canteras'!C:D,2,0)</f>
        <v>Grava Triturada Caliza 20 mm -</v>
      </c>
      <c r="K960" s="25">
        <f>VLOOKUP(I960,'Materiales,canteras'!C:E,3,0)</f>
        <v>1.462</v>
      </c>
      <c r="L960" s="105">
        <v>137</v>
      </c>
      <c r="M960" s="28" t="s">
        <v>93</v>
      </c>
      <c r="N960" s="57">
        <f t="shared" ca="1" si="198"/>
        <v>46267</v>
      </c>
      <c r="O960" s="43" t="s">
        <v>201</v>
      </c>
      <c r="S960" s="82"/>
      <c r="T960" s="66">
        <f t="shared" si="209"/>
        <v>137</v>
      </c>
      <c r="U960" s="46">
        <f t="shared" si="210"/>
        <v>137</v>
      </c>
      <c r="V960" s="82">
        <v>0</v>
      </c>
      <c r="W960" s="4">
        <v>2</v>
      </c>
      <c r="X960" s="195">
        <f t="shared" si="211"/>
        <v>137</v>
      </c>
      <c r="Y960" s="29" t="e">
        <f>IF(+VLOOKUP(I960,P.Referencia!E:S,3,FALSE)&lt;=L960,"Champion","Gerente")</f>
        <v>#N/A</v>
      </c>
      <c r="Z960" s="39" t="e">
        <f>VLOOKUP(I960,P.Referencia!E:S,3,0)</f>
        <v>#N/A</v>
      </c>
      <c r="AA960" s="40" t="e">
        <f t="shared" si="212"/>
        <v>#N/A</v>
      </c>
      <c r="AB960" s="41" t="e">
        <f t="shared" si="213"/>
        <v>#N/A</v>
      </c>
      <c r="AC960" s="41" t="e">
        <f t="shared" si="214"/>
        <v>#N/A</v>
      </c>
    </row>
    <row r="961" spans="1:30" hidden="1" x14ac:dyDescent="0.25">
      <c r="A961" s="24">
        <v>960</v>
      </c>
      <c r="B961" s="89" t="s">
        <v>571</v>
      </c>
      <c r="C961" s="4" t="str">
        <f t="shared" si="215"/>
        <v>LlaveD86467367416100010742</v>
      </c>
      <c r="D961" s="25" t="str">
        <f>VLOOKUP(E961,'NO MODIFICAR'!J:K,2,0)</f>
        <v>D864</v>
      </c>
      <c r="E961" s="102" t="s">
        <v>55</v>
      </c>
      <c r="F961" s="33" t="str">
        <f>VLOOKUP(D961,'NO MODIFICAR'!F:H,3,0)</f>
        <v xml:space="preserve">CENTRO </v>
      </c>
      <c r="G961" s="28">
        <v>67367416</v>
      </c>
      <c r="H961" s="93" t="s">
        <v>592</v>
      </c>
      <c r="I961" s="94">
        <v>10001074</v>
      </c>
      <c r="J961" s="4" t="str">
        <f>VLOOKUP(I961,'Materiales,canteras'!C:D,2,0)</f>
        <v>Grava Triturada Caliza 40 mm -</v>
      </c>
      <c r="K961" s="25">
        <f>VLOOKUP(I961,'Materiales,canteras'!C:E,3,0)</f>
        <v>1.4</v>
      </c>
      <c r="L961" s="105">
        <v>147</v>
      </c>
      <c r="M961" s="28" t="s">
        <v>93</v>
      </c>
      <c r="N961" s="57">
        <f t="shared" ca="1" si="198"/>
        <v>46267</v>
      </c>
      <c r="O961" s="43" t="s">
        <v>201</v>
      </c>
      <c r="S961" s="82"/>
      <c r="T961" s="66">
        <f t="shared" si="209"/>
        <v>147</v>
      </c>
      <c r="U961" s="46">
        <f t="shared" si="210"/>
        <v>147</v>
      </c>
      <c r="V961" s="82">
        <v>0</v>
      </c>
      <c r="W961" s="4">
        <v>2</v>
      </c>
      <c r="X961" s="195">
        <f t="shared" si="211"/>
        <v>147</v>
      </c>
      <c r="Y961" s="29" t="e">
        <f>IF(+VLOOKUP(I961,P.Referencia!E:S,3,FALSE)&lt;=L961,"Champion","Gerente")</f>
        <v>#N/A</v>
      </c>
      <c r="Z961" s="39" t="e">
        <f>VLOOKUP(I961,P.Referencia!E:S,3,0)</f>
        <v>#N/A</v>
      </c>
      <c r="AA961" s="40" t="e">
        <f t="shared" si="212"/>
        <v>#N/A</v>
      </c>
      <c r="AB961" s="41" t="e">
        <f t="shared" si="213"/>
        <v>#N/A</v>
      </c>
      <c r="AC961" s="41" t="e">
        <f t="shared" si="214"/>
        <v>#N/A</v>
      </c>
    </row>
    <row r="962" spans="1:30" hidden="1" x14ac:dyDescent="0.25">
      <c r="A962" s="24">
        <v>961</v>
      </c>
      <c r="B962" s="89" t="s">
        <v>571</v>
      </c>
      <c r="C962" s="4" t="str">
        <f t="shared" si="215"/>
        <v>LlaveD86467367416100002362</v>
      </c>
      <c r="D962" s="25" t="str">
        <f>VLOOKUP(E962,'NO MODIFICAR'!J:K,2,0)</f>
        <v>D864</v>
      </c>
      <c r="E962" s="102" t="s">
        <v>55</v>
      </c>
      <c r="F962" s="33" t="str">
        <f>VLOOKUP(D962,'NO MODIFICAR'!F:H,3,0)</f>
        <v xml:space="preserve">CENTRO </v>
      </c>
      <c r="G962" s="28">
        <v>67367416</v>
      </c>
      <c r="H962" s="93" t="s">
        <v>592</v>
      </c>
      <c r="I962" s="94">
        <v>10000236</v>
      </c>
      <c r="J962" s="4" t="str">
        <f>VLOOKUP(I962,'Materiales,canteras'!C:D,2,0)</f>
        <v>Grava Triturada Caliza 10 mm -</v>
      </c>
      <c r="K962" s="25">
        <f>VLOOKUP(I962,'Materiales,canteras'!C:E,3,0)</f>
        <v>1.41</v>
      </c>
      <c r="L962" s="105">
        <v>132</v>
      </c>
      <c r="M962" s="28" t="s">
        <v>93</v>
      </c>
      <c r="N962" s="57">
        <f t="shared" ca="1" si="198"/>
        <v>46267</v>
      </c>
      <c r="O962" s="43" t="s">
        <v>201</v>
      </c>
      <c r="S962" s="82"/>
      <c r="T962" s="66">
        <f t="shared" si="209"/>
        <v>132</v>
      </c>
      <c r="U962" s="46">
        <f t="shared" si="210"/>
        <v>132</v>
      </c>
      <c r="V962" s="82">
        <v>0</v>
      </c>
      <c r="W962" s="4">
        <v>2</v>
      </c>
      <c r="X962" s="195">
        <f t="shared" si="211"/>
        <v>132</v>
      </c>
      <c r="Y962" s="29" t="e">
        <f>IF(+VLOOKUP(I962,P.Referencia!E:S,3,FALSE)&lt;=L962,"Champion","Gerente")</f>
        <v>#N/A</v>
      </c>
      <c r="Z962" s="39" t="e">
        <f>VLOOKUP(I962,P.Referencia!E:S,3,0)</f>
        <v>#N/A</v>
      </c>
      <c r="AA962" s="40" t="e">
        <f t="shared" si="212"/>
        <v>#N/A</v>
      </c>
      <c r="AB962" s="41" t="e">
        <f t="shared" si="213"/>
        <v>#N/A</v>
      </c>
      <c r="AC962" s="41" t="e">
        <f t="shared" si="214"/>
        <v>#N/A</v>
      </c>
    </row>
    <row r="963" spans="1:30" hidden="1" x14ac:dyDescent="0.25">
      <c r="A963" s="24">
        <v>962</v>
      </c>
      <c r="B963" s="89" t="s">
        <v>571</v>
      </c>
      <c r="C963" s="4" t="str">
        <f t="shared" si="215"/>
        <v>LlaveD86467367416100010732</v>
      </c>
      <c r="D963" s="25" t="str">
        <f>VLOOKUP(E963,'NO MODIFICAR'!J:K,2,0)</f>
        <v>D864</v>
      </c>
      <c r="E963" s="102" t="s">
        <v>55</v>
      </c>
      <c r="F963" s="33" t="str">
        <f>VLOOKUP(D963,'NO MODIFICAR'!F:H,3,0)</f>
        <v xml:space="preserve">CENTRO </v>
      </c>
      <c r="G963" s="28">
        <v>67367416</v>
      </c>
      <c r="H963" s="93" t="s">
        <v>592</v>
      </c>
      <c r="I963" s="94">
        <v>10001073</v>
      </c>
      <c r="J963" s="4" t="str">
        <f>VLOOKUP(I963,'Materiales,canteras'!C:D,2,0)</f>
        <v>Arena Triturada Caliza Malla 4</v>
      </c>
      <c r="K963" s="25">
        <f>VLOOKUP(I963,'Materiales,canteras'!C:E,3,0)</f>
        <v>1.56</v>
      </c>
      <c r="L963" s="105">
        <v>97</v>
      </c>
      <c r="M963" s="28" t="s">
        <v>93</v>
      </c>
      <c r="N963" s="57">
        <f t="shared" ca="1" si="198"/>
        <v>46267</v>
      </c>
      <c r="O963" s="43" t="s">
        <v>201</v>
      </c>
      <c r="S963" s="82"/>
      <c r="T963" s="66">
        <f t="shared" si="209"/>
        <v>97</v>
      </c>
      <c r="U963" s="46">
        <f t="shared" si="210"/>
        <v>97</v>
      </c>
      <c r="V963" s="82">
        <v>0</v>
      </c>
      <c r="W963" s="4">
        <v>2</v>
      </c>
      <c r="X963" s="195">
        <f t="shared" si="211"/>
        <v>97</v>
      </c>
      <c r="Y963" s="29" t="e">
        <f>IF(+VLOOKUP(I963,P.Referencia!E:S,3,FALSE)&lt;=L963,"Champion","Gerente")</f>
        <v>#N/A</v>
      </c>
      <c r="Z963" s="39" t="e">
        <f>VLOOKUP(I963,P.Referencia!E:S,3,0)</f>
        <v>#N/A</v>
      </c>
      <c r="AA963" s="40" t="e">
        <f t="shared" si="212"/>
        <v>#N/A</v>
      </c>
      <c r="AB963" s="41" t="e">
        <f t="shared" si="213"/>
        <v>#N/A</v>
      </c>
      <c r="AC963" s="41" t="e">
        <f t="shared" si="214"/>
        <v>#N/A</v>
      </c>
    </row>
    <row r="964" spans="1:30" hidden="1" x14ac:dyDescent="0.25">
      <c r="A964" s="24">
        <v>963</v>
      </c>
      <c r="B964" s="89" t="s">
        <v>571</v>
      </c>
      <c r="C964" s="4" t="str">
        <f t="shared" si="215"/>
        <v>LlaveD86467367416100002692</v>
      </c>
      <c r="D964" s="25" t="str">
        <f>VLOOKUP(E964,'NO MODIFICAR'!J:K,2,0)</f>
        <v>D864</v>
      </c>
      <c r="E964" s="102" t="s">
        <v>55</v>
      </c>
      <c r="F964" s="33" t="str">
        <f>VLOOKUP(D964,'NO MODIFICAR'!F:H,3,0)</f>
        <v xml:space="preserve">CENTRO </v>
      </c>
      <c r="G964" s="28">
        <v>67367416</v>
      </c>
      <c r="H964" s="93" t="s">
        <v>592</v>
      </c>
      <c r="I964" s="94">
        <v>10000269</v>
      </c>
      <c r="J964" s="4" t="str">
        <f>VLOOKUP(I964,'Materiales,canteras'!C:D,2,0)</f>
        <v>Grava Triturada Caliza 13 mm -</v>
      </c>
      <c r="K964" s="25">
        <f>VLOOKUP(I964,'Materiales,canteras'!C:E,3,0)</f>
        <v>1.423</v>
      </c>
      <c r="L964" s="105">
        <v>147</v>
      </c>
      <c r="M964" s="28" t="s">
        <v>93</v>
      </c>
      <c r="N964" s="57">
        <f t="shared" ca="1" si="198"/>
        <v>46267</v>
      </c>
      <c r="O964" s="43" t="s">
        <v>201</v>
      </c>
      <c r="S964" s="82"/>
      <c r="T964" s="66">
        <f t="shared" si="209"/>
        <v>147</v>
      </c>
      <c r="U964" s="46">
        <f t="shared" si="210"/>
        <v>147</v>
      </c>
      <c r="V964" s="82">
        <v>0</v>
      </c>
      <c r="W964" s="4">
        <v>2</v>
      </c>
      <c r="X964" s="195">
        <f t="shared" si="211"/>
        <v>147</v>
      </c>
      <c r="Y964" s="29" t="e">
        <f>IF(+VLOOKUP(I964,P.Referencia!E:S,3,FALSE)&lt;=L964,"Champion","Gerente")</f>
        <v>#N/A</v>
      </c>
      <c r="Z964" s="39" t="e">
        <f>VLOOKUP(I964,P.Referencia!E:S,3,0)</f>
        <v>#N/A</v>
      </c>
      <c r="AA964" s="40" t="e">
        <f t="shared" si="212"/>
        <v>#N/A</v>
      </c>
      <c r="AB964" s="41" t="e">
        <f t="shared" si="213"/>
        <v>#N/A</v>
      </c>
      <c r="AC964" s="41" t="e">
        <f t="shared" si="214"/>
        <v>#N/A</v>
      </c>
    </row>
    <row r="965" spans="1:30" hidden="1" x14ac:dyDescent="0.25">
      <c r="A965" s="24">
        <v>964</v>
      </c>
      <c r="B965" s="89" t="s">
        <v>571</v>
      </c>
      <c r="C965" s="4" t="str">
        <f t="shared" si="215"/>
        <v>LlaveD86467367449100002402</v>
      </c>
      <c r="D965" s="25" t="str">
        <f>VLOOKUP(E965,'NO MODIFICAR'!J:K,2,0)</f>
        <v>D864</v>
      </c>
      <c r="E965" s="102" t="s">
        <v>55</v>
      </c>
      <c r="F965" s="33" t="str">
        <f>VLOOKUP(D965,'NO MODIFICAR'!F:H,3,0)</f>
        <v xml:space="preserve">CENTRO </v>
      </c>
      <c r="G965" s="28">
        <v>67367449</v>
      </c>
      <c r="H965" s="93" t="s">
        <v>592</v>
      </c>
      <c r="I965" s="94">
        <v>10000240</v>
      </c>
      <c r="J965" s="4" t="str">
        <f>VLOOKUP(I965,'Materiales,canteras'!C:D,2,0)</f>
        <v>Grava Triturada Caliza 20 mm -</v>
      </c>
      <c r="K965" s="25">
        <f>VLOOKUP(I965,'Materiales,canteras'!C:E,3,0)</f>
        <v>1.462</v>
      </c>
      <c r="L965" s="105">
        <v>137</v>
      </c>
      <c r="M965" s="28" t="s">
        <v>93</v>
      </c>
      <c r="N965" s="57">
        <f t="shared" ref="N965" ca="1" si="216">TODAY()</f>
        <v>46267</v>
      </c>
      <c r="O965" s="43" t="s">
        <v>201</v>
      </c>
      <c r="S965" s="82"/>
      <c r="T965" s="66">
        <f t="shared" si="209"/>
        <v>137</v>
      </c>
      <c r="U965" s="46">
        <f t="shared" si="210"/>
        <v>137</v>
      </c>
      <c r="V965" s="82">
        <v>0</v>
      </c>
      <c r="W965" s="4">
        <v>2</v>
      </c>
      <c r="X965" s="195">
        <f t="shared" si="211"/>
        <v>137</v>
      </c>
      <c r="Y965" s="29" t="e">
        <f>IF(+VLOOKUP(I965,P.Referencia!E:S,3,FALSE)&lt;=L965,"Champion","Gerente")</f>
        <v>#N/A</v>
      </c>
      <c r="Z965" s="39" t="e">
        <f>VLOOKUP(I965,P.Referencia!E:S,3,0)</f>
        <v>#N/A</v>
      </c>
      <c r="AA965" s="40" t="e">
        <f t="shared" si="212"/>
        <v>#N/A</v>
      </c>
      <c r="AB965" s="41" t="e">
        <f t="shared" si="213"/>
        <v>#N/A</v>
      </c>
      <c r="AC965" s="41" t="e">
        <f t="shared" si="214"/>
        <v>#N/A</v>
      </c>
    </row>
    <row r="966" spans="1:30" hidden="1" x14ac:dyDescent="0.25">
      <c r="A966" s="24">
        <v>965</v>
      </c>
      <c r="B966" s="89" t="s">
        <v>571</v>
      </c>
      <c r="C966" s="4" t="str">
        <f t="shared" si="215"/>
        <v>LlaveD86467367449100010742</v>
      </c>
      <c r="D966" s="25" t="str">
        <f>VLOOKUP(E966,'NO MODIFICAR'!J:K,2,0)</f>
        <v>D864</v>
      </c>
      <c r="E966" s="102" t="s">
        <v>55</v>
      </c>
      <c r="F966" s="33" t="str">
        <f>VLOOKUP(D966,'NO MODIFICAR'!F:H,3,0)</f>
        <v xml:space="preserve">CENTRO </v>
      </c>
      <c r="G966" s="28">
        <v>67367449</v>
      </c>
      <c r="H966" s="93" t="s">
        <v>592</v>
      </c>
      <c r="I966" s="94">
        <v>10001074</v>
      </c>
      <c r="J966" s="4" t="str">
        <f>VLOOKUP(I966,'Materiales,canteras'!C:D,2,0)</f>
        <v>Grava Triturada Caliza 40 mm -</v>
      </c>
      <c r="K966" s="25">
        <f>VLOOKUP(I966,'Materiales,canteras'!C:E,3,0)</f>
        <v>1.4</v>
      </c>
      <c r="L966" s="105">
        <v>147</v>
      </c>
      <c r="M966" s="28" t="s">
        <v>93</v>
      </c>
      <c r="N966" s="57">
        <f t="shared" ca="1" si="198"/>
        <v>46267</v>
      </c>
      <c r="O966" s="43" t="s">
        <v>201</v>
      </c>
      <c r="S966" s="82"/>
      <c r="T966" s="66">
        <f t="shared" ref="T966:T1030" si="217">L966-((S966-P966)-(Q966)-(R966))</f>
        <v>147</v>
      </c>
      <c r="U966" s="46">
        <f t="shared" ref="U966:U1029" si="218">L966</f>
        <v>147</v>
      </c>
      <c r="V966" s="82">
        <v>0</v>
      </c>
      <c r="W966" s="4">
        <v>2</v>
      </c>
      <c r="X966" s="195">
        <f t="shared" si="211"/>
        <v>147</v>
      </c>
      <c r="Y966" s="29" t="e">
        <f>IF(+VLOOKUP(I966,P.Referencia!E:S,3,FALSE)&lt;=L966,"Champion","Gerente")</f>
        <v>#N/A</v>
      </c>
      <c r="Z966" s="39" t="e">
        <f>VLOOKUP(I966,P.Referencia!E:S,3,0)</f>
        <v>#N/A</v>
      </c>
      <c r="AA966" s="40" t="e">
        <f t="shared" si="212"/>
        <v>#N/A</v>
      </c>
      <c r="AB966" s="41" t="e">
        <f t="shared" si="213"/>
        <v>#N/A</v>
      </c>
      <c r="AC966" s="41" t="e">
        <f t="shared" si="214"/>
        <v>#N/A</v>
      </c>
    </row>
    <row r="967" spans="1:30" hidden="1" x14ac:dyDescent="0.25">
      <c r="A967" s="24">
        <v>966</v>
      </c>
      <c r="B967" s="89" t="s">
        <v>571</v>
      </c>
      <c r="C967" s="4" t="str">
        <f t="shared" ref="C967:C988" si="219">_xlfn.CONCAT($C$1,D967,G967,I967,W967)</f>
        <v>LlaveD86467367449100002362</v>
      </c>
      <c r="D967" s="25" t="str">
        <f>VLOOKUP(E967,'NO MODIFICAR'!J:K,2,0)</f>
        <v>D864</v>
      </c>
      <c r="E967" s="102" t="s">
        <v>55</v>
      </c>
      <c r="F967" s="33" t="str">
        <f>VLOOKUP(D967,'NO MODIFICAR'!F:H,3,0)</f>
        <v xml:space="preserve">CENTRO </v>
      </c>
      <c r="G967" s="28">
        <v>67367449</v>
      </c>
      <c r="H967" s="93" t="s">
        <v>592</v>
      </c>
      <c r="I967" s="94">
        <v>10000236</v>
      </c>
      <c r="J967" s="4" t="str">
        <f>VLOOKUP(I967,'Materiales,canteras'!C:D,2,0)</f>
        <v>Grava Triturada Caliza 10 mm -</v>
      </c>
      <c r="K967" s="25">
        <f>VLOOKUP(I967,'Materiales,canteras'!C:E,3,0)</f>
        <v>1.41</v>
      </c>
      <c r="L967" s="105">
        <v>132</v>
      </c>
      <c r="M967" s="28" t="s">
        <v>93</v>
      </c>
      <c r="N967" s="57">
        <f t="shared" ref="N967:N1030" ca="1" si="220">TODAY()</f>
        <v>46267</v>
      </c>
      <c r="O967" s="43" t="s">
        <v>201</v>
      </c>
      <c r="S967" s="82"/>
      <c r="T967" s="66">
        <f t="shared" si="217"/>
        <v>132</v>
      </c>
      <c r="U967" s="46">
        <f t="shared" si="218"/>
        <v>132</v>
      </c>
      <c r="V967" s="82">
        <v>0</v>
      </c>
      <c r="W967" s="4">
        <v>2</v>
      </c>
      <c r="X967" s="195">
        <f t="shared" ref="X967:X987" si="221">U967+V967</f>
        <v>132</v>
      </c>
      <c r="Y967" s="29" t="e">
        <f>IF(+VLOOKUP(I967,P.Referencia!E:S,3,FALSE)&lt;=L967,"Champion","Gerente")</f>
        <v>#N/A</v>
      </c>
      <c r="Z967" s="39" t="e">
        <f>VLOOKUP(I967,P.Referencia!E:S,3,0)</f>
        <v>#N/A</v>
      </c>
      <c r="AA967" s="40" t="e">
        <f t="shared" ref="AA967:AA987" si="222">(Z967-U967)/U967</f>
        <v>#N/A</v>
      </c>
      <c r="AB967" s="41" t="e">
        <f t="shared" ref="AB967:AB987" si="223">U967*AA967</f>
        <v>#N/A</v>
      </c>
      <c r="AC967" s="41" t="e">
        <f t="shared" ref="AC967:AC987" si="224">U967+AB967</f>
        <v>#N/A</v>
      </c>
    </row>
    <row r="968" spans="1:30" hidden="1" x14ac:dyDescent="0.25">
      <c r="A968" s="24">
        <v>967</v>
      </c>
      <c r="B968" s="89" t="s">
        <v>571</v>
      </c>
      <c r="C968" s="4" t="str">
        <f t="shared" si="219"/>
        <v>LlaveD86467367449100010732</v>
      </c>
      <c r="D968" s="25" t="str">
        <f>VLOOKUP(E968,'NO MODIFICAR'!J:K,2,0)</f>
        <v>D864</v>
      </c>
      <c r="E968" s="102" t="s">
        <v>55</v>
      </c>
      <c r="F968" s="33" t="str">
        <f>VLOOKUP(D968,'NO MODIFICAR'!F:H,3,0)</f>
        <v xml:space="preserve">CENTRO </v>
      </c>
      <c r="G968" s="28">
        <v>67367449</v>
      </c>
      <c r="H968" s="93" t="s">
        <v>592</v>
      </c>
      <c r="I968" s="94">
        <v>10001073</v>
      </c>
      <c r="J968" s="4" t="str">
        <f>VLOOKUP(I968,'Materiales,canteras'!C:D,2,0)</f>
        <v>Arena Triturada Caliza Malla 4</v>
      </c>
      <c r="K968" s="25">
        <f>VLOOKUP(I968,'Materiales,canteras'!C:E,3,0)</f>
        <v>1.56</v>
      </c>
      <c r="L968" s="105">
        <v>97</v>
      </c>
      <c r="M968" s="28" t="s">
        <v>93</v>
      </c>
      <c r="N968" s="57">
        <f t="shared" ca="1" si="220"/>
        <v>46267</v>
      </c>
      <c r="O968" s="43" t="s">
        <v>201</v>
      </c>
      <c r="S968" s="82"/>
      <c r="T968" s="66">
        <f t="shared" si="217"/>
        <v>97</v>
      </c>
      <c r="U968" s="46">
        <f t="shared" si="218"/>
        <v>97</v>
      </c>
      <c r="V968" s="82">
        <v>0</v>
      </c>
      <c r="W968" s="4">
        <v>2</v>
      </c>
      <c r="X968" s="195">
        <f t="shared" si="221"/>
        <v>97</v>
      </c>
      <c r="Y968" s="29" t="e">
        <f>IF(+VLOOKUP(I968,P.Referencia!E:S,3,FALSE)&lt;=L968,"Champion","Gerente")</f>
        <v>#N/A</v>
      </c>
      <c r="Z968" s="39" t="e">
        <f>VLOOKUP(I968,P.Referencia!E:S,3,0)</f>
        <v>#N/A</v>
      </c>
      <c r="AA968" s="40" t="e">
        <f t="shared" si="222"/>
        <v>#N/A</v>
      </c>
      <c r="AB968" s="41" t="e">
        <f t="shared" si="223"/>
        <v>#N/A</v>
      </c>
      <c r="AC968" s="41" t="e">
        <f t="shared" si="224"/>
        <v>#N/A</v>
      </c>
    </row>
    <row r="969" spans="1:30" hidden="1" x14ac:dyDescent="0.25">
      <c r="A969" s="24">
        <v>968</v>
      </c>
      <c r="B969" s="89" t="s">
        <v>571</v>
      </c>
      <c r="C969" s="4" t="str">
        <f t="shared" si="219"/>
        <v>LlaveD86467367449100002692</v>
      </c>
      <c r="D969" s="25" t="str">
        <f>VLOOKUP(E969,'NO MODIFICAR'!J:K,2,0)</f>
        <v>D864</v>
      </c>
      <c r="E969" s="102" t="s">
        <v>55</v>
      </c>
      <c r="F969" s="33" t="str">
        <f>VLOOKUP(D969,'NO MODIFICAR'!F:H,3,0)</f>
        <v xml:space="preserve">CENTRO </v>
      </c>
      <c r="G969" s="28">
        <v>67367449</v>
      </c>
      <c r="H969" s="93" t="s">
        <v>592</v>
      </c>
      <c r="I969" s="94">
        <v>10000269</v>
      </c>
      <c r="J969" s="4" t="str">
        <f>VLOOKUP(I969,'Materiales,canteras'!C:D,2,0)</f>
        <v>Grava Triturada Caliza 13 mm -</v>
      </c>
      <c r="K969" s="25">
        <f>VLOOKUP(I969,'Materiales,canteras'!C:E,3,0)</f>
        <v>1.423</v>
      </c>
      <c r="L969" s="105">
        <v>147</v>
      </c>
      <c r="M969" s="28" t="s">
        <v>93</v>
      </c>
      <c r="N969" s="57">
        <f t="shared" ca="1" si="220"/>
        <v>46267</v>
      </c>
      <c r="O969" s="43" t="s">
        <v>201</v>
      </c>
      <c r="S969" s="82"/>
      <c r="T969" s="66">
        <f t="shared" si="217"/>
        <v>147</v>
      </c>
      <c r="U969" s="46">
        <f t="shared" si="218"/>
        <v>147</v>
      </c>
      <c r="V969" s="82">
        <v>0</v>
      </c>
      <c r="W969" s="4">
        <v>2</v>
      </c>
      <c r="X969" s="195">
        <f t="shared" si="221"/>
        <v>147</v>
      </c>
      <c r="Y969" s="29" t="e">
        <f>IF(+VLOOKUP(I969,P.Referencia!E:S,3,FALSE)&lt;=L969,"Champion","Gerente")</f>
        <v>#N/A</v>
      </c>
      <c r="Z969" s="39" t="e">
        <f>VLOOKUP(I969,P.Referencia!E:S,3,0)</f>
        <v>#N/A</v>
      </c>
      <c r="AA969" s="40" t="e">
        <f t="shared" si="222"/>
        <v>#N/A</v>
      </c>
      <c r="AB969" s="41" t="e">
        <f t="shared" si="223"/>
        <v>#N/A</v>
      </c>
      <c r="AC969" s="41" t="e">
        <f t="shared" si="224"/>
        <v>#N/A</v>
      </c>
    </row>
    <row r="970" spans="1:30" s="132" customFormat="1" hidden="1" x14ac:dyDescent="0.25">
      <c r="A970" s="133">
        <v>969</v>
      </c>
      <c r="B970" s="261" t="s">
        <v>571</v>
      </c>
      <c r="C970" s="132" t="str">
        <f t="shared" si="219"/>
        <v>LlaveD81665618509100001241</v>
      </c>
      <c r="D970" s="137" t="str">
        <f>VLOOKUP(E970,'NO MODIFICAR'!J:K,2,0)</f>
        <v>D816</v>
      </c>
      <c r="E970" s="150" t="s">
        <v>15</v>
      </c>
      <c r="F970" s="137" t="str">
        <f>VLOOKUP(D970,'NO MODIFICAR'!F:H,3,0)</f>
        <v>NORESTE</v>
      </c>
      <c r="G970" s="135">
        <v>65618509</v>
      </c>
      <c r="H970" s="262" t="s">
        <v>593</v>
      </c>
      <c r="I970" s="263">
        <v>10000124</v>
      </c>
      <c r="J970" s="132" t="str">
        <f>VLOOKUP(I970,'Materiales,canteras'!C:D,2,0)</f>
        <v>Arena Triturada Caliza Malla 4</v>
      </c>
      <c r="K970" s="137">
        <f>VLOOKUP(I970,'Materiales,canteras'!C:E,3,0)</f>
        <v>1.7390000000000001</v>
      </c>
      <c r="L970" s="264">
        <v>250</v>
      </c>
      <c r="M970" s="135" t="s">
        <v>93</v>
      </c>
      <c r="N970" s="138">
        <f t="shared" ca="1" si="220"/>
        <v>46267</v>
      </c>
      <c r="O970" s="133" t="s">
        <v>201</v>
      </c>
      <c r="S970" s="265">
        <v>495</v>
      </c>
      <c r="T970" s="139">
        <f t="shared" si="217"/>
        <v>-245</v>
      </c>
      <c r="U970" s="140">
        <f t="shared" si="218"/>
        <v>250</v>
      </c>
      <c r="V970" s="265">
        <v>49.02</v>
      </c>
      <c r="W970" s="132">
        <v>1</v>
      </c>
      <c r="X970" s="142">
        <f t="shared" si="221"/>
        <v>299.02</v>
      </c>
      <c r="Y970" s="134" t="e">
        <f>IF(+VLOOKUP(I970,P.Referencia!E:S,3,FALSE)&lt;=L970,"Champion","Gerente")</f>
        <v>#N/A</v>
      </c>
      <c r="Z970" s="143" t="e">
        <f>VLOOKUP(I970,P.Referencia!E:S,3,0)</f>
        <v>#N/A</v>
      </c>
      <c r="AA970" s="144" t="e">
        <f t="shared" si="222"/>
        <v>#N/A</v>
      </c>
      <c r="AB970" s="145" t="e">
        <f t="shared" si="223"/>
        <v>#N/A</v>
      </c>
      <c r="AC970" s="145" t="e">
        <f t="shared" si="224"/>
        <v>#N/A</v>
      </c>
    </row>
    <row r="971" spans="1:30" s="132" customFormat="1" hidden="1" x14ac:dyDescent="0.25">
      <c r="A971" s="133">
        <v>970</v>
      </c>
      <c r="B971" s="261" t="s">
        <v>571</v>
      </c>
      <c r="C971" s="132" t="str">
        <f t="shared" si="219"/>
        <v>LlaveD81665618509100002411</v>
      </c>
      <c r="D971" s="137" t="str">
        <f>VLOOKUP(E971,'NO MODIFICAR'!J:K,2,0)</f>
        <v>D816</v>
      </c>
      <c r="E971" s="150" t="s">
        <v>15</v>
      </c>
      <c r="F971" s="137" t="str">
        <f>VLOOKUP(D971,'NO MODIFICAR'!F:H,3,0)</f>
        <v>NORESTE</v>
      </c>
      <c r="G971" s="135">
        <v>65618509</v>
      </c>
      <c r="H971" s="262" t="s">
        <v>594</v>
      </c>
      <c r="I971" s="263">
        <v>10000241</v>
      </c>
      <c r="J971" s="132" t="str">
        <f>VLOOKUP(I971,'Materiales,canteras'!C:D,2,0)</f>
        <v>Grava Triturada Caliza 20 mm -</v>
      </c>
      <c r="K971" s="137">
        <f>VLOOKUP(I971,'Materiales,canteras'!C:E,3,0)</f>
        <v>1.43</v>
      </c>
      <c r="L971" s="264">
        <v>250</v>
      </c>
      <c r="M971" s="135" t="s">
        <v>93</v>
      </c>
      <c r="N971" s="138">
        <f t="shared" ca="1" si="220"/>
        <v>46267</v>
      </c>
      <c r="O971" s="133" t="s">
        <v>201</v>
      </c>
      <c r="S971" s="265">
        <v>414</v>
      </c>
      <c r="T971" s="139">
        <f t="shared" si="217"/>
        <v>-164</v>
      </c>
      <c r="U971" s="140">
        <f t="shared" si="218"/>
        <v>250</v>
      </c>
      <c r="V971" s="265">
        <v>49.02</v>
      </c>
      <c r="W971" s="132">
        <v>1</v>
      </c>
      <c r="X971" s="142">
        <f t="shared" si="221"/>
        <v>299.02</v>
      </c>
      <c r="Y971" s="134" t="e">
        <f>IF(+VLOOKUP(I971,P.Referencia!E:S,3,FALSE)&lt;=L971,"Champion","Gerente")</f>
        <v>#N/A</v>
      </c>
      <c r="Z971" s="143" t="e">
        <f>VLOOKUP(I971,P.Referencia!E:S,3,0)</f>
        <v>#N/A</v>
      </c>
      <c r="AA971" s="144" t="e">
        <f t="shared" si="222"/>
        <v>#N/A</v>
      </c>
      <c r="AB971" s="145" t="e">
        <f t="shared" si="223"/>
        <v>#N/A</v>
      </c>
      <c r="AC971" s="145" t="e">
        <f t="shared" si="224"/>
        <v>#N/A</v>
      </c>
    </row>
    <row r="972" spans="1:30" s="132" customFormat="1" hidden="1" x14ac:dyDescent="0.25">
      <c r="A972" s="133">
        <v>971</v>
      </c>
      <c r="B972" s="261" t="s">
        <v>571</v>
      </c>
      <c r="C972" s="132" t="str">
        <f t="shared" si="219"/>
        <v>LlaveD81665618509100001242</v>
      </c>
      <c r="D972" s="137" t="str">
        <f>VLOOKUP(E972,'NO MODIFICAR'!J:K,2,0)</f>
        <v>D816</v>
      </c>
      <c r="E972" s="150" t="s">
        <v>15</v>
      </c>
      <c r="F972" s="137" t="str">
        <f>VLOOKUP(D972,'NO MODIFICAR'!F:H,3,0)</f>
        <v>NORESTE</v>
      </c>
      <c r="G972" s="135">
        <v>65618509</v>
      </c>
      <c r="H972" s="262" t="s">
        <v>593</v>
      </c>
      <c r="I972" s="263">
        <v>10000124</v>
      </c>
      <c r="J972" s="132" t="str">
        <f>VLOOKUP(I972,'Materiales,canteras'!C:D,2,0)</f>
        <v>Arena Triturada Caliza Malla 4</v>
      </c>
      <c r="K972" s="137">
        <f>VLOOKUP(I972,'Materiales,canteras'!C:E,3,0)</f>
        <v>1.7390000000000001</v>
      </c>
      <c r="L972" s="264">
        <v>250</v>
      </c>
      <c r="M972" s="135" t="s">
        <v>93</v>
      </c>
      <c r="N972" s="138">
        <f t="shared" ca="1" si="220"/>
        <v>46267</v>
      </c>
      <c r="O972" s="133" t="s">
        <v>201</v>
      </c>
      <c r="S972" s="265">
        <v>495</v>
      </c>
      <c r="T972" s="139">
        <f t="shared" si="217"/>
        <v>-245</v>
      </c>
      <c r="U972" s="140">
        <f t="shared" si="218"/>
        <v>250</v>
      </c>
      <c r="V972" s="265">
        <v>0</v>
      </c>
      <c r="W972" s="132">
        <v>2</v>
      </c>
      <c r="X972" s="142">
        <f t="shared" si="221"/>
        <v>250</v>
      </c>
      <c r="Y972" s="134" t="e">
        <f>IF(+VLOOKUP(I972,P.Referencia!E:S,3,FALSE)&lt;=L972,"Champion","Gerente")</f>
        <v>#N/A</v>
      </c>
      <c r="Z972" s="143" t="e">
        <f>VLOOKUP(I972,P.Referencia!E:S,3,0)</f>
        <v>#N/A</v>
      </c>
      <c r="AA972" s="144" t="e">
        <f t="shared" si="222"/>
        <v>#N/A</v>
      </c>
      <c r="AB972" s="145" t="e">
        <f t="shared" si="223"/>
        <v>#N/A</v>
      </c>
      <c r="AC972" s="145" t="e">
        <f t="shared" si="224"/>
        <v>#N/A</v>
      </c>
    </row>
    <row r="973" spans="1:30" s="132" customFormat="1" hidden="1" x14ac:dyDescent="0.25">
      <c r="A973" s="133">
        <v>972</v>
      </c>
      <c r="B973" s="261" t="s">
        <v>571</v>
      </c>
      <c r="C973" s="132" t="str">
        <f t="shared" si="219"/>
        <v>LlaveD81665618509100002412</v>
      </c>
      <c r="D973" s="137" t="str">
        <f>VLOOKUP(E973,'NO MODIFICAR'!J:K,2,0)</f>
        <v>D816</v>
      </c>
      <c r="E973" s="150" t="s">
        <v>15</v>
      </c>
      <c r="F973" s="137" t="str">
        <f>VLOOKUP(D973,'NO MODIFICAR'!F:H,3,0)</f>
        <v>NORESTE</v>
      </c>
      <c r="G973" s="135">
        <v>65618509</v>
      </c>
      <c r="H973" s="262" t="s">
        <v>594</v>
      </c>
      <c r="I973" s="263">
        <v>10000241</v>
      </c>
      <c r="J973" s="132" t="str">
        <f>VLOOKUP(I973,'Materiales,canteras'!C:D,2,0)</f>
        <v>Grava Triturada Caliza 20 mm -</v>
      </c>
      <c r="K973" s="137">
        <f>VLOOKUP(I973,'Materiales,canteras'!C:E,3,0)</f>
        <v>1.43</v>
      </c>
      <c r="L973" s="264">
        <v>250</v>
      </c>
      <c r="M973" s="135" t="s">
        <v>93</v>
      </c>
      <c r="N973" s="138">
        <f t="shared" ca="1" si="220"/>
        <v>46267</v>
      </c>
      <c r="O973" s="133" t="s">
        <v>201</v>
      </c>
      <c r="S973" s="265">
        <v>414</v>
      </c>
      <c r="T973" s="139">
        <f t="shared" si="217"/>
        <v>-164</v>
      </c>
      <c r="U973" s="140">
        <f t="shared" si="218"/>
        <v>250</v>
      </c>
      <c r="V973" s="265">
        <v>0</v>
      </c>
      <c r="W973" s="132">
        <v>2</v>
      </c>
      <c r="X973" s="142">
        <f t="shared" si="221"/>
        <v>250</v>
      </c>
      <c r="Y973" s="134" t="e">
        <f>IF(+VLOOKUP(I973,P.Referencia!E:S,3,FALSE)&lt;=L973,"Champion","Gerente")</f>
        <v>#N/A</v>
      </c>
      <c r="Z973" s="143" t="e">
        <f>VLOOKUP(I973,P.Referencia!E:S,3,0)</f>
        <v>#N/A</v>
      </c>
      <c r="AA973" s="144" t="e">
        <f t="shared" si="222"/>
        <v>#N/A</v>
      </c>
      <c r="AB973" s="145" t="e">
        <f t="shared" si="223"/>
        <v>#N/A</v>
      </c>
      <c r="AC973" s="145" t="e">
        <f t="shared" si="224"/>
        <v>#N/A</v>
      </c>
    </row>
    <row r="974" spans="1:30" s="268" customFormat="1" hidden="1" x14ac:dyDescent="0.25">
      <c r="A974" s="266">
        <v>973</v>
      </c>
      <c r="B974" s="267" t="s">
        <v>571</v>
      </c>
      <c r="C974" s="268" t="str">
        <f t="shared" si="219"/>
        <v>LlaveD81666926905100001241</v>
      </c>
      <c r="D974" s="269" t="str">
        <f>VLOOKUP(E974,'NO MODIFICAR'!J:K,2,0)</f>
        <v>D816</v>
      </c>
      <c r="E974" s="270" t="s">
        <v>15</v>
      </c>
      <c r="F974" s="269" t="str">
        <f>VLOOKUP(D974,'NO MODIFICAR'!F:H,3,0)</f>
        <v>NORESTE</v>
      </c>
      <c r="G974" s="271">
        <v>66926905</v>
      </c>
      <c r="H974" s="272" t="s">
        <v>595</v>
      </c>
      <c r="I974" s="273">
        <v>10000124</v>
      </c>
      <c r="J974" s="268" t="str">
        <f>VLOOKUP(I974,'Materiales,canteras'!C:D,2,0)</f>
        <v>Arena Triturada Caliza Malla 4</v>
      </c>
      <c r="K974" s="269">
        <f>VLOOKUP(I974,'Materiales,canteras'!C:E,3,0)</f>
        <v>1.7390000000000001</v>
      </c>
      <c r="L974" s="274">
        <v>250</v>
      </c>
      <c r="M974" s="271" t="s">
        <v>93</v>
      </c>
      <c r="N974" s="275">
        <f t="shared" ca="1" si="220"/>
        <v>46267</v>
      </c>
      <c r="O974" s="266" t="s">
        <v>201</v>
      </c>
      <c r="S974" s="276"/>
      <c r="T974" s="277">
        <f t="shared" si="217"/>
        <v>250</v>
      </c>
      <c r="U974" s="278">
        <f t="shared" si="218"/>
        <v>250</v>
      </c>
      <c r="V974" s="276">
        <v>82.7</v>
      </c>
      <c r="W974" s="268">
        <v>1</v>
      </c>
      <c r="X974" s="279">
        <f t="shared" si="221"/>
        <v>332.7</v>
      </c>
      <c r="Y974" s="280" t="e">
        <f>IF(+VLOOKUP(I974,P.Referencia!E:S,3,FALSE)&lt;=L974,"Champion","Gerente")</f>
        <v>#N/A</v>
      </c>
      <c r="Z974" s="281" t="e">
        <f>VLOOKUP(I974,P.Referencia!E:S,3,0)</f>
        <v>#N/A</v>
      </c>
      <c r="AA974" s="282" t="e">
        <f t="shared" si="222"/>
        <v>#N/A</v>
      </c>
      <c r="AB974" s="283" t="e">
        <f t="shared" si="223"/>
        <v>#N/A</v>
      </c>
      <c r="AC974" s="283" t="e">
        <f t="shared" si="224"/>
        <v>#N/A</v>
      </c>
      <c r="AD974" s="268" t="s">
        <v>603</v>
      </c>
    </row>
    <row r="975" spans="1:30" s="268" customFormat="1" hidden="1" x14ac:dyDescent="0.25">
      <c r="A975" s="266">
        <v>974</v>
      </c>
      <c r="B975" s="267" t="s">
        <v>571</v>
      </c>
      <c r="C975" s="268" t="str">
        <f t="shared" si="219"/>
        <v>LlaveD81666926905100002411</v>
      </c>
      <c r="D975" s="269" t="str">
        <f>VLOOKUP(E975,'NO MODIFICAR'!J:K,2,0)</f>
        <v>D816</v>
      </c>
      <c r="E975" s="270" t="s">
        <v>15</v>
      </c>
      <c r="F975" s="269" t="str">
        <f>VLOOKUP(D975,'NO MODIFICAR'!F:H,3,0)</f>
        <v>NORESTE</v>
      </c>
      <c r="G975" s="271">
        <v>66926905</v>
      </c>
      <c r="H975" s="272" t="s">
        <v>595</v>
      </c>
      <c r="I975" s="273">
        <v>10000241</v>
      </c>
      <c r="J975" s="268" t="str">
        <f>VLOOKUP(I975,'Materiales,canteras'!C:D,2,0)</f>
        <v>Grava Triturada Caliza 20 mm -</v>
      </c>
      <c r="K975" s="269">
        <f>VLOOKUP(I975,'Materiales,canteras'!C:E,3,0)</f>
        <v>1.43</v>
      </c>
      <c r="L975" s="274">
        <v>250</v>
      </c>
      <c r="M975" s="271" t="s">
        <v>93</v>
      </c>
      <c r="N975" s="275">
        <f t="shared" ca="1" si="220"/>
        <v>46267</v>
      </c>
      <c r="O975" s="266" t="s">
        <v>201</v>
      </c>
      <c r="S975" s="276"/>
      <c r="T975" s="277">
        <f t="shared" si="217"/>
        <v>250</v>
      </c>
      <c r="U975" s="278">
        <f t="shared" si="218"/>
        <v>250</v>
      </c>
      <c r="V975" s="276">
        <v>82.7</v>
      </c>
      <c r="W975" s="268">
        <v>1</v>
      </c>
      <c r="X975" s="279">
        <f t="shared" si="221"/>
        <v>332.7</v>
      </c>
      <c r="Y975" s="280" t="e">
        <f>IF(+VLOOKUP(I975,P.Referencia!E:S,3,FALSE)&lt;=L975,"Champion","Gerente")</f>
        <v>#N/A</v>
      </c>
      <c r="Z975" s="281" t="e">
        <f>VLOOKUP(I975,P.Referencia!E:S,3,0)</f>
        <v>#N/A</v>
      </c>
      <c r="AA975" s="282" t="e">
        <f t="shared" si="222"/>
        <v>#N/A</v>
      </c>
      <c r="AB975" s="283" t="e">
        <f t="shared" si="223"/>
        <v>#N/A</v>
      </c>
      <c r="AC975" s="283" t="e">
        <f t="shared" si="224"/>
        <v>#N/A</v>
      </c>
      <c r="AD975" s="268" t="s">
        <v>603</v>
      </c>
    </row>
    <row r="976" spans="1:30" s="268" customFormat="1" hidden="1" x14ac:dyDescent="0.25">
      <c r="A976" s="266">
        <v>975</v>
      </c>
      <c r="B976" s="267" t="s">
        <v>571</v>
      </c>
      <c r="C976" s="268" t="str">
        <f t="shared" si="219"/>
        <v>LlaveD81666926905100001242</v>
      </c>
      <c r="D976" s="269" t="str">
        <f>VLOOKUP(E976,'NO MODIFICAR'!J:K,2,0)</f>
        <v>D816</v>
      </c>
      <c r="E976" s="270" t="s">
        <v>15</v>
      </c>
      <c r="F976" s="269" t="str">
        <f>VLOOKUP(D976,'NO MODIFICAR'!F:H,3,0)</f>
        <v>NORESTE</v>
      </c>
      <c r="G976" s="271">
        <v>66926905</v>
      </c>
      <c r="H976" s="272" t="s">
        <v>595</v>
      </c>
      <c r="I976" s="273">
        <v>10000124</v>
      </c>
      <c r="J976" s="268" t="str">
        <f>VLOOKUP(I976,'Materiales,canteras'!C:D,2,0)</f>
        <v>Arena Triturada Caliza Malla 4</v>
      </c>
      <c r="K976" s="269">
        <f>VLOOKUP(I976,'Materiales,canteras'!C:E,3,0)</f>
        <v>1.7390000000000001</v>
      </c>
      <c r="L976" s="274">
        <v>250</v>
      </c>
      <c r="M976" s="271" t="s">
        <v>93</v>
      </c>
      <c r="N976" s="275">
        <f t="shared" ca="1" si="220"/>
        <v>46267</v>
      </c>
      <c r="O976" s="266" t="s">
        <v>201</v>
      </c>
      <c r="S976" s="276"/>
      <c r="T976" s="277">
        <f t="shared" si="217"/>
        <v>250</v>
      </c>
      <c r="U976" s="278">
        <f t="shared" si="218"/>
        <v>250</v>
      </c>
      <c r="V976" s="276">
        <v>0</v>
      </c>
      <c r="W976" s="268">
        <v>2</v>
      </c>
      <c r="X976" s="279">
        <f t="shared" si="221"/>
        <v>250</v>
      </c>
      <c r="Y976" s="280" t="e">
        <f>IF(+VLOOKUP(I976,P.Referencia!E:S,3,FALSE)&lt;=L976,"Champion","Gerente")</f>
        <v>#N/A</v>
      </c>
      <c r="Z976" s="281" t="e">
        <f>VLOOKUP(I976,P.Referencia!E:S,3,0)</f>
        <v>#N/A</v>
      </c>
      <c r="AA976" s="282" t="e">
        <f t="shared" si="222"/>
        <v>#N/A</v>
      </c>
      <c r="AB976" s="283" t="e">
        <f t="shared" si="223"/>
        <v>#N/A</v>
      </c>
      <c r="AC976" s="283" t="e">
        <f t="shared" si="224"/>
        <v>#N/A</v>
      </c>
      <c r="AD976" s="268" t="s">
        <v>604</v>
      </c>
    </row>
    <row r="977" spans="1:30" s="268" customFormat="1" hidden="1" x14ac:dyDescent="0.25">
      <c r="A977" s="266">
        <v>976</v>
      </c>
      <c r="B977" s="267" t="s">
        <v>571</v>
      </c>
      <c r="C977" s="268" t="str">
        <f t="shared" si="219"/>
        <v>LlaveD81666926905100002412</v>
      </c>
      <c r="D977" s="269" t="str">
        <f>VLOOKUP(E977,'NO MODIFICAR'!J:K,2,0)</f>
        <v>D816</v>
      </c>
      <c r="E977" s="270" t="s">
        <v>15</v>
      </c>
      <c r="F977" s="269" t="str">
        <f>VLOOKUP(D977,'NO MODIFICAR'!F:H,3,0)</f>
        <v>NORESTE</v>
      </c>
      <c r="G977" s="271">
        <v>66926905</v>
      </c>
      <c r="H977" s="272" t="s">
        <v>595</v>
      </c>
      <c r="I977" s="273">
        <v>10000241</v>
      </c>
      <c r="J977" s="268" t="str">
        <f>VLOOKUP(I977,'Materiales,canteras'!C:D,2,0)</f>
        <v>Grava Triturada Caliza 20 mm -</v>
      </c>
      <c r="K977" s="269">
        <f>VLOOKUP(I977,'Materiales,canteras'!C:E,3,0)</f>
        <v>1.43</v>
      </c>
      <c r="L977" s="274">
        <v>250</v>
      </c>
      <c r="M977" s="271" t="s">
        <v>93</v>
      </c>
      <c r="N977" s="275">
        <f t="shared" ca="1" si="220"/>
        <v>46267</v>
      </c>
      <c r="O977" s="266" t="s">
        <v>201</v>
      </c>
      <c r="S977" s="276"/>
      <c r="T977" s="277">
        <f t="shared" si="217"/>
        <v>250</v>
      </c>
      <c r="U977" s="278">
        <f t="shared" si="218"/>
        <v>250</v>
      </c>
      <c r="V977" s="276">
        <v>0</v>
      </c>
      <c r="W977" s="268">
        <v>2</v>
      </c>
      <c r="X977" s="279">
        <f t="shared" si="221"/>
        <v>250</v>
      </c>
      <c r="Y977" s="280" t="e">
        <f>IF(+VLOOKUP(I977,P.Referencia!E:S,3,FALSE)&lt;=L977,"Champion","Gerente")</f>
        <v>#N/A</v>
      </c>
      <c r="Z977" s="281" t="e">
        <f>VLOOKUP(I977,P.Referencia!E:S,3,0)</f>
        <v>#N/A</v>
      </c>
      <c r="AA977" s="282" t="e">
        <f t="shared" si="222"/>
        <v>#N/A</v>
      </c>
      <c r="AB977" s="283" t="e">
        <f t="shared" si="223"/>
        <v>#N/A</v>
      </c>
      <c r="AC977" s="283" t="e">
        <f t="shared" si="224"/>
        <v>#N/A</v>
      </c>
      <c r="AD977" s="268" t="s">
        <v>604</v>
      </c>
    </row>
    <row r="978" spans="1:30" s="132" customFormat="1" hidden="1" x14ac:dyDescent="0.25">
      <c r="A978" s="133">
        <v>977</v>
      </c>
      <c r="B978" s="261" t="s">
        <v>571</v>
      </c>
      <c r="C978" s="132" t="str">
        <f t="shared" si="219"/>
        <v>LlaveD81666858665100001242</v>
      </c>
      <c r="D978" s="137" t="str">
        <f>VLOOKUP(E978,'NO MODIFICAR'!J:K,2,0)</f>
        <v>D816</v>
      </c>
      <c r="E978" s="150" t="s">
        <v>15</v>
      </c>
      <c r="F978" s="137" t="str">
        <f>VLOOKUP(D978,'NO MODIFICAR'!F:H,3,0)</f>
        <v>NORESTE</v>
      </c>
      <c r="G978" s="135">
        <v>66858665</v>
      </c>
      <c r="H978" s="262" t="s">
        <v>291</v>
      </c>
      <c r="I978" s="263">
        <v>10000124</v>
      </c>
      <c r="J978" s="132" t="str">
        <f>VLOOKUP(I978,'Materiales,canteras'!C:D,2,0)</f>
        <v>Arena Triturada Caliza Malla 4</v>
      </c>
      <c r="K978" s="137">
        <f>VLOOKUP(I978,'Materiales,canteras'!C:E,3,0)</f>
        <v>1.7390000000000001</v>
      </c>
      <c r="L978" s="264">
        <v>250</v>
      </c>
      <c r="M978" s="135" t="s">
        <v>93</v>
      </c>
      <c r="N978" s="138">
        <f t="shared" ca="1" si="220"/>
        <v>46267</v>
      </c>
      <c r="O978" s="133" t="s">
        <v>201</v>
      </c>
      <c r="S978" s="265">
        <v>495</v>
      </c>
      <c r="T978" s="139">
        <f t="shared" si="217"/>
        <v>-245</v>
      </c>
      <c r="U978" s="140">
        <f t="shared" si="218"/>
        <v>250</v>
      </c>
      <c r="V978" s="265">
        <v>0</v>
      </c>
      <c r="W978" s="132">
        <v>2</v>
      </c>
      <c r="X978" s="142">
        <f t="shared" si="221"/>
        <v>250</v>
      </c>
      <c r="Y978" s="134" t="e">
        <f>IF(+VLOOKUP(I978,P.Referencia!E:S,3,FALSE)&lt;=L978,"Champion","Gerente")</f>
        <v>#N/A</v>
      </c>
      <c r="Z978" s="143" t="e">
        <f>VLOOKUP(I978,P.Referencia!E:S,3,0)</f>
        <v>#N/A</v>
      </c>
      <c r="AA978" s="144" t="e">
        <f t="shared" si="222"/>
        <v>#N/A</v>
      </c>
      <c r="AB978" s="145" t="e">
        <f t="shared" si="223"/>
        <v>#N/A</v>
      </c>
      <c r="AC978" s="145" t="e">
        <f t="shared" si="224"/>
        <v>#N/A</v>
      </c>
    </row>
    <row r="979" spans="1:30" s="132" customFormat="1" hidden="1" x14ac:dyDescent="0.25">
      <c r="A979" s="133">
        <v>978</v>
      </c>
      <c r="B979" s="261" t="s">
        <v>571</v>
      </c>
      <c r="C979" s="132" t="str">
        <f t="shared" si="219"/>
        <v>LlaveD81666858665100011702</v>
      </c>
      <c r="D979" s="137" t="str">
        <f>VLOOKUP(E979,'NO MODIFICAR'!J:K,2,0)</f>
        <v>D816</v>
      </c>
      <c r="E979" s="150" t="s">
        <v>15</v>
      </c>
      <c r="F979" s="137" t="str">
        <f>VLOOKUP(D979,'NO MODIFICAR'!F:H,3,0)</f>
        <v>NORESTE</v>
      </c>
      <c r="G979" s="135">
        <v>66858665</v>
      </c>
      <c r="H979" s="262" t="s">
        <v>291</v>
      </c>
      <c r="I979" s="263">
        <v>10001170</v>
      </c>
      <c r="J979" s="132" t="str">
        <f>VLOOKUP(I979,'Materiales,canteras'!C:D,2,0)</f>
        <v>Arena Triturada Caliza Block</v>
      </c>
      <c r="K979" s="137">
        <f>VLOOKUP(I979,'Materiales,canteras'!C:E,3,0)</f>
        <v>1.7709999999999999</v>
      </c>
      <c r="L979" s="264">
        <v>250</v>
      </c>
      <c r="M979" s="135" t="s">
        <v>93</v>
      </c>
      <c r="N979" s="138">
        <f t="shared" ca="1" si="220"/>
        <v>46267</v>
      </c>
      <c r="O979" s="133" t="s">
        <v>201</v>
      </c>
      <c r="R979" s="132">
        <v>47.06</v>
      </c>
      <c r="S979" s="265">
        <v>362</v>
      </c>
      <c r="T979" s="139">
        <f t="shared" si="217"/>
        <v>-64.94</v>
      </c>
      <c r="U979" s="140">
        <f t="shared" si="218"/>
        <v>250</v>
      </c>
      <c r="V979" s="265">
        <v>0</v>
      </c>
      <c r="W979" s="132">
        <v>2</v>
      </c>
      <c r="X979" s="142">
        <f t="shared" si="221"/>
        <v>250</v>
      </c>
      <c r="Y979" s="134" t="e">
        <f>IF(+VLOOKUP(I979,P.Referencia!E:S,3,FALSE)&lt;=L979,"Champion","Gerente")</f>
        <v>#N/A</v>
      </c>
      <c r="Z979" s="143" t="e">
        <f>VLOOKUP(I979,P.Referencia!E:S,3,0)</f>
        <v>#N/A</v>
      </c>
      <c r="AA979" s="144" t="e">
        <f t="shared" si="222"/>
        <v>#N/A</v>
      </c>
      <c r="AB979" s="145" t="e">
        <f t="shared" si="223"/>
        <v>#N/A</v>
      </c>
      <c r="AC979" s="145" t="e">
        <f t="shared" si="224"/>
        <v>#N/A</v>
      </c>
    </row>
    <row r="980" spans="1:30" hidden="1" x14ac:dyDescent="0.25">
      <c r="A980" s="24">
        <v>979</v>
      </c>
      <c r="B980" s="89" t="s">
        <v>571</v>
      </c>
      <c r="C980" s="4" t="str">
        <f t="shared" si="219"/>
        <v>LlaveD8646716909610000236</v>
      </c>
      <c r="D980" s="25" t="str">
        <f>VLOOKUP(E980,'NO MODIFICAR'!J:K,2,0)</f>
        <v>D864</v>
      </c>
      <c r="E980" s="102" t="s">
        <v>55</v>
      </c>
      <c r="F980" s="33" t="str">
        <f>VLOOKUP(D980,'NO MODIFICAR'!F:H,3,0)</f>
        <v xml:space="preserve">CENTRO </v>
      </c>
      <c r="G980" s="28">
        <v>67169096</v>
      </c>
      <c r="H980" s="93" t="s">
        <v>596</v>
      </c>
      <c r="I980" s="94">
        <v>10000236</v>
      </c>
      <c r="J980" s="4" t="str">
        <f>VLOOKUP(I980,'Materiales,canteras'!C:D,2,0)</f>
        <v>Grava Triturada Caliza 10 mm -</v>
      </c>
      <c r="K980" s="25">
        <f>VLOOKUP(I980,'Materiales,canteras'!C:E,3,0)</f>
        <v>1.41</v>
      </c>
      <c r="L980" s="105">
        <v>153.12</v>
      </c>
      <c r="M980" s="28" t="s">
        <v>93</v>
      </c>
      <c r="N980" s="57">
        <f t="shared" ca="1" si="220"/>
        <v>46267</v>
      </c>
      <c r="O980" s="43" t="s">
        <v>201</v>
      </c>
      <c r="R980">
        <v>12.6</v>
      </c>
      <c r="S980" s="82">
        <v>252</v>
      </c>
      <c r="T980" s="66">
        <f t="shared" si="217"/>
        <v>-86.28</v>
      </c>
      <c r="U980" s="46">
        <f t="shared" si="218"/>
        <v>153.12</v>
      </c>
      <c r="V980" s="82"/>
      <c r="X980" s="195">
        <f t="shared" si="221"/>
        <v>153.12</v>
      </c>
      <c r="Y980" s="29" t="e">
        <f>IF(+VLOOKUP(I980,P.Referencia!E:S,3,FALSE)&lt;=L980,"Champion","Gerente")</f>
        <v>#N/A</v>
      </c>
      <c r="Z980" s="39" t="e">
        <f>VLOOKUP(I980,P.Referencia!E:S,3,0)</f>
        <v>#N/A</v>
      </c>
      <c r="AA980" s="40" t="e">
        <f t="shared" si="222"/>
        <v>#N/A</v>
      </c>
      <c r="AB980" s="41" t="e">
        <f t="shared" si="223"/>
        <v>#N/A</v>
      </c>
      <c r="AC980" s="41" t="e">
        <f t="shared" si="224"/>
        <v>#N/A</v>
      </c>
    </row>
    <row r="981" spans="1:30" hidden="1" x14ac:dyDescent="0.25">
      <c r="A981" s="24">
        <v>980</v>
      </c>
      <c r="B981" s="89" t="s">
        <v>571</v>
      </c>
      <c r="C981" s="4" t="str">
        <f t="shared" si="219"/>
        <v>LlaveD8646716909610000240</v>
      </c>
      <c r="D981" s="25" t="str">
        <f>VLOOKUP(E981,'NO MODIFICAR'!J:K,2,0)</f>
        <v>D864</v>
      </c>
      <c r="E981" s="102" t="s">
        <v>55</v>
      </c>
      <c r="F981" s="33" t="str">
        <f>VLOOKUP(D981,'NO MODIFICAR'!F:H,3,0)</f>
        <v xml:space="preserve">CENTRO </v>
      </c>
      <c r="G981" s="28">
        <v>67169096</v>
      </c>
      <c r="H981" s="93" t="s">
        <v>596</v>
      </c>
      <c r="I981" s="94">
        <v>10000240</v>
      </c>
      <c r="J981" s="4" t="str">
        <f>VLOOKUP(I981,'Materiales,canteras'!C:D,2,0)</f>
        <v>Grava Triturada Caliza 20 mm -</v>
      </c>
      <c r="K981" s="25">
        <f>VLOOKUP(I981,'Materiales,canteras'!C:E,3,0)</f>
        <v>1.462</v>
      </c>
      <c r="L981" s="105">
        <v>136.1</v>
      </c>
      <c r="M981" s="28" t="s">
        <v>93</v>
      </c>
      <c r="N981" s="57">
        <f t="shared" ca="1" si="220"/>
        <v>46267</v>
      </c>
      <c r="O981" s="43" t="s">
        <v>201</v>
      </c>
      <c r="R981">
        <v>14.7</v>
      </c>
      <c r="S981" s="82">
        <v>294</v>
      </c>
      <c r="T981" s="66">
        <f t="shared" si="217"/>
        <v>-143.20000000000002</v>
      </c>
      <c r="U981" s="46">
        <f t="shared" si="218"/>
        <v>136.1</v>
      </c>
      <c r="V981" s="82"/>
      <c r="X981" s="195">
        <f t="shared" si="221"/>
        <v>136.1</v>
      </c>
      <c r="Y981" s="29" t="e">
        <f>IF(+VLOOKUP(I981,P.Referencia!E:S,3,FALSE)&lt;=L981,"Champion","Gerente")</f>
        <v>#N/A</v>
      </c>
      <c r="Z981" s="39" t="e">
        <f>VLOOKUP(I981,P.Referencia!E:S,3,0)</f>
        <v>#N/A</v>
      </c>
      <c r="AA981" s="40" t="e">
        <f t="shared" si="222"/>
        <v>#N/A</v>
      </c>
      <c r="AB981" s="41" t="e">
        <f t="shared" si="223"/>
        <v>#N/A</v>
      </c>
      <c r="AC981" s="41" t="e">
        <f t="shared" si="224"/>
        <v>#N/A</v>
      </c>
    </row>
    <row r="982" spans="1:30" hidden="1" x14ac:dyDescent="0.25">
      <c r="A982" s="24">
        <v>981</v>
      </c>
      <c r="B982" s="89" t="s">
        <v>571</v>
      </c>
      <c r="C982" s="4" t="str">
        <f t="shared" si="219"/>
        <v>LlaveD8646716909610001073</v>
      </c>
      <c r="D982" s="25" t="str">
        <f>VLOOKUP(E982,'NO MODIFICAR'!J:K,2,0)</f>
        <v>D864</v>
      </c>
      <c r="E982" s="102" t="s">
        <v>55</v>
      </c>
      <c r="F982" s="33" t="str">
        <f>VLOOKUP(D982,'NO MODIFICAR'!F:H,3,0)</f>
        <v xml:space="preserve">CENTRO </v>
      </c>
      <c r="G982" s="28">
        <v>67169096</v>
      </c>
      <c r="H982" s="93" t="s">
        <v>596</v>
      </c>
      <c r="I982" s="94">
        <v>10001073</v>
      </c>
      <c r="J982" s="4" t="str">
        <f>VLOOKUP(I982,'Materiales,canteras'!C:D,2,0)</f>
        <v>Arena Triturada Caliza Malla 4</v>
      </c>
      <c r="K982" s="25">
        <f>VLOOKUP(I982,'Materiales,canteras'!C:E,3,0)</f>
        <v>1.56</v>
      </c>
      <c r="L982" s="105">
        <v>113.42</v>
      </c>
      <c r="M982" s="28" t="s">
        <v>93</v>
      </c>
      <c r="N982" s="57">
        <f t="shared" ca="1" si="220"/>
        <v>46267</v>
      </c>
      <c r="O982" s="43" t="s">
        <v>201</v>
      </c>
      <c r="R982">
        <v>7.9</v>
      </c>
      <c r="S982" s="82">
        <v>158</v>
      </c>
      <c r="T982" s="66">
        <f t="shared" si="217"/>
        <v>-36.679999999999993</v>
      </c>
      <c r="U982" s="46">
        <f t="shared" si="218"/>
        <v>113.42</v>
      </c>
      <c r="V982" s="82"/>
      <c r="X982" s="195">
        <f t="shared" si="221"/>
        <v>113.42</v>
      </c>
      <c r="Y982" s="29" t="e">
        <f>IF(+VLOOKUP(I982,P.Referencia!E:S,3,FALSE)&lt;=L982,"Champion","Gerente")</f>
        <v>#N/A</v>
      </c>
      <c r="Z982" s="39" t="e">
        <f>VLOOKUP(I982,P.Referencia!E:S,3,0)</f>
        <v>#N/A</v>
      </c>
      <c r="AA982" s="40" t="e">
        <f t="shared" si="222"/>
        <v>#N/A</v>
      </c>
      <c r="AB982" s="41" t="e">
        <f t="shared" si="223"/>
        <v>#N/A</v>
      </c>
      <c r="AC982" s="41" t="e">
        <f t="shared" si="224"/>
        <v>#N/A</v>
      </c>
    </row>
    <row r="983" spans="1:30" hidden="1" x14ac:dyDescent="0.25">
      <c r="A983" s="24">
        <v>982</v>
      </c>
      <c r="B983" s="89" t="s">
        <v>571</v>
      </c>
      <c r="C983" s="4" t="str">
        <f t="shared" si="219"/>
        <v>LlaveD8646724646110000236</v>
      </c>
      <c r="D983" s="25" t="str">
        <f>VLOOKUP(E983,'NO MODIFICAR'!J:K,2,0)</f>
        <v>D864</v>
      </c>
      <c r="E983" s="102" t="s">
        <v>55</v>
      </c>
      <c r="F983" s="33" t="str">
        <f>VLOOKUP(D983,'NO MODIFICAR'!F:H,3,0)</f>
        <v xml:space="preserve">CENTRO </v>
      </c>
      <c r="G983" s="28">
        <v>67246461</v>
      </c>
      <c r="H983" s="93" t="s">
        <v>597</v>
      </c>
      <c r="I983" s="94">
        <v>10000236</v>
      </c>
      <c r="J983" s="4" t="str">
        <f>VLOOKUP(I983,'Materiales,canteras'!C:D,2,0)</f>
        <v>Grava Triturada Caliza 10 mm -</v>
      </c>
      <c r="K983" s="25">
        <f>VLOOKUP(I983,'Materiales,canteras'!C:E,3,0)</f>
        <v>1.41</v>
      </c>
      <c r="L983" s="105">
        <v>153.12</v>
      </c>
      <c r="M983" s="28" t="s">
        <v>93</v>
      </c>
      <c r="N983" s="57">
        <f t="shared" ca="1" si="220"/>
        <v>46267</v>
      </c>
      <c r="O983" s="43" t="s">
        <v>201</v>
      </c>
      <c r="R983">
        <v>12.6</v>
      </c>
      <c r="S983" s="82">
        <v>252</v>
      </c>
      <c r="T983" s="66">
        <f t="shared" si="217"/>
        <v>-86.28</v>
      </c>
      <c r="U983" s="46">
        <f t="shared" si="218"/>
        <v>153.12</v>
      </c>
      <c r="V983" s="82"/>
      <c r="X983" s="195">
        <f t="shared" si="221"/>
        <v>153.12</v>
      </c>
      <c r="Y983" s="29" t="e">
        <f>IF(+VLOOKUP(I983,P.Referencia!E:S,3,FALSE)&lt;=L983,"Champion","Gerente")</f>
        <v>#N/A</v>
      </c>
      <c r="Z983" s="39" t="e">
        <f>VLOOKUP(I983,P.Referencia!E:S,3,0)</f>
        <v>#N/A</v>
      </c>
      <c r="AA983" s="40" t="e">
        <f t="shared" si="222"/>
        <v>#N/A</v>
      </c>
      <c r="AB983" s="41" t="e">
        <f t="shared" si="223"/>
        <v>#N/A</v>
      </c>
      <c r="AC983" s="41" t="e">
        <f t="shared" si="224"/>
        <v>#N/A</v>
      </c>
    </row>
    <row r="984" spans="1:30" hidden="1" x14ac:dyDescent="0.25">
      <c r="A984" s="24">
        <v>983</v>
      </c>
      <c r="B984" s="89" t="s">
        <v>571</v>
      </c>
      <c r="C984" s="4" t="str">
        <f t="shared" si="219"/>
        <v>LlaveD8646724646110000240</v>
      </c>
      <c r="D984" s="25" t="str">
        <f>VLOOKUP(E984,'NO MODIFICAR'!J:K,2,0)</f>
        <v>D864</v>
      </c>
      <c r="E984" s="102" t="s">
        <v>55</v>
      </c>
      <c r="F984" s="33" t="str">
        <f>VLOOKUP(D984,'NO MODIFICAR'!F:H,3,0)</f>
        <v xml:space="preserve">CENTRO </v>
      </c>
      <c r="G984" s="28">
        <v>67246461</v>
      </c>
      <c r="H984" s="93" t="s">
        <v>597</v>
      </c>
      <c r="I984" s="94">
        <v>10000240</v>
      </c>
      <c r="J984" s="4" t="str">
        <f>VLOOKUP(I984,'Materiales,canteras'!C:D,2,0)</f>
        <v>Grava Triturada Caliza 20 mm -</v>
      </c>
      <c r="K984" s="25">
        <f>VLOOKUP(I984,'Materiales,canteras'!C:E,3,0)</f>
        <v>1.462</v>
      </c>
      <c r="L984" s="105">
        <v>136.1</v>
      </c>
      <c r="M984" s="28" t="s">
        <v>93</v>
      </c>
      <c r="N984" s="57">
        <f t="shared" ca="1" si="220"/>
        <v>46267</v>
      </c>
      <c r="O984" s="43" t="s">
        <v>201</v>
      </c>
      <c r="R984">
        <v>14.7</v>
      </c>
      <c r="S984" s="82">
        <v>294</v>
      </c>
      <c r="T984" s="66">
        <f t="shared" si="217"/>
        <v>-143.20000000000002</v>
      </c>
      <c r="U984" s="46">
        <f t="shared" si="218"/>
        <v>136.1</v>
      </c>
      <c r="V984" s="82"/>
      <c r="X984" s="195">
        <f t="shared" si="221"/>
        <v>136.1</v>
      </c>
      <c r="Y984" s="29" t="e">
        <f>IF(+VLOOKUP(I984,P.Referencia!E:S,3,FALSE)&lt;=L984,"Champion","Gerente")</f>
        <v>#N/A</v>
      </c>
      <c r="Z984" s="39" t="e">
        <f>VLOOKUP(I984,P.Referencia!E:S,3,0)</f>
        <v>#N/A</v>
      </c>
      <c r="AA984" s="40" t="e">
        <f t="shared" si="222"/>
        <v>#N/A</v>
      </c>
      <c r="AB984" s="41" t="e">
        <f t="shared" si="223"/>
        <v>#N/A</v>
      </c>
      <c r="AC984" s="41" t="e">
        <f t="shared" si="224"/>
        <v>#N/A</v>
      </c>
    </row>
    <row r="985" spans="1:30" hidden="1" x14ac:dyDescent="0.25">
      <c r="A985" s="24">
        <v>984</v>
      </c>
      <c r="B985" s="89" t="s">
        <v>571</v>
      </c>
      <c r="C985" s="4" t="str">
        <f t="shared" si="219"/>
        <v>LlaveD8646724646110001073</v>
      </c>
      <c r="D985" s="25" t="str">
        <f>VLOOKUP(E985,'NO MODIFICAR'!J:K,2,0)</f>
        <v>D864</v>
      </c>
      <c r="E985" s="102" t="s">
        <v>55</v>
      </c>
      <c r="F985" s="33" t="str">
        <f>VLOOKUP(D985,'NO MODIFICAR'!F:H,3,0)</f>
        <v xml:space="preserve">CENTRO </v>
      </c>
      <c r="G985" s="28">
        <v>67246461</v>
      </c>
      <c r="H985" s="93" t="s">
        <v>597</v>
      </c>
      <c r="I985" s="94">
        <v>10001073</v>
      </c>
      <c r="J985" s="4" t="str">
        <f>VLOOKUP(I985,'Materiales,canteras'!C:D,2,0)</f>
        <v>Arena Triturada Caliza Malla 4</v>
      </c>
      <c r="K985" s="25">
        <f>VLOOKUP(I985,'Materiales,canteras'!C:E,3,0)</f>
        <v>1.56</v>
      </c>
      <c r="L985" s="105">
        <v>113.42</v>
      </c>
      <c r="M985" s="28" t="s">
        <v>93</v>
      </c>
      <c r="N985" s="57">
        <f t="shared" ca="1" si="220"/>
        <v>46267</v>
      </c>
      <c r="O985" s="43" t="s">
        <v>201</v>
      </c>
      <c r="R985">
        <v>7.9</v>
      </c>
      <c r="S985" s="82">
        <v>158</v>
      </c>
      <c r="T985" s="66">
        <f t="shared" si="217"/>
        <v>-36.679999999999993</v>
      </c>
      <c r="U985" s="46">
        <f t="shared" si="218"/>
        <v>113.42</v>
      </c>
      <c r="V985" s="82"/>
      <c r="X985" s="195">
        <f t="shared" si="221"/>
        <v>113.42</v>
      </c>
      <c r="Y985" s="29" t="e">
        <f>IF(+VLOOKUP(I985,P.Referencia!E:S,3,FALSE)&lt;=L985,"Champion","Gerente")</f>
        <v>#N/A</v>
      </c>
      <c r="Z985" s="39" t="e">
        <f>VLOOKUP(I985,P.Referencia!E:S,3,0)</f>
        <v>#N/A</v>
      </c>
      <c r="AA985" s="40" t="e">
        <f t="shared" si="222"/>
        <v>#N/A</v>
      </c>
      <c r="AB985" s="41" t="e">
        <f t="shared" si="223"/>
        <v>#N/A</v>
      </c>
      <c r="AC985" s="41" t="e">
        <f t="shared" si="224"/>
        <v>#N/A</v>
      </c>
    </row>
    <row r="986" spans="1:30" hidden="1" x14ac:dyDescent="0.25">
      <c r="A986" s="24">
        <v>985</v>
      </c>
      <c r="B986" s="89" t="s">
        <v>571</v>
      </c>
      <c r="C986" s="4" t="str">
        <f t="shared" si="219"/>
        <v>LlaveD8646724648310000236</v>
      </c>
      <c r="D986" s="25" t="str">
        <f>VLOOKUP(E986,'NO MODIFICAR'!J:K,2,0)</f>
        <v>D864</v>
      </c>
      <c r="E986" s="102" t="s">
        <v>55</v>
      </c>
      <c r="F986" s="33" t="str">
        <f>VLOOKUP(D986,'NO MODIFICAR'!F:H,3,0)</f>
        <v xml:space="preserve">CENTRO </v>
      </c>
      <c r="G986" s="28">
        <v>67246483</v>
      </c>
      <c r="H986" s="93" t="s">
        <v>598</v>
      </c>
      <c r="I986" s="94">
        <v>10000236</v>
      </c>
      <c r="J986" s="4" t="str">
        <f>VLOOKUP(I986,'Materiales,canteras'!C:D,2,0)</f>
        <v>Grava Triturada Caliza 10 mm -</v>
      </c>
      <c r="K986" s="25">
        <f>VLOOKUP(I986,'Materiales,canteras'!C:E,3,0)</f>
        <v>1.41</v>
      </c>
      <c r="L986" s="105">
        <v>153.12</v>
      </c>
      <c r="M986" s="28" t="s">
        <v>93</v>
      </c>
      <c r="N986" s="57">
        <f t="shared" ca="1" si="220"/>
        <v>46267</v>
      </c>
      <c r="O986" s="43" t="s">
        <v>201</v>
      </c>
      <c r="R986">
        <v>12.6</v>
      </c>
      <c r="S986" s="82">
        <v>252</v>
      </c>
      <c r="T986" s="66">
        <f t="shared" si="217"/>
        <v>-86.28</v>
      </c>
      <c r="U986" s="46">
        <f t="shared" si="218"/>
        <v>153.12</v>
      </c>
      <c r="V986" s="82"/>
      <c r="X986" s="195">
        <f t="shared" si="221"/>
        <v>153.12</v>
      </c>
      <c r="Y986" s="29" t="e">
        <f>IF(+VLOOKUP(I986,P.Referencia!E:S,3,FALSE)&lt;=L986,"Champion","Gerente")</f>
        <v>#N/A</v>
      </c>
      <c r="Z986" s="39" t="e">
        <f>VLOOKUP(I986,P.Referencia!E:S,3,0)</f>
        <v>#N/A</v>
      </c>
      <c r="AA986" s="40" t="e">
        <f t="shared" si="222"/>
        <v>#N/A</v>
      </c>
      <c r="AB986" s="41" t="e">
        <f t="shared" si="223"/>
        <v>#N/A</v>
      </c>
      <c r="AC986" s="41" t="e">
        <f t="shared" si="224"/>
        <v>#N/A</v>
      </c>
    </row>
    <row r="987" spans="1:30" hidden="1" x14ac:dyDescent="0.25">
      <c r="A987" s="24">
        <v>986</v>
      </c>
      <c r="B987" s="89" t="s">
        <v>571</v>
      </c>
      <c r="C987" s="4" t="str">
        <f t="shared" si="219"/>
        <v>LlaveD8646724648310000240</v>
      </c>
      <c r="D987" s="25" t="str">
        <f>VLOOKUP(E987,'NO MODIFICAR'!J:K,2,0)</f>
        <v>D864</v>
      </c>
      <c r="E987" s="102" t="s">
        <v>55</v>
      </c>
      <c r="F987" s="33" t="str">
        <f>VLOOKUP(D987,'NO MODIFICAR'!F:H,3,0)</f>
        <v xml:space="preserve">CENTRO </v>
      </c>
      <c r="G987" s="28">
        <v>67246483</v>
      </c>
      <c r="H987" s="93" t="s">
        <v>598</v>
      </c>
      <c r="I987" s="94">
        <v>10000240</v>
      </c>
      <c r="J987" s="4" t="str">
        <f>VLOOKUP(I987,'Materiales,canteras'!C:D,2,0)</f>
        <v>Grava Triturada Caliza 20 mm -</v>
      </c>
      <c r="K987" s="25">
        <f>VLOOKUP(I987,'Materiales,canteras'!C:E,3,0)</f>
        <v>1.462</v>
      </c>
      <c r="L987" s="105">
        <v>136.1</v>
      </c>
      <c r="M987" s="28" t="s">
        <v>93</v>
      </c>
      <c r="N987" s="57">
        <f t="shared" ca="1" si="220"/>
        <v>46267</v>
      </c>
      <c r="O987" s="43" t="s">
        <v>201</v>
      </c>
      <c r="R987">
        <v>14.7</v>
      </c>
      <c r="S987" s="82">
        <v>294</v>
      </c>
      <c r="T987" s="66">
        <f t="shared" si="217"/>
        <v>-143.20000000000002</v>
      </c>
      <c r="U987" s="46">
        <f t="shared" si="218"/>
        <v>136.1</v>
      </c>
      <c r="V987" s="82"/>
      <c r="X987" s="195">
        <f t="shared" si="221"/>
        <v>136.1</v>
      </c>
      <c r="Y987" s="29" t="e">
        <f>IF(+VLOOKUP(I987,P.Referencia!E:S,3,FALSE)&lt;=L987,"Champion","Gerente")</f>
        <v>#N/A</v>
      </c>
      <c r="Z987" s="39" t="e">
        <f>VLOOKUP(I987,P.Referencia!E:S,3,0)</f>
        <v>#N/A</v>
      </c>
      <c r="AA987" s="40" t="e">
        <f t="shared" si="222"/>
        <v>#N/A</v>
      </c>
      <c r="AB987" s="41" t="e">
        <f t="shared" si="223"/>
        <v>#N/A</v>
      </c>
      <c r="AC987" s="41" t="e">
        <f t="shared" si="224"/>
        <v>#N/A</v>
      </c>
    </row>
    <row r="988" spans="1:30" hidden="1" x14ac:dyDescent="0.25">
      <c r="A988" s="24">
        <v>987</v>
      </c>
      <c r="B988" s="89" t="s">
        <v>571</v>
      </c>
      <c r="C988" s="4" t="str">
        <f t="shared" si="219"/>
        <v>LlaveD8646724648310001073</v>
      </c>
      <c r="D988" s="25" t="str">
        <f>VLOOKUP(E988,'NO MODIFICAR'!J:K,2,0)</f>
        <v>D864</v>
      </c>
      <c r="E988" s="102" t="s">
        <v>55</v>
      </c>
      <c r="F988" s="33" t="str">
        <f>VLOOKUP(D988,'NO MODIFICAR'!F:H,3,0)</f>
        <v xml:space="preserve">CENTRO </v>
      </c>
      <c r="G988" s="28">
        <v>67246483</v>
      </c>
      <c r="H988" s="93" t="s">
        <v>598</v>
      </c>
      <c r="I988" s="94">
        <v>10001073</v>
      </c>
      <c r="J988" s="4" t="str">
        <f>VLOOKUP(I988,'Materiales,canteras'!C:D,2,0)</f>
        <v>Arena Triturada Caliza Malla 4</v>
      </c>
      <c r="K988" s="25">
        <f>VLOOKUP(I988,'Materiales,canteras'!C:E,3,0)</f>
        <v>1.56</v>
      </c>
      <c r="L988" s="105">
        <v>113.42</v>
      </c>
      <c r="M988" s="28" t="s">
        <v>93</v>
      </c>
      <c r="N988" s="57">
        <f t="shared" ca="1" si="220"/>
        <v>46267</v>
      </c>
      <c r="O988" s="43" t="s">
        <v>201</v>
      </c>
      <c r="R988">
        <v>7.9</v>
      </c>
      <c r="S988" s="82">
        <v>158</v>
      </c>
      <c r="T988" s="66">
        <f t="shared" si="217"/>
        <v>-36.679999999999993</v>
      </c>
      <c r="U988" s="46">
        <f t="shared" si="218"/>
        <v>113.42</v>
      </c>
      <c r="V988" s="82"/>
      <c r="X988" s="195">
        <f t="shared" ref="X988:X992" si="225">U988+V988</f>
        <v>113.42</v>
      </c>
      <c r="Y988" s="29" t="e">
        <f>IF(+VLOOKUP(I988,P.Referencia!E:S,3,FALSE)&lt;=L988,"Champion","Gerente")</f>
        <v>#N/A</v>
      </c>
      <c r="Z988" s="39" t="e">
        <f>VLOOKUP(I988,P.Referencia!E:S,3,0)</f>
        <v>#N/A</v>
      </c>
      <c r="AA988" s="40" t="e">
        <f t="shared" ref="AA988:AA992" si="226">(Z988-U988)/U988</f>
        <v>#N/A</v>
      </c>
      <c r="AB988" s="41" t="e">
        <f t="shared" ref="AB988:AB992" si="227">U988*AA988</f>
        <v>#N/A</v>
      </c>
      <c r="AC988" s="41" t="e">
        <f t="shared" ref="AC988:AC992" si="228">U988+AB988</f>
        <v>#N/A</v>
      </c>
    </row>
    <row r="989" spans="1:30" hidden="1" x14ac:dyDescent="0.25">
      <c r="A989" s="24">
        <v>988</v>
      </c>
      <c r="B989" s="89" t="s">
        <v>571</v>
      </c>
      <c r="C989" s="4" t="str">
        <f t="shared" ref="C989:C994" si="229">_xlfn.CONCAT($C$1,D989,G989,I989,W989)</f>
        <v>LlaveD8646724445610000236</v>
      </c>
      <c r="D989" s="25" t="str">
        <f>VLOOKUP(E989,'NO MODIFICAR'!J:K,2,0)</f>
        <v>D864</v>
      </c>
      <c r="E989" s="102" t="s">
        <v>55</v>
      </c>
      <c r="F989" s="33" t="str">
        <f>VLOOKUP(D989,'NO MODIFICAR'!F:H,3,0)</f>
        <v xml:space="preserve">CENTRO </v>
      </c>
      <c r="G989" s="28">
        <v>67244456</v>
      </c>
      <c r="H989" s="93" t="s">
        <v>599</v>
      </c>
      <c r="I989" s="94">
        <v>10000236</v>
      </c>
      <c r="J989" s="4" t="str">
        <f>VLOOKUP(I989,'Materiales,canteras'!C:D,2,0)</f>
        <v>Grava Triturada Caliza 10 mm -</v>
      </c>
      <c r="K989" s="25">
        <f>VLOOKUP(I989,'Materiales,canteras'!C:E,3,0)</f>
        <v>1.41</v>
      </c>
      <c r="L989" s="105">
        <v>153.12</v>
      </c>
      <c r="M989" s="28" t="s">
        <v>93</v>
      </c>
      <c r="N989" s="57">
        <f t="shared" ca="1" si="220"/>
        <v>46267</v>
      </c>
      <c r="O989" s="43" t="s">
        <v>201</v>
      </c>
      <c r="R989">
        <v>12.6</v>
      </c>
      <c r="S989" s="82">
        <v>252</v>
      </c>
      <c r="T989" s="66">
        <f t="shared" si="217"/>
        <v>-86.28</v>
      </c>
      <c r="U989" s="46">
        <f t="shared" si="218"/>
        <v>153.12</v>
      </c>
      <c r="V989" s="82"/>
      <c r="X989" s="195">
        <f t="shared" si="225"/>
        <v>153.12</v>
      </c>
      <c r="Y989" s="29" t="e">
        <f>IF(+VLOOKUP(I989,P.Referencia!E:S,3,FALSE)&lt;=L989,"Champion","Gerente")</f>
        <v>#N/A</v>
      </c>
      <c r="Z989" s="39" t="e">
        <f>VLOOKUP(I989,P.Referencia!E:S,3,0)</f>
        <v>#N/A</v>
      </c>
      <c r="AA989" s="40" t="e">
        <f t="shared" si="226"/>
        <v>#N/A</v>
      </c>
      <c r="AB989" s="41" t="e">
        <f t="shared" si="227"/>
        <v>#N/A</v>
      </c>
      <c r="AC989" s="41" t="e">
        <f t="shared" si="228"/>
        <v>#N/A</v>
      </c>
    </row>
    <row r="990" spans="1:30" hidden="1" x14ac:dyDescent="0.25">
      <c r="A990" s="24">
        <v>989</v>
      </c>
      <c r="B990" s="89" t="s">
        <v>571</v>
      </c>
      <c r="C990" s="4" t="str">
        <f t="shared" si="229"/>
        <v>LlaveD8646724445610000240</v>
      </c>
      <c r="D990" s="25" t="str">
        <f>VLOOKUP(E990,'NO MODIFICAR'!J:K,2,0)</f>
        <v>D864</v>
      </c>
      <c r="E990" s="102" t="s">
        <v>55</v>
      </c>
      <c r="F990" s="33" t="str">
        <f>VLOOKUP(D990,'NO MODIFICAR'!F:H,3,0)</f>
        <v xml:space="preserve">CENTRO </v>
      </c>
      <c r="G990" s="28">
        <v>67244456</v>
      </c>
      <c r="H990" s="93" t="s">
        <v>599</v>
      </c>
      <c r="I990" s="94">
        <v>10000240</v>
      </c>
      <c r="J990" s="4" t="str">
        <f>VLOOKUP(I990,'Materiales,canteras'!C:D,2,0)</f>
        <v>Grava Triturada Caliza 20 mm -</v>
      </c>
      <c r="K990" s="25">
        <f>VLOOKUP(I990,'Materiales,canteras'!C:E,3,0)</f>
        <v>1.462</v>
      </c>
      <c r="L990" s="105">
        <v>136.1</v>
      </c>
      <c r="M990" s="28" t="s">
        <v>93</v>
      </c>
      <c r="N990" s="57">
        <f t="shared" ca="1" si="220"/>
        <v>46267</v>
      </c>
      <c r="O990" s="43" t="s">
        <v>201</v>
      </c>
      <c r="R990">
        <v>14.7</v>
      </c>
      <c r="S990" s="82">
        <v>294</v>
      </c>
      <c r="T990" s="66">
        <f t="shared" si="217"/>
        <v>-143.20000000000002</v>
      </c>
      <c r="U990" s="46">
        <f t="shared" si="218"/>
        <v>136.1</v>
      </c>
      <c r="V990" s="82"/>
      <c r="X990" s="195">
        <f t="shared" si="225"/>
        <v>136.1</v>
      </c>
      <c r="Y990" s="29" t="e">
        <f>IF(+VLOOKUP(I990,P.Referencia!E:S,3,FALSE)&lt;=L990,"Champion","Gerente")</f>
        <v>#N/A</v>
      </c>
      <c r="Z990" s="39" t="e">
        <f>VLOOKUP(I990,P.Referencia!E:S,3,0)</f>
        <v>#N/A</v>
      </c>
      <c r="AA990" s="40" t="e">
        <f t="shared" si="226"/>
        <v>#N/A</v>
      </c>
      <c r="AB990" s="41" t="e">
        <f t="shared" si="227"/>
        <v>#N/A</v>
      </c>
      <c r="AC990" s="41" t="e">
        <f t="shared" si="228"/>
        <v>#N/A</v>
      </c>
    </row>
    <row r="991" spans="1:30" hidden="1" x14ac:dyDescent="0.25">
      <c r="A991" s="24">
        <v>990</v>
      </c>
      <c r="B991" s="89" t="s">
        <v>571</v>
      </c>
      <c r="C991" s="4" t="str">
        <f t="shared" si="229"/>
        <v>LlaveD8646724445610001073</v>
      </c>
      <c r="D991" s="25" t="str">
        <f>VLOOKUP(E991,'NO MODIFICAR'!J:K,2,0)</f>
        <v>D864</v>
      </c>
      <c r="E991" s="102" t="s">
        <v>55</v>
      </c>
      <c r="F991" s="33" t="str">
        <f>VLOOKUP(D991,'NO MODIFICAR'!F:H,3,0)</f>
        <v xml:space="preserve">CENTRO </v>
      </c>
      <c r="G991" s="28">
        <v>67244456</v>
      </c>
      <c r="H991" s="93" t="s">
        <v>599</v>
      </c>
      <c r="I991" s="94">
        <v>10001073</v>
      </c>
      <c r="J991" s="4" t="str">
        <f>VLOOKUP(I991,'Materiales,canteras'!C:D,2,0)</f>
        <v>Arena Triturada Caliza Malla 4</v>
      </c>
      <c r="K991" s="25">
        <f>VLOOKUP(I991,'Materiales,canteras'!C:E,3,0)</f>
        <v>1.56</v>
      </c>
      <c r="L991" s="105">
        <v>113.42</v>
      </c>
      <c r="M991" s="28" t="s">
        <v>93</v>
      </c>
      <c r="N991" s="57">
        <f t="shared" ca="1" si="220"/>
        <v>46267</v>
      </c>
      <c r="O991" s="43" t="s">
        <v>201</v>
      </c>
      <c r="R991">
        <v>7.9</v>
      </c>
      <c r="S991" s="82">
        <v>158</v>
      </c>
      <c r="T991" s="66">
        <f t="shared" si="217"/>
        <v>-36.679999999999993</v>
      </c>
      <c r="U991" s="46">
        <f t="shared" si="218"/>
        <v>113.42</v>
      </c>
      <c r="V991" s="82"/>
      <c r="X991" s="195">
        <f t="shared" si="225"/>
        <v>113.42</v>
      </c>
      <c r="Y991" s="29" t="e">
        <f>IF(+VLOOKUP(I991,P.Referencia!E:S,3,FALSE)&lt;=L991,"Champion","Gerente")</f>
        <v>#N/A</v>
      </c>
      <c r="Z991" s="39" t="e">
        <f>VLOOKUP(I991,P.Referencia!E:S,3,0)</f>
        <v>#N/A</v>
      </c>
      <c r="AA991" s="40" t="e">
        <f t="shared" si="226"/>
        <v>#N/A</v>
      </c>
      <c r="AB991" s="41" t="e">
        <f t="shared" si="227"/>
        <v>#N/A</v>
      </c>
      <c r="AC991" s="41" t="e">
        <f t="shared" si="228"/>
        <v>#N/A</v>
      </c>
    </row>
    <row r="992" spans="1:30" hidden="1" x14ac:dyDescent="0.25">
      <c r="A992" s="24">
        <v>991</v>
      </c>
      <c r="B992" s="89" t="s">
        <v>571</v>
      </c>
      <c r="C992" s="4" t="str">
        <f t="shared" si="229"/>
        <v>LlaveD8646736083410000236</v>
      </c>
      <c r="D992" s="25" t="str">
        <f>VLOOKUP(E992,'NO MODIFICAR'!J:K,2,0)</f>
        <v>D864</v>
      </c>
      <c r="E992" s="102" t="s">
        <v>55</v>
      </c>
      <c r="F992" s="33" t="str">
        <f>VLOOKUP(D992,'NO MODIFICAR'!F:H,3,0)</f>
        <v xml:space="preserve">CENTRO </v>
      </c>
      <c r="G992" s="28">
        <v>67360834</v>
      </c>
      <c r="H992" s="93" t="s">
        <v>600</v>
      </c>
      <c r="I992" s="94">
        <v>10000236</v>
      </c>
      <c r="J992" s="4" t="str">
        <f>VLOOKUP(I992,'Materiales,canteras'!C:D,2,0)</f>
        <v>Grava Triturada Caliza 10 mm -</v>
      </c>
      <c r="K992" s="25">
        <f>VLOOKUP(I992,'Materiales,canteras'!C:E,3,0)</f>
        <v>1.41</v>
      </c>
      <c r="L992" s="105">
        <v>153.12</v>
      </c>
      <c r="M992" s="28" t="s">
        <v>93</v>
      </c>
      <c r="N992" s="57">
        <f t="shared" ca="1" si="220"/>
        <v>46267</v>
      </c>
      <c r="O992" s="43" t="s">
        <v>201</v>
      </c>
      <c r="S992" s="82">
        <v>252</v>
      </c>
      <c r="T992" s="66">
        <f t="shared" si="217"/>
        <v>-98.88</v>
      </c>
      <c r="U992" s="46">
        <f t="shared" si="218"/>
        <v>153.12</v>
      </c>
      <c r="V992" s="82"/>
      <c r="X992" s="195">
        <f t="shared" si="225"/>
        <v>153.12</v>
      </c>
      <c r="Y992" s="29" t="e">
        <f>IF(+VLOOKUP(I992,P.Referencia!E:S,3,FALSE)&lt;=L992,"Champion","Gerente")</f>
        <v>#N/A</v>
      </c>
      <c r="Z992" s="39" t="e">
        <f>VLOOKUP(I992,P.Referencia!E:S,3,0)</f>
        <v>#N/A</v>
      </c>
      <c r="AA992" s="40" t="e">
        <f t="shared" si="226"/>
        <v>#N/A</v>
      </c>
      <c r="AB992" s="41" t="e">
        <f t="shared" si="227"/>
        <v>#N/A</v>
      </c>
      <c r="AC992" s="41" t="e">
        <f t="shared" si="228"/>
        <v>#N/A</v>
      </c>
    </row>
    <row r="993" spans="1:30" hidden="1" x14ac:dyDescent="0.25">
      <c r="A993" s="24">
        <v>992</v>
      </c>
      <c r="B993" s="89" t="s">
        <v>571</v>
      </c>
      <c r="C993" s="4" t="str">
        <f t="shared" si="229"/>
        <v>LlaveD8646736083410000240</v>
      </c>
      <c r="D993" s="25" t="str">
        <f>VLOOKUP(E993,'NO MODIFICAR'!J:K,2,0)</f>
        <v>D864</v>
      </c>
      <c r="E993" s="102" t="s">
        <v>55</v>
      </c>
      <c r="F993" s="33" t="str">
        <f>VLOOKUP(D993,'NO MODIFICAR'!F:H,3,0)</f>
        <v xml:space="preserve">CENTRO </v>
      </c>
      <c r="G993" s="28">
        <v>67360834</v>
      </c>
      <c r="H993" s="93" t="s">
        <v>600</v>
      </c>
      <c r="I993" s="94">
        <v>10000240</v>
      </c>
      <c r="J993" s="4" t="str">
        <f>VLOOKUP(I993,'Materiales,canteras'!C:D,2,0)</f>
        <v>Grava Triturada Caliza 20 mm -</v>
      </c>
      <c r="K993" s="25">
        <f>VLOOKUP(I993,'Materiales,canteras'!C:E,3,0)</f>
        <v>1.462</v>
      </c>
      <c r="L993" s="105">
        <v>136.1</v>
      </c>
      <c r="M993" s="28" t="s">
        <v>93</v>
      </c>
      <c r="N993" s="57">
        <f t="shared" ca="1" si="220"/>
        <v>46267</v>
      </c>
      <c r="O993" s="43" t="s">
        <v>201</v>
      </c>
      <c r="S993" s="82">
        <v>294</v>
      </c>
      <c r="T993" s="66">
        <f t="shared" si="217"/>
        <v>-157.9</v>
      </c>
      <c r="U993" s="46">
        <f t="shared" si="218"/>
        <v>136.1</v>
      </c>
      <c r="V993" s="82"/>
      <c r="X993" s="195">
        <f t="shared" ref="X993:X1013" si="230">U993+V993</f>
        <v>136.1</v>
      </c>
      <c r="Y993" s="29" t="e">
        <f>IF(+VLOOKUP(I993,P.Referencia!E:S,3,FALSE)&lt;=L993,"Champion","Gerente")</f>
        <v>#N/A</v>
      </c>
      <c r="Z993" s="39" t="e">
        <f>VLOOKUP(I993,P.Referencia!E:S,3,0)</f>
        <v>#N/A</v>
      </c>
      <c r="AA993" s="40" t="e">
        <f t="shared" ref="AA993:AA997" si="231">(Z993-U993)/U993</f>
        <v>#N/A</v>
      </c>
      <c r="AB993" s="41" t="e">
        <f t="shared" ref="AB993:AB997" si="232">U993*AA993</f>
        <v>#N/A</v>
      </c>
      <c r="AC993" s="41" t="e">
        <f t="shared" ref="AC993:AC997" si="233">U993+AB993</f>
        <v>#N/A</v>
      </c>
    </row>
    <row r="994" spans="1:30" hidden="1" x14ac:dyDescent="0.25">
      <c r="A994" s="24">
        <v>993</v>
      </c>
      <c r="B994" s="89" t="s">
        <v>571</v>
      </c>
      <c r="C994" s="4" t="str">
        <f t="shared" si="229"/>
        <v>LlaveD8646736083410001073</v>
      </c>
      <c r="D994" s="25" t="str">
        <f>VLOOKUP(E994,'NO MODIFICAR'!J:K,2,0)</f>
        <v>D864</v>
      </c>
      <c r="E994" s="102" t="s">
        <v>55</v>
      </c>
      <c r="F994" s="33" t="str">
        <f>VLOOKUP(D994,'NO MODIFICAR'!F:H,3,0)</f>
        <v xml:space="preserve">CENTRO </v>
      </c>
      <c r="G994" s="28">
        <v>67360834</v>
      </c>
      <c r="H994" s="93" t="s">
        <v>600</v>
      </c>
      <c r="I994" s="94">
        <v>10001073</v>
      </c>
      <c r="J994" s="4" t="str">
        <f>VLOOKUP(I994,'Materiales,canteras'!C:D,2,0)</f>
        <v>Arena Triturada Caliza Malla 4</v>
      </c>
      <c r="K994" s="25">
        <f>VLOOKUP(I994,'Materiales,canteras'!C:E,3,0)</f>
        <v>1.56</v>
      </c>
      <c r="L994" s="105">
        <v>113.42</v>
      </c>
      <c r="M994" s="28" t="s">
        <v>93</v>
      </c>
      <c r="N994" s="57">
        <f t="shared" ca="1" si="220"/>
        <v>46267</v>
      </c>
      <c r="O994" s="43" t="s">
        <v>201</v>
      </c>
      <c r="S994" s="82">
        <v>158</v>
      </c>
      <c r="T994" s="66">
        <f t="shared" si="217"/>
        <v>-44.58</v>
      </c>
      <c r="U994" s="46">
        <f t="shared" si="218"/>
        <v>113.42</v>
      </c>
      <c r="V994" s="82"/>
      <c r="X994" s="195">
        <f t="shared" si="230"/>
        <v>113.42</v>
      </c>
      <c r="Y994" s="29" t="e">
        <f>IF(+VLOOKUP(I994,P.Referencia!E:S,3,FALSE)&lt;=L994,"Champion","Gerente")</f>
        <v>#N/A</v>
      </c>
      <c r="Z994" s="39" t="e">
        <f>VLOOKUP(I994,P.Referencia!E:S,3,0)</f>
        <v>#N/A</v>
      </c>
      <c r="AA994" s="40" t="e">
        <f t="shared" si="231"/>
        <v>#N/A</v>
      </c>
      <c r="AB994" s="41" t="e">
        <f t="shared" si="232"/>
        <v>#N/A</v>
      </c>
      <c r="AC994" s="41" t="e">
        <f t="shared" si="233"/>
        <v>#N/A</v>
      </c>
    </row>
    <row r="995" spans="1:30" hidden="1" x14ac:dyDescent="0.25">
      <c r="A995" s="24">
        <v>994</v>
      </c>
      <c r="B995" s="89" t="s">
        <v>571</v>
      </c>
      <c r="C995" s="4" t="str">
        <f t="shared" ref="C995:C1001" si="234">_xlfn.CONCAT($C$1,D995,G995,I995,W995)</f>
        <v>LlaveD86166924027100002902</v>
      </c>
      <c r="D995" s="25" t="str">
        <f>VLOOKUP(E995,'NO MODIFICAR'!J:K,2,0)</f>
        <v>D861</v>
      </c>
      <c r="E995" s="102" t="s">
        <v>44</v>
      </c>
      <c r="F995" s="33" t="str">
        <f>VLOOKUP(D995,'NO MODIFICAR'!F:H,3,0)</f>
        <v xml:space="preserve">CENTRO </v>
      </c>
      <c r="G995" s="28">
        <v>66924027</v>
      </c>
      <c r="H995" s="93" t="s">
        <v>601</v>
      </c>
      <c r="I995" s="94">
        <v>10000290</v>
      </c>
      <c r="J995" s="4" t="str">
        <f>VLOOKUP(I995,'Materiales,canteras'!C:D,2,0)</f>
        <v>Polvos Triturado Basalto 3/4"</v>
      </c>
      <c r="K995" s="25">
        <f>VLOOKUP(I995,'Materiales,canteras'!C:E,3,0)</f>
        <v>1.3720000000000001</v>
      </c>
      <c r="L995" s="105">
        <v>18</v>
      </c>
      <c r="M995" s="28" t="s">
        <v>93</v>
      </c>
      <c r="N995" s="57">
        <f t="shared" ca="1" si="220"/>
        <v>46267</v>
      </c>
      <c r="O995" s="43" t="s">
        <v>201</v>
      </c>
      <c r="R995">
        <v>0.42</v>
      </c>
      <c r="S995" s="82">
        <v>28</v>
      </c>
      <c r="T995" s="66">
        <f t="shared" si="217"/>
        <v>-9.5799999999999983</v>
      </c>
      <c r="U995" s="46">
        <f t="shared" si="218"/>
        <v>18</v>
      </c>
      <c r="V995" s="82">
        <v>0</v>
      </c>
      <c r="W995" s="4">
        <v>2</v>
      </c>
      <c r="X995" s="195">
        <f t="shared" si="230"/>
        <v>18</v>
      </c>
      <c r="Y995" s="29" t="e">
        <f>IF(+VLOOKUP(I995,P.Referencia!E:S,3,FALSE)&lt;=L995,"Champion","Gerente")</f>
        <v>#N/A</v>
      </c>
      <c r="Z995" s="39" t="e">
        <f>VLOOKUP(I995,P.Referencia!E:S,3,0)</f>
        <v>#N/A</v>
      </c>
      <c r="AA995" s="40" t="e">
        <f t="shared" si="231"/>
        <v>#N/A</v>
      </c>
      <c r="AB995" s="41" t="e">
        <f t="shared" si="232"/>
        <v>#N/A</v>
      </c>
      <c r="AC995" s="41" t="e">
        <f t="shared" si="233"/>
        <v>#N/A</v>
      </c>
    </row>
    <row r="996" spans="1:30" hidden="1" x14ac:dyDescent="0.25">
      <c r="A996" s="24">
        <v>995</v>
      </c>
      <c r="B996" s="89" t="s">
        <v>571</v>
      </c>
      <c r="C996" s="4" t="str">
        <f t="shared" si="234"/>
        <v>LlaveD86166924027100003112</v>
      </c>
      <c r="D996" s="25" t="str">
        <f>VLOOKUP(E996,'NO MODIFICAR'!J:K,2,0)</f>
        <v>D861</v>
      </c>
      <c r="E996" s="102" t="s">
        <v>44</v>
      </c>
      <c r="F996" s="33" t="str">
        <f>VLOOKUP(D996,'NO MODIFICAR'!F:H,3,0)</f>
        <v xml:space="preserve">CENTRO </v>
      </c>
      <c r="G996" s="28">
        <v>66924027</v>
      </c>
      <c r="H996" s="93" t="s">
        <v>601</v>
      </c>
      <c r="I996" s="94">
        <v>10000311</v>
      </c>
      <c r="J996" s="4" t="str">
        <f>VLOOKUP(I996,'Materiales,canteras'!C:D,2,0)</f>
        <v>Arena Triturada Basalto  Malla</v>
      </c>
      <c r="K996" s="25">
        <f>VLOOKUP(I996,'Materiales,canteras'!C:E,3,0)</f>
        <v>1.651</v>
      </c>
      <c r="L996" s="105">
        <v>215</v>
      </c>
      <c r="M996" s="28" t="s">
        <v>93</v>
      </c>
      <c r="N996" s="57">
        <f t="shared" ca="1" si="220"/>
        <v>46267</v>
      </c>
      <c r="O996" s="43" t="s">
        <v>201</v>
      </c>
      <c r="R996">
        <v>4.29</v>
      </c>
      <c r="S996" s="82">
        <v>286</v>
      </c>
      <c r="T996" s="66">
        <f t="shared" si="217"/>
        <v>-66.70999999999998</v>
      </c>
      <c r="U996" s="46">
        <f t="shared" si="218"/>
        <v>215</v>
      </c>
      <c r="V996" s="82">
        <v>0</v>
      </c>
      <c r="W996" s="4">
        <v>2</v>
      </c>
      <c r="X996" s="195">
        <f t="shared" si="230"/>
        <v>215</v>
      </c>
      <c r="Y996" s="29" t="e">
        <f>IF(+VLOOKUP(I996,P.Referencia!E:S,3,FALSE)&lt;=L996,"Champion","Gerente")</f>
        <v>#N/A</v>
      </c>
      <c r="Z996" s="39" t="e">
        <f>VLOOKUP(I996,P.Referencia!E:S,3,0)</f>
        <v>#N/A</v>
      </c>
      <c r="AA996" s="40" t="e">
        <f t="shared" si="231"/>
        <v>#N/A</v>
      </c>
      <c r="AB996" s="41" t="e">
        <f t="shared" si="232"/>
        <v>#N/A</v>
      </c>
      <c r="AC996" s="41" t="e">
        <f t="shared" si="233"/>
        <v>#N/A</v>
      </c>
    </row>
    <row r="997" spans="1:30" hidden="1" x14ac:dyDescent="0.25">
      <c r="A997" s="24">
        <v>996</v>
      </c>
      <c r="B997" s="89" t="s">
        <v>571</v>
      </c>
      <c r="C997" s="4" t="str">
        <f t="shared" si="234"/>
        <v>LlaveD86166924027100002312</v>
      </c>
      <c r="D997" s="25" t="str">
        <f>VLOOKUP(E997,'NO MODIFICAR'!J:K,2,0)</f>
        <v>D861</v>
      </c>
      <c r="E997" s="102" t="s">
        <v>44</v>
      </c>
      <c r="F997" s="33" t="str">
        <f>VLOOKUP(D997,'NO MODIFICAR'!F:H,3,0)</f>
        <v xml:space="preserve">CENTRO </v>
      </c>
      <c r="G997" s="28">
        <v>66924027</v>
      </c>
      <c r="H997" s="93" t="s">
        <v>601</v>
      </c>
      <c r="I997" s="94">
        <v>10000231</v>
      </c>
      <c r="J997" s="4" t="str">
        <f>VLOOKUP(I997,'Materiales,canteras'!C:D,2,0)</f>
        <v>Grava Triturada Basalto 20 mm</v>
      </c>
      <c r="K997" s="25">
        <f>VLOOKUP(I997,'Materiales,canteras'!C:E,3,0)</f>
        <v>1.5649999999999999</v>
      </c>
      <c r="L997" s="105">
        <v>230</v>
      </c>
      <c r="M997" s="28" t="s">
        <v>93</v>
      </c>
      <c r="N997" s="57">
        <f t="shared" ca="1" si="220"/>
        <v>46267</v>
      </c>
      <c r="O997" s="43" t="s">
        <v>201</v>
      </c>
      <c r="R997">
        <v>4.62</v>
      </c>
      <c r="S997" s="82">
        <v>308</v>
      </c>
      <c r="T997" s="66">
        <f t="shared" si="217"/>
        <v>-73.38</v>
      </c>
      <c r="U997" s="46">
        <f t="shared" si="218"/>
        <v>230</v>
      </c>
      <c r="V997" s="82">
        <v>0</v>
      </c>
      <c r="W997" s="4">
        <v>2</v>
      </c>
      <c r="X997" s="195">
        <f t="shared" si="230"/>
        <v>230</v>
      </c>
      <c r="Y997" s="29" t="e">
        <f>IF(+VLOOKUP(I997,P.Referencia!E:S,3,FALSE)&lt;=L997,"Champion","Gerente")</f>
        <v>#N/A</v>
      </c>
      <c r="Z997" s="39" t="e">
        <f>VLOOKUP(I997,P.Referencia!E:S,3,0)</f>
        <v>#N/A</v>
      </c>
      <c r="AA997" s="40" t="e">
        <f t="shared" si="231"/>
        <v>#N/A</v>
      </c>
      <c r="AB997" s="41" t="e">
        <f t="shared" si="232"/>
        <v>#N/A</v>
      </c>
      <c r="AC997" s="41" t="e">
        <f t="shared" si="233"/>
        <v>#N/A</v>
      </c>
    </row>
    <row r="998" spans="1:30" hidden="1" x14ac:dyDescent="0.25">
      <c r="A998" s="24">
        <v>997</v>
      </c>
      <c r="B998" s="89" t="s">
        <v>571</v>
      </c>
      <c r="C998" s="4" t="str">
        <f t="shared" si="234"/>
        <v>LlaveD917 67366943102486592</v>
      </c>
      <c r="D998" s="25" t="str">
        <f>VLOOKUP(E998,'NO MODIFICAR'!J:K,2,0)</f>
        <v xml:space="preserve">D917 </v>
      </c>
      <c r="E998" s="102" t="s">
        <v>84</v>
      </c>
      <c r="F998" s="33" t="s">
        <v>362</v>
      </c>
      <c r="G998" s="28">
        <v>67366943</v>
      </c>
      <c r="H998" s="93" t="s">
        <v>602</v>
      </c>
      <c r="I998" s="94">
        <v>10248659</v>
      </c>
      <c r="J998" s="4" t="str">
        <f>VLOOKUP(I998,'Materiales,canteras'!C:D,2,0)</f>
        <v>ARENA NO. 4</v>
      </c>
      <c r="K998" s="25">
        <f>VLOOKUP(I998,'Materiales,canteras'!C:E,3,0)</f>
        <v>1.673</v>
      </c>
      <c r="L998" s="105">
        <v>287.45999999999998</v>
      </c>
      <c r="M998" s="28" t="s">
        <v>93</v>
      </c>
      <c r="N998" s="57">
        <f t="shared" ca="1" si="220"/>
        <v>46267</v>
      </c>
      <c r="O998" s="43" t="s">
        <v>201</v>
      </c>
      <c r="S998" s="82">
        <v>104</v>
      </c>
      <c r="T998" s="66">
        <f t="shared" si="217"/>
        <v>183.45999999999998</v>
      </c>
      <c r="U998" s="46">
        <f t="shared" si="218"/>
        <v>287.45999999999998</v>
      </c>
      <c r="V998" s="82">
        <v>0</v>
      </c>
      <c r="W998" s="4">
        <v>2</v>
      </c>
      <c r="X998" s="195">
        <f t="shared" si="230"/>
        <v>287.45999999999998</v>
      </c>
      <c r="Y998" s="29" t="e">
        <f>IF(+VLOOKUP(I998,P.Referencia!E:S,3,FALSE)&lt;=L998,"Champion","Gerente")</f>
        <v>#N/A</v>
      </c>
      <c r="Z998" s="39" t="e">
        <f>VLOOKUP(I998,P.Referencia!E:S,3,0)</f>
        <v>#N/A</v>
      </c>
      <c r="AA998" s="40" t="e">
        <f t="shared" ref="AA998:AA1013" si="235">(Z998-U998)/U998</f>
        <v>#N/A</v>
      </c>
      <c r="AB998" s="41" t="e">
        <f t="shared" ref="AB998:AB1013" si="236">U998*AA998</f>
        <v>#N/A</v>
      </c>
      <c r="AC998" s="41" t="e">
        <f t="shared" ref="AC998:AC1013" si="237">U998+AB998</f>
        <v>#N/A</v>
      </c>
      <c r="AD998" t="s">
        <v>591</v>
      </c>
    </row>
    <row r="999" spans="1:30" hidden="1" x14ac:dyDescent="0.25">
      <c r="A999" s="24">
        <v>998</v>
      </c>
      <c r="B999" s="89" t="s">
        <v>571</v>
      </c>
      <c r="C999" s="4" t="str">
        <f t="shared" si="234"/>
        <v>LlaveD917 67366943102637012</v>
      </c>
      <c r="D999" s="25" t="str">
        <f>VLOOKUP(E999,'NO MODIFICAR'!J:K,2,0)</f>
        <v xml:space="preserve">D917 </v>
      </c>
      <c r="E999" s="102" t="s">
        <v>84</v>
      </c>
      <c r="F999" s="33" t="s">
        <v>362</v>
      </c>
      <c r="G999" s="28">
        <v>67366943</v>
      </c>
      <c r="H999" s="93" t="s">
        <v>602</v>
      </c>
      <c r="I999" s="94">
        <v>10263701</v>
      </c>
      <c r="J999" s="4" t="str">
        <f>VLOOKUP(I999,'Materiales,canteras'!C:D,2,0)</f>
        <v>GRAVA TRITURADA CALIZA 20MM</v>
      </c>
      <c r="K999" s="25">
        <f>VLOOKUP(I999,'Materiales,canteras'!C:E,3,0)</f>
        <v>1.363</v>
      </c>
      <c r="L999" s="105">
        <v>234.2</v>
      </c>
      <c r="M999" s="28" t="s">
        <v>93</v>
      </c>
      <c r="N999" s="57">
        <f t="shared" ca="1" si="220"/>
        <v>46267</v>
      </c>
      <c r="O999" s="43" t="s">
        <v>201</v>
      </c>
      <c r="S999" s="82">
        <v>90</v>
      </c>
      <c r="T999" s="66">
        <f t="shared" si="217"/>
        <v>144.19999999999999</v>
      </c>
      <c r="U999" s="46">
        <f t="shared" si="218"/>
        <v>234.2</v>
      </c>
      <c r="V999" s="82">
        <v>0</v>
      </c>
      <c r="W999" s="4">
        <v>2</v>
      </c>
      <c r="X999" s="195">
        <f t="shared" si="230"/>
        <v>234.2</v>
      </c>
      <c r="Y999" s="29" t="e">
        <f>IF(+VLOOKUP(I999,P.Referencia!E:S,3,FALSE)&lt;=L999,"Champion","Gerente")</f>
        <v>#N/A</v>
      </c>
      <c r="Z999" s="39" t="e">
        <f>VLOOKUP(I999,P.Referencia!E:S,3,0)</f>
        <v>#N/A</v>
      </c>
      <c r="AA999" s="40" t="e">
        <f t="shared" si="235"/>
        <v>#N/A</v>
      </c>
      <c r="AB999" s="41" t="e">
        <f t="shared" si="236"/>
        <v>#N/A</v>
      </c>
      <c r="AC999" s="41" t="e">
        <f t="shared" si="237"/>
        <v>#N/A</v>
      </c>
      <c r="AD999" t="s">
        <v>591</v>
      </c>
    </row>
    <row r="1000" spans="1:30" hidden="1" x14ac:dyDescent="0.25">
      <c r="A1000" s="24">
        <v>999</v>
      </c>
      <c r="B1000" s="89" t="s">
        <v>571</v>
      </c>
      <c r="C1000" s="4" t="str">
        <f t="shared" si="234"/>
        <v>LlaveD81666362696102690421</v>
      </c>
      <c r="D1000" s="25" t="str">
        <f>VLOOKUP(E1000,'NO MODIFICAR'!J:K,2,0)</f>
        <v>D816</v>
      </c>
      <c r="E1000" s="102" t="s">
        <v>15</v>
      </c>
      <c r="F1000" s="33" t="str">
        <f>VLOOKUP(D1000,'NO MODIFICAR'!F:H,3,0)</f>
        <v>NORESTE</v>
      </c>
      <c r="G1000" s="28">
        <v>66362696</v>
      </c>
      <c r="H1000" s="93" t="s">
        <v>456</v>
      </c>
      <c r="I1000" s="94">
        <v>10269042</v>
      </c>
      <c r="J1000" s="4" t="str">
        <f>VLOOKUP(I1000,'Materiales,canteras'!C:D,2,0)</f>
        <v>NO CLASIFICADO BALASTO B9</v>
      </c>
      <c r="K1000" s="25">
        <f>VLOOKUP(I1000,'Materiales,canteras'!C:E,3,0)</f>
        <v>1.456</v>
      </c>
      <c r="L1000" s="105">
        <v>282.77</v>
      </c>
      <c r="M1000" s="28" t="s">
        <v>93</v>
      </c>
      <c r="N1000" s="57">
        <f t="shared" ca="1" si="220"/>
        <v>46267</v>
      </c>
      <c r="O1000" s="43" t="s">
        <v>201</v>
      </c>
      <c r="Q1000">
        <v>6.1</v>
      </c>
      <c r="R1000">
        <v>4.4800000000000004</v>
      </c>
      <c r="S1000" s="82">
        <v>305</v>
      </c>
      <c r="T1000" s="66">
        <f t="shared" si="217"/>
        <v>-11.649999999999977</v>
      </c>
      <c r="U1000" s="46">
        <f t="shared" si="218"/>
        <v>282.77</v>
      </c>
      <c r="V1000" s="82">
        <v>32.229999999999997</v>
      </c>
      <c r="W1000" s="4">
        <v>1</v>
      </c>
      <c r="X1000" s="195">
        <f t="shared" si="230"/>
        <v>315</v>
      </c>
      <c r="Y1000" s="29" t="e">
        <f>IF(+VLOOKUP(I1000,P.Referencia!E:S,3,FALSE)&lt;=L1000,"Champion","Gerente")</f>
        <v>#N/A</v>
      </c>
      <c r="Z1000" s="39" t="e">
        <f>VLOOKUP(I1000,P.Referencia!E:S,3,0)</f>
        <v>#N/A</v>
      </c>
      <c r="AA1000" s="40" t="e">
        <f t="shared" si="235"/>
        <v>#N/A</v>
      </c>
      <c r="AB1000" s="41" t="e">
        <f t="shared" si="236"/>
        <v>#N/A</v>
      </c>
      <c r="AC1000" s="41" t="e">
        <f t="shared" si="237"/>
        <v>#N/A</v>
      </c>
      <c r="AD1000" t="s">
        <v>605</v>
      </c>
    </row>
    <row r="1001" spans="1:30" hidden="1" x14ac:dyDescent="0.25">
      <c r="A1001" s="24">
        <v>1000</v>
      </c>
      <c r="B1001" s="89" t="s">
        <v>571</v>
      </c>
      <c r="C1001" s="4" t="str">
        <f t="shared" si="234"/>
        <v>LlaveD86167363767100024991</v>
      </c>
      <c r="D1001" s="25" t="str">
        <f>VLOOKUP(E1001,'NO MODIFICAR'!J:K,2,0)</f>
        <v>D861</v>
      </c>
      <c r="E1001" s="102" t="s">
        <v>44</v>
      </c>
      <c r="F1001" s="33" t="str">
        <f>VLOOKUP(D1001,'NO MODIFICAR'!F:H,3,0)</f>
        <v xml:space="preserve">CENTRO </v>
      </c>
      <c r="G1001" s="28">
        <v>67363767</v>
      </c>
      <c r="H1001" s="93" t="s">
        <v>606</v>
      </c>
      <c r="I1001" s="94">
        <v>10002499</v>
      </c>
      <c r="J1001" s="4" t="str">
        <f>VLOOKUP(I1001,'Materiales,canteras'!C:D,2,0)</f>
        <v>Arena Triturada Basalto Malla 4  -Mezcla</v>
      </c>
      <c r="K1001" s="25">
        <f>VLOOKUP(I1001,'Materiales,canteras'!C:E,3,0)</f>
        <v>1.6659999999999999</v>
      </c>
      <c r="L1001" s="105">
        <v>220</v>
      </c>
      <c r="M1001" s="28" t="s">
        <v>93</v>
      </c>
      <c r="N1001" s="57">
        <f t="shared" ca="1" si="220"/>
        <v>46267</v>
      </c>
      <c r="O1001" s="43" t="s">
        <v>201</v>
      </c>
      <c r="Q1001">
        <v>2.61</v>
      </c>
      <c r="R1001">
        <v>23.76</v>
      </c>
      <c r="S1001" s="82">
        <v>198</v>
      </c>
      <c r="T1001" s="66">
        <f t="shared" si="217"/>
        <v>48.370000000000005</v>
      </c>
      <c r="U1001" s="46">
        <f t="shared" si="218"/>
        <v>220</v>
      </c>
      <c r="V1001" s="82">
        <v>97.5</v>
      </c>
      <c r="W1001" s="4">
        <v>1</v>
      </c>
      <c r="X1001" s="195">
        <f t="shared" si="230"/>
        <v>317.5</v>
      </c>
      <c r="Y1001" s="29" t="e">
        <f>IF(+VLOOKUP(I1001,P.Referencia!E:S,3,FALSE)&lt;=L1001,"Champion","Gerente")</f>
        <v>#N/A</v>
      </c>
      <c r="Z1001" s="39" t="e">
        <f>VLOOKUP(I1001,P.Referencia!E:S,3,0)</f>
        <v>#N/A</v>
      </c>
      <c r="AA1001" s="40" t="e">
        <f t="shared" si="235"/>
        <v>#N/A</v>
      </c>
      <c r="AB1001" s="41" t="e">
        <f t="shared" si="236"/>
        <v>#N/A</v>
      </c>
      <c r="AC1001" s="41" t="e">
        <f t="shared" si="237"/>
        <v>#N/A</v>
      </c>
      <c r="AD1001" t="s">
        <v>608</v>
      </c>
    </row>
    <row r="1002" spans="1:30" hidden="1" x14ac:dyDescent="0.25">
      <c r="A1002" s="24">
        <v>1001</v>
      </c>
      <c r="B1002" s="89" t="s">
        <v>571</v>
      </c>
      <c r="C1002" s="4" t="str">
        <f t="shared" ref="C1002:C1014" si="238">_xlfn.CONCAT($C$1,D1002,G1002,I1002,W1002)</f>
        <v>LlaveD917 67366944102486592</v>
      </c>
      <c r="D1002" s="25" t="str">
        <f>VLOOKUP(E1002,'NO MODIFICAR'!J:K,2,0)</f>
        <v xml:space="preserve">D917 </v>
      </c>
      <c r="E1002" s="102" t="s">
        <v>84</v>
      </c>
      <c r="F1002" s="33" t="s">
        <v>128</v>
      </c>
      <c r="G1002" s="28">
        <v>67366944</v>
      </c>
      <c r="H1002" s="93" t="s">
        <v>607</v>
      </c>
      <c r="I1002" s="94">
        <v>10248659</v>
      </c>
      <c r="J1002" s="4" t="str">
        <f>VLOOKUP(I1002,'Materiales,canteras'!C:D,2,0)</f>
        <v>ARENA NO. 4</v>
      </c>
      <c r="K1002" s="25">
        <f>VLOOKUP(I1002,'Materiales,canteras'!C:E,3,0)</f>
        <v>1.673</v>
      </c>
      <c r="L1002" s="105">
        <v>288.37</v>
      </c>
      <c r="M1002" s="28" t="s">
        <v>93</v>
      </c>
      <c r="N1002" s="57">
        <f t="shared" ca="1" si="220"/>
        <v>46267</v>
      </c>
      <c r="O1002" s="43" t="s">
        <v>201</v>
      </c>
      <c r="S1002" s="82">
        <v>104</v>
      </c>
      <c r="T1002" s="66">
        <f t="shared" si="217"/>
        <v>184.37</v>
      </c>
      <c r="U1002" s="46">
        <f t="shared" si="218"/>
        <v>288.37</v>
      </c>
      <c r="V1002" s="82">
        <v>0</v>
      </c>
      <c r="W1002" s="4">
        <v>2</v>
      </c>
      <c r="X1002" s="195">
        <f t="shared" si="230"/>
        <v>288.37</v>
      </c>
      <c r="Y1002" s="29" t="e">
        <f>IF(+VLOOKUP(I1002,P.Referencia!E:S,3,FALSE)&lt;=L1002,"Champion","Gerente")</f>
        <v>#N/A</v>
      </c>
      <c r="Z1002" s="39" t="e">
        <f>VLOOKUP(I1002,P.Referencia!E:S,3,0)</f>
        <v>#N/A</v>
      </c>
      <c r="AA1002" s="40" t="e">
        <f t="shared" si="235"/>
        <v>#N/A</v>
      </c>
      <c r="AB1002" s="41" t="e">
        <f t="shared" si="236"/>
        <v>#N/A</v>
      </c>
      <c r="AC1002" s="41" t="e">
        <f t="shared" si="237"/>
        <v>#N/A</v>
      </c>
      <c r="AD1002" t="s">
        <v>609</v>
      </c>
    </row>
    <row r="1003" spans="1:30" hidden="1" x14ac:dyDescent="0.25">
      <c r="A1003" s="24">
        <v>1002</v>
      </c>
      <c r="B1003" s="89" t="s">
        <v>571</v>
      </c>
      <c r="C1003" s="4" t="str">
        <f t="shared" si="238"/>
        <v>LlaveD917 67366944102637012</v>
      </c>
      <c r="D1003" s="25" t="str">
        <f>VLOOKUP(E1003,'NO MODIFICAR'!J:K,2,0)</f>
        <v xml:space="preserve">D917 </v>
      </c>
      <c r="E1003" s="102" t="s">
        <v>84</v>
      </c>
      <c r="F1003" s="33" t="s">
        <v>128</v>
      </c>
      <c r="G1003" s="28">
        <v>67366944</v>
      </c>
      <c r="H1003" s="93" t="s">
        <v>607</v>
      </c>
      <c r="I1003" s="94">
        <v>10263701</v>
      </c>
      <c r="J1003" s="4" t="str">
        <f>VLOOKUP(I1003,'Materiales,canteras'!C:D,2,0)</f>
        <v>GRAVA TRITURADA CALIZA 20MM</v>
      </c>
      <c r="K1003" s="25">
        <f>VLOOKUP(I1003,'Materiales,canteras'!C:E,3,0)</f>
        <v>1.363</v>
      </c>
      <c r="L1003" s="105">
        <v>234.94</v>
      </c>
      <c r="M1003" s="28" t="s">
        <v>93</v>
      </c>
      <c r="N1003" s="57">
        <f t="shared" ca="1" si="220"/>
        <v>46267</v>
      </c>
      <c r="O1003" s="43" t="s">
        <v>201</v>
      </c>
      <c r="S1003" s="82">
        <v>90</v>
      </c>
      <c r="T1003" s="66">
        <f t="shared" si="217"/>
        <v>144.94</v>
      </c>
      <c r="U1003" s="46">
        <f t="shared" si="218"/>
        <v>234.94</v>
      </c>
      <c r="V1003" s="82">
        <v>0</v>
      </c>
      <c r="W1003" s="4">
        <v>2</v>
      </c>
      <c r="X1003" s="195">
        <f t="shared" si="230"/>
        <v>234.94</v>
      </c>
      <c r="Y1003" s="29" t="e">
        <f>IF(+VLOOKUP(I1003,P.Referencia!E:S,3,FALSE)&lt;=L1003,"Champion","Gerente")</f>
        <v>#N/A</v>
      </c>
      <c r="Z1003" s="39" t="e">
        <f>VLOOKUP(I1003,P.Referencia!E:S,3,0)</f>
        <v>#N/A</v>
      </c>
      <c r="AA1003" s="40" t="e">
        <f t="shared" si="235"/>
        <v>#N/A</v>
      </c>
      <c r="AB1003" s="41" t="e">
        <f t="shared" si="236"/>
        <v>#N/A</v>
      </c>
      <c r="AC1003" s="41" t="e">
        <f t="shared" si="237"/>
        <v>#N/A</v>
      </c>
      <c r="AD1003" t="s">
        <v>609</v>
      </c>
    </row>
    <row r="1004" spans="1:30" hidden="1" x14ac:dyDescent="0.25">
      <c r="A1004" s="24">
        <v>1003</v>
      </c>
      <c r="B1004" s="89" t="s">
        <v>571</v>
      </c>
      <c r="C1004" s="4" t="str">
        <f t="shared" si="238"/>
        <v>LlaveD89366650461100512952</v>
      </c>
      <c r="D1004" s="25" t="str">
        <f>VLOOKUP(E1004,'NO MODIFICAR'!J:K,2,0)</f>
        <v>D893</v>
      </c>
      <c r="E1004" s="102" t="s">
        <v>253</v>
      </c>
      <c r="F1004" s="33" t="str">
        <f>VLOOKUP(D1004,'NO MODIFICAR'!F:H,3,0)</f>
        <v>NORESTE</v>
      </c>
      <c r="G1004" s="28">
        <v>66650461</v>
      </c>
      <c r="H1004" s="93" t="s">
        <v>610</v>
      </c>
      <c r="I1004" s="94">
        <v>10051295</v>
      </c>
      <c r="J1004" s="4" t="str">
        <f>VLOOKUP(I1004,'Materiales,canteras'!C:D,2,0)</f>
        <v>Grava Triturada Basalto 10 mm</v>
      </c>
      <c r="K1004" s="25">
        <f>VLOOKUP(I1004,'Materiales,canteras'!C:E,3,0)</f>
        <v>1.2529999999999999</v>
      </c>
      <c r="L1004" s="105">
        <v>250</v>
      </c>
      <c r="M1004" s="28" t="s">
        <v>93</v>
      </c>
      <c r="N1004" s="57">
        <f t="shared" ca="1" si="220"/>
        <v>46267</v>
      </c>
      <c r="O1004" s="43" t="s">
        <v>201</v>
      </c>
      <c r="R1004">
        <v>5.93</v>
      </c>
      <c r="S1004" s="82">
        <v>395</v>
      </c>
      <c r="T1004" s="66">
        <f t="shared" si="217"/>
        <v>-139.07</v>
      </c>
      <c r="U1004" s="46">
        <f t="shared" si="218"/>
        <v>250</v>
      </c>
      <c r="V1004" s="82">
        <v>0</v>
      </c>
      <c r="W1004" s="4">
        <v>2</v>
      </c>
      <c r="X1004" s="195">
        <f t="shared" si="230"/>
        <v>250</v>
      </c>
      <c r="Y1004" s="29" t="e">
        <f>IF(+VLOOKUP(I1004,P.Referencia!E:S,3,FALSE)&lt;=L1004,"Champion","Gerente")</f>
        <v>#N/A</v>
      </c>
      <c r="Z1004" s="39" t="e">
        <f>VLOOKUP(I1004,P.Referencia!E:S,3,0)</f>
        <v>#N/A</v>
      </c>
      <c r="AA1004" s="40" t="e">
        <f t="shared" si="235"/>
        <v>#N/A</v>
      </c>
      <c r="AB1004" s="41" t="e">
        <f t="shared" si="236"/>
        <v>#N/A</v>
      </c>
      <c r="AC1004" s="41" t="e">
        <f t="shared" si="237"/>
        <v>#N/A</v>
      </c>
    </row>
    <row r="1005" spans="1:30" hidden="1" x14ac:dyDescent="0.25">
      <c r="A1005" s="24">
        <v>1004</v>
      </c>
      <c r="B1005" s="89" t="s">
        <v>571</v>
      </c>
      <c r="C1005" s="4" t="str">
        <f t="shared" si="238"/>
        <v>LlaveD86467124204100010732</v>
      </c>
      <c r="D1005" s="25" t="str">
        <f>VLOOKUP(E1005,'NO MODIFICAR'!J:K,2,0)</f>
        <v>D864</v>
      </c>
      <c r="E1005" s="102" t="s">
        <v>55</v>
      </c>
      <c r="F1005" s="33" t="str">
        <f>VLOOKUP(D1005,'NO MODIFICAR'!F:H,3,0)</f>
        <v xml:space="preserve">CENTRO </v>
      </c>
      <c r="G1005" s="28">
        <v>67124204</v>
      </c>
      <c r="H1005" s="93" t="s">
        <v>174</v>
      </c>
      <c r="I1005" s="94">
        <v>10001073</v>
      </c>
      <c r="J1005" s="4" t="str">
        <f>VLOOKUP(I1005,'Materiales,canteras'!C:D,2,0)</f>
        <v>Arena Triturada Caliza Malla 4</v>
      </c>
      <c r="K1005" s="25">
        <f>VLOOKUP(I1005,'Materiales,canteras'!C:E,3,0)</f>
        <v>1.56</v>
      </c>
      <c r="L1005" s="105">
        <v>137</v>
      </c>
      <c r="M1005" s="28" t="s">
        <v>93</v>
      </c>
      <c r="N1005" s="57">
        <f t="shared" ca="1" si="220"/>
        <v>46267</v>
      </c>
      <c r="O1005" s="43" t="s">
        <v>201</v>
      </c>
      <c r="R1005">
        <v>2.37</v>
      </c>
      <c r="S1005" s="82">
        <v>158</v>
      </c>
      <c r="T1005" s="66">
        <f t="shared" si="217"/>
        <v>-18.629999999999995</v>
      </c>
      <c r="U1005" s="46">
        <f t="shared" si="218"/>
        <v>137</v>
      </c>
      <c r="V1005" s="82">
        <v>0</v>
      </c>
      <c r="W1005" s="4">
        <v>2</v>
      </c>
      <c r="X1005" s="195">
        <f t="shared" si="230"/>
        <v>137</v>
      </c>
      <c r="Y1005" s="29" t="e">
        <f>IF(+VLOOKUP(I1005,P.Referencia!E:S,3,FALSE)&lt;=L1005,"Champion","Gerente")</f>
        <v>#N/A</v>
      </c>
      <c r="Z1005" s="39" t="e">
        <f>VLOOKUP(I1005,P.Referencia!E:S,3,0)</f>
        <v>#N/A</v>
      </c>
      <c r="AA1005" s="40" t="e">
        <f t="shared" si="235"/>
        <v>#N/A</v>
      </c>
      <c r="AB1005" s="41" t="e">
        <f t="shared" si="236"/>
        <v>#N/A</v>
      </c>
      <c r="AC1005" s="41" t="e">
        <f t="shared" si="237"/>
        <v>#N/A</v>
      </c>
    </row>
    <row r="1006" spans="1:30" hidden="1" x14ac:dyDescent="0.25">
      <c r="A1006" s="24">
        <v>1005</v>
      </c>
      <c r="B1006" s="89" t="s">
        <v>571</v>
      </c>
      <c r="C1006" s="4" t="str">
        <f t="shared" si="238"/>
        <v>LlaveD86467124204100010742</v>
      </c>
      <c r="D1006" s="25" t="str">
        <f>VLOOKUP(E1006,'NO MODIFICAR'!J:K,2,0)</f>
        <v>D864</v>
      </c>
      <c r="E1006" s="102" t="s">
        <v>55</v>
      </c>
      <c r="F1006" s="33" t="str">
        <f>VLOOKUP(D1006,'NO MODIFICAR'!F:H,3,0)</f>
        <v xml:space="preserve">CENTRO </v>
      </c>
      <c r="G1006" s="28">
        <v>67124204</v>
      </c>
      <c r="H1006" s="93" t="s">
        <v>174</v>
      </c>
      <c r="I1006" s="94">
        <v>10001074</v>
      </c>
      <c r="J1006" s="4" t="str">
        <f>VLOOKUP(I1006,'Materiales,canteras'!C:D,2,0)</f>
        <v>Grava Triturada Caliza 40 mm -</v>
      </c>
      <c r="K1006" s="25">
        <f>VLOOKUP(I1006,'Materiales,canteras'!C:E,3,0)</f>
        <v>1.4</v>
      </c>
      <c r="L1006" s="105">
        <v>137</v>
      </c>
      <c r="M1006" s="28" t="s">
        <v>93</v>
      </c>
      <c r="N1006" s="57">
        <f t="shared" ca="1" si="220"/>
        <v>46267</v>
      </c>
      <c r="O1006" s="43" t="s">
        <v>201</v>
      </c>
      <c r="R1006">
        <v>3.47</v>
      </c>
      <c r="S1006" s="82">
        <v>231</v>
      </c>
      <c r="T1006" s="66">
        <f t="shared" si="217"/>
        <v>-90.53</v>
      </c>
      <c r="U1006" s="46">
        <f t="shared" si="218"/>
        <v>137</v>
      </c>
      <c r="V1006" s="82">
        <v>0</v>
      </c>
      <c r="W1006" s="4">
        <v>2</v>
      </c>
      <c r="X1006" s="195">
        <f t="shared" si="230"/>
        <v>137</v>
      </c>
      <c r="Y1006" s="29" t="e">
        <f>IF(+VLOOKUP(I1006,P.Referencia!E:S,3,FALSE)&lt;=L1006,"Champion","Gerente")</f>
        <v>#N/A</v>
      </c>
      <c r="Z1006" s="39" t="e">
        <f>VLOOKUP(I1006,P.Referencia!E:S,3,0)</f>
        <v>#N/A</v>
      </c>
      <c r="AA1006" s="40" t="e">
        <f t="shared" si="235"/>
        <v>#N/A</v>
      </c>
      <c r="AB1006" s="41" t="e">
        <f t="shared" si="236"/>
        <v>#N/A</v>
      </c>
      <c r="AC1006" s="41" t="e">
        <f t="shared" si="237"/>
        <v>#N/A</v>
      </c>
    </row>
    <row r="1007" spans="1:30" x14ac:dyDescent="0.25">
      <c r="A1007" s="24">
        <v>1006</v>
      </c>
      <c r="B1007" s="89" t="s">
        <v>571</v>
      </c>
      <c r="C1007" s="4" t="str">
        <f t="shared" si="238"/>
        <v>LlaveD86667221290100516232</v>
      </c>
      <c r="D1007" s="25" t="str">
        <f>VLOOKUP(E1007,'NO MODIFICAR'!J:K,2,0)</f>
        <v>D866</v>
      </c>
      <c r="E1007" s="102" t="s">
        <v>62</v>
      </c>
      <c r="F1007" s="33" t="str">
        <f>VLOOKUP(D1007,'NO MODIFICAR'!F:H,3,0)</f>
        <v>NORESTE</v>
      </c>
      <c r="G1007" s="28">
        <v>67221290</v>
      </c>
      <c r="H1007" s="93" t="s">
        <v>612</v>
      </c>
      <c r="I1007" s="94">
        <v>10051623</v>
      </c>
      <c r="J1007" s="4" t="e">
        <f>VLOOKUP(I1007,'Materiales,canteras'!C:D,2,0)</f>
        <v>#N/A</v>
      </c>
      <c r="K1007" s="25" t="e">
        <f>VLOOKUP(I1007,'Materiales,canteras'!C:E,3,0)</f>
        <v>#N/A</v>
      </c>
      <c r="L1007" s="105">
        <v>145</v>
      </c>
      <c r="M1007" s="28" t="s">
        <v>93</v>
      </c>
      <c r="N1007" s="57">
        <f t="shared" ca="1" si="220"/>
        <v>46267</v>
      </c>
      <c r="O1007" s="43" t="s">
        <v>201</v>
      </c>
      <c r="S1007" s="82">
        <v>143</v>
      </c>
      <c r="T1007" s="66">
        <f t="shared" si="217"/>
        <v>2</v>
      </c>
      <c r="U1007" s="46">
        <f t="shared" si="218"/>
        <v>145</v>
      </c>
      <c r="V1007" s="82">
        <v>0</v>
      </c>
      <c r="W1007" s="4">
        <v>2</v>
      </c>
      <c r="X1007" s="195">
        <f t="shared" si="230"/>
        <v>145</v>
      </c>
      <c r="Y1007" s="29" t="e">
        <f>IF(+VLOOKUP(I1007,P.Referencia!E:S,3,FALSE)&lt;=L1007,"Champion","Gerente")</f>
        <v>#N/A</v>
      </c>
      <c r="Z1007" s="39" t="e">
        <f>VLOOKUP(I1007,P.Referencia!E:S,3,0)</f>
        <v>#N/A</v>
      </c>
      <c r="AA1007" s="40" t="e">
        <f t="shared" si="235"/>
        <v>#N/A</v>
      </c>
      <c r="AB1007" s="41" t="e">
        <f t="shared" si="236"/>
        <v>#N/A</v>
      </c>
      <c r="AC1007" s="41" t="e">
        <f t="shared" si="237"/>
        <v>#N/A</v>
      </c>
      <c r="AD1007" t="s">
        <v>613</v>
      </c>
    </row>
    <row r="1008" spans="1:30" hidden="1" x14ac:dyDescent="0.25">
      <c r="A1008" s="24">
        <v>1007</v>
      </c>
      <c r="B1008" s="89" t="s">
        <v>571</v>
      </c>
      <c r="C1008" s="4" t="str">
        <f t="shared" si="238"/>
        <v>LlaveD81667357762100001241</v>
      </c>
      <c r="D1008" s="25" t="str">
        <f>VLOOKUP(E1008,'NO MODIFICAR'!J:K,2,0)</f>
        <v>D816</v>
      </c>
      <c r="E1008" s="102" t="s">
        <v>15</v>
      </c>
      <c r="F1008" s="33" t="str">
        <f>VLOOKUP(D1008,'NO MODIFICAR'!F:H,3,0)</f>
        <v>NORESTE</v>
      </c>
      <c r="G1008" s="28">
        <v>67357762</v>
      </c>
      <c r="H1008" s="93" t="s">
        <v>409</v>
      </c>
      <c r="I1008" s="94">
        <v>10000124</v>
      </c>
      <c r="J1008" s="4" t="str">
        <f>VLOOKUP(I1008,'Materiales,canteras'!C:D,2,0)</f>
        <v>Arena Triturada Caliza Malla 4</v>
      </c>
      <c r="K1008" s="25">
        <f>VLOOKUP(I1008,'Materiales,canteras'!C:E,3,0)</f>
        <v>1.7390000000000001</v>
      </c>
      <c r="L1008" s="105">
        <v>300.48</v>
      </c>
      <c r="M1008" s="28" t="s">
        <v>93</v>
      </c>
      <c r="N1008" s="57">
        <f t="shared" ca="1" si="220"/>
        <v>46267</v>
      </c>
      <c r="O1008" s="43" t="s">
        <v>201</v>
      </c>
      <c r="R1008">
        <v>19.8</v>
      </c>
      <c r="S1008" s="82">
        <v>495</v>
      </c>
      <c r="T1008" s="66">
        <f t="shared" si="217"/>
        <v>-174.71999999999997</v>
      </c>
      <c r="U1008" s="46">
        <f t="shared" si="218"/>
        <v>300.48</v>
      </c>
      <c r="V1008" s="82">
        <v>89.52</v>
      </c>
      <c r="W1008" s="4">
        <v>1</v>
      </c>
      <c r="X1008" s="195">
        <f t="shared" si="230"/>
        <v>390</v>
      </c>
      <c r="Y1008" s="29" t="e">
        <f>IF(+VLOOKUP(I1008,P.Referencia!E:S,3,FALSE)&lt;=L1008,"Champion","Gerente")</f>
        <v>#N/A</v>
      </c>
      <c r="Z1008" s="39" t="e">
        <f>VLOOKUP(I1008,P.Referencia!E:S,3,0)</f>
        <v>#N/A</v>
      </c>
      <c r="AA1008" s="40" t="e">
        <f t="shared" si="235"/>
        <v>#N/A</v>
      </c>
      <c r="AB1008" s="41" t="e">
        <f t="shared" si="236"/>
        <v>#N/A</v>
      </c>
      <c r="AC1008" s="41" t="e">
        <f t="shared" si="237"/>
        <v>#N/A</v>
      </c>
    </row>
    <row r="1009" spans="1:29" hidden="1" x14ac:dyDescent="0.25">
      <c r="A1009" s="24">
        <v>1008</v>
      </c>
      <c r="B1009" s="89" t="s">
        <v>571</v>
      </c>
      <c r="C1009" s="4" t="str">
        <f t="shared" si="238"/>
        <v>LlaveD81667344496101488242</v>
      </c>
      <c r="D1009" s="25" t="str">
        <f>VLOOKUP(E1009,'NO MODIFICAR'!J:K,2,0)</f>
        <v>D816</v>
      </c>
      <c r="E1009" s="102" t="s">
        <v>15</v>
      </c>
      <c r="F1009" s="33" t="str">
        <f>VLOOKUP(D1009,'NO MODIFICAR'!F:H,3,0)</f>
        <v>NORESTE</v>
      </c>
      <c r="G1009" s="28">
        <v>67344496</v>
      </c>
      <c r="H1009" s="93" t="s">
        <v>509</v>
      </c>
      <c r="I1009" s="94">
        <v>10148824</v>
      </c>
      <c r="J1009" s="4" t="str">
        <f>VLOOKUP(I1009,'Materiales,canteras'!C:D,2,0)</f>
        <v>BALASTO PIEDRA CALIZA 4"-6"</v>
      </c>
      <c r="K1009" s="25">
        <f>VLOOKUP(I1009,'Materiales,canteras'!C:E,3,0)</f>
        <v>1.5</v>
      </c>
      <c r="L1009" s="105">
        <v>305</v>
      </c>
      <c r="M1009" s="28" t="s">
        <v>93</v>
      </c>
      <c r="N1009" s="57">
        <f t="shared" ca="1" si="220"/>
        <v>46267</v>
      </c>
      <c r="O1009" s="43" t="s">
        <v>201</v>
      </c>
      <c r="R1009">
        <v>4.83</v>
      </c>
      <c r="S1009" s="82">
        <v>322</v>
      </c>
      <c r="T1009" s="66">
        <f t="shared" si="217"/>
        <v>-12.170000000000016</v>
      </c>
      <c r="U1009" s="46">
        <f t="shared" si="218"/>
        <v>305</v>
      </c>
      <c r="V1009" s="82">
        <v>0</v>
      </c>
      <c r="W1009" s="4">
        <v>2</v>
      </c>
      <c r="X1009" s="195">
        <f t="shared" si="230"/>
        <v>305</v>
      </c>
      <c r="Y1009" s="29" t="e">
        <f>IF(+VLOOKUP(I1009,P.Referencia!E:S,3,FALSE)&lt;=L1009,"Champion","Gerente")</f>
        <v>#N/A</v>
      </c>
      <c r="Z1009" s="39" t="e">
        <f>VLOOKUP(I1009,P.Referencia!E:S,3,0)</f>
        <v>#N/A</v>
      </c>
      <c r="AA1009" s="40" t="e">
        <f t="shared" si="235"/>
        <v>#N/A</v>
      </c>
      <c r="AB1009" s="41" t="e">
        <f t="shared" si="236"/>
        <v>#N/A</v>
      </c>
      <c r="AC1009" s="41" t="e">
        <f t="shared" si="237"/>
        <v>#N/A</v>
      </c>
    </row>
    <row r="1010" spans="1:29" hidden="1" x14ac:dyDescent="0.25">
      <c r="A1010" s="24">
        <v>1009</v>
      </c>
      <c r="B1010" s="89" t="s">
        <v>571</v>
      </c>
      <c r="C1010" s="4" t="str">
        <f t="shared" si="238"/>
        <v>LlaveD81667344496101488252</v>
      </c>
      <c r="D1010" s="25" t="str">
        <f>VLOOKUP(E1010,'NO MODIFICAR'!J:K,2,0)</f>
        <v>D816</v>
      </c>
      <c r="E1010" s="102" t="s">
        <v>15</v>
      </c>
      <c r="F1010" s="33" t="str">
        <f>VLOOKUP(D1010,'NO MODIFICAR'!F:H,3,0)</f>
        <v>NORESTE</v>
      </c>
      <c r="G1010" s="28">
        <v>67344496</v>
      </c>
      <c r="H1010" s="93" t="s">
        <v>509</v>
      </c>
      <c r="I1010" s="94">
        <v>10148825</v>
      </c>
      <c r="J1010" s="4" t="str">
        <f>VLOOKUP(I1010,'Materiales,canteras'!C:D,2,0)</f>
        <v>BALASTO PIEDRA CALIZA 2"-4"</v>
      </c>
      <c r="K1010" s="25">
        <f>VLOOKUP(I1010,'Materiales,canteras'!C:E,3,0)</f>
        <v>1.5</v>
      </c>
      <c r="L1010" s="105">
        <v>300</v>
      </c>
      <c r="M1010" s="28" t="s">
        <v>93</v>
      </c>
      <c r="N1010" s="57">
        <f t="shared" ca="1" si="220"/>
        <v>46267</v>
      </c>
      <c r="O1010" s="43" t="s">
        <v>201</v>
      </c>
      <c r="R1010">
        <v>5.52</v>
      </c>
      <c r="S1010" s="82">
        <v>368</v>
      </c>
      <c r="T1010" s="66">
        <f t="shared" si="217"/>
        <v>-62.480000000000018</v>
      </c>
      <c r="U1010" s="46">
        <f t="shared" si="218"/>
        <v>300</v>
      </c>
      <c r="V1010" s="82">
        <v>0</v>
      </c>
      <c r="W1010" s="4">
        <v>2</v>
      </c>
      <c r="X1010" s="195">
        <f t="shared" si="230"/>
        <v>300</v>
      </c>
      <c r="Y1010" s="29" t="e">
        <f>IF(+VLOOKUP(I1010,P.Referencia!E:S,3,FALSE)&lt;=L1010,"Champion","Gerente")</f>
        <v>#N/A</v>
      </c>
      <c r="Z1010" s="39" t="e">
        <f>VLOOKUP(I1010,P.Referencia!E:S,3,0)</f>
        <v>#N/A</v>
      </c>
      <c r="AA1010" s="40" t="e">
        <f t="shared" si="235"/>
        <v>#N/A</v>
      </c>
      <c r="AB1010" s="41" t="e">
        <f t="shared" si="236"/>
        <v>#N/A</v>
      </c>
      <c r="AC1010" s="41" t="e">
        <f t="shared" si="237"/>
        <v>#N/A</v>
      </c>
    </row>
    <row r="1011" spans="1:29" hidden="1" x14ac:dyDescent="0.25">
      <c r="A1011" s="24">
        <v>1010</v>
      </c>
      <c r="B1011" s="89" t="s">
        <v>571</v>
      </c>
      <c r="C1011" s="4" t="str">
        <f t="shared" si="238"/>
        <v>LlaveD81667357762100002601</v>
      </c>
      <c r="D1011" s="25" t="str">
        <f>VLOOKUP(E1011,'NO MODIFICAR'!J:K,2,0)</f>
        <v>D816</v>
      </c>
      <c r="E1011" s="102" t="s">
        <v>15</v>
      </c>
      <c r="F1011" s="33" t="str">
        <f>VLOOKUP(D1011,'NO MODIFICAR'!F:H,3,0)</f>
        <v>NORESTE</v>
      </c>
      <c r="G1011" s="28">
        <v>67357762</v>
      </c>
      <c r="H1011" s="93" t="s">
        <v>409</v>
      </c>
      <c r="I1011" s="94">
        <v>10000260</v>
      </c>
      <c r="J1011" s="4" t="str">
        <f>VLOOKUP(I1011,'Materiales,canteras'!C:D,2,0)</f>
        <v>Arena Triturada Caliza Malla 5</v>
      </c>
      <c r="K1011" s="25">
        <f>VLOOKUP(I1011,'Materiales,canteras'!C:E,3,0)</f>
        <v>1.72</v>
      </c>
      <c r="L1011" s="105">
        <v>406.68</v>
      </c>
      <c r="M1011" s="28" t="s">
        <v>93</v>
      </c>
      <c r="N1011" s="57">
        <f t="shared" ca="1" si="220"/>
        <v>46267</v>
      </c>
      <c r="O1011" s="43" t="s">
        <v>201</v>
      </c>
      <c r="R1011">
        <v>19.8</v>
      </c>
      <c r="S1011" s="82">
        <v>495</v>
      </c>
      <c r="T1011" s="66">
        <f t="shared" si="217"/>
        <v>-68.519999999999982</v>
      </c>
      <c r="U1011" s="46">
        <f t="shared" si="218"/>
        <v>406.68</v>
      </c>
      <c r="V1011" s="82">
        <v>89.52</v>
      </c>
      <c r="W1011" s="4">
        <v>1</v>
      </c>
      <c r="X1011" s="195">
        <f t="shared" si="230"/>
        <v>496.2</v>
      </c>
      <c r="Y1011" s="29" t="e">
        <f>IF(+VLOOKUP(I1011,P.Referencia!E:S,3,FALSE)&lt;=L1011,"Champion","Gerente")</f>
        <v>#N/A</v>
      </c>
      <c r="Z1011" s="39" t="e">
        <f>VLOOKUP(I1011,P.Referencia!E:S,3,0)</f>
        <v>#N/A</v>
      </c>
      <c r="AA1011" s="40" t="e">
        <f t="shared" si="235"/>
        <v>#N/A</v>
      </c>
      <c r="AB1011" s="41" t="e">
        <f t="shared" si="236"/>
        <v>#N/A</v>
      </c>
      <c r="AC1011" s="41" t="e">
        <f t="shared" si="237"/>
        <v>#N/A</v>
      </c>
    </row>
    <row r="1012" spans="1:29" hidden="1" x14ac:dyDescent="0.25">
      <c r="A1012" s="24">
        <v>1011</v>
      </c>
      <c r="B1012" s="89" t="s">
        <v>571</v>
      </c>
      <c r="C1012" s="4" t="str">
        <f t="shared" si="238"/>
        <v>LlaveDU0767281847100001061</v>
      </c>
      <c r="D1012" s="25" t="str">
        <f>VLOOKUP(E1012,'NO MODIFICAR'!J:K,2,0)</f>
        <v>DU07</v>
      </c>
      <c r="E1012" s="102" t="s">
        <v>87</v>
      </c>
      <c r="F1012" s="33" t="str">
        <f>VLOOKUP(D1012,'NO MODIFICAR'!F:H,3,0)</f>
        <v>SURESTE</v>
      </c>
      <c r="G1012" s="28">
        <v>67281847</v>
      </c>
      <c r="H1012" s="93" t="s">
        <v>614</v>
      </c>
      <c r="I1012" s="94">
        <v>10000106</v>
      </c>
      <c r="J1012" s="4" t="str">
        <f>VLOOKUP(I1012,'Materiales,canteras'!C:D,2,0)</f>
        <v>Crudo Caliza</v>
      </c>
      <c r="K1012" s="25">
        <f>VLOOKUP(I1012,'Materiales,canteras'!C:E,3,0)</f>
        <v>1.3</v>
      </c>
      <c r="L1012" s="105">
        <f>92/K1012</f>
        <v>70.769230769230774</v>
      </c>
      <c r="M1012" s="28" t="s">
        <v>93</v>
      </c>
      <c r="N1012" s="57">
        <f t="shared" ca="1" si="220"/>
        <v>46267</v>
      </c>
      <c r="O1012" s="43" t="s">
        <v>201</v>
      </c>
      <c r="S1012" s="82">
        <v>95</v>
      </c>
      <c r="T1012" s="66">
        <f t="shared" si="217"/>
        <v>-24.230769230769226</v>
      </c>
      <c r="U1012" s="46">
        <f t="shared" si="218"/>
        <v>70.769230769230774</v>
      </c>
      <c r="V1012" s="284">
        <v>175.38461538461539</v>
      </c>
      <c r="W1012" s="4">
        <v>1</v>
      </c>
      <c r="X1012" s="195">
        <f t="shared" si="230"/>
        <v>246.15384615384616</v>
      </c>
      <c r="Y1012" s="29" t="e">
        <f>IF(+VLOOKUP(I1012,P.Referencia!E:S,3,FALSE)&lt;=L1012,"Champion","Gerente")</f>
        <v>#N/A</v>
      </c>
      <c r="Z1012" s="39" t="e">
        <f>VLOOKUP(I1012,P.Referencia!E:S,3,0)</f>
        <v>#N/A</v>
      </c>
      <c r="AA1012" s="40" t="e">
        <f t="shared" si="235"/>
        <v>#N/A</v>
      </c>
      <c r="AB1012" s="41" t="e">
        <f t="shared" si="236"/>
        <v>#N/A</v>
      </c>
      <c r="AC1012" s="41" t="e">
        <f t="shared" si="237"/>
        <v>#N/A</v>
      </c>
    </row>
    <row r="1013" spans="1:29" hidden="1" x14ac:dyDescent="0.25">
      <c r="A1013" s="24">
        <v>1012</v>
      </c>
      <c r="B1013" s="89" t="s">
        <v>571</v>
      </c>
      <c r="C1013" s="4" t="str">
        <f t="shared" si="238"/>
        <v>LlaveDU0767281847100001031</v>
      </c>
      <c r="D1013" s="25" t="str">
        <f>VLOOKUP(E1013,'NO MODIFICAR'!J:K,2,0)</f>
        <v>DU07</v>
      </c>
      <c r="E1013" s="102" t="s">
        <v>87</v>
      </c>
      <c r="F1013" s="33" t="str">
        <f>VLOOKUP(D1013,'NO MODIFICAR'!F:H,3,0)</f>
        <v>SURESTE</v>
      </c>
      <c r="G1013" s="28">
        <v>67281847</v>
      </c>
      <c r="H1013" s="93" t="s">
        <v>614</v>
      </c>
      <c r="I1013" s="94">
        <v>10000103</v>
      </c>
      <c r="J1013" s="4" t="str">
        <f>VLOOKUP(I1013,'Materiales,canteras'!C:D,2,0)</f>
        <v>Base H Triturada Caliza 1 1/2" a Finos</v>
      </c>
      <c r="K1013" s="25">
        <f>VLOOKUP(I1013,'Materiales,canteras'!C:E,3,0)</f>
        <v>1.462</v>
      </c>
      <c r="L1013" s="105">
        <f>92/K1013</f>
        <v>62.927496580027359</v>
      </c>
      <c r="M1013" s="28" t="s">
        <v>93</v>
      </c>
      <c r="N1013" s="57">
        <f t="shared" ca="1" si="220"/>
        <v>46267</v>
      </c>
      <c r="O1013" s="43" t="s">
        <v>201</v>
      </c>
      <c r="S1013" s="82">
        <v>158</v>
      </c>
      <c r="T1013" s="66">
        <f t="shared" si="217"/>
        <v>-95.072503419972634</v>
      </c>
      <c r="U1013" s="46">
        <f t="shared" si="218"/>
        <v>62.927496580027359</v>
      </c>
      <c r="V1013" s="284">
        <v>155.95075239398085</v>
      </c>
      <c r="W1013" s="4">
        <v>1</v>
      </c>
      <c r="X1013" s="195">
        <f t="shared" si="230"/>
        <v>218.87824897400822</v>
      </c>
      <c r="Y1013" s="29" t="e">
        <f>IF(+VLOOKUP(I1013,P.Referencia!E:S,3,FALSE)&lt;=L1013,"Champion","Gerente")</f>
        <v>#N/A</v>
      </c>
      <c r="Z1013" s="39" t="e">
        <f>VLOOKUP(I1013,P.Referencia!E:S,3,0)</f>
        <v>#N/A</v>
      </c>
      <c r="AA1013" s="40" t="e">
        <f t="shared" si="235"/>
        <v>#N/A</v>
      </c>
      <c r="AB1013" s="41" t="e">
        <f t="shared" si="236"/>
        <v>#N/A</v>
      </c>
      <c r="AC1013" s="41" t="e">
        <f t="shared" si="237"/>
        <v>#N/A</v>
      </c>
    </row>
    <row r="1014" spans="1:29" hidden="1" x14ac:dyDescent="0.25">
      <c r="A1014" s="24">
        <v>1013</v>
      </c>
      <c r="B1014" s="89" t="s">
        <v>571</v>
      </c>
      <c r="C1014" s="4" t="str">
        <f t="shared" si="238"/>
        <v>LlaveD86167328141100003112</v>
      </c>
      <c r="D1014" s="25" t="str">
        <f>VLOOKUP(E1014,'NO MODIFICAR'!J:K,2,0)</f>
        <v>D861</v>
      </c>
      <c r="E1014" s="102" t="s">
        <v>44</v>
      </c>
      <c r="F1014" s="33" t="str">
        <f>VLOOKUP(D1014,'NO MODIFICAR'!F:H,3,0)</f>
        <v xml:space="preserve">CENTRO </v>
      </c>
      <c r="G1014" s="28">
        <v>67328141</v>
      </c>
      <c r="H1014" s="93" t="s">
        <v>616</v>
      </c>
      <c r="I1014" s="94">
        <v>10000311</v>
      </c>
      <c r="J1014" s="4" t="str">
        <f>VLOOKUP(I1014,'Materiales,canteras'!C:D,2,0)</f>
        <v>Arena Triturada Basalto  Malla</v>
      </c>
      <c r="K1014" s="25">
        <f>VLOOKUP(I1014,'Materiales,canteras'!C:E,3,0)</f>
        <v>1.651</v>
      </c>
      <c r="L1014" s="105">
        <v>198</v>
      </c>
      <c r="M1014" s="28" t="s">
        <v>93</v>
      </c>
      <c r="N1014" s="57">
        <f t="shared" ca="1" si="220"/>
        <v>46267</v>
      </c>
      <c r="O1014" s="43" t="s">
        <v>201</v>
      </c>
      <c r="S1014" s="82">
        <v>286</v>
      </c>
      <c r="T1014" s="66">
        <f t="shared" si="217"/>
        <v>-88</v>
      </c>
      <c r="U1014" s="46">
        <f t="shared" si="218"/>
        <v>198</v>
      </c>
      <c r="V1014" s="284">
        <v>0</v>
      </c>
      <c r="W1014" s="4">
        <v>2</v>
      </c>
      <c r="X1014" s="195">
        <f t="shared" ref="X1014:X1028" si="239">U1014+V1014</f>
        <v>198</v>
      </c>
      <c r="Y1014" s="29" t="e">
        <f>IF(+VLOOKUP(I1014,P.Referencia!E:S,3,FALSE)&lt;=L1014,"Champion","Gerente")</f>
        <v>#N/A</v>
      </c>
      <c r="Z1014" s="39" t="e">
        <f>VLOOKUP(I1014,P.Referencia!E:S,3,0)</f>
        <v>#N/A</v>
      </c>
      <c r="AA1014" s="40" t="e">
        <f t="shared" ref="AA1014:AA1028" si="240">(Z1014-U1014)/U1014</f>
        <v>#N/A</v>
      </c>
      <c r="AB1014" s="41" t="e">
        <f t="shared" ref="AB1014:AB1028" si="241">U1014*AA1014</f>
        <v>#N/A</v>
      </c>
      <c r="AC1014" s="41" t="e">
        <f t="shared" ref="AC1014:AC1028" si="242">U1014+AB1014</f>
        <v>#N/A</v>
      </c>
    </row>
    <row r="1015" spans="1:29" hidden="1" x14ac:dyDescent="0.25">
      <c r="A1015" s="24">
        <v>1014</v>
      </c>
      <c r="B1015" s="89" t="s">
        <v>571</v>
      </c>
      <c r="C1015" s="4" t="str">
        <f t="shared" ref="C1015:C1031" si="243">_xlfn.CONCAT($C$1,D1015,G1015,I1015,W1015)</f>
        <v>LlaveD86167328141100002292</v>
      </c>
      <c r="D1015" s="25" t="str">
        <f>VLOOKUP(E1015,'NO MODIFICAR'!J:K,2,0)</f>
        <v>D861</v>
      </c>
      <c r="E1015" s="102" t="s">
        <v>44</v>
      </c>
      <c r="F1015" s="33" t="str">
        <f>VLOOKUP(D1015,'NO MODIFICAR'!F:H,3,0)</f>
        <v xml:space="preserve">CENTRO </v>
      </c>
      <c r="G1015" s="28">
        <v>67328141</v>
      </c>
      <c r="H1015" s="93" t="s">
        <v>616</v>
      </c>
      <c r="I1015" s="94">
        <v>10000229</v>
      </c>
      <c r="J1015" s="4" t="str">
        <f>VLOOKUP(I1015,'Materiales,canteras'!C:D,2,0)</f>
        <v>Grava Triturada Basalto  10 mm</v>
      </c>
      <c r="K1015" s="25">
        <f>VLOOKUP(I1015,'Materiales,canteras'!C:E,3,0)</f>
        <v>1.522</v>
      </c>
      <c r="L1015" s="105">
        <v>205</v>
      </c>
      <c r="M1015" s="28" t="s">
        <v>93</v>
      </c>
      <c r="N1015" s="57">
        <f t="shared" ca="1" si="220"/>
        <v>46267</v>
      </c>
      <c r="O1015" s="43" t="s">
        <v>201</v>
      </c>
      <c r="S1015" s="82">
        <v>352</v>
      </c>
      <c r="T1015" s="66">
        <f t="shared" si="217"/>
        <v>-147</v>
      </c>
      <c r="U1015" s="46">
        <f t="shared" si="218"/>
        <v>205</v>
      </c>
      <c r="V1015" s="284">
        <v>0</v>
      </c>
      <c r="W1015" s="4">
        <v>2</v>
      </c>
      <c r="X1015" s="195">
        <f t="shared" si="239"/>
        <v>205</v>
      </c>
      <c r="Y1015" s="29" t="e">
        <f>IF(+VLOOKUP(I1015,P.Referencia!E:S,3,FALSE)&lt;=L1015,"Champion","Gerente")</f>
        <v>#N/A</v>
      </c>
      <c r="Z1015" s="39" t="e">
        <f>VLOOKUP(I1015,P.Referencia!E:S,3,0)</f>
        <v>#N/A</v>
      </c>
      <c r="AA1015" s="40" t="e">
        <f t="shared" si="240"/>
        <v>#N/A</v>
      </c>
      <c r="AB1015" s="41" t="e">
        <f t="shared" si="241"/>
        <v>#N/A</v>
      </c>
      <c r="AC1015" s="41" t="e">
        <f t="shared" si="242"/>
        <v>#N/A</v>
      </c>
    </row>
    <row r="1016" spans="1:29" hidden="1" x14ac:dyDescent="0.25">
      <c r="A1016" s="24">
        <v>1015</v>
      </c>
      <c r="B1016" s="89" t="s">
        <v>571</v>
      </c>
      <c r="C1016" s="4" t="str">
        <f t="shared" si="243"/>
        <v>LlaveD86167328141100031532</v>
      </c>
      <c r="D1016" s="25" t="str">
        <f>VLOOKUP(E1016,'NO MODIFICAR'!J:K,2,0)</f>
        <v>D861</v>
      </c>
      <c r="E1016" s="102" t="s">
        <v>44</v>
      </c>
      <c r="F1016" s="33" t="str">
        <f>VLOOKUP(D1016,'NO MODIFICAR'!F:H,3,0)</f>
        <v xml:space="preserve">CENTRO </v>
      </c>
      <c r="G1016" s="28">
        <v>67328141</v>
      </c>
      <c r="H1016" s="93" t="s">
        <v>616</v>
      </c>
      <c r="I1016" s="94">
        <v>10003153</v>
      </c>
      <c r="J1016" s="4" t="str">
        <f>VLOOKUP(I1016,'Materiales,canteras'!C:D,2,0)</f>
        <v>Grava Triturada Basalto 13 mm</v>
      </c>
      <c r="K1016" s="25">
        <f>VLOOKUP(I1016,'Materiales,canteras'!C:E,3,0)</f>
        <v>1.546</v>
      </c>
      <c r="L1016" s="105">
        <v>205</v>
      </c>
      <c r="M1016" s="28" t="s">
        <v>93</v>
      </c>
      <c r="N1016" s="57">
        <f t="shared" ca="1" si="220"/>
        <v>46267</v>
      </c>
      <c r="O1016" s="43" t="s">
        <v>201</v>
      </c>
      <c r="S1016" s="82">
        <v>297</v>
      </c>
      <c r="T1016" s="66">
        <f t="shared" si="217"/>
        <v>-92</v>
      </c>
      <c r="U1016" s="46">
        <f t="shared" si="218"/>
        <v>205</v>
      </c>
      <c r="V1016" s="284">
        <v>0</v>
      </c>
      <c r="W1016" s="4">
        <v>2</v>
      </c>
      <c r="X1016" s="195">
        <f t="shared" si="239"/>
        <v>205</v>
      </c>
      <c r="Y1016" s="29" t="e">
        <f>IF(+VLOOKUP(I1016,P.Referencia!E:S,3,FALSE)&lt;=L1016,"Champion","Gerente")</f>
        <v>#N/A</v>
      </c>
      <c r="Z1016" s="39" t="e">
        <f>VLOOKUP(I1016,P.Referencia!E:S,3,0)</f>
        <v>#N/A</v>
      </c>
      <c r="AA1016" s="40" t="e">
        <f t="shared" si="240"/>
        <v>#N/A</v>
      </c>
      <c r="AB1016" s="41" t="e">
        <f t="shared" si="241"/>
        <v>#N/A</v>
      </c>
      <c r="AC1016" s="41" t="e">
        <f t="shared" si="242"/>
        <v>#N/A</v>
      </c>
    </row>
    <row r="1017" spans="1:29" hidden="1" x14ac:dyDescent="0.25">
      <c r="A1017" s="24">
        <v>1016</v>
      </c>
      <c r="B1017" s="89" t="s">
        <v>571</v>
      </c>
      <c r="C1017" s="4" t="str">
        <f t="shared" si="243"/>
        <v>LlaveD86167328141100002312</v>
      </c>
      <c r="D1017" s="25" t="str">
        <f>VLOOKUP(E1017,'NO MODIFICAR'!J:K,2,0)</f>
        <v>D861</v>
      </c>
      <c r="E1017" s="102" t="s">
        <v>44</v>
      </c>
      <c r="F1017" s="33" t="str">
        <f>VLOOKUP(D1017,'NO MODIFICAR'!F:H,3,0)</f>
        <v xml:space="preserve">CENTRO </v>
      </c>
      <c r="G1017" s="28">
        <v>67328141</v>
      </c>
      <c r="H1017" s="93" t="s">
        <v>616</v>
      </c>
      <c r="I1017" s="94">
        <v>10000231</v>
      </c>
      <c r="J1017" s="4" t="str">
        <f>VLOOKUP(I1017,'Materiales,canteras'!C:D,2,0)</f>
        <v>Grava Triturada Basalto 20 mm</v>
      </c>
      <c r="K1017" s="25">
        <f>VLOOKUP(I1017,'Materiales,canteras'!C:E,3,0)</f>
        <v>1.5649999999999999</v>
      </c>
      <c r="L1017" s="105">
        <v>198</v>
      </c>
      <c r="M1017" s="28" t="s">
        <v>93</v>
      </c>
      <c r="N1017" s="57">
        <f t="shared" ca="1" si="220"/>
        <v>46267</v>
      </c>
      <c r="O1017" s="43" t="s">
        <v>201</v>
      </c>
      <c r="S1017" s="82">
        <v>308</v>
      </c>
      <c r="T1017" s="66">
        <f t="shared" si="217"/>
        <v>-110</v>
      </c>
      <c r="U1017" s="46">
        <f t="shared" si="218"/>
        <v>198</v>
      </c>
      <c r="V1017" s="284">
        <v>0</v>
      </c>
      <c r="W1017" s="4">
        <v>2</v>
      </c>
      <c r="X1017" s="195">
        <f t="shared" si="239"/>
        <v>198</v>
      </c>
      <c r="Y1017" s="29" t="e">
        <f>IF(+VLOOKUP(I1017,P.Referencia!E:S,3,FALSE)&lt;=L1017,"Champion","Gerente")</f>
        <v>#N/A</v>
      </c>
      <c r="Z1017" s="39" t="e">
        <f>VLOOKUP(I1017,P.Referencia!E:S,3,0)</f>
        <v>#N/A</v>
      </c>
      <c r="AA1017" s="40" t="e">
        <f t="shared" si="240"/>
        <v>#N/A</v>
      </c>
      <c r="AB1017" s="41" t="e">
        <f t="shared" si="241"/>
        <v>#N/A</v>
      </c>
      <c r="AC1017" s="41" t="e">
        <f t="shared" si="242"/>
        <v>#N/A</v>
      </c>
    </row>
    <row r="1018" spans="1:29" hidden="1" x14ac:dyDescent="0.25">
      <c r="A1018" s="24">
        <v>1017</v>
      </c>
      <c r="B1018" s="89" t="s">
        <v>571</v>
      </c>
      <c r="C1018" s="4" t="str">
        <f t="shared" si="243"/>
        <v>LlaveD86167328141100014502</v>
      </c>
      <c r="D1018" s="25" t="str">
        <f>VLOOKUP(E1018,'NO MODIFICAR'!J:K,2,0)</f>
        <v>D861</v>
      </c>
      <c r="E1018" s="102" t="s">
        <v>44</v>
      </c>
      <c r="F1018" s="33" t="str">
        <f>VLOOKUP(D1018,'NO MODIFICAR'!F:H,3,0)</f>
        <v xml:space="preserve">CENTRO </v>
      </c>
      <c r="G1018" s="28">
        <v>67328141</v>
      </c>
      <c r="H1018" s="93" t="s">
        <v>616</v>
      </c>
      <c r="I1018" s="94">
        <v>10001450</v>
      </c>
      <c r="J1018" s="4" t="str">
        <f>VLOOKUP(I1018,'Materiales,canteras'!C:D,2,0)</f>
        <v>Base Hidraúlica Basalto de 1 /1/2</v>
      </c>
      <c r="K1018" s="25">
        <f>VLOOKUP(I1018,'Materiales,canteras'!C:E,3,0)</f>
        <v>1.7490000000000001</v>
      </c>
      <c r="L1018" s="105">
        <v>195</v>
      </c>
      <c r="M1018" s="28" t="s">
        <v>93</v>
      </c>
      <c r="N1018" s="57">
        <f t="shared" ca="1" si="220"/>
        <v>46267</v>
      </c>
      <c r="O1018" s="43" t="s">
        <v>201</v>
      </c>
      <c r="S1018" s="82">
        <v>286</v>
      </c>
      <c r="T1018" s="66">
        <f t="shared" si="217"/>
        <v>-91</v>
      </c>
      <c r="U1018" s="46">
        <f t="shared" si="218"/>
        <v>195</v>
      </c>
      <c r="V1018" s="284">
        <v>0</v>
      </c>
      <c r="W1018" s="4">
        <v>2</v>
      </c>
      <c r="X1018" s="195">
        <f t="shared" si="239"/>
        <v>195</v>
      </c>
      <c r="Y1018" s="29" t="e">
        <f>IF(+VLOOKUP(I1018,P.Referencia!E:S,3,FALSE)&lt;=L1018,"Champion","Gerente")</f>
        <v>#N/A</v>
      </c>
      <c r="Z1018" s="39" t="e">
        <f>VLOOKUP(I1018,P.Referencia!E:S,3,0)</f>
        <v>#N/A</v>
      </c>
      <c r="AA1018" s="40" t="e">
        <f t="shared" si="240"/>
        <v>#N/A</v>
      </c>
      <c r="AB1018" s="41" t="e">
        <f t="shared" si="241"/>
        <v>#N/A</v>
      </c>
      <c r="AC1018" s="41" t="e">
        <f t="shared" si="242"/>
        <v>#N/A</v>
      </c>
    </row>
    <row r="1019" spans="1:29" hidden="1" x14ac:dyDescent="0.25">
      <c r="A1019" s="24">
        <v>1018</v>
      </c>
      <c r="B1019" s="89" t="s">
        <v>571</v>
      </c>
      <c r="C1019" s="4" t="str">
        <f t="shared" si="243"/>
        <v>LlaveD86167328141100668612</v>
      </c>
      <c r="D1019" s="25" t="str">
        <f>VLOOKUP(E1019,'NO MODIFICAR'!J:K,2,0)</f>
        <v>D861</v>
      </c>
      <c r="E1019" s="102" t="s">
        <v>44</v>
      </c>
      <c r="F1019" s="33" t="str">
        <f>VLOOKUP(D1019,'NO MODIFICAR'!F:H,3,0)</f>
        <v xml:space="preserve">CENTRO </v>
      </c>
      <c r="G1019" s="28">
        <v>67328141</v>
      </c>
      <c r="H1019" s="93" t="s">
        <v>616</v>
      </c>
      <c r="I1019" s="94">
        <v>10066861</v>
      </c>
      <c r="J1019" s="4" t="str">
        <f>VLOOKUP(I1019,'Materiales,canteras'!C:D,2,0)</f>
        <v>GRAVA TRITURADA BASALTO DE 40</v>
      </c>
      <c r="K1019" s="25">
        <f>VLOOKUP(I1019,'Materiales,canteras'!C:E,3,0)</f>
        <v>1.464</v>
      </c>
      <c r="L1019" s="105">
        <v>198</v>
      </c>
      <c r="M1019" s="28" t="s">
        <v>93</v>
      </c>
      <c r="N1019" s="57">
        <f t="shared" ca="1" si="220"/>
        <v>46267</v>
      </c>
      <c r="O1019" s="43" t="s">
        <v>201</v>
      </c>
      <c r="S1019" s="82">
        <v>220</v>
      </c>
      <c r="T1019" s="66">
        <f t="shared" si="217"/>
        <v>-22</v>
      </c>
      <c r="U1019" s="46">
        <f t="shared" si="218"/>
        <v>198</v>
      </c>
      <c r="V1019" s="284">
        <v>0</v>
      </c>
      <c r="W1019" s="4">
        <v>2</v>
      </c>
      <c r="X1019" s="195">
        <f t="shared" si="239"/>
        <v>198</v>
      </c>
      <c r="Y1019" s="29" t="e">
        <f>IF(+VLOOKUP(I1019,P.Referencia!E:S,3,FALSE)&lt;=L1019,"Champion","Gerente")</f>
        <v>#N/A</v>
      </c>
      <c r="Z1019" s="39" t="e">
        <f>VLOOKUP(I1019,P.Referencia!E:S,3,0)</f>
        <v>#N/A</v>
      </c>
      <c r="AA1019" s="40" t="e">
        <f t="shared" si="240"/>
        <v>#N/A</v>
      </c>
      <c r="AB1019" s="41" t="e">
        <f t="shared" si="241"/>
        <v>#N/A</v>
      </c>
      <c r="AC1019" s="41" t="e">
        <f t="shared" si="242"/>
        <v>#N/A</v>
      </c>
    </row>
    <row r="1020" spans="1:29" hidden="1" x14ac:dyDescent="0.25">
      <c r="A1020" s="24">
        <v>1019</v>
      </c>
      <c r="B1020" s="89" t="s">
        <v>571</v>
      </c>
      <c r="C1020" s="4" t="str">
        <f t="shared" si="243"/>
        <v>LlaveD86167328141100002332</v>
      </c>
      <c r="D1020" s="25" t="str">
        <f>VLOOKUP(E1020,'NO MODIFICAR'!J:K,2,0)</f>
        <v>D861</v>
      </c>
      <c r="E1020" s="102" t="s">
        <v>44</v>
      </c>
      <c r="F1020" s="33" t="str">
        <f>VLOOKUP(D1020,'NO MODIFICAR'!F:H,3,0)</f>
        <v xml:space="preserve">CENTRO </v>
      </c>
      <c r="G1020" s="28">
        <v>67328141</v>
      </c>
      <c r="H1020" s="93" t="s">
        <v>616</v>
      </c>
      <c r="I1020" s="94">
        <v>10000233</v>
      </c>
      <c r="J1020" s="4" t="str">
        <f>VLOOKUP(I1020,'Materiales,canteras'!C:D,2,0)</f>
        <v>Grava Triturada Basalto  40 mm</v>
      </c>
      <c r="K1020" s="25">
        <f>VLOOKUP(I1020,'Materiales,canteras'!C:E,3,0)</f>
        <v>1.456</v>
      </c>
      <c r="L1020" s="105">
        <v>198</v>
      </c>
      <c r="M1020" s="28" t="s">
        <v>93</v>
      </c>
      <c r="N1020" s="57">
        <f t="shared" ca="1" si="220"/>
        <v>46267</v>
      </c>
      <c r="O1020" s="43" t="s">
        <v>201</v>
      </c>
      <c r="S1020" s="82">
        <v>310</v>
      </c>
      <c r="T1020" s="66">
        <f t="shared" si="217"/>
        <v>-112</v>
      </c>
      <c r="U1020" s="46">
        <f t="shared" si="218"/>
        <v>198</v>
      </c>
      <c r="V1020" s="284">
        <v>0</v>
      </c>
      <c r="W1020" s="4">
        <v>2</v>
      </c>
      <c r="X1020" s="195">
        <f t="shared" si="239"/>
        <v>198</v>
      </c>
      <c r="Y1020" s="29" t="e">
        <f>IF(+VLOOKUP(I1020,P.Referencia!E:S,3,FALSE)&lt;=L1020,"Champion","Gerente")</f>
        <v>#N/A</v>
      </c>
      <c r="Z1020" s="39" t="e">
        <f>VLOOKUP(I1020,P.Referencia!E:S,3,0)</f>
        <v>#N/A</v>
      </c>
      <c r="AA1020" s="40" t="e">
        <f t="shared" si="240"/>
        <v>#N/A</v>
      </c>
      <c r="AB1020" s="41" t="e">
        <f t="shared" si="241"/>
        <v>#N/A</v>
      </c>
      <c r="AC1020" s="41" t="e">
        <f t="shared" si="242"/>
        <v>#N/A</v>
      </c>
    </row>
    <row r="1021" spans="1:29" hidden="1" x14ac:dyDescent="0.25">
      <c r="A1021" s="24">
        <v>1020</v>
      </c>
      <c r="B1021" s="89" t="s">
        <v>571</v>
      </c>
      <c r="C1021" s="4" t="str">
        <f t="shared" si="243"/>
        <v>LlaveD86167328141100002902</v>
      </c>
      <c r="D1021" s="25" t="str">
        <f>VLOOKUP(E1021,'NO MODIFICAR'!J:K,2,0)</f>
        <v>D861</v>
      </c>
      <c r="E1021" s="102" t="s">
        <v>44</v>
      </c>
      <c r="F1021" s="33" t="str">
        <f>VLOOKUP(D1021,'NO MODIFICAR'!F:H,3,0)</f>
        <v xml:space="preserve">CENTRO </v>
      </c>
      <c r="G1021" s="28">
        <v>67328141</v>
      </c>
      <c r="H1021" s="93" t="s">
        <v>616</v>
      </c>
      <c r="I1021" s="94">
        <v>10000290</v>
      </c>
      <c r="J1021" s="4" t="str">
        <f>VLOOKUP(I1021,'Materiales,canteras'!C:D,2,0)</f>
        <v>Polvos Triturado Basalto 3/4"</v>
      </c>
      <c r="K1021" s="25">
        <f>VLOOKUP(I1021,'Materiales,canteras'!C:E,3,0)</f>
        <v>1.3720000000000001</v>
      </c>
      <c r="L1021" s="105">
        <v>18</v>
      </c>
      <c r="M1021" s="28" t="s">
        <v>93</v>
      </c>
      <c r="N1021" s="57">
        <f t="shared" ca="1" si="220"/>
        <v>46267</v>
      </c>
      <c r="O1021" s="43" t="s">
        <v>201</v>
      </c>
      <c r="S1021" s="82">
        <v>28</v>
      </c>
      <c r="T1021" s="66">
        <f t="shared" si="217"/>
        <v>-10</v>
      </c>
      <c r="U1021" s="46">
        <f t="shared" si="218"/>
        <v>18</v>
      </c>
      <c r="V1021" s="284">
        <v>0</v>
      </c>
      <c r="W1021" s="4">
        <v>2</v>
      </c>
      <c r="X1021" s="195">
        <f t="shared" si="239"/>
        <v>18</v>
      </c>
      <c r="Y1021" s="29" t="e">
        <f>IF(+VLOOKUP(I1021,P.Referencia!E:S,3,FALSE)&lt;=L1021,"Champion","Gerente")</f>
        <v>#N/A</v>
      </c>
      <c r="Z1021" s="39" t="e">
        <f>VLOOKUP(I1021,P.Referencia!E:S,3,0)</f>
        <v>#N/A</v>
      </c>
      <c r="AA1021" s="40" t="e">
        <f t="shared" si="240"/>
        <v>#N/A</v>
      </c>
      <c r="AB1021" s="41" t="e">
        <f t="shared" si="241"/>
        <v>#N/A</v>
      </c>
      <c r="AC1021" s="41" t="e">
        <f t="shared" si="242"/>
        <v>#N/A</v>
      </c>
    </row>
    <row r="1022" spans="1:29" hidden="1" x14ac:dyDescent="0.25">
      <c r="A1022" s="24">
        <v>1021</v>
      </c>
      <c r="B1022" s="89" t="s">
        <v>571</v>
      </c>
      <c r="C1022" s="4" t="str">
        <f t="shared" si="243"/>
        <v>LlaveD81365006122100023502</v>
      </c>
      <c r="D1022" s="25" t="str">
        <f>VLOOKUP(E1022,'NO MODIFICAR'!J:K,2,0)</f>
        <v>D813</v>
      </c>
      <c r="E1022" s="102" t="s">
        <v>6</v>
      </c>
      <c r="F1022" s="33" t="str">
        <f>VLOOKUP(D1022,'NO MODIFICAR'!F:H,3,0)</f>
        <v xml:space="preserve">CENTRO </v>
      </c>
      <c r="G1022" s="28">
        <v>65006122</v>
      </c>
      <c r="H1022" s="93" t="s">
        <v>617</v>
      </c>
      <c r="I1022" s="94">
        <v>10002350</v>
      </c>
      <c r="J1022" s="4" t="str">
        <f>VLOOKUP(I1022,'Materiales,canteras'!C:D,2,0)</f>
        <v>Grava Triturada Andesita 10mm-</v>
      </c>
      <c r="K1022" s="25">
        <f>VLOOKUP(I1022,'Materiales,canteras'!C:E,3,0)</f>
        <v>1.246</v>
      </c>
      <c r="L1022" s="105">
        <v>100</v>
      </c>
      <c r="M1022" s="28" t="s">
        <v>93</v>
      </c>
      <c r="N1022" s="57">
        <f t="shared" ca="1" si="220"/>
        <v>46267</v>
      </c>
      <c r="O1022" s="43" t="s">
        <v>201</v>
      </c>
      <c r="S1022" s="82">
        <v>158</v>
      </c>
      <c r="T1022" s="66">
        <f t="shared" si="217"/>
        <v>-58</v>
      </c>
      <c r="U1022" s="46">
        <f t="shared" si="218"/>
        <v>100</v>
      </c>
      <c r="V1022" s="284">
        <v>0</v>
      </c>
      <c r="W1022" s="4">
        <v>2</v>
      </c>
      <c r="X1022" s="195">
        <f t="shared" si="239"/>
        <v>100</v>
      </c>
      <c r="Y1022" s="29" t="e">
        <f>IF(+VLOOKUP(I1022,P.Referencia!E:S,3,FALSE)&lt;=L1022,"Champion","Gerente")</f>
        <v>#N/A</v>
      </c>
      <c r="Z1022" s="39" t="e">
        <f>VLOOKUP(I1022,P.Referencia!E:S,3,0)</f>
        <v>#N/A</v>
      </c>
      <c r="AA1022" s="40" t="e">
        <f t="shared" si="240"/>
        <v>#N/A</v>
      </c>
      <c r="AB1022" s="41" t="e">
        <f t="shared" si="241"/>
        <v>#N/A</v>
      </c>
      <c r="AC1022" s="41" t="e">
        <f t="shared" si="242"/>
        <v>#N/A</v>
      </c>
    </row>
    <row r="1023" spans="1:29" hidden="1" x14ac:dyDescent="0.25">
      <c r="A1023" s="24">
        <v>1022</v>
      </c>
      <c r="B1023" s="89" t="s">
        <v>571</v>
      </c>
      <c r="C1023" s="4" t="str">
        <f t="shared" si="243"/>
        <v>LlaveD86466338102100010742</v>
      </c>
      <c r="D1023" s="25" t="str">
        <f>VLOOKUP(E1023,'NO MODIFICAR'!J:K,2,0)</f>
        <v>D864</v>
      </c>
      <c r="E1023" s="102" t="s">
        <v>55</v>
      </c>
      <c r="F1023" s="33" t="str">
        <f>VLOOKUP(D1023,'NO MODIFICAR'!F:H,3,0)</f>
        <v xml:space="preserve">CENTRO </v>
      </c>
      <c r="G1023" s="28">
        <v>66338102</v>
      </c>
      <c r="H1023" s="93" t="s">
        <v>618</v>
      </c>
      <c r="I1023" s="94">
        <v>10001074</v>
      </c>
      <c r="J1023" s="4" t="str">
        <f>VLOOKUP(I1023,'Materiales,canteras'!C:D,2,0)</f>
        <v>Grava Triturada Caliza 40 mm -</v>
      </c>
      <c r="K1023" s="25">
        <f>VLOOKUP(I1023,'Materiales,canteras'!C:E,3,0)</f>
        <v>1.4</v>
      </c>
      <c r="L1023" s="105">
        <v>143</v>
      </c>
      <c r="M1023" s="28" t="s">
        <v>93</v>
      </c>
      <c r="N1023" s="57">
        <f t="shared" ca="1" si="220"/>
        <v>46267</v>
      </c>
      <c r="O1023" s="43" t="s">
        <v>201</v>
      </c>
      <c r="R1023">
        <v>11.55</v>
      </c>
      <c r="S1023" s="82">
        <v>231</v>
      </c>
      <c r="T1023" s="66">
        <f t="shared" si="217"/>
        <v>-76.449999999999989</v>
      </c>
      <c r="U1023" s="46">
        <f t="shared" si="218"/>
        <v>143</v>
      </c>
      <c r="V1023" s="284">
        <v>0</v>
      </c>
      <c r="W1023" s="4">
        <v>2</v>
      </c>
      <c r="X1023" s="195">
        <f t="shared" si="239"/>
        <v>143</v>
      </c>
      <c r="Y1023" s="29" t="e">
        <f>IF(+VLOOKUP(I1023,P.Referencia!E:S,3,FALSE)&lt;=L1023,"Champion","Gerente")</f>
        <v>#N/A</v>
      </c>
      <c r="Z1023" s="39" t="e">
        <f>VLOOKUP(I1023,P.Referencia!E:S,3,0)</f>
        <v>#N/A</v>
      </c>
      <c r="AA1023" s="40" t="e">
        <f t="shared" si="240"/>
        <v>#N/A</v>
      </c>
      <c r="AB1023" s="41" t="e">
        <f t="shared" si="241"/>
        <v>#N/A</v>
      </c>
      <c r="AC1023" s="41" t="e">
        <f t="shared" si="242"/>
        <v>#N/A</v>
      </c>
    </row>
    <row r="1024" spans="1:29" hidden="1" x14ac:dyDescent="0.25">
      <c r="A1024" s="24">
        <v>1023</v>
      </c>
      <c r="B1024" s="89" t="s">
        <v>571</v>
      </c>
      <c r="C1024" s="4" t="str">
        <f t="shared" si="243"/>
        <v>LlaveD81667301730100002411</v>
      </c>
      <c r="D1024" s="25" t="str">
        <f>VLOOKUP(E1024,'NO MODIFICAR'!J:K,2,0)</f>
        <v>D816</v>
      </c>
      <c r="E1024" s="102" t="s">
        <v>15</v>
      </c>
      <c r="F1024" s="33" t="str">
        <f>VLOOKUP(D1024,'NO MODIFICAR'!F:H,3,0)</f>
        <v>NORESTE</v>
      </c>
      <c r="G1024" s="28">
        <v>67301730</v>
      </c>
      <c r="H1024" s="93" t="s">
        <v>587</v>
      </c>
      <c r="I1024" s="94">
        <v>10000241</v>
      </c>
      <c r="J1024" s="4" t="str">
        <f>VLOOKUP(I1024,'Materiales,canteras'!C:D,2,0)</f>
        <v>Grava Triturada Caliza 20 mm -</v>
      </c>
      <c r="K1024" s="25">
        <f>VLOOKUP(I1024,'Materiales,canteras'!C:E,3,0)</f>
        <v>1.43</v>
      </c>
      <c r="L1024" s="105">
        <v>305.02999999999997</v>
      </c>
      <c r="M1024" s="28" t="s">
        <v>93</v>
      </c>
      <c r="N1024" s="57">
        <f t="shared" ca="1" si="220"/>
        <v>46267</v>
      </c>
      <c r="O1024" s="43" t="s">
        <v>201</v>
      </c>
      <c r="S1024" s="82">
        <v>414</v>
      </c>
      <c r="T1024" s="66">
        <f t="shared" si="217"/>
        <v>-108.97000000000003</v>
      </c>
      <c r="U1024" s="46">
        <f t="shared" si="218"/>
        <v>305.02999999999997</v>
      </c>
      <c r="V1024" s="82">
        <v>66.97</v>
      </c>
      <c r="W1024" s="4">
        <v>1</v>
      </c>
      <c r="X1024" s="195">
        <f t="shared" si="239"/>
        <v>372</v>
      </c>
      <c r="Y1024" s="29" t="e">
        <f>IF(+VLOOKUP(I1024,P.Referencia!E:S,3,FALSE)&lt;=L1024,"Champion","Gerente")</f>
        <v>#N/A</v>
      </c>
      <c r="Z1024" s="39" t="e">
        <f>VLOOKUP(I1024,P.Referencia!E:S,3,0)</f>
        <v>#N/A</v>
      </c>
      <c r="AA1024" s="40" t="e">
        <f t="shared" si="240"/>
        <v>#N/A</v>
      </c>
      <c r="AB1024" s="41" t="e">
        <f t="shared" si="241"/>
        <v>#N/A</v>
      </c>
      <c r="AC1024" s="41" t="e">
        <f t="shared" si="242"/>
        <v>#N/A</v>
      </c>
    </row>
    <row r="1025" spans="1:29" hidden="1" x14ac:dyDescent="0.25">
      <c r="A1025" s="24">
        <v>1024</v>
      </c>
      <c r="B1025" s="89" t="s">
        <v>571</v>
      </c>
      <c r="C1025" s="4" t="str">
        <f t="shared" si="243"/>
        <v>LlaveD81667357762100002621</v>
      </c>
      <c r="D1025" s="25" t="str">
        <f>VLOOKUP(E1025,'NO MODIFICAR'!J:K,2,0)</f>
        <v>D816</v>
      </c>
      <c r="E1025" s="102" t="s">
        <v>15</v>
      </c>
      <c r="F1025" s="33" t="str">
        <f>VLOOKUP(D1025,'NO MODIFICAR'!F:H,3,0)</f>
        <v>NORESTE</v>
      </c>
      <c r="G1025" s="28">
        <v>67357762</v>
      </c>
      <c r="H1025" s="93" t="s">
        <v>409</v>
      </c>
      <c r="I1025" s="94">
        <v>10000262</v>
      </c>
      <c r="J1025" s="4" t="str">
        <f>VLOOKUP(I1025,'Materiales,canteras'!C:D,2,0)</f>
        <v>Base H Triturada Caliza 1 1/2"</v>
      </c>
      <c r="K1025" s="25">
        <f>VLOOKUP(I1025,'Materiales,canteras'!C:E,3,0)</f>
        <v>1.821</v>
      </c>
      <c r="L1025" s="105">
        <v>290.48</v>
      </c>
      <c r="M1025" s="28" t="s">
        <v>93</v>
      </c>
      <c r="N1025" s="57">
        <f t="shared" ca="1" si="220"/>
        <v>46267</v>
      </c>
      <c r="O1025" s="43" t="s">
        <v>201</v>
      </c>
      <c r="R1025">
        <v>14.28</v>
      </c>
      <c r="S1025" s="82">
        <v>357</v>
      </c>
      <c r="T1025" s="66">
        <f t="shared" si="217"/>
        <v>-52.240000000000009</v>
      </c>
      <c r="U1025" s="46">
        <f t="shared" si="218"/>
        <v>290.48</v>
      </c>
      <c r="V1025" s="82">
        <v>89.52</v>
      </c>
      <c r="W1025" s="4">
        <v>1</v>
      </c>
      <c r="X1025" s="195">
        <f t="shared" si="239"/>
        <v>380</v>
      </c>
      <c r="Y1025" s="29" t="e">
        <f>IF(+VLOOKUP(I1025,P.Referencia!E:S,3,FALSE)&lt;=L1025,"Champion","Gerente")</f>
        <v>#N/A</v>
      </c>
      <c r="Z1025" s="39" t="e">
        <f>VLOOKUP(I1025,P.Referencia!E:S,3,0)</f>
        <v>#N/A</v>
      </c>
      <c r="AA1025" s="40" t="e">
        <f t="shared" si="240"/>
        <v>#N/A</v>
      </c>
      <c r="AB1025" s="41" t="e">
        <f t="shared" si="241"/>
        <v>#N/A</v>
      </c>
      <c r="AC1025" s="41" t="e">
        <f t="shared" si="242"/>
        <v>#N/A</v>
      </c>
    </row>
    <row r="1026" spans="1:29" hidden="1" x14ac:dyDescent="0.25">
      <c r="A1026" s="24">
        <v>1025</v>
      </c>
      <c r="B1026" s="89" t="s">
        <v>571</v>
      </c>
      <c r="C1026" s="4" t="str">
        <f t="shared" si="243"/>
        <v>LlaveD81667357762100364881</v>
      </c>
      <c r="D1026" s="25" t="str">
        <f>VLOOKUP(E1026,'NO MODIFICAR'!J:K,2,0)</f>
        <v>D816</v>
      </c>
      <c r="E1026" s="102" t="s">
        <v>15</v>
      </c>
      <c r="F1026" s="33" t="str">
        <f>VLOOKUP(D1026,'NO MODIFICAR'!F:H,3,0)</f>
        <v>NORESTE</v>
      </c>
      <c r="G1026" s="28">
        <v>67357762</v>
      </c>
      <c r="H1026" s="93" t="s">
        <v>409</v>
      </c>
      <c r="I1026" s="94">
        <v>10036488</v>
      </c>
      <c r="J1026" s="4" t="str">
        <f>VLOOKUP(I1026,'Materiales,canteras'!C:D,2,0)</f>
        <v>Base H Trit Caliza 3/4" a Fino</v>
      </c>
      <c r="K1026" s="25">
        <f>VLOOKUP(I1026,'Materiales,canteras'!C:E,3,0)</f>
        <v>1.78</v>
      </c>
      <c r="L1026" s="105">
        <v>290.48</v>
      </c>
      <c r="M1026" s="28" t="s">
        <v>93</v>
      </c>
      <c r="N1026" s="57">
        <f t="shared" ca="1" si="220"/>
        <v>46267</v>
      </c>
      <c r="O1026" s="43" t="s">
        <v>201</v>
      </c>
      <c r="R1026">
        <v>14.28</v>
      </c>
      <c r="S1026" s="82">
        <v>357</v>
      </c>
      <c r="T1026" s="66">
        <f t="shared" si="217"/>
        <v>-52.240000000000009</v>
      </c>
      <c r="U1026" s="46">
        <f t="shared" si="218"/>
        <v>290.48</v>
      </c>
      <c r="V1026" s="82">
        <v>89.52</v>
      </c>
      <c r="W1026" s="4">
        <v>1</v>
      </c>
      <c r="X1026" s="195">
        <f t="shared" si="239"/>
        <v>380</v>
      </c>
      <c r="Y1026" s="29" t="e">
        <f>IF(+VLOOKUP(I1026,P.Referencia!E:S,3,FALSE)&lt;=L1026,"Champion","Gerente")</f>
        <v>#N/A</v>
      </c>
      <c r="Z1026" s="39" t="e">
        <f>VLOOKUP(I1026,P.Referencia!E:S,3,0)</f>
        <v>#N/A</v>
      </c>
      <c r="AA1026" s="40" t="e">
        <f t="shared" si="240"/>
        <v>#N/A</v>
      </c>
      <c r="AB1026" s="41" t="e">
        <f t="shared" si="241"/>
        <v>#N/A</v>
      </c>
      <c r="AC1026" s="41" t="e">
        <f t="shared" si="242"/>
        <v>#N/A</v>
      </c>
    </row>
    <row r="1027" spans="1:29" hidden="1" x14ac:dyDescent="0.25">
      <c r="A1027" s="24">
        <v>1026</v>
      </c>
      <c r="B1027" s="89" t="s">
        <v>571</v>
      </c>
      <c r="C1027" s="4" t="str">
        <f t="shared" si="243"/>
        <v>LlaveD81667357762100002411</v>
      </c>
      <c r="D1027" s="25" t="str">
        <f>VLOOKUP(E1027,'NO MODIFICAR'!J:K,2,0)</f>
        <v>D816</v>
      </c>
      <c r="E1027" s="102" t="s">
        <v>15</v>
      </c>
      <c r="F1027" s="33" t="str">
        <f>VLOOKUP(D1027,'NO MODIFICAR'!F:H,3,0)</f>
        <v>NORESTE</v>
      </c>
      <c r="G1027" s="28">
        <v>67357762</v>
      </c>
      <c r="H1027" s="93" t="s">
        <v>409</v>
      </c>
      <c r="I1027" s="94">
        <v>10000241</v>
      </c>
      <c r="J1027" s="4" t="str">
        <f>VLOOKUP(I1027,'Materiales,canteras'!C:D,2,0)</f>
        <v>Grava Triturada Caliza 20 mm -</v>
      </c>
      <c r="K1027" s="25">
        <f>VLOOKUP(I1027,'Materiales,canteras'!C:E,3,0)</f>
        <v>1.43</v>
      </c>
      <c r="L1027" s="105">
        <v>300.48</v>
      </c>
      <c r="M1027" s="28" t="s">
        <v>93</v>
      </c>
      <c r="N1027" s="57">
        <f t="shared" ca="1" si="220"/>
        <v>46267</v>
      </c>
      <c r="O1027" s="43" t="s">
        <v>201</v>
      </c>
      <c r="R1027">
        <v>16.559999999999999</v>
      </c>
      <c r="S1027" s="82">
        <v>414</v>
      </c>
      <c r="T1027" s="66">
        <f t="shared" si="217"/>
        <v>-96.95999999999998</v>
      </c>
      <c r="U1027" s="46">
        <f t="shared" si="218"/>
        <v>300.48</v>
      </c>
      <c r="V1027" s="82">
        <v>89.52</v>
      </c>
      <c r="W1027" s="4">
        <v>1</v>
      </c>
      <c r="X1027" s="195">
        <f t="shared" si="239"/>
        <v>390</v>
      </c>
      <c r="Y1027" s="29" t="e">
        <f>IF(+VLOOKUP(I1027,P.Referencia!E:S,3,FALSE)&lt;=L1027,"Champion","Gerente")</f>
        <v>#N/A</v>
      </c>
      <c r="Z1027" s="39" t="e">
        <f>VLOOKUP(I1027,P.Referencia!E:S,3,0)</f>
        <v>#N/A</v>
      </c>
      <c r="AA1027" s="40" t="e">
        <f t="shared" si="240"/>
        <v>#N/A</v>
      </c>
      <c r="AB1027" s="41" t="e">
        <f t="shared" si="241"/>
        <v>#N/A</v>
      </c>
      <c r="AC1027" s="41" t="e">
        <f t="shared" si="242"/>
        <v>#N/A</v>
      </c>
    </row>
    <row r="1028" spans="1:29" hidden="1" x14ac:dyDescent="0.25">
      <c r="A1028" s="24">
        <v>1027</v>
      </c>
      <c r="B1028" s="89" t="s">
        <v>571</v>
      </c>
      <c r="C1028" s="4" t="str">
        <f t="shared" si="243"/>
        <v>LlaveD81667323435100002481</v>
      </c>
      <c r="D1028" s="25" t="str">
        <f>VLOOKUP(E1028,'NO MODIFICAR'!J:K,2,0)</f>
        <v>D816</v>
      </c>
      <c r="E1028" s="102" t="s">
        <v>15</v>
      </c>
      <c r="F1028" s="33" t="str">
        <f>VLOOKUP(D1028,'NO MODIFICAR'!F:H,3,0)</f>
        <v>NORESTE</v>
      </c>
      <c r="G1028" s="28">
        <v>67323435</v>
      </c>
      <c r="H1028" s="93" t="s">
        <v>619</v>
      </c>
      <c r="I1028" s="94">
        <v>10000248</v>
      </c>
      <c r="J1028" s="4" t="str">
        <f>VLOOKUP(I1028,'Materiales,canteras'!C:D,2,0)</f>
        <v>Sub-base Triturado Caliza 1 1/2" a Finos</v>
      </c>
      <c r="K1028" s="25">
        <f>VLOOKUP(I1028,'Materiales,canteras'!C:E,3,0)</f>
        <v>1.821</v>
      </c>
      <c r="L1028" s="105">
        <v>301.93</v>
      </c>
      <c r="M1028" s="28" t="s">
        <v>93</v>
      </c>
      <c r="N1028" s="57">
        <f t="shared" ca="1" si="220"/>
        <v>46267</v>
      </c>
      <c r="O1028" s="43" t="s">
        <v>201</v>
      </c>
      <c r="Q1028">
        <v>12.24</v>
      </c>
      <c r="R1028">
        <v>16.100000000000001</v>
      </c>
      <c r="S1028" s="82">
        <v>322</v>
      </c>
      <c r="T1028" s="66">
        <f t="shared" si="217"/>
        <v>8.2700000000000387</v>
      </c>
      <c r="U1028" s="46">
        <f t="shared" si="218"/>
        <v>301.93</v>
      </c>
      <c r="V1028" s="82">
        <v>66.069999999999993</v>
      </c>
      <c r="W1028" s="4">
        <v>1</v>
      </c>
      <c r="X1028" s="195">
        <f t="shared" si="239"/>
        <v>368</v>
      </c>
      <c r="Y1028" s="29" t="e">
        <f>IF(+VLOOKUP(I1028,P.Referencia!E:S,3,FALSE)&lt;=L1028,"Champion","Gerente")</f>
        <v>#N/A</v>
      </c>
      <c r="Z1028" s="39" t="e">
        <f>VLOOKUP(I1028,P.Referencia!E:S,3,0)</f>
        <v>#N/A</v>
      </c>
      <c r="AA1028" s="40" t="e">
        <f t="shared" si="240"/>
        <v>#N/A</v>
      </c>
      <c r="AB1028" s="41" t="e">
        <f t="shared" si="241"/>
        <v>#N/A</v>
      </c>
      <c r="AC1028" s="41" t="e">
        <f t="shared" si="242"/>
        <v>#N/A</v>
      </c>
    </row>
    <row r="1029" spans="1:29" hidden="1" x14ac:dyDescent="0.25">
      <c r="A1029" s="24">
        <v>1028</v>
      </c>
      <c r="B1029" s="89" t="s">
        <v>571</v>
      </c>
      <c r="C1029" s="4" t="str">
        <f t="shared" si="243"/>
        <v>LlaveD81667323435100002621</v>
      </c>
      <c r="D1029" s="25" t="str">
        <f>VLOOKUP(E1029,'NO MODIFICAR'!J:K,2,0)</f>
        <v>D816</v>
      </c>
      <c r="E1029" s="102" t="s">
        <v>15</v>
      </c>
      <c r="F1029" s="33" t="str">
        <f>VLOOKUP(D1029,'NO MODIFICAR'!F:H,3,0)</f>
        <v>NORESTE</v>
      </c>
      <c r="G1029" s="28">
        <v>67323435</v>
      </c>
      <c r="H1029" s="93" t="s">
        <v>619</v>
      </c>
      <c r="I1029" s="94">
        <v>10000262</v>
      </c>
      <c r="J1029" s="4" t="str">
        <f>VLOOKUP(I1029,'Materiales,canteras'!C:D,2,0)</f>
        <v>Base H Triturada Caliza 1 1/2"</v>
      </c>
      <c r="K1029" s="25">
        <f>VLOOKUP(I1029,'Materiales,canteras'!C:E,3,0)</f>
        <v>1.821</v>
      </c>
      <c r="L1029" s="105">
        <v>301.93</v>
      </c>
      <c r="M1029" s="28" t="s">
        <v>93</v>
      </c>
      <c r="N1029" s="57">
        <f t="shared" ca="1" si="220"/>
        <v>46267</v>
      </c>
      <c r="O1029" s="43" t="s">
        <v>201</v>
      </c>
      <c r="Q1029">
        <v>13.57</v>
      </c>
      <c r="R1029">
        <v>17.850000000000001</v>
      </c>
      <c r="S1029" s="82">
        <v>357</v>
      </c>
      <c r="T1029" s="66">
        <f t="shared" si="217"/>
        <v>-23.649999999999977</v>
      </c>
      <c r="U1029" s="46">
        <f t="shared" si="218"/>
        <v>301.93</v>
      </c>
      <c r="V1029" s="82">
        <v>66.069999999999993</v>
      </c>
      <c r="W1029" s="4">
        <v>1</v>
      </c>
      <c r="X1029" s="195">
        <f t="shared" ref="X1029:X1034" si="244">U1029+V1029</f>
        <v>368</v>
      </c>
      <c r="Y1029" s="29" t="e">
        <f>IF(+VLOOKUP(I1029,P.Referencia!E:S,3,FALSE)&lt;=L1029,"Champion","Gerente")</f>
        <v>#N/A</v>
      </c>
      <c r="Z1029" s="39" t="e">
        <f>VLOOKUP(I1029,P.Referencia!E:S,3,0)</f>
        <v>#N/A</v>
      </c>
      <c r="AA1029" s="40" t="e">
        <f t="shared" ref="AA1029:AA1034" si="245">(Z1029-U1029)/U1029</f>
        <v>#N/A</v>
      </c>
      <c r="AB1029" s="41" t="e">
        <f t="shared" ref="AB1029:AB1034" si="246">U1029*AA1029</f>
        <v>#N/A</v>
      </c>
      <c r="AC1029" s="41" t="e">
        <f t="shared" ref="AC1029:AC1034" si="247">U1029+AB1029</f>
        <v>#N/A</v>
      </c>
    </row>
    <row r="1030" spans="1:29" hidden="1" x14ac:dyDescent="0.25">
      <c r="A1030" s="24">
        <v>1029</v>
      </c>
      <c r="B1030" s="89" t="s">
        <v>571</v>
      </c>
      <c r="C1030" s="4" t="str">
        <f t="shared" si="243"/>
        <v>LlaveD81667323435100364881</v>
      </c>
      <c r="D1030" s="25" t="str">
        <f>VLOOKUP(E1030,'NO MODIFICAR'!J:K,2,0)</f>
        <v>D816</v>
      </c>
      <c r="E1030" s="102" t="s">
        <v>15</v>
      </c>
      <c r="F1030" s="33" t="str">
        <f>VLOOKUP(D1030,'NO MODIFICAR'!F:H,3,0)</f>
        <v>NORESTE</v>
      </c>
      <c r="G1030" s="28">
        <v>67323435</v>
      </c>
      <c r="H1030" s="93" t="s">
        <v>619</v>
      </c>
      <c r="I1030" s="94">
        <v>10036488</v>
      </c>
      <c r="J1030" s="4" t="str">
        <f>VLOOKUP(I1030,'Materiales,canteras'!C:D,2,0)</f>
        <v>Base H Trit Caliza 3/4" a Fino</v>
      </c>
      <c r="K1030" s="25">
        <f>VLOOKUP(I1030,'Materiales,canteras'!C:E,3,0)</f>
        <v>1.78</v>
      </c>
      <c r="L1030" s="105">
        <v>291.61</v>
      </c>
      <c r="M1030" s="28" t="s">
        <v>93</v>
      </c>
      <c r="N1030" s="57">
        <f t="shared" ca="1" si="220"/>
        <v>46267</v>
      </c>
      <c r="O1030" s="43" t="s">
        <v>201</v>
      </c>
      <c r="Q1030">
        <v>13.57</v>
      </c>
      <c r="R1030">
        <v>17.850000000000001</v>
      </c>
      <c r="S1030" s="82">
        <v>357</v>
      </c>
      <c r="T1030" s="66">
        <f t="shared" si="217"/>
        <v>-33.96999999999997</v>
      </c>
      <c r="U1030" s="46">
        <f t="shared" ref="U1030:U1034" si="248">L1030</f>
        <v>291.61</v>
      </c>
      <c r="V1030" s="82">
        <v>66.069999999999993</v>
      </c>
      <c r="W1030" s="4">
        <v>1</v>
      </c>
      <c r="X1030" s="195">
        <f t="shared" si="244"/>
        <v>357.68</v>
      </c>
      <c r="Y1030" s="29" t="e">
        <f>IF(+VLOOKUP(I1030,P.Referencia!E:S,3,FALSE)&lt;=L1030,"Champion","Gerente")</f>
        <v>#N/A</v>
      </c>
      <c r="Z1030" s="39" t="e">
        <f>VLOOKUP(I1030,P.Referencia!E:S,3,0)</f>
        <v>#N/A</v>
      </c>
      <c r="AA1030" s="40" t="e">
        <f t="shared" si="245"/>
        <v>#N/A</v>
      </c>
      <c r="AB1030" s="41" t="e">
        <f t="shared" si="246"/>
        <v>#N/A</v>
      </c>
      <c r="AC1030" s="41" t="e">
        <f t="shared" si="247"/>
        <v>#N/A</v>
      </c>
    </row>
    <row r="1031" spans="1:29" hidden="1" x14ac:dyDescent="0.25">
      <c r="A1031" s="24">
        <v>1030</v>
      </c>
      <c r="B1031" s="89" t="s">
        <v>571</v>
      </c>
      <c r="C1031" s="4" t="str">
        <f t="shared" si="243"/>
        <v>LlaveD81667323744100002481</v>
      </c>
      <c r="D1031" s="25" t="str">
        <f>VLOOKUP(E1031,'NO MODIFICAR'!J:K,2,0)</f>
        <v>D816</v>
      </c>
      <c r="E1031" s="102" t="s">
        <v>15</v>
      </c>
      <c r="F1031" s="33" t="str">
        <f>VLOOKUP(D1031,'NO MODIFICAR'!F:H,3,0)</f>
        <v>NORESTE</v>
      </c>
      <c r="G1031" s="28">
        <v>67323744</v>
      </c>
      <c r="H1031" s="93" t="s">
        <v>619</v>
      </c>
      <c r="I1031" s="94">
        <v>10000248</v>
      </c>
      <c r="J1031" s="4" t="str">
        <f>VLOOKUP(I1031,'Materiales,canteras'!C:D,2,0)</f>
        <v>Sub-base Triturado Caliza 1 1/2" a Finos</v>
      </c>
      <c r="K1031" s="25">
        <f>VLOOKUP(I1031,'Materiales,canteras'!C:E,3,0)</f>
        <v>1.821</v>
      </c>
      <c r="L1031" s="105">
        <v>301.93</v>
      </c>
      <c r="M1031" s="28" t="s">
        <v>93</v>
      </c>
      <c r="N1031" s="57">
        <f t="shared" ref="N1031:N1094" ca="1" si="249">TODAY()</f>
        <v>46267</v>
      </c>
      <c r="O1031" s="43" t="s">
        <v>201</v>
      </c>
      <c r="R1031">
        <v>16.100000000000001</v>
      </c>
      <c r="S1031" s="82">
        <v>322</v>
      </c>
      <c r="T1031" s="66">
        <f t="shared" ref="T1031:T1040" si="250">L1031-((S1031-P1031)-(Q1031)-(R1031))</f>
        <v>-3.9699999999999704</v>
      </c>
      <c r="U1031" s="46">
        <f t="shared" si="248"/>
        <v>301.93</v>
      </c>
      <c r="V1031" s="82">
        <v>66.069999999999993</v>
      </c>
      <c r="W1031" s="4">
        <v>1</v>
      </c>
      <c r="X1031" s="195">
        <f t="shared" si="244"/>
        <v>368</v>
      </c>
      <c r="Y1031" s="29" t="e">
        <f>IF(+VLOOKUP(I1031,P.Referencia!E:S,3,FALSE)&lt;=L1031,"Champion","Gerente")</f>
        <v>#N/A</v>
      </c>
      <c r="Z1031" s="39" t="e">
        <f>VLOOKUP(I1031,P.Referencia!E:S,3,0)</f>
        <v>#N/A</v>
      </c>
      <c r="AA1031" s="40" t="e">
        <f t="shared" si="245"/>
        <v>#N/A</v>
      </c>
      <c r="AB1031" s="41" t="e">
        <f t="shared" si="246"/>
        <v>#N/A</v>
      </c>
      <c r="AC1031" s="41" t="e">
        <f t="shared" si="247"/>
        <v>#N/A</v>
      </c>
    </row>
    <row r="1032" spans="1:29" hidden="1" x14ac:dyDescent="0.25">
      <c r="A1032" s="24">
        <v>1031</v>
      </c>
      <c r="B1032" s="89" t="s">
        <v>571</v>
      </c>
      <c r="C1032" s="4" t="str">
        <f t="shared" ref="C1032:C1041" si="251">_xlfn.CONCAT($C$1,D1032,G1032,I1032,W1032)</f>
        <v>LlaveD81667323744100002621</v>
      </c>
      <c r="D1032" s="25" t="str">
        <f>VLOOKUP(E1032,'NO MODIFICAR'!J:K,2,0)</f>
        <v>D816</v>
      </c>
      <c r="E1032" s="102" t="s">
        <v>15</v>
      </c>
      <c r="F1032" s="33" t="str">
        <f>VLOOKUP(D1032,'NO MODIFICAR'!F:H,3,0)</f>
        <v>NORESTE</v>
      </c>
      <c r="G1032" s="28">
        <v>67323744</v>
      </c>
      <c r="H1032" s="93" t="s">
        <v>619</v>
      </c>
      <c r="I1032" s="94">
        <v>10000262</v>
      </c>
      <c r="J1032" s="4" t="str">
        <f>VLOOKUP(I1032,'Materiales,canteras'!C:D,2,0)</f>
        <v>Base H Triturada Caliza 1 1/2"</v>
      </c>
      <c r="K1032" s="25">
        <f>VLOOKUP(I1032,'Materiales,canteras'!C:E,3,0)</f>
        <v>1.821</v>
      </c>
      <c r="L1032" s="105">
        <v>301.93</v>
      </c>
      <c r="M1032" s="28" t="s">
        <v>93</v>
      </c>
      <c r="N1032" s="57">
        <f t="shared" ca="1" si="249"/>
        <v>46267</v>
      </c>
      <c r="O1032" s="43" t="s">
        <v>201</v>
      </c>
      <c r="R1032">
        <v>17.850000000000001</v>
      </c>
      <c r="S1032" s="82">
        <v>357</v>
      </c>
      <c r="T1032" s="66">
        <f t="shared" si="250"/>
        <v>-37.21999999999997</v>
      </c>
      <c r="U1032" s="46">
        <f t="shared" si="248"/>
        <v>301.93</v>
      </c>
      <c r="V1032" s="82">
        <v>66.069999999999993</v>
      </c>
      <c r="W1032" s="4">
        <v>1</v>
      </c>
      <c r="X1032" s="195">
        <f t="shared" si="244"/>
        <v>368</v>
      </c>
      <c r="Y1032" s="29" t="e">
        <f>IF(+VLOOKUP(I1032,P.Referencia!E:S,3,FALSE)&lt;=L1032,"Champion","Gerente")</f>
        <v>#N/A</v>
      </c>
      <c r="Z1032" s="39" t="e">
        <f>VLOOKUP(I1032,P.Referencia!E:S,3,0)</f>
        <v>#N/A</v>
      </c>
      <c r="AA1032" s="40" t="e">
        <f t="shared" si="245"/>
        <v>#N/A</v>
      </c>
      <c r="AB1032" s="41" t="e">
        <f t="shared" si="246"/>
        <v>#N/A</v>
      </c>
      <c r="AC1032" s="41" t="e">
        <f t="shared" si="247"/>
        <v>#N/A</v>
      </c>
    </row>
    <row r="1033" spans="1:29" hidden="1" x14ac:dyDescent="0.25">
      <c r="A1033" s="24">
        <v>1032</v>
      </c>
      <c r="B1033" s="89" t="s">
        <v>571</v>
      </c>
      <c r="C1033" s="4" t="str">
        <f t="shared" si="251"/>
        <v>LlaveD81667323744100364881</v>
      </c>
      <c r="D1033" s="25" t="str">
        <f>VLOOKUP(E1033,'NO MODIFICAR'!J:K,2,0)</f>
        <v>D816</v>
      </c>
      <c r="E1033" s="102" t="s">
        <v>15</v>
      </c>
      <c r="F1033" s="33" t="str">
        <f>VLOOKUP(D1033,'NO MODIFICAR'!F:H,3,0)</f>
        <v>NORESTE</v>
      </c>
      <c r="G1033" s="28">
        <v>67323744</v>
      </c>
      <c r="H1033" s="93" t="s">
        <v>619</v>
      </c>
      <c r="I1033" s="94">
        <v>10036488</v>
      </c>
      <c r="J1033" s="4" t="str">
        <f>VLOOKUP(I1033,'Materiales,canteras'!C:D,2,0)</f>
        <v>Base H Trit Caliza 3/4" a Fino</v>
      </c>
      <c r="K1033" s="25">
        <f>VLOOKUP(I1033,'Materiales,canteras'!C:E,3,0)</f>
        <v>1.78</v>
      </c>
      <c r="L1033" s="105">
        <v>291.61</v>
      </c>
      <c r="M1033" s="28" t="s">
        <v>93</v>
      </c>
      <c r="N1033" s="57">
        <f t="shared" ca="1" si="249"/>
        <v>46267</v>
      </c>
      <c r="O1033" s="43" t="s">
        <v>201</v>
      </c>
      <c r="R1033">
        <v>17.850000000000001</v>
      </c>
      <c r="S1033" s="82">
        <v>357</v>
      </c>
      <c r="T1033" s="66">
        <f t="shared" si="250"/>
        <v>-47.539999999999964</v>
      </c>
      <c r="U1033" s="46">
        <f t="shared" si="248"/>
        <v>291.61</v>
      </c>
      <c r="V1033" s="82">
        <v>66.069999999999993</v>
      </c>
      <c r="W1033" s="4">
        <v>1</v>
      </c>
      <c r="X1033" s="195">
        <f t="shared" si="244"/>
        <v>357.68</v>
      </c>
      <c r="Y1033" s="29" t="e">
        <f>IF(+VLOOKUP(I1033,P.Referencia!E:S,3,FALSE)&lt;=L1033,"Champion","Gerente")</f>
        <v>#N/A</v>
      </c>
      <c r="Z1033" s="39" t="e">
        <f>VLOOKUP(I1033,P.Referencia!E:S,3,0)</f>
        <v>#N/A</v>
      </c>
      <c r="AA1033" s="40" t="e">
        <f t="shared" si="245"/>
        <v>#N/A</v>
      </c>
      <c r="AB1033" s="41" t="e">
        <f t="shared" si="246"/>
        <v>#N/A</v>
      </c>
      <c r="AC1033" s="41" t="e">
        <f t="shared" si="247"/>
        <v>#N/A</v>
      </c>
    </row>
    <row r="1034" spans="1:29" hidden="1" x14ac:dyDescent="0.25">
      <c r="A1034" s="24">
        <v>1033</v>
      </c>
      <c r="B1034" s="89" t="s">
        <v>571</v>
      </c>
      <c r="C1034" s="4" t="str">
        <f t="shared" si="251"/>
        <v>LlaveD89367371671100583632</v>
      </c>
      <c r="D1034" s="25" t="str">
        <f>VLOOKUP(E1034,'NO MODIFICAR'!J:K,2,0)</f>
        <v>D893</v>
      </c>
      <c r="E1034" s="102" t="s">
        <v>253</v>
      </c>
      <c r="F1034" s="33" t="str">
        <f>VLOOKUP(D1034,'NO MODIFICAR'!F:H,3,0)</f>
        <v>NORESTE</v>
      </c>
      <c r="G1034" s="28">
        <v>67371671</v>
      </c>
      <c r="H1034" s="93" t="s">
        <v>620</v>
      </c>
      <c r="I1034" s="94">
        <v>10058363</v>
      </c>
      <c r="J1034" s="4" t="str">
        <f>VLOOKUP(I1034,'Materiales,canteras'!C:D,2,0)</f>
        <v>ARENA BASALTO SÍLICE/CUARZO BL</v>
      </c>
      <c r="K1034" s="25">
        <f>VLOOKUP(I1034,'Materiales,canteras'!C:E,3,0)</f>
        <v>1.5109999999999999</v>
      </c>
      <c r="L1034" s="105">
        <v>70</v>
      </c>
      <c r="M1034" s="28" t="s">
        <v>93</v>
      </c>
      <c r="N1034" s="57">
        <f t="shared" ca="1" si="249"/>
        <v>46267</v>
      </c>
      <c r="O1034" s="43" t="s">
        <v>201</v>
      </c>
      <c r="R1034">
        <v>2.25</v>
      </c>
      <c r="S1034" s="82">
        <v>150</v>
      </c>
      <c r="T1034" s="66">
        <f t="shared" si="250"/>
        <v>-77.75</v>
      </c>
      <c r="U1034" s="46">
        <f t="shared" si="248"/>
        <v>70</v>
      </c>
      <c r="V1034" s="82">
        <v>0</v>
      </c>
      <c r="W1034" s="4">
        <v>2</v>
      </c>
      <c r="X1034" s="195">
        <f t="shared" si="244"/>
        <v>70</v>
      </c>
      <c r="Y1034" s="29" t="e">
        <f>IF(+VLOOKUP(I1034,P.Referencia!E:S,3,FALSE)&lt;=L1034,"Champion","Gerente")</f>
        <v>#N/A</v>
      </c>
      <c r="Z1034" s="39" t="e">
        <f>VLOOKUP(I1034,P.Referencia!E:S,3,0)</f>
        <v>#N/A</v>
      </c>
      <c r="AA1034" s="40" t="e">
        <f t="shared" si="245"/>
        <v>#N/A</v>
      </c>
      <c r="AB1034" s="41" t="e">
        <f t="shared" si="246"/>
        <v>#N/A</v>
      </c>
      <c r="AC1034" s="41" t="e">
        <f t="shared" si="247"/>
        <v>#N/A</v>
      </c>
    </row>
    <row r="1035" spans="1:29" hidden="1" x14ac:dyDescent="0.25">
      <c r="A1035" s="24">
        <v>1034</v>
      </c>
      <c r="B1035" s="89" t="s">
        <v>571</v>
      </c>
      <c r="C1035" s="4" t="str">
        <f t="shared" si="251"/>
        <v>LlaveD89365156365100512932</v>
      </c>
      <c r="D1035" s="25" t="str">
        <f>VLOOKUP(E1035,'NO MODIFICAR'!J:K,2,0)</f>
        <v>D893</v>
      </c>
      <c r="E1035" s="102" t="s">
        <v>253</v>
      </c>
      <c r="F1035" s="33" t="str">
        <f>VLOOKUP(D1035,'NO MODIFICAR'!F:H,3,0)</f>
        <v>NORESTE</v>
      </c>
      <c r="G1035" s="28">
        <v>65156365</v>
      </c>
      <c r="H1035" s="93" t="s">
        <v>621</v>
      </c>
      <c r="I1035" s="94">
        <v>10051293</v>
      </c>
      <c r="J1035" s="4" t="str">
        <f>VLOOKUP(I1035,'Materiales,canteras'!C:D,2,0)</f>
        <v>Grava Triturada Basalto 20 mm</v>
      </c>
      <c r="K1035" s="25">
        <f>VLOOKUP(I1035,'Materiales,canteras'!C:E,3,0)</f>
        <v>1.403</v>
      </c>
      <c r="L1035" s="105">
        <v>100</v>
      </c>
      <c r="M1035" s="28" t="s">
        <v>93</v>
      </c>
      <c r="N1035" s="57">
        <f t="shared" ca="1" si="249"/>
        <v>46267</v>
      </c>
      <c r="O1035" s="43" t="s">
        <v>201</v>
      </c>
      <c r="R1035">
        <v>8.4</v>
      </c>
      <c r="S1035" s="82">
        <v>210</v>
      </c>
      <c r="T1035" s="66">
        <f t="shared" si="250"/>
        <v>-101.6</v>
      </c>
      <c r="U1035" s="46">
        <f t="shared" ref="U1035:U1040" si="252">L1035</f>
        <v>100</v>
      </c>
      <c r="V1035" s="82">
        <v>0</v>
      </c>
      <c r="W1035" s="4">
        <v>2</v>
      </c>
      <c r="X1035" s="195">
        <f t="shared" ref="X1035:X1040" si="253">U1035+V1035</f>
        <v>100</v>
      </c>
      <c r="Y1035" s="29" t="e">
        <f>IF(+VLOOKUP(I1035,P.Referencia!E:S,3,FALSE)&lt;=L1035,"Champion","Gerente")</f>
        <v>#N/A</v>
      </c>
      <c r="Z1035" s="39" t="e">
        <f>VLOOKUP(I1035,P.Referencia!E:S,3,0)</f>
        <v>#N/A</v>
      </c>
      <c r="AA1035" s="40" t="e">
        <f t="shared" ref="AA1035:AA1040" si="254">(Z1035-U1035)/U1035</f>
        <v>#N/A</v>
      </c>
      <c r="AB1035" s="41" t="e">
        <f t="shared" ref="AB1035:AB1040" si="255">U1035*AA1035</f>
        <v>#N/A</v>
      </c>
      <c r="AC1035" s="41" t="e">
        <f t="shared" ref="AC1035:AC1040" si="256">U1035+AB1035</f>
        <v>#N/A</v>
      </c>
    </row>
    <row r="1036" spans="1:29" hidden="1" x14ac:dyDescent="0.25">
      <c r="A1036" s="24">
        <v>1035</v>
      </c>
      <c r="B1036" s="89" t="s">
        <v>571</v>
      </c>
      <c r="C1036" s="4" t="str">
        <f t="shared" si="251"/>
        <v>LlaveD86466440645100002402</v>
      </c>
      <c r="D1036" s="25" t="str">
        <f>VLOOKUP(E1036,'NO MODIFICAR'!J:K,2,0)</f>
        <v>D864</v>
      </c>
      <c r="E1036" s="102" t="s">
        <v>55</v>
      </c>
      <c r="F1036" s="33" t="str">
        <f>VLOOKUP(D1036,'NO MODIFICAR'!F:H,3,0)</f>
        <v xml:space="preserve">CENTRO </v>
      </c>
      <c r="G1036" s="28">
        <v>66440645</v>
      </c>
      <c r="H1036" s="93" t="s">
        <v>622</v>
      </c>
      <c r="I1036" s="94">
        <v>10000240</v>
      </c>
      <c r="J1036" s="4" t="str">
        <f>VLOOKUP(I1036,'Materiales,canteras'!C:D,2,0)</f>
        <v>Grava Triturada Caliza 20 mm -</v>
      </c>
      <c r="K1036" s="25">
        <f>VLOOKUP(I1036,'Materiales,canteras'!C:E,3,0)</f>
        <v>1.462</v>
      </c>
      <c r="L1036" s="105">
        <v>138</v>
      </c>
      <c r="M1036" s="28" t="s">
        <v>93</v>
      </c>
      <c r="N1036" s="57">
        <f t="shared" ca="1" si="249"/>
        <v>46267</v>
      </c>
      <c r="O1036" s="43" t="s">
        <v>201</v>
      </c>
      <c r="S1036" s="82">
        <v>294</v>
      </c>
      <c r="T1036" s="66">
        <f t="shared" si="250"/>
        <v>-156</v>
      </c>
      <c r="U1036" s="46">
        <f t="shared" si="252"/>
        <v>138</v>
      </c>
      <c r="V1036" s="82">
        <v>0</v>
      </c>
      <c r="W1036" s="4">
        <v>2</v>
      </c>
      <c r="X1036" s="195">
        <f t="shared" si="253"/>
        <v>138</v>
      </c>
      <c r="Y1036" s="29" t="e">
        <f>IF(+VLOOKUP(I1036,P.Referencia!E:S,3,FALSE)&lt;=L1036,"Champion","Gerente")</f>
        <v>#N/A</v>
      </c>
      <c r="Z1036" s="39" t="e">
        <f>VLOOKUP(I1036,P.Referencia!E:S,3,0)</f>
        <v>#N/A</v>
      </c>
      <c r="AA1036" s="40" t="e">
        <f t="shared" si="254"/>
        <v>#N/A</v>
      </c>
      <c r="AB1036" s="41" t="e">
        <f t="shared" si="255"/>
        <v>#N/A</v>
      </c>
      <c r="AC1036" s="41" t="e">
        <f t="shared" si="256"/>
        <v>#N/A</v>
      </c>
    </row>
    <row r="1037" spans="1:29" hidden="1" x14ac:dyDescent="0.25">
      <c r="A1037" s="24">
        <v>1036</v>
      </c>
      <c r="B1037" s="89" t="s">
        <v>571</v>
      </c>
      <c r="C1037" s="4" t="str">
        <f t="shared" si="251"/>
        <v>LlaveD86466440645100010742</v>
      </c>
      <c r="D1037" s="25" t="str">
        <f>VLOOKUP(E1037,'NO MODIFICAR'!J:K,2,0)</f>
        <v>D864</v>
      </c>
      <c r="E1037" s="102" t="s">
        <v>55</v>
      </c>
      <c r="F1037" s="33" t="str">
        <f>VLOOKUP(D1037,'NO MODIFICAR'!F:H,3,0)</f>
        <v xml:space="preserve">CENTRO </v>
      </c>
      <c r="G1037" s="28">
        <v>66440645</v>
      </c>
      <c r="H1037" s="93" t="s">
        <v>622</v>
      </c>
      <c r="I1037" s="94">
        <v>10001074</v>
      </c>
      <c r="J1037" s="4" t="str">
        <f>VLOOKUP(I1037,'Materiales,canteras'!C:D,2,0)</f>
        <v>Grava Triturada Caliza 40 mm -</v>
      </c>
      <c r="K1037" s="25">
        <f>VLOOKUP(I1037,'Materiales,canteras'!C:E,3,0)</f>
        <v>1.4</v>
      </c>
      <c r="L1037" s="105">
        <v>148</v>
      </c>
      <c r="M1037" s="28" t="s">
        <v>93</v>
      </c>
      <c r="N1037" s="57">
        <f t="shared" ca="1" si="249"/>
        <v>46267</v>
      </c>
      <c r="O1037" s="43" t="s">
        <v>201</v>
      </c>
      <c r="S1037" s="82">
        <v>231</v>
      </c>
      <c r="T1037" s="66">
        <f t="shared" si="250"/>
        <v>-83</v>
      </c>
      <c r="U1037" s="46">
        <f t="shared" si="252"/>
        <v>148</v>
      </c>
      <c r="V1037" s="82">
        <v>0</v>
      </c>
      <c r="W1037" s="4">
        <v>2</v>
      </c>
      <c r="X1037" s="195">
        <f t="shared" si="253"/>
        <v>148</v>
      </c>
      <c r="Y1037" s="29" t="e">
        <f>IF(+VLOOKUP(I1037,P.Referencia!E:S,3,FALSE)&lt;=L1037,"Champion","Gerente")</f>
        <v>#N/A</v>
      </c>
      <c r="Z1037" s="39" t="e">
        <f>VLOOKUP(I1037,P.Referencia!E:S,3,0)</f>
        <v>#N/A</v>
      </c>
      <c r="AA1037" s="40" t="e">
        <f t="shared" si="254"/>
        <v>#N/A</v>
      </c>
      <c r="AB1037" s="41" t="e">
        <f t="shared" si="255"/>
        <v>#N/A</v>
      </c>
      <c r="AC1037" s="41" t="e">
        <f t="shared" si="256"/>
        <v>#N/A</v>
      </c>
    </row>
    <row r="1038" spans="1:29" hidden="1" x14ac:dyDescent="0.25">
      <c r="A1038" s="24">
        <v>1037</v>
      </c>
      <c r="B1038" s="89" t="s">
        <v>571</v>
      </c>
      <c r="C1038" s="4" t="str">
        <f t="shared" si="251"/>
        <v>LlaveD86466440645100002362</v>
      </c>
      <c r="D1038" s="25" t="str">
        <f>VLOOKUP(E1038,'NO MODIFICAR'!J:K,2,0)</f>
        <v>D864</v>
      </c>
      <c r="E1038" s="102" t="s">
        <v>55</v>
      </c>
      <c r="F1038" s="33" t="str">
        <f>VLOOKUP(D1038,'NO MODIFICAR'!F:H,3,0)</f>
        <v xml:space="preserve">CENTRO </v>
      </c>
      <c r="G1038" s="28">
        <v>66440645</v>
      </c>
      <c r="H1038" s="93" t="s">
        <v>622</v>
      </c>
      <c r="I1038" s="94">
        <v>10000236</v>
      </c>
      <c r="J1038" s="4" t="str">
        <f>VLOOKUP(I1038,'Materiales,canteras'!C:D,2,0)</f>
        <v>Grava Triturada Caliza 10 mm -</v>
      </c>
      <c r="K1038" s="25">
        <f>VLOOKUP(I1038,'Materiales,canteras'!C:E,3,0)</f>
        <v>1.41</v>
      </c>
      <c r="L1038" s="105">
        <v>133</v>
      </c>
      <c r="M1038" s="28" t="s">
        <v>93</v>
      </c>
      <c r="N1038" s="57">
        <f t="shared" ca="1" si="249"/>
        <v>46267</v>
      </c>
      <c r="O1038" s="43" t="s">
        <v>201</v>
      </c>
      <c r="S1038" s="82">
        <v>252</v>
      </c>
      <c r="T1038" s="66">
        <f t="shared" si="250"/>
        <v>-119</v>
      </c>
      <c r="U1038" s="46">
        <f t="shared" si="252"/>
        <v>133</v>
      </c>
      <c r="V1038" s="82">
        <v>0</v>
      </c>
      <c r="W1038" s="4">
        <v>2</v>
      </c>
      <c r="X1038" s="195">
        <f t="shared" si="253"/>
        <v>133</v>
      </c>
      <c r="Y1038" s="29" t="e">
        <f>IF(+VLOOKUP(I1038,P.Referencia!E:S,3,FALSE)&lt;=L1038,"Champion","Gerente")</f>
        <v>#N/A</v>
      </c>
      <c r="Z1038" s="39" t="e">
        <f>VLOOKUP(I1038,P.Referencia!E:S,3,0)</f>
        <v>#N/A</v>
      </c>
      <c r="AA1038" s="40" t="e">
        <f t="shared" si="254"/>
        <v>#N/A</v>
      </c>
      <c r="AB1038" s="41" t="e">
        <f t="shared" si="255"/>
        <v>#N/A</v>
      </c>
      <c r="AC1038" s="41" t="e">
        <f t="shared" si="256"/>
        <v>#N/A</v>
      </c>
    </row>
    <row r="1039" spans="1:29" hidden="1" x14ac:dyDescent="0.25">
      <c r="A1039" s="24">
        <v>1038</v>
      </c>
      <c r="B1039" s="89" t="s">
        <v>571</v>
      </c>
      <c r="C1039" s="4" t="str">
        <f t="shared" si="251"/>
        <v>LlaveD86466440645100010732</v>
      </c>
      <c r="D1039" s="25" t="str">
        <f>VLOOKUP(E1039,'NO MODIFICAR'!J:K,2,0)</f>
        <v>D864</v>
      </c>
      <c r="E1039" s="102" t="s">
        <v>55</v>
      </c>
      <c r="F1039" s="33" t="str">
        <f>VLOOKUP(D1039,'NO MODIFICAR'!F:H,3,0)</f>
        <v xml:space="preserve">CENTRO </v>
      </c>
      <c r="G1039" s="28">
        <v>66440645</v>
      </c>
      <c r="H1039" s="93" t="s">
        <v>622</v>
      </c>
      <c r="I1039" s="94">
        <v>10001073</v>
      </c>
      <c r="J1039" s="4" t="str">
        <f>VLOOKUP(I1039,'Materiales,canteras'!C:D,2,0)</f>
        <v>Arena Triturada Caliza Malla 4</v>
      </c>
      <c r="K1039" s="25">
        <f>VLOOKUP(I1039,'Materiales,canteras'!C:E,3,0)</f>
        <v>1.56</v>
      </c>
      <c r="L1039" s="105">
        <v>98</v>
      </c>
      <c r="M1039" s="28" t="s">
        <v>93</v>
      </c>
      <c r="N1039" s="57">
        <f t="shared" ca="1" si="249"/>
        <v>46267</v>
      </c>
      <c r="O1039" s="43" t="s">
        <v>201</v>
      </c>
      <c r="S1039" s="82">
        <v>158</v>
      </c>
      <c r="T1039" s="66">
        <f t="shared" si="250"/>
        <v>-60</v>
      </c>
      <c r="U1039" s="46">
        <f t="shared" si="252"/>
        <v>98</v>
      </c>
      <c r="V1039" s="82">
        <v>0</v>
      </c>
      <c r="W1039" s="4">
        <v>2</v>
      </c>
      <c r="X1039" s="195">
        <f t="shared" si="253"/>
        <v>98</v>
      </c>
      <c r="Y1039" s="29" t="e">
        <f>IF(+VLOOKUP(I1039,P.Referencia!E:S,3,FALSE)&lt;=L1039,"Champion","Gerente")</f>
        <v>#N/A</v>
      </c>
      <c r="Z1039" s="39" t="e">
        <f>VLOOKUP(I1039,P.Referencia!E:S,3,0)</f>
        <v>#N/A</v>
      </c>
      <c r="AA1039" s="40" t="e">
        <f t="shared" si="254"/>
        <v>#N/A</v>
      </c>
      <c r="AB1039" s="41" t="e">
        <f t="shared" si="255"/>
        <v>#N/A</v>
      </c>
      <c r="AC1039" s="41" t="e">
        <f t="shared" si="256"/>
        <v>#N/A</v>
      </c>
    </row>
    <row r="1040" spans="1:29" hidden="1" x14ac:dyDescent="0.25">
      <c r="A1040" s="24">
        <v>1039</v>
      </c>
      <c r="B1040" s="89" t="s">
        <v>571</v>
      </c>
      <c r="C1040" s="4" t="str">
        <f t="shared" si="251"/>
        <v>LlaveD86466440645100002692</v>
      </c>
      <c r="D1040" s="25" t="str">
        <f>VLOOKUP(E1040,'NO MODIFICAR'!J:K,2,0)</f>
        <v>D864</v>
      </c>
      <c r="E1040" s="102" t="s">
        <v>55</v>
      </c>
      <c r="F1040" s="33" t="str">
        <f>VLOOKUP(D1040,'NO MODIFICAR'!F:H,3,0)</f>
        <v xml:space="preserve">CENTRO </v>
      </c>
      <c r="G1040" s="28">
        <v>66440645</v>
      </c>
      <c r="H1040" s="93" t="s">
        <v>622</v>
      </c>
      <c r="I1040" s="94">
        <v>10000269</v>
      </c>
      <c r="J1040" s="4" t="str">
        <f>VLOOKUP(I1040,'Materiales,canteras'!C:D,2,0)</f>
        <v>Grava Triturada Caliza 13 mm -</v>
      </c>
      <c r="K1040" s="25">
        <f>VLOOKUP(I1040,'Materiales,canteras'!C:E,3,0)</f>
        <v>1.423</v>
      </c>
      <c r="L1040" s="105">
        <v>153.5</v>
      </c>
      <c r="M1040" s="28" t="s">
        <v>93</v>
      </c>
      <c r="N1040" s="57">
        <f t="shared" ca="1" si="249"/>
        <v>46267</v>
      </c>
      <c r="O1040" s="43" t="s">
        <v>201</v>
      </c>
      <c r="S1040" s="82">
        <v>263</v>
      </c>
      <c r="T1040" s="66">
        <f t="shared" si="250"/>
        <v>-109.5</v>
      </c>
      <c r="U1040" s="46">
        <f t="shared" si="252"/>
        <v>153.5</v>
      </c>
      <c r="V1040" s="82">
        <v>0</v>
      </c>
      <c r="W1040" s="4">
        <v>2</v>
      </c>
      <c r="X1040" s="195">
        <f t="shared" si="253"/>
        <v>153.5</v>
      </c>
      <c r="Y1040" s="29" t="e">
        <f>IF(+VLOOKUP(I1040,P.Referencia!E:S,3,FALSE)&lt;=L1040,"Champion","Gerente")</f>
        <v>#N/A</v>
      </c>
      <c r="Z1040" s="39" t="e">
        <f>VLOOKUP(I1040,P.Referencia!E:S,3,0)</f>
        <v>#N/A</v>
      </c>
      <c r="AA1040" s="40" t="e">
        <f t="shared" si="254"/>
        <v>#N/A</v>
      </c>
      <c r="AB1040" s="41" t="e">
        <f t="shared" si="255"/>
        <v>#N/A</v>
      </c>
      <c r="AC1040" s="41" t="e">
        <f t="shared" si="256"/>
        <v>#N/A</v>
      </c>
    </row>
    <row r="1041" spans="1:30" hidden="1" x14ac:dyDescent="0.25">
      <c r="A1041" s="24">
        <v>1040</v>
      </c>
      <c r="B1041" s="89" t="s">
        <v>571</v>
      </c>
      <c r="C1041" s="4" t="str">
        <f t="shared" si="251"/>
        <v>LlaveD81667372224100002482</v>
      </c>
      <c r="D1041" s="25" t="str">
        <f>VLOOKUP(E1041,'NO MODIFICAR'!J:K,2,0)</f>
        <v>D816</v>
      </c>
      <c r="E1041" s="102" t="s">
        <v>15</v>
      </c>
      <c r="F1041" s="33" t="str">
        <f>VLOOKUP(D1041,'NO MODIFICAR'!F:H,3,0)</f>
        <v>NORESTE</v>
      </c>
      <c r="G1041" s="28">
        <v>67372224</v>
      </c>
      <c r="H1041" s="93" t="s">
        <v>623</v>
      </c>
      <c r="I1041" s="94">
        <v>10000248</v>
      </c>
      <c r="J1041" s="4" t="str">
        <f>VLOOKUP(I1041,'Materiales,canteras'!C:D,2,0)</f>
        <v>Sub-base Triturado Caliza 1 1/2" a Finos</v>
      </c>
      <c r="K1041" s="25">
        <f>VLOOKUP(I1041,'Materiales,canteras'!C:E,3,0)</f>
        <v>1.821</v>
      </c>
      <c r="L1041" s="105">
        <v>295</v>
      </c>
      <c r="M1041" s="28" t="s">
        <v>93</v>
      </c>
      <c r="N1041" s="57">
        <f t="shared" ca="1" si="249"/>
        <v>46267</v>
      </c>
      <c r="O1041" s="43" t="s">
        <v>201</v>
      </c>
      <c r="R1041">
        <v>16.100000000000001</v>
      </c>
      <c r="S1041" s="82">
        <v>322</v>
      </c>
      <c r="T1041" s="66">
        <f t="shared" ref="T1041:T1079" si="257">L1041-((S1041-P1041)-(Q1041)-(R1041))</f>
        <v>-10.899999999999977</v>
      </c>
      <c r="U1041" s="46">
        <f t="shared" ref="U1041:U1079" si="258">L1041</f>
        <v>295</v>
      </c>
      <c r="V1041" s="82">
        <v>72.17</v>
      </c>
      <c r="W1041" s="4">
        <v>2</v>
      </c>
      <c r="X1041" s="195">
        <f t="shared" ref="X1041:X1079" si="259">U1041+V1041</f>
        <v>367.17</v>
      </c>
      <c r="Y1041" s="29" t="e">
        <f>IF(+VLOOKUP(I1041,P.Referencia!E:S,3,FALSE)&lt;=L1041,"Champion","Gerente")</f>
        <v>#N/A</v>
      </c>
      <c r="Z1041" s="39" t="e">
        <f>VLOOKUP(I1041,P.Referencia!E:S,3,0)</f>
        <v>#N/A</v>
      </c>
      <c r="AA1041" s="40" t="e">
        <f t="shared" ref="AA1041:AA1079" si="260">(Z1041-U1041)/U1041</f>
        <v>#N/A</v>
      </c>
      <c r="AB1041" s="41" t="e">
        <f t="shared" ref="AB1041:AB1079" si="261">U1041*AA1041</f>
        <v>#N/A</v>
      </c>
      <c r="AC1041" s="41" t="e">
        <f t="shared" ref="AC1041:AC1079" si="262">U1041+AB1041</f>
        <v>#N/A</v>
      </c>
    </row>
    <row r="1042" spans="1:30" hidden="1" x14ac:dyDescent="0.25">
      <c r="A1042" s="24">
        <v>1041</v>
      </c>
      <c r="B1042" s="89" t="s">
        <v>571</v>
      </c>
      <c r="C1042" s="4" t="str">
        <f t="shared" ref="C1042:C1082" si="263">_xlfn.CONCAT($C$1,D1042,G1042,I1042,W1042)</f>
        <v>LlaveD81667372224100002622</v>
      </c>
      <c r="D1042" s="25" t="str">
        <f>VLOOKUP(E1042,'NO MODIFICAR'!J:K,2,0)</f>
        <v>D816</v>
      </c>
      <c r="E1042" s="102" t="s">
        <v>15</v>
      </c>
      <c r="F1042" s="33" t="str">
        <f>VLOOKUP(D1042,'NO MODIFICAR'!F:H,3,0)</f>
        <v>NORESTE</v>
      </c>
      <c r="G1042" s="28">
        <v>67372224</v>
      </c>
      <c r="H1042" s="93" t="s">
        <v>623</v>
      </c>
      <c r="I1042" s="94">
        <v>10000262</v>
      </c>
      <c r="J1042" s="4" t="str">
        <f>VLOOKUP(I1042,'Materiales,canteras'!C:D,2,0)</f>
        <v>Base H Triturada Caliza 1 1/2"</v>
      </c>
      <c r="K1042" s="25">
        <f>VLOOKUP(I1042,'Materiales,canteras'!C:E,3,0)</f>
        <v>1.821</v>
      </c>
      <c r="L1042" s="105">
        <v>300</v>
      </c>
      <c r="M1042" s="28" t="s">
        <v>93</v>
      </c>
      <c r="N1042" s="57">
        <f t="shared" ca="1" si="249"/>
        <v>46267</v>
      </c>
      <c r="O1042" s="43" t="s">
        <v>201</v>
      </c>
      <c r="R1042">
        <v>17.850000000000001</v>
      </c>
      <c r="S1042" s="82">
        <v>357</v>
      </c>
      <c r="T1042" s="66">
        <f t="shared" si="257"/>
        <v>-39.149999999999977</v>
      </c>
      <c r="U1042" s="46">
        <f t="shared" si="258"/>
        <v>300</v>
      </c>
      <c r="V1042" s="82">
        <v>72.17</v>
      </c>
      <c r="W1042" s="4">
        <v>2</v>
      </c>
      <c r="X1042" s="195">
        <f t="shared" si="259"/>
        <v>372.17</v>
      </c>
      <c r="Y1042" s="29" t="e">
        <f>IF(+VLOOKUP(I1042,P.Referencia!E:S,3,FALSE)&lt;=L1042,"Champion","Gerente")</f>
        <v>#N/A</v>
      </c>
      <c r="Z1042" s="39" t="e">
        <f>VLOOKUP(I1042,P.Referencia!E:S,3,0)</f>
        <v>#N/A</v>
      </c>
      <c r="AA1042" s="40" t="e">
        <f t="shared" si="260"/>
        <v>#N/A</v>
      </c>
      <c r="AB1042" s="41" t="e">
        <f t="shared" si="261"/>
        <v>#N/A</v>
      </c>
      <c r="AC1042" s="41" t="e">
        <f t="shared" si="262"/>
        <v>#N/A</v>
      </c>
    </row>
    <row r="1043" spans="1:30" hidden="1" x14ac:dyDescent="0.25">
      <c r="A1043" s="24">
        <v>1042</v>
      </c>
      <c r="B1043" s="89" t="s">
        <v>571</v>
      </c>
      <c r="C1043" s="4" t="str">
        <f t="shared" si="263"/>
        <v>LlaveD81667372224100364882</v>
      </c>
      <c r="D1043" s="25" t="str">
        <f>VLOOKUP(E1043,'NO MODIFICAR'!J:K,2,0)</f>
        <v>D816</v>
      </c>
      <c r="E1043" s="102" t="s">
        <v>15</v>
      </c>
      <c r="F1043" s="33" t="str">
        <f>VLOOKUP(D1043,'NO MODIFICAR'!F:H,3,0)</f>
        <v>NORESTE</v>
      </c>
      <c r="G1043" s="28">
        <v>67372224</v>
      </c>
      <c r="H1043" s="93" t="s">
        <v>623</v>
      </c>
      <c r="I1043" s="94">
        <v>10036488</v>
      </c>
      <c r="J1043" s="4" t="str">
        <f>VLOOKUP(I1043,'Materiales,canteras'!C:D,2,0)</f>
        <v>Base H Trit Caliza 3/4" a Fino</v>
      </c>
      <c r="K1043" s="25">
        <f>VLOOKUP(I1043,'Materiales,canteras'!C:E,3,0)</f>
        <v>1.78</v>
      </c>
      <c r="L1043" s="105">
        <v>300</v>
      </c>
      <c r="M1043" s="28" t="s">
        <v>93</v>
      </c>
      <c r="N1043" s="57">
        <f t="shared" ca="1" si="249"/>
        <v>46267</v>
      </c>
      <c r="O1043" s="43" t="s">
        <v>201</v>
      </c>
      <c r="R1043">
        <v>17.850000000000001</v>
      </c>
      <c r="S1043" s="82">
        <v>357</v>
      </c>
      <c r="T1043" s="66">
        <f t="shared" si="257"/>
        <v>-39.149999999999977</v>
      </c>
      <c r="U1043" s="46">
        <f t="shared" si="258"/>
        <v>300</v>
      </c>
      <c r="V1043" s="82">
        <v>72.17</v>
      </c>
      <c r="W1043" s="4">
        <v>2</v>
      </c>
      <c r="X1043" s="195">
        <f t="shared" si="259"/>
        <v>372.17</v>
      </c>
      <c r="Y1043" s="29" t="e">
        <f>IF(+VLOOKUP(I1043,P.Referencia!E:S,3,FALSE)&lt;=L1043,"Champion","Gerente")</f>
        <v>#N/A</v>
      </c>
      <c r="Z1043" s="39" t="e">
        <f>VLOOKUP(I1043,P.Referencia!E:S,3,0)</f>
        <v>#N/A</v>
      </c>
      <c r="AA1043" s="40" t="e">
        <f t="shared" si="260"/>
        <v>#N/A</v>
      </c>
      <c r="AB1043" s="41" t="e">
        <f t="shared" si="261"/>
        <v>#N/A</v>
      </c>
      <c r="AC1043" s="41" t="e">
        <f t="shared" si="262"/>
        <v>#N/A</v>
      </c>
    </row>
    <row r="1044" spans="1:30" hidden="1" x14ac:dyDescent="0.25">
      <c r="A1044" s="24">
        <v>1043</v>
      </c>
      <c r="B1044" s="89" t="s">
        <v>571</v>
      </c>
      <c r="C1044" s="4" t="str">
        <f t="shared" si="263"/>
        <v>LlaveD81667372224100001242</v>
      </c>
      <c r="D1044" s="25" t="str">
        <f>VLOOKUP(E1044,'NO MODIFICAR'!J:K,2,0)</f>
        <v>D816</v>
      </c>
      <c r="E1044" s="102" t="s">
        <v>15</v>
      </c>
      <c r="F1044" s="33" t="str">
        <f>VLOOKUP(D1044,'NO MODIFICAR'!F:H,3,0)</f>
        <v>NORESTE</v>
      </c>
      <c r="G1044" s="28">
        <v>67372224</v>
      </c>
      <c r="H1044" s="93" t="s">
        <v>623</v>
      </c>
      <c r="I1044" s="94">
        <v>10000124</v>
      </c>
      <c r="J1044" s="4" t="str">
        <f>VLOOKUP(I1044,'Materiales,canteras'!C:D,2,0)</f>
        <v>Arena Triturada Caliza Malla 4</v>
      </c>
      <c r="K1044" s="25">
        <f>VLOOKUP(I1044,'Materiales,canteras'!C:E,3,0)</f>
        <v>1.7390000000000001</v>
      </c>
      <c r="L1044" s="105">
        <v>305</v>
      </c>
      <c r="M1044" s="28" t="s">
        <v>93</v>
      </c>
      <c r="N1044" s="57">
        <f t="shared" ca="1" si="249"/>
        <v>46267</v>
      </c>
      <c r="O1044" s="43" t="s">
        <v>201</v>
      </c>
      <c r="R1044">
        <v>24.75</v>
      </c>
      <c r="S1044" s="82">
        <v>495</v>
      </c>
      <c r="T1044" s="66">
        <f t="shared" si="257"/>
        <v>-165.25</v>
      </c>
      <c r="U1044" s="46">
        <f t="shared" si="258"/>
        <v>305</v>
      </c>
      <c r="V1044" s="82">
        <v>72.17</v>
      </c>
      <c r="W1044" s="4">
        <v>2</v>
      </c>
      <c r="X1044" s="195">
        <f t="shared" si="259"/>
        <v>377.17</v>
      </c>
      <c r="Y1044" s="29" t="e">
        <f>IF(+VLOOKUP(I1044,P.Referencia!E:S,3,FALSE)&lt;=L1044,"Champion","Gerente")</f>
        <v>#N/A</v>
      </c>
      <c r="Z1044" s="39" t="e">
        <f>VLOOKUP(I1044,P.Referencia!E:S,3,0)</f>
        <v>#N/A</v>
      </c>
      <c r="AA1044" s="40" t="e">
        <f t="shared" si="260"/>
        <v>#N/A</v>
      </c>
      <c r="AB1044" s="41" t="e">
        <f t="shared" si="261"/>
        <v>#N/A</v>
      </c>
      <c r="AC1044" s="41" t="e">
        <f t="shared" si="262"/>
        <v>#N/A</v>
      </c>
    </row>
    <row r="1045" spans="1:30" hidden="1" x14ac:dyDescent="0.25">
      <c r="A1045" s="24">
        <v>1044</v>
      </c>
      <c r="B1045" s="89" t="s">
        <v>571</v>
      </c>
      <c r="C1045" s="4" t="str">
        <f t="shared" si="263"/>
        <v>LlaveD81667372224100002602</v>
      </c>
      <c r="D1045" s="25" t="str">
        <f>VLOOKUP(E1045,'NO MODIFICAR'!J:K,2,0)</f>
        <v>D816</v>
      </c>
      <c r="E1045" s="102" t="s">
        <v>15</v>
      </c>
      <c r="F1045" s="33" t="str">
        <f>VLOOKUP(D1045,'NO MODIFICAR'!F:H,3,0)</f>
        <v>NORESTE</v>
      </c>
      <c r="G1045" s="28">
        <v>67372224</v>
      </c>
      <c r="H1045" s="93" t="s">
        <v>623</v>
      </c>
      <c r="I1045" s="94">
        <v>10000260</v>
      </c>
      <c r="J1045" s="4" t="str">
        <f>VLOOKUP(I1045,'Materiales,canteras'!C:D,2,0)</f>
        <v>Arena Triturada Caliza Malla 5</v>
      </c>
      <c r="K1045" s="25">
        <f>VLOOKUP(I1045,'Materiales,canteras'!C:E,3,0)</f>
        <v>1.72</v>
      </c>
      <c r="L1045" s="105">
        <v>412</v>
      </c>
      <c r="M1045" s="28" t="s">
        <v>93</v>
      </c>
      <c r="N1045" s="57">
        <f t="shared" ca="1" si="249"/>
        <v>46267</v>
      </c>
      <c r="O1045" s="43" t="s">
        <v>201</v>
      </c>
      <c r="R1045">
        <v>24.75</v>
      </c>
      <c r="S1045" s="82">
        <v>495</v>
      </c>
      <c r="T1045" s="66">
        <f t="shared" si="257"/>
        <v>-58.25</v>
      </c>
      <c r="U1045" s="46">
        <f t="shared" si="258"/>
        <v>412</v>
      </c>
      <c r="V1045" s="82">
        <v>72.17</v>
      </c>
      <c r="W1045" s="4">
        <v>2</v>
      </c>
      <c r="X1045" s="195">
        <f t="shared" si="259"/>
        <v>484.17</v>
      </c>
      <c r="Y1045" s="29" t="e">
        <f>IF(+VLOOKUP(I1045,P.Referencia!E:S,3,FALSE)&lt;=L1045,"Champion","Gerente")</f>
        <v>#N/A</v>
      </c>
      <c r="Z1045" s="39" t="e">
        <f>VLOOKUP(I1045,P.Referencia!E:S,3,0)</f>
        <v>#N/A</v>
      </c>
      <c r="AA1045" s="40" t="e">
        <f t="shared" si="260"/>
        <v>#N/A</v>
      </c>
      <c r="AB1045" s="41" t="e">
        <f t="shared" si="261"/>
        <v>#N/A</v>
      </c>
      <c r="AC1045" s="41" t="e">
        <f t="shared" si="262"/>
        <v>#N/A</v>
      </c>
    </row>
    <row r="1046" spans="1:30" hidden="1" x14ac:dyDescent="0.25">
      <c r="A1046" s="24">
        <v>1045</v>
      </c>
      <c r="B1046" s="89" t="s">
        <v>571</v>
      </c>
      <c r="C1046" s="4" t="str">
        <f t="shared" si="263"/>
        <v>LlaveD81667372224100002412</v>
      </c>
      <c r="D1046" s="25" t="str">
        <f>VLOOKUP(E1046,'NO MODIFICAR'!J:K,2,0)</f>
        <v>D816</v>
      </c>
      <c r="E1046" s="102" t="s">
        <v>15</v>
      </c>
      <c r="F1046" s="33" t="str">
        <f>VLOOKUP(D1046,'NO MODIFICAR'!F:H,3,0)</f>
        <v>NORESTE</v>
      </c>
      <c r="G1046" s="28">
        <v>67372224</v>
      </c>
      <c r="H1046" s="93" t="s">
        <v>623</v>
      </c>
      <c r="I1046" s="94">
        <v>10000241</v>
      </c>
      <c r="J1046" s="4" t="str">
        <f>VLOOKUP(I1046,'Materiales,canteras'!C:D,2,0)</f>
        <v>Grava Triturada Caliza 20 mm -</v>
      </c>
      <c r="K1046" s="25">
        <f>VLOOKUP(I1046,'Materiales,canteras'!C:E,3,0)</f>
        <v>1.43</v>
      </c>
      <c r="L1046" s="105">
        <v>324.10000000000002</v>
      </c>
      <c r="M1046" s="28" t="s">
        <v>93</v>
      </c>
      <c r="N1046" s="57">
        <f t="shared" ca="1" si="249"/>
        <v>46267</v>
      </c>
      <c r="O1046" s="43" t="s">
        <v>201</v>
      </c>
      <c r="R1046">
        <v>20.7</v>
      </c>
      <c r="S1046" s="82">
        <v>414</v>
      </c>
      <c r="T1046" s="66">
        <f t="shared" si="257"/>
        <v>-69.199999999999989</v>
      </c>
      <c r="U1046" s="46">
        <f t="shared" si="258"/>
        <v>324.10000000000002</v>
      </c>
      <c r="V1046" s="82">
        <v>72.17</v>
      </c>
      <c r="W1046" s="4">
        <v>2</v>
      </c>
      <c r="X1046" s="195">
        <f t="shared" si="259"/>
        <v>396.27000000000004</v>
      </c>
      <c r="Y1046" s="29" t="e">
        <f>IF(+VLOOKUP(I1046,P.Referencia!E:S,3,FALSE)&lt;=L1046,"Champion","Gerente")</f>
        <v>#N/A</v>
      </c>
      <c r="Z1046" s="39" t="e">
        <f>VLOOKUP(I1046,P.Referencia!E:S,3,0)</f>
        <v>#N/A</v>
      </c>
      <c r="AA1046" s="40" t="e">
        <f t="shared" si="260"/>
        <v>#N/A</v>
      </c>
      <c r="AB1046" s="41" t="e">
        <f t="shared" si="261"/>
        <v>#N/A</v>
      </c>
      <c r="AC1046" s="41" t="e">
        <f t="shared" si="262"/>
        <v>#N/A</v>
      </c>
    </row>
    <row r="1047" spans="1:30" hidden="1" x14ac:dyDescent="0.25">
      <c r="A1047" s="24">
        <v>1046</v>
      </c>
      <c r="B1047" s="89" t="s">
        <v>571</v>
      </c>
      <c r="C1047" s="4" t="str">
        <f t="shared" si="263"/>
        <v>LlaveD81667372224100012222</v>
      </c>
      <c r="D1047" s="25" t="str">
        <f>VLOOKUP(E1047,'NO MODIFICAR'!J:K,2,0)</f>
        <v>D816</v>
      </c>
      <c r="E1047" s="102" t="s">
        <v>15</v>
      </c>
      <c r="F1047" s="33" t="str">
        <f>VLOOKUP(D1047,'NO MODIFICAR'!F:H,3,0)</f>
        <v>NORESTE</v>
      </c>
      <c r="G1047" s="28">
        <v>67372224</v>
      </c>
      <c r="H1047" s="93" t="s">
        <v>623</v>
      </c>
      <c r="I1047" s="94">
        <v>10001222</v>
      </c>
      <c r="J1047" s="4" t="str">
        <f>VLOOKUP(I1047,'Materiales,canteras'!C:D,2,0)</f>
        <v>Mixto Grava 3/4 - Arena 4</v>
      </c>
      <c r="K1047" s="25">
        <f>VLOOKUP(I1047,'Materiales,canteras'!C:E,3,0)</f>
        <v>1.613</v>
      </c>
      <c r="L1047" s="105">
        <v>300</v>
      </c>
      <c r="M1047" s="28" t="s">
        <v>93</v>
      </c>
      <c r="N1047" s="57">
        <f t="shared" ca="1" si="249"/>
        <v>46267</v>
      </c>
      <c r="O1047" s="43" t="s">
        <v>201</v>
      </c>
      <c r="Q1047">
        <v>26.6</v>
      </c>
      <c r="R1047">
        <v>19</v>
      </c>
      <c r="S1047" s="82">
        <v>380</v>
      </c>
      <c r="T1047" s="66">
        <f t="shared" si="257"/>
        <v>-34.399999999999977</v>
      </c>
      <c r="U1047" s="46">
        <f t="shared" si="258"/>
        <v>300</v>
      </c>
      <c r="V1047" s="82">
        <v>72.17</v>
      </c>
      <c r="W1047" s="4">
        <v>2</v>
      </c>
      <c r="X1047" s="195">
        <f t="shared" si="259"/>
        <v>372.17</v>
      </c>
      <c r="Y1047" s="29" t="e">
        <f>IF(+VLOOKUP(I1047,P.Referencia!E:S,3,FALSE)&lt;=L1047,"Champion","Gerente")</f>
        <v>#N/A</v>
      </c>
      <c r="Z1047" s="39" t="e">
        <f>VLOOKUP(I1047,P.Referencia!E:S,3,0)</f>
        <v>#N/A</v>
      </c>
      <c r="AA1047" s="40" t="e">
        <f t="shared" si="260"/>
        <v>#N/A</v>
      </c>
      <c r="AB1047" s="41" t="e">
        <f t="shared" si="261"/>
        <v>#N/A</v>
      </c>
      <c r="AC1047" s="41" t="e">
        <f t="shared" si="262"/>
        <v>#N/A</v>
      </c>
    </row>
    <row r="1048" spans="1:30" hidden="1" x14ac:dyDescent="0.25">
      <c r="A1048" s="24">
        <v>1047</v>
      </c>
      <c r="B1048" s="89" t="s">
        <v>571</v>
      </c>
      <c r="C1048" s="4" t="str">
        <f t="shared" si="263"/>
        <v>LlaveD81667372224100012012</v>
      </c>
      <c r="D1048" s="25" t="str">
        <f>VLOOKUP(E1048,'NO MODIFICAR'!J:K,2,0)</f>
        <v>D816</v>
      </c>
      <c r="E1048" s="102" t="s">
        <v>15</v>
      </c>
      <c r="F1048" s="33" t="str">
        <f>VLOOKUP(D1048,'NO MODIFICAR'!F:H,3,0)</f>
        <v>NORESTE</v>
      </c>
      <c r="G1048" s="28">
        <v>67372224</v>
      </c>
      <c r="H1048" s="93" t="s">
        <v>623</v>
      </c>
      <c r="I1048" s="94">
        <v>10001201</v>
      </c>
      <c r="J1048" s="4" t="str">
        <f>VLOOKUP(I1048,'Materiales,canteras'!C:D,2,0)</f>
        <v>No Clasificado Triturado Caliz</v>
      </c>
      <c r="K1048" s="25">
        <f>VLOOKUP(I1048,'Materiales,canteras'!C:E,3,0)</f>
        <v>1.698</v>
      </c>
      <c r="L1048" s="105">
        <v>273</v>
      </c>
      <c r="M1048" s="28" t="s">
        <v>93</v>
      </c>
      <c r="N1048" s="57">
        <f t="shared" ca="1" si="249"/>
        <v>46267</v>
      </c>
      <c r="O1048" s="43" t="s">
        <v>201</v>
      </c>
      <c r="R1048">
        <v>17.55</v>
      </c>
      <c r="S1048" s="82">
        <v>351</v>
      </c>
      <c r="T1048" s="66">
        <f t="shared" si="257"/>
        <v>-60.449999999999989</v>
      </c>
      <c r="U1048" s="46">
        <f t="shared" si="258"/>
        <v>273</v>
      </c>
      <c r="V1048" s="82">
        <v>72.17</v>
      </c>
      <c r="W1048" s="4">
        <v>2</v>
      </c>
      <c r="X1048" s="195">
        <f t="shared" si="259"/>
        <v>345.17</v>
      </c>
      <c r="Y1048" s="29" t="e">
        <f>IF(+VLOOKUP(I1048,P.Referencia!E:S,3,FALSE)&lt;=L1048,"Champion","Gerente")</f>
        <v>#N/A</v>
      </c>
      <c r="Z1048" s="39" t="e">
        <f>VLOOKUP(I1048,P.Referencia!E:S,3,0)</f>
        <v>#N/A</v>
      </c>
      <c r="AA1048" s="40" t="e">
        <f t="shared" si="260"/>
        <v>#N/A</v>
      </c>
      <c r="AB1048" s="41" t="e">
        <f t="shared" si="261"/>
        <v>#N/A</v>
      </c>
      <c r="AC1048" s="41" t="e">
        <f t="shared" si="262"/>
        <v>#N/A</v>
      </c>
    </row>
    <row r="1049" spans="1:30" hidden="1" x14ac:dyDescent="0.25">
      <c r="A1049" s="24">
        <v>1048</v>
      </c>
      <c r="B1049" s="89" t="s">
        <v>571</v>
      </c>
      <c r="C1049" s="4" t="str">
        <f t="shared" si="263"/>
        <v>LlaveD86167364954100002291</v>
      </c>
      <c r="D1049" s="25" t="str">
        <f>VLOOKUP(E1049,'NO MODIFICAR'!J:K,2,0)</f>
        <v>D861</v>
      </c>
      <c r="E1049" s="102" t="s">
        <v>44</v>
      </c>
      <c r="F1049" s="33" t="str">
        <f>VLOOKUP(D1049,'NO MODIFICAR'!F:H,3,0)</f>
        <v xml:space="preserve">CENTRO </v>
      </c>
      <c r="G1049" s="28">
        <v>67364954</v>
      </c>
      <c r="H1049" s="93" t="s">
        <v>624</v>
      </c>
      <c r="I1049" s="94">
        <v>10000229</v>
      </c>
      <c r="J1049" s="4" t="str">
        <f>VLOOKUP(I1049,'Materiales,canteras'!C:D,2,0)</f>
        <v>Grava Triturada Basalto  10 mm</v>
      </c>
      <c r="K1049" s="25">
        <f>VLOOKUP(I1049,'Materiales,canteras'!C:E,3,0)</f>
        <v>1.522</v>
      </c>
      <c r="L1049" s="105">
        <v>235</v>
      </c>
      <c r="M1049" s="28" t="s">
        <v>93</v>
      </c>
      <c r="N1049" s="57">
        <f t="shared" ca="1" si="249"/>
        <v>46267</v>
      </c>
      <c r="O1049" s="43" t="s">
        <v>201</v>
      </c>
      <c r="R1049">
        <v>5.28</v>
      </c>
      <c r="S1049" s="82">
        <v>352</v>
      </c>
      <c r="T1049" s="66">
        <f t="shared" si="257"/>
        <v>-111.72000000000003</v>
      </c>
      <c r="U1049" s="46">
        <f t="shared" si="258"/>
        <v>235</v>
      </c>
      <c r="V1049" s="82">
        <v>101.16</v>
      </c>
      <c r="W1049" s="4">
        <v>1</v>
      </c>
      <c r="X1049" s="195">
        <f t="shared" si="259"/>
        <v>336.15999999999997</v>
      </c>
      <c r="Y1049" s="29" t="e">
        <f>IF(+VLOOKUP(I1049,P.Referencia!E:S,3,FALSE)&lt;=L1049,"Champion","Gerente")</f>
        <v>#N/A</v>
      </c>
      <c r="Z1049" s="39" t="e">
        <f>VLOOKUP(I1049,P.Referencia!E:S,3,0)</f>
        <v>#N/A</v>
      </c>
      <c r="AA1049" s="40" t="e">
        <f t="shared" si="260"/>
        <v>#N/A</v>
      </c>
      <c r="AB1049" s="41" t="e">
        <f t="shared" si="261"/>
        <v>#N/A</v>
      </c>
      <c r="AC1049" s="41" t="e">
        <f t="shared" si="262"/>
        <v>#N/A</v>
      </c>
    </row>
    <row r="1050" spans="1:30" hidden="1" x14ac:dyDescent="0.25">
      <c r="A1050" s="24">
        <v>1049</v>
      </c>
      <c r="B1050" s="89" t="s">
        <v>571</v>
      </c>
      <c r="C1050" s="4" t="str">
        <f t="shared" si="263"/>
        <v>LlaveD86167364954100002311</v>
      </c>
      <c r="D1050" s="25" t="str">
        <f>VLOOKUP(E1050,'NO MODIFICAR'!J:K,2,0)</f>
        <v>D861</v>
      </c>
      <c r="E1050" s="102" t="s">
        <v>44</v>
      </c>
      <c r="F1050" s="33" t="str">
        <f>VLOOKUP(D1050,'NO MODIFICAR'!F:H,3,0)</f>
        <v xml:space="preserve">CENTRO </v>
      </c>
      <c r="G1050" s="28">
        <v>67364954</v>
      </c>
      <c r="H1050" s="93" t="s">
        <v>624</v>
      </c>
      <c r="I1050" s="94">
        <v>10000231</v>
      </c>
      <c r="J1050" s="4" t="str">
        <f>VLOOKUP(I1050,'Materiales,canteras'!C:D,2,0)</f>
        <v>Grava Triturada Basalto 20 mm</v>
      </c>
      <c r="K1050" s="25">
        <f>VLOOKUP(I1050,'Materiales,canteras'!C:E,3,0)</f>
        <v>1.5649999999999999</v>
      </c>
      <c r="L1050" s="105">
        <v>225</v>
      </c>
      <c r="M1050" s="28" t="s">
        <v>93</v>
      </c>
      <c r="N1050" s="57">
        <f t="shared" ca="1" si="249"/>
        <v>46267</v>
      </c>
      <c r="O1050" s="43" t="s">
        <v>201</v>
      </c>
      <c r="R1050">
        <v>4.62</v>
      </c>
      <c r="S1050" s="82">
        <v>308</v>
      </c>
      <c r="T1050" s="66">
        <f t="shared" si="257"/>
        <v>-78.38</v>
      </c>
      <c r="U1050" s="46">
        <f t="shared" si="258"/>
        <v>225</v>
      </c>
      <c r="V1050" s="82">
        <v>101.16</v>
      </c>
      <c r="W1050" s="4">
        <v>1</v>
      </c>
      <c r="X1050" s="195">
        <f t="shared" si="259"/>
        <v>326.15999999999997</v>
      </c>
      <c r="Y1050" s="29" t="e">
        <f>IF(+VLOOKUP(I1050,P.Referencia!E:S,3,FALSE)&lt;=L1050,"Champion","Gerente")</f>
        <v>#N/A</v>
      </c>
      <c r="Z1050" s="39" t="e">
        <f>VLOOKUP(I1050,P.Referencia!E:S,3,0)</f>
        <v>#N/A</v>
      </c>
      <c r="AA1050" s="40" t="e">
        <f t="shared" si="260"/>
        <v>#N/A</v>
      </c>
      <c r="AB1050" s="41" t="e">
        <f t="shared" si="261"/>
        <v>#N/A</v>
      </c>
      <c r="AC1050" s="41" t="e">
        <f t="shared" si="262"/>
        <v>#N/A</v>
      </c>
    </row>
    <row r="1051" spans="1:30" hidden="1" x14ac:dyDescent="0.25">
      <c r="A1051" s="24">
        <v>1050</v>
      </c>
      <c r="B1051" s="89" t="s">
        <v>571</v>
      </c>
      <c r="C1051" s="4" t="str">
        <f t="shared" si="263"/>
        <v>LlaveD86167364954100003111</v>
      </c>
      <c r="D1051" s="25" t="str">
        <f>VLOOKUP(E1051,'NO MODIFICAR'!J:K,2,0)</f>
        <v>D861</v>
      </c>
      <c r="E1051" s="102" t="s">
        <v>44</v>
      </c>
      <c r="F1051" s="33" t="str">
        <f>VLOOKUP(D1051,'NO MODIFICAR'!F:H,3,0)</f>
        <v xml:space="preserve">CENTRO </v>
      </c>
      <c r="G1051" s="28">
        <v>67364954</v>
      </c>
      <c r="H1051" s="93" t="s">
        <v>624</v>
      </c>
      <c r="I1051" s="94">
        <v>10000311</v>
      </c>
      <c r="J1051" s="4" t="str">
        <f>VLOOKUP(I1051,'Materiales,canteras'!C:D,2,0)</f>
        <v>Arena Triturada Basalto  Malla</v>
      </c>
      <c r="K1051" s="25">
        <f>VLOOKUP(I1051,'Materiales,canteras'!C:E,3,0)</f>
        <v>1.651</v>
      </c>
      <c r="L1051" s="105">
        <v>225</v>
      </c>
      <c r="M1051" s="28" t="s">
        <v>93</v>
      </c>
      <c r="N1051" s="57">
        <f t="shared" ca="1" si="249"/>
        <v>46267</v>
      </c>
      <c r="O1051" s="43" t="s">
        <v>201</v>
      </c>
      <c r="R1051">
        <v>4.29</v>
      </c>
      <c r="S1051" s="82">
        <v>286</v>
      </c>
      <c r="T1051" s="66">
        <f t="shared" si="257"/>
        <v>-56.70999999999998</v>
      </c>
      <c r="U1051" s="46">
        <f t="shared" si="258"/>
        <v>225</v>
      </c>
      <c r="V1051" s="82">
        <v>101.16</v>
      </c>
      <c r="W1051" s="4">
        <v>1</v>
      </c>
      <c r="X1051" s="195">
        <f t="shared" si="259"/>
        <v>326.15999999999997</v>
      </c>
      <c r="Y1051" s="29" t="e">
        <f>IF(+VLOOKUP(I1051,P.Referencia!E:S,3,FALSE)&lt;=L1051,"Champion","Gerente")</f>
        <v>#N/A</v>
      </c>
      <c r="Z1051" s="39" t="e">
        <f>VLOOKUP(I1051,P.Referencia!E:S,3,0)</f>
        <v>#N/A</v>
      </c>
      <c r="AA1051" s="40" t="e">
        <f t="shared" si="260"/>
        <v>#N/A</v>
      </c>
      <c r="AB1051" s="41" t="e">
        <f t="shared" si="261"/>
        <v>#N/A</v>
      </c>
      <c r="AC1051" s="41" t="e">
        <f t="shared" si="262"/>
        <v>#N/A</v>
      </c>
    </row>
    <row r="1052" spans="1:30" s="287" customFormat="1" hidden="1" x14ac:dyDescent="0.25">
      <c r="A1052" s="285">
        <v>1051</v>
      </c>
      <c r="B1052" s="286" t="s">
        <v>571</v>
      </c>
      <c r="C1052" s="287" t="str">
        <f t="shared" si="263"/>
        <v>LlaveDU07D358100005791</v>
      </c>
      <c r="D1052" s="288" t="str">
        <f>VLOOKUP(E1052,'NO MODIFICAR'!J:K,2,0)</f>
        <v>DU07</v>
      </c>
      <c r="E1052" s="289" t="s">
        <v>87</v>
      </c>
      <c r="F1052" s="288" t="str">
        <f>VLOOKUP(D1052,'NO MODIFICAR'!F:H,3,0)</f>
        <v>SURESTE</v>
      </c>
      <c r="G1052" s="290" t="s">
        <v>425</v>
      </c>
      <c r="H1052" s="291" t="s">
        <v>426</v>
      </c>
      <c r="I1052" s="292">
        <v>10000579</v>
      </c>
      <c r="J1052" s="287" t="str">
        <f>VLOOKUP(I1052,'Materiales,canteras'!C:D,2,0)</f>
        <v>Grava Triturada Caliza 40 mm - 1 1/2"</v>
      </c>
      <c r="K1052" s="288">
        <f>VLOOKUP(I1052,'Materiales,canteras'!C:E,3,0)</f>
        <v>1.387</v>
      </c>
      <c r="L1052" s="293">
        <v>227.11</v>
      </c>
      <c r="M1052" s="290" t="s">
        <v>93</v>
      </c>
      <c r="N1052" s="294">
        <f t="shared" ca="1" si="249"/>
        <v>46267</v>
      </c>
      <c r="O1052" s="285" t="s">
        <v>201</v>
      </c>
      <c r="S1052" s="295"/>
      <c r="T1052" s="296">
        <f t="shared" si="257"/>
        <v>227.11</v>
      </c>
      <c r="U1052" s="297">
        <f t="shared" si="258"/>
        <v>227.11</v>
      </c>
      <c r="V1052" s="298">
        <v>150.23071377072819</v>
      </c>
      <c r="W1052" s="287">
        <v>1</v>
      </c>
      <c r="X1052" s="298">
        <f t="shared" si="259"/>
        <v>377.3407137707282</v>
      </c>
      <c r="Y1052" s="299" t="e">
        <f>IF(+VLOOKUP(I1052,P.Referencia!E:S,3,FALSE)&lt;=L1052,"Champion","Gerente")</f>
        <v>#N/A</v>
      </c>
      <c r="Z1052" s="300" t="e">
        <f>VLOOKUP(I1052,P.Referencia!E:S,3,0)</f>
        <v>#N/A</v>
      </c>
      <c r="AA1052" s="301" t="e">
        <f t="shared" si="260"/>
        <v>#N/A</v>
      </c>
      <c r="AB1052" s="302" t="e">
        <f t="shared" si="261"/>
        <v>#N/A</v>
      </c>
      <c r="AC1052" s="302" t="e">
        <f t="shared" si="262"/>
        <v>#N/A</v>
      </c>
      <c r="AD1052" s="287" t="s">
        <v>625</v>
      </c>
    </row>
    <row r="1053" spans="1:30" s="287" customFormat="1" hidden="1" x14ac:dyDescent="0.25">
      <c r="A1053" s="285">
        <v>1052</v>
      </c>
      <c r="B1053" s="286" t="s">
        <v>571</v>
      </c>
      <c r="C1053" s="287" t="str">
        <f t="shared" si="263"/>
        <v>LlaveDU0767372417100001031</v>
      </c>
      <c r="D1053" s="288" t="str">
        <f>VLOOKUP(E1053,'NO MODIFICAR'!J:K,2,0)</f>
        <v>DU07</v>
      </c>
      <c r="E1053" s="289" t="s">
        <v>87</v>
      </c>
      <c r="F1053" s="288" t="str">
        <f>VLOOKUP(D1053,'NO MODIFICAR'!F:H,3,0)</f>
        <v>SURESTE</v>
      </c>
      <c r="G1053" s="290">
        <v>67372417</v>
      </c>
      <c r="H1053" s="291" t="s">
        <v>626</v>
      </c>
      <c r="I1053" s="292">
        <v>10000103</v>
      </c>
      <c r="J1053" s="287" t="str">
        <f>VLOOKUP(I1053,'Materiales,canteras'!C:D,2,0)</f>
        <v>Base H Triturada Caliza 1 1/2" a Finos</v>
      </c>
      <c r="K1053" s="288">
        <f>VLOOKUP(I1053,'Materiales,canteras'!C:E,3,0)</f>
        <v>1.462</v>
      </c>
      <c r="L1053" s="293">
        <f>128.23/K1053</f>
        <v>87.708618331053344</v>
      </c>
      <c r="M1053" s="290" t="s">
        <v>93</v>
      </c>
      <c r="N1053" s="294">
        <f t="shared" ca="1" si="249"/>
        <v>46267</v>
      </c>
      <c r="O1053" s="285" t="s">
        <v>201</v>
      </c>
      <c r="S1053" s="295">
        <v>158</v>
      </c>
      <c r="T1053" s="296">
        <f t="shared" si="257"/>
        <v>-70.291381668946656</v>
      </c>
      <c r="U1053" s="297">
        <f t="shared" si="258"/>
        <v>87.708618331053344</v>
      </c>
      <c r="V1053" s="295">
        <v>117.48974008207935</v>
      </c>
      <c r="W1053" s="287">
        <v>1</v>
      </c>
      <c r="X1053" s="298">
        <f t="shared" si="259"/>
        <v>205.19835841313269</v>
      </c>
      <c r="Y1053" s="299" t="e">
        <f>IF(+VLOOKUP(I1053,P.Referencia!E:S,3,FALSE)&lt;=L1053,"Champion","Gerente")</f>
        <v>#N/A</v>
      </c>
      <c r="Z1053" s="300" t="e">
        <f>VLOOKUP(I1053,P.Referencia!E:S,3,0)</f>
        <v>#N/A</v>
      </c>
      <c r="AA1053" s="301" t="e">
        <f t="shared" si="260"/>
        <v>#N/A</v>
      </c>
      <c r="AB1053" s="302" t="e">
        <f t="shared" si="261"/>
        <v>#N/A</v>
      </c>
      <c r="AC1053" s="302" t="e">
        <f t="shared" si="262"/>
        <v>#N/A</v>
      </c>
    </row>
    <row r="1054" spans="1:30" s="4" customFormat="1" hidden="1" x14ac:dyDescent="0.25">
      <c r="A1054" s="24">
        <v>1053</v>
      </c>
      <c r="B1054" s="89" t="s">
        <v>571</v>
      </c>
      <c r="C1054" s="4" t="str">
        <f t="shared" si="263"/>
        <v>LlaveD81667371323100001241</v>
      </c>
      <c r="D1054" s="25" t="str">
        <f>VLOOKUP(E1054,'NO MODIFICAR'!J:K,2,0)</f>
        <v>D816</v>
      </c>
      <c r="E1054" s="102" t="s">
        <v>15</v>
      </c>
      <c r="F1054" s="25" t="str">
        <f>VLOOKUP(D1054,'NO MODIFICAR'!F:H,3,0)</f>
        <v>NORESTE</v>
      </c>
      <c r="G1054" s="28">
        <v>67371323</v>
      </c>
      <c r="H1054" s="93" t="s">
        <v>627</v>
      </c>
      <c r="I1054" s="94">
        <v>10000124</v>
      </c>
      <c r="J1054" s="4" t="str">
        <f>VLOOKUP(I1054,'Materiales,canteras'!C:D,2,0)</f>
        <v>Arena Triturada Caliza Malla 4</v>
      </c>
      <c r="K1054" s="25">
        <f>VLOOKUP(I1054,'Materiales,canteras'!C:E,3,0)</f>
        <v>1.7390000000000001</v>
      </c>
      <c r="L1054" s="105">
        <v>300</v>
      </c>
      <c r="M1054" s="28" t="s">
        <v>93</v>
      </c>
      <c r="N1054" s="193">
        <f t="shared" ca="1" si="249"/>
        <v>46267</v>
      </c>
      <c r="O1054" s="24" t="s">
        <v>201</v>
      </c>
      <c r="R1054" s="4">
        <v>7.43</v>
      </c>
      <c r="S1054" s="82">
        <v>495</v>
      </c>
      <c r="T1054" s="303">
        <f t="shared" si="257"/>
        <v>-187.57</v>
      </c>
      <c r="U1054" s="88">
        <f t="shared" si="258"/>
        <v>300</v>
      </c>
      <c r="V1054" s="82">
        <v>148.41</v>
      </c>
      <c r="W1054" s="4">
        <v>1</v>
      </c>
      <c r="X1054" s="195">
        <f t="shared" si="259"/>
        <v>448.40999999999997</v>
      </c>
      <c r="Y1054" s="29" t="e">
        <f>IF(+VLOOKUP(I1054,P.Referencia!E:S,3,FALSE)&lt;=L1054,"Champion","Gerente")</f>
        <v>#N/A</v>
      </c>
      <c r="Z1054" s="30" t="e">
        <f>VLOOKUP(I1054,P.Referencia!E:S,3,0)</f>
        <v>#N/A</v>
      </c>
      <c r="AA1054" s="196" t="e">
        <f t="shared" si="260"/>
        <v>#N/A</v>
      </c>
      <c r="AB1054" s="197" t="e">
        <f t="shared" si="261"/>
        <v>#N/A</v>
      </c>
      <c r="AC1054" s="197" t="e">
        <f t="shared" si="262"/>
        <v>#N/A</v>
      </c>
    </row>
    <row r="1055" spans="1:30" s="4" customFormat="1" hidden="1" x14ac:dyDescent="0.25">
      <c r="A1055" s="24">
        <v>1054</v>
      </c>
      <c r="B1055" s="89" t="s">
        <v>571</v>
      </c>
      <c r="C1055" s="4" t="str">
        <f t="shared" si="263"/>
        <v>LlaveD81667371323100011701</v>
      </c>
      <c r="D1055" s="25" t="str">
        <f>VLOOKUP(E1055,'NO MODIFICAR'!J:K,2,0)</f>
        <v>D816</v>
      </c>
      <c r="E1055" s="102" t="s">
        <v>15</v>
      </c>
      <c r="F1055" s="25" t="str">
        <f>VLOOKUP(D1055,'NO MODIFICAR'!F:H,3,0)</f>
        <v>NORESTE</v>
      </c>
      <c r="G1055" s="28">
        <v>67371323</v>
      </c>
      <c r="H1055" s="93" t="s">
        <v>627</v>
      </c>
      <c r="I1055" s="94">
        <v>10001170</v>
      </c>
      <c r="J1055" s="4" t="str">
        <f>VLOOKUP(I1055,'Materiales,canteras'!C:D,2,0)</f>
        <v>Arena Triturada Caliza Block</v>
      </c>
      <c r="K1055" s="25">
        <f>VLOOKUP(I1055,'Materiales,canteras'!C:E,3,0)</f>
        <v>1.7709999999999999</v>
      </c>
      <c r="L1055" s="105">
        <v>412</v>
      </c>
      <c r="M1055" s="28" t="s">
        <v>93</v>
      </c>
      <c r="N1055" s="193">
        <f t="shared" ca="1" si="249"/>
        <v>46267</v>
      </c>
      <c r="O1055" s="24" t="s">
        <v>201</v>
      </c>
      <c r="Q1055" s="4">
        <v>47.06</v>
      </c>
      <c r="R1055" s="4">
        <v>4.72</v>
      </c>
      <c r="S1055" s="82">
        <v>362</v>
      </c>
      <c r="T1055" s="303">
        <f t="shared" si="257"/>
        <v>101.78000000000003</v>
      </c>
      <c r="U1055" s="88">
        <f t="shared" si="258"/>
        <v>412</v>
      </c>
      <c r="V1055" s="82">
        <v>148.41</v>
      </c>
      <c r="W1055" s="4">
        <v>1</v>
      </c>
      <c r="X1055" s="195">
        <f t="shared" si="259"/>
        <v>560.41</v>
      </c>
      <c r="Y1055" s="29" t="e">
        <f>IF(+VLOOKUP(I1055,P.Referencia!E:S,3,FALSE)&lt;=L1055,"Champion","Gerente")</f>
        <v>#N/A</v>
      </c>
      <c r="Z1055" s="30" t="e">
        <f>VLOOKUP(I1055,P.Referencia!E:S,3,0)</f>
        <v>#N/A</v>
      </c>
      <c r="AA1055" s="196" t="e">
        <f t="shared" si="260"/>
        <v>#N/A</v>
      </c>
      <c r="AB1055" s="197" t="e">
        <f t="shared" si="261"/>
        <v>#N/A</v>
      </c>
      <c r="AC1055" s="197" t="e">
        <f t="shared" si="262"/>
        <v>#N/A</v>
      </c>
    </row>
    <row r="1056" spans="1:30" s="4" customFormat="1" hidden="1" x14ac:dyDescent="0.25">
      <c r="A1056" s="24">
        <v>1055</v>
      </c>
      <c r="B1056" s="89" t="s">
        <v>571</v>
      </c>
      <c r="C1056" s="4" t="str">
        <f t="shared" si="263"/>
        <v>LlaveD81667371323100002411</v>
      </c>
      <c r="D1056" s="25" t="str">
        <f>VLOOKUP(E1056,'NO MODIFICAR'!J:K,2,0)</f>
        <v>D816</v>
      </c>
      <c r="E1056" s="102" t="s">
        <v>15</v>
      </c>
      <c r="F1056" s="25" t="str">
        <f>VLOOKUP(D1056,'NO MODIFICAR'!F:H,3,0)</f>
        <v>NORESTE</v>
      </c>
      <c r="G1056" s="28">
        <v>67371323</v>
      </c>
      <c r="H1056" s="93" t="s">
        <v>627</v>
      </c>
      <c r="I1056" s="94">
        <v>10000241</v>
      </c>
      <c r="J1056" s="4" t="str">
        <f>VLOOKUP(I1056,'Materiales,canteras'!C:D,2,0)</f>
        <v>Grava Triturada Caliza 20 mm -</v>
      </c>
      <c r="K1056" s="25">
        <f>VLOOKUP(I1056,'Materiales,canteras'!C:E,3,0)</f>
        <v>1.43</v>
      </c>
      <c r="L1056" s="105">
        <v>300</v>
      </c>
      <c r="M1056" s="28" t="s">
        <v>93</v>
      </c>
      <c r="N1056" s="193">
        <f t="shared" ca="1" si="249"/>
        <v>46267</v>
      </c>
      <c r="O1056" s="24" t="s">
        <v>201</v>
      </c>
      <c r="R1056" s="4">
        <v>6.21</v>
      </c>
      <c r="S1056" s="82">
        <v>414</v>
      </c>
      <c r="T1056" s="303">
        <f t="shared" si="257"/>
        <v>-107.79000000000002</v>
      </c>
      <c r="U1056" s="88">
        <f t="shared" si="258"/>
        <v>300</v>
      </c>
      <c r="V1056" s="82">
        <v>148.41</v>
      </c>
      <c r="W1056" s="4">
        <v>1</v>
      </c>
      <c r="X1056" s="195">
        <f t="shared" si="259"/>
        <v>448.40999999999997</v>
      </c>
      <c r="Y1056" s="29" t="e">
        <f>IF(+VLOOKUP(I1056,P.Referencia!E:S,3,FALSE)&lt;=L1056,"Champion","Gerente")</f>
        <v>#N/A</v>
      </c>
      <c r="Z1056" s="30" t="e">
        <f>VLOOKUP(I1056,P.Referencia!E:S,3,0)</f>
        <v>#N/A</v>
      </c>
      <c r="AA1056" s="196" t="e">
        <f t="shared" si="260"/>
        <v>#N/A</v>
      </c>
      <c r="AB1056" s="197" t="e">
        <f t="shared" si="261"/>
        <v>#N/A</v>
      </c>
      <c r="AC1056" s="197" t="e">
        <f t="shared" si="262"/>
        <v>#N/A</v>
      </c>
    </row>
    <row r="1057" spans="1:30" s="4" customFormat="1" hidden="1" x14ac:dyDescent="0.25">
      <c r="A1057" s="24">
        <v>1056</v>
      </c>
      <c r="B1057" s="89" t="s">
        <v>571</v>
      </c>
      <c r="C1057" s="4" t="str">
        <f t="shared" si="263"/>
        <v>LlaveD81667371323100002371</v>
      </c>
      <c r="D1057" s="25" t="str">
        <f>VLOOKUP(E1057,'NO MODIFICAR'!J:K,2,0)</f>
        <v>D816</v>
      </c>
      <c r="E1057" s="102" t="s">
        <v>15</v>
      </c>
      <c r="F1057" s="25" t="str">
        <f>VLOOKUP(D1057,'NO MODIFICAR'!F:H,3,0)</f>
        <v>NORESTE</v>
      </c>
      <c r="G1057" s="28">
        <v>67371323</v>
      </c>
      <c r="H1057" s="93" t="s">
        <v>627</v>
      </c>
      <c r="I1057" s="94">
        <v>10000237</v>
      </c>
      <c r="J1057" s="4" t="str">
        <f>VLOOKUP(I1057,'Materiales,canteras'!C:D,2,0)</f>
        <v>Grava Triturada Caliza 10 mm -</v>
      </c>
      <c r="K1057" s="25">
        <f>VLOOKUP(I1057,'Materiales,canteras'!C:E,3,0)</f>
        <v>1.5620000000000001</v>
      </c>
      <c r="L1057" s="105">
        <v>355</v>
      </c>
      <c r="M1057" s="28" t="s">
        <v>93</v>
      </c>
      <c r="N1057" s="193">
        <f t="shared" ca="1" si="249"/>
        <v>46267</v>
      </c>
      <c r="O1057" s="24" t="s">
        <v>201</v>
      </c>
      <c r="R1057" s="4">
        <v>6.21</v>
      </c>
      <c r="S1057" s="82">
        <v>414</v>
      </c>
      <c r="T1057" s="303">
        <f t="shared" si="257"/>
        <v>-52.79000000000002</v>
      </c>
      <c r="U1057" s="88">
        <f t="shared" si="258"/>
        <v>355</v>
      </c>
      <c r="V1057" s="82">
        <v>148.41</v>
      </c>
      <c r="W1057" s="4">
        <v>1</v>
      </c>
      <c r="X1057" s="195">
        <f t="shared" si="259"/>
        <v>503.40999999999997</v>
      </c>
      <c r="Y1057" s="29" t="e">
        <f>IF(+VLOOKUP(I1057,P.Referencia!E:S,3,FALSE)&lt;=L1057,"Champion","Gerente")</f>
        <v>#N/A</v>
      </c>
      <c r="Z1057" s="30" t="e">
        <f>VLOOKUP(I1057,P.Referencia!E:S,3,0)</f>
        <v>#N/A</v>
      </c>
      <c r="AA1057" s="196" t="e">
        <f t="shared" si="260"/>
        <v>#N/A</v>
      </c>
      <c r="AB1057" s="197" t="e">
        <f t="shared" si="261"/>
        <v>#N/A</v>
      </c>
      <c r="AC1057" s="197" t="e">
        <f t="shared" si="262"/>
        <v>#N/A</v>
      </c>
    </row>
    <row r="1058" spans="1:30" x14ac:dyDescent="0.25">
      <c r="A1058" s="24">
        <v>1057</v>
      </c>
      <c r="B1058" s="89" t="s">
        <v>571</v>
      </c>
      <c r="C1058" s="4" t="str">
        <f t="shared" si="263"/>
        <v>LlaveD86665003074100002742</v>
      </c>
      <c r="D1058" s="25" t="str">
        <f>VLOOKUP(E1058,'NO MODIFICAR'!J:K,2,0)</f>
        <v>D866</v>
      </c>
      <c r="E1058" s="102" t="s">
        <v>62</v>
      </c>
      <c r="F1058" s="33" t="str">
        <f>VLOOKUP(D1058,'NO MODIFICAR'!F:H,3,0)</f>
        <v>NORESTE</v>
      </c>
      <c r="G1058" s="28">
        <v>65003074</v>
      </c>
      <c r="H1058" s="93" t="s">
        <v>628</v>
      </c>
      <c r="I1058" s="94">
        <v>10000274</v>
      </c>
      <c r="J1058" s="4" t="str">
        <f>VLOOKUP(I1058,'Materiales,canteras'!C:D,2,0)</f>
        <v>Grava Triturada Basalto  20 mm</v>
      </c>
      <c r="K1058" s="25">
        <f>VLOOKUP(I1058,'Materiales,canteras'!C:E,3,0)</f>
        <v>1.4710000000000001</v>
      </c>
      <c r="L1058" s="105">
        <v>200</v>
      </c>
      <c r="M1058" s="28" t="s">
        <v>93</v>
      </c>
      <c r="N1058" s="57">
        <f t="shared" ca="1" si="249"/>
        <v>46267</v>
      </c>
      <c r="O1058" s="43" t="s">
        <v>201</v>
      </c>
      <c r="R1058" s="287">
        <v>15.82</v>
      </c>
      <c r="S1058" s="82">
        <v>226</v>
      </c>
      <c r="T1058" s="66">
        <v>2</v>
      </c>
      <c r="U1058" s="46">
        <f t="shared" si="258"/>
        <v>200</v>
      </c>
      <c r="V1058" s="82">
        <v>0</v>
      </c>
      <c r="W1058" s="4">
        <v>2</v>
      </c>
      <c r="X1058" s="195">
        <f t="shared" si="259"/>
        <v>200</v>
      </c>
      <c r="Y1058" s="29" t="e">
        <f>IF(+VLOOKUP(I1058,P.Referencia!E:S,3,FALSE)&lt;=L1058,"Champion","Gerente")</f>
        <v>#N/A</v>
      </c>
      <c r="Z1058" s="39" t="e">
        <f>VLOOKUP(I1058,P.Referencia!E:S,3,0)</f>
        <v>#N/A</v>
      </c>
      <c r="AA1058" s="40" t="e">
        <f t="shared" si="260"/>
        <v>#N/A</v>
      </c>
      <c r="AB1058" s="41" t="e">
        <f t="shared" si="261"/>
        <v>#N/A</v>
      </c>
      <c r="AC1058" s="41" t="e">
        <f t="shared" si="262"/>
        <v>#N/A</v>
      </c>
    </row>
    <row r="1059" spans="1:30" s="4" customFormat="1" hidden="1" x14ac:dyDescent="0.25">
      <c r="A1059" s="24">
        <v>1058</v>
      </c>
      <c r="B1059" s="89" t="s">
        <v>571</v>
      </c>
      <c r="C1059" s="4" t="str">
        <f t="shared" si="263"/>
        <v>LlaveD81667220603100002411</v>
      </c>
      <c r="D1059" s="25" t="str">
        <f>VLOOKUP(E1059,'NO MODIFICAR'!J:K,2,0)</f>
        <v>D816</v>
      </c>
      <c r="E1059" s="102" t="s">
        <v>15</v>
      </c>
      <c r="F1059" s="25" t="str">
        <f>VLOOKUP(D1059,'NO MODIFICAR'!F:H,3,0)</f>
        <v>NORESTE</v>
      </c>
      <c r="G1059" s="28">
        <v>67220603</v>
      </c>
      <c r="H1059" s="93" t="s">
        <v>629</v>
      </c>
      <c r="I1059" s="94">
        <v>10000241</v>
      </c>
      <c r="J1059" s="4" t="str">
        <f>VLOOKUP(I1059,'Materiales,canteras'!C:D,2,0)</f>
        <v>Grava Triturada Caliza 20 mm -</v>
      </c>
      <c r="K1059" s="25">
        <f>VLOOKUP(I1059,'Materiales,canteras'!C:E,3,0)</f>
        <v>1.43</v>
      </c>
      <c r="L1059" s="105">
        <v>302</v>
      </c>
      <c r="M1059" s="28" t="s">
        <v>93</v>
      </c>
      <c r="N1059" s="193">
        <f t="shared" ca="1" si="249"/>
        <v>46267</v>
      </c>
      <c r="O1059" s="24" t="s">
        <v>201</v>
      </c>
      <c r="S1059" s="82">
        <v>414</v>
      </c>
      <c r="T1059" s="303">
        <f t="shared" si="257"/>
        <v>-112</v>
      </c>
      <c r="U1059" s="88">
        <f t="shared" si="258"/>
        <v>302</v>
      </c>
      <c r="V1059" s="82">
        <v>174.57</v>
      </c>
      <c r="W1059" s="4">
        <v>1</v>
      </c>
      <c r="X1059" s="195">
        <f t="shared" si="259"/>
        <v>476.57</v>
      </c>
      <c r="Y1059" s="29" t="e">
        <f>IF(+VLOOKUP(I1059,P.Referencia!E:S,3,FALSE)&lt;=L1059,"Champion","Gerente")</f>
        <v>#N/A</v>
      </c>
      <c r="Z1059" s="30" t="e">
        <f>VLOOKUP(I1059,P.Referencia!E:S,3,0)</f>
        <v>#N/A</v>
      </c>
      <c r="AA1059" s="196" t="e">
        <f t="shared" si="260"/>
        <v>#N/A</v>
      </c>
      <c r="AB1059" s="197" t="e">
        <f t="shared" si="261"/>
        <v>#N/A</v>
      </c>
      <c r="AC1059" s="197" t="e">
        <f t="shared" si="262"/>
        <v>#N/A</v>
      </c>
    </row>
    <row r="1060" spans="1:30" s="4" customFormat="1" hidden="1" x14ac:dyDescent="0.25">
      <c r="A1060" s="24">
        <v>1059</v>
      </c>
      <c r="B1060" s="89" t="s">
        <v>571</v>
      </c>
      <c r="C1060" s="4" t="str">
        <f t="shared" si="263"/>
        <v>LlaveD81667220603100001241</v>
      </c>
      <c r="D1060" s="25" t="str">
        <f>VLOOKUP(E1060,'NO MODIFICAR'!J:K,2,0)</f>
        <v>D816</v>
      </c>
      <c r="E1060" s="102" t="s">
        <v>15</v>
      </c>
      <c r="F1060" s="25" t="str">
        <f>VLOOKUP(D1060,'NO MODIFICAR'!F:H,3,0)</f>
        <v>NORESTE</v>
      </c>
      <c r="G1060" s="28">
        <v>67220603</v>
      </c>
      <c r="H1060" s="93" t="s">
        <v>629</v>
      </c>
      <c r="I1060" s="94">
        <v>10000124</v>
      </c>
      <c r="J1060" s="4" t="str">
        <f>VLOOKUP(I1060,'Materiales,canteras'!C:D,2,0)</f>
        <v>Arena Triturada Caliza Malla 4</v>
      </c>
      <c r="K1060" s="25">
        <f>VLOOKUP(I1060,'Materiales,canteras'!C:E,3,0)</f>
        <v>1.7390000000000001</v>
      </c>
      <c r="L1060" s="105">
        <v>302</v>
      </c>
      <c r="M1060" s="28" t="s">
        <v>93</v>
      </c>
      <c r="N1060" s="193">
        <f t="shared" ca="1" si="249"/>
        <v>46267</v>
      </c>
      <c r="O1060" s="24" t="s">
        <v>201</v>
      </c>
      <c r="S1060" s="82">
        <v>495</v>
      </c>
      <c r="T1060" s="303">
        <f t="shared" si="257"/>
        <v>-193</v>
      </c>
      <c r="U1060" s="88">
        <f t="shared" si="258"/>
        <v>302</v>
      </c>
      <c r="V1060" s="82">
        <v>174.57</v>
      </c>
      <c r="W1060" s="4">
        <v>1</v>
      </c>
      <c r="X1060" s="195">
        <f t="shared" si="259"/>
        <v>476.57</v>
      </c>
      <c r="Y1060" s="29" t="e">
        <f>IF(+VLOOKUP(I1060,P.Referencia!E:S,3,FALSE)&lt;=L1060,"Champion","Gerente")</f>
        <v>#N/A</v>
      </c>
      <c r="Z1060" s="30" t="e">
        <f>VLOOKUP(I1060,P.Referencia!E:S,3,0)</f>
        <v>#N/A</v>
      </c>
      <c r="AA1060" s="196" t="e">
        <f t="shared" si="260"/>
        <v>#N/A</v>
      </c>
      <c r="AB1060" s="197" t="e">
        <f t="shared" si="261"/>
        <v>#N/A</v>
      </c>
      <c r="AC1060" s="197" t="e">
        <f t="shared" si="262"/>
        <v>#N/A</v>
      </c>
    </row>
    <row r="1061" spans="1:30" s="4" customFormat="1" hidden="1" x14ac:dyDescent="0.25">
      <c r="A1061" s="24">
        <v>1060</v>
      </c>
      <c r="B1061" s="89" t="s">
        <v>571</v>
      </c>
      <c r="C1061" s="4" t="str">
        <f t="shared" si="263"/>
        <v>LlaveD81667220603100002371</v>
      </c>
      <c r="D1061" s="25" t="str">
        <f>VLOOKUP(E1061,'NO MODIFICAR'!J:K,2,0)</f>
        <v>D816</v>
      </c>
      <c r="E1061" s="102" t="s">
        <v>15</v>
      </c>
      <c r="F1061" s="25" t="str">
        <f>VLOOKUP(D1061,'NO MODIFICAR'!F:H,3,0)</f>
        <v>NORESTE</v>
      </c>
      <c r="G1061" s="28">
        <v>67220603</v>
      </c>
      <c r="H1061" s="93" t="s">
        <v>629</v>
      </c>
      <c r="I1061" s="94">
        <v>10000237</v>
      </c>
      <c r="J1061" s="4" t="str">
        <f>VLOOKUP(I1061,'Materiales,canteras'!C:D,2,0)</f>
        <v>Grava Triturada Caliza 10 mm -</v>
      </c>
      <c r="K1061" s="25">
        <f>VLOOKUP(I1061,'Materiales,canteras'!C:E,3,0)</f>
        <v>1.5620000000000001</v>
      </c>
      <c r="L1061" s="105">
        <v>361.8</v>
      </c>
      <c r="M1061" s="28" t="s">
        <v>93</v>
      </c>
      <c r="N1061" s="193">
        <f t="shared" ca="1" si="249"/>
        <v>46267</v>
      </c>
      <c r="O1061" s="24" t="s">
        <v>201</v>
      </c>
      <c r="S1061" s="82">
        <v>414</v>
      </c>
      <c r="T1061" s="303">
        <f t="shared" si="257"/>
        <v>-52.199999999999989</v>
      </c>
      <c r="U1061" s="88">
        <f t="shared" si="258"/>
        <v>361.8</v>
      </c>
      <c r="V1061" s="82">
        <v>174.57</v>
      </c>
      <c r="W1061" s="4">
        <v>1</v>
      </c>
      <c r="X1061" s="195">
        <f t="shared" si="259"/>
        <v>536.37</v>
      </c>
      <c r="Y1061" s="29" t="e">
        <f>IF(+VLOOKUP(I1061,P.Referencia!E:S,3,FALSE)&lt;=L1061,"Champion","Gerente")</f>
        <v>#N/A</v>
      </c>
      <c r="Z1061" s="30" t="e">
        <f>VLOOKUP(I1061,P.Referencia!E:S,3,0)</f>
        <v>#N/A</v>
      </c>
      <c r="AA1061" s="196" t="e">
        <f t="shared" si="260"/>
        <v>#N/A</v>
      </c>
      <c r="AB1061" s="197" t="e">
        <f t="shared" si="261"/>
        <v>#N/A</v>
      </c>
      <c r="AC1061" s="197" t="e">
        <f t="shared" si="262"/>
        <v>#N/A</v>
      </c>
    </row>
    <row r="1062" spans="1:30" s="4" customFormat="1" hidden="1" x14ac:dyDescent="0.25">
      <c r="A1062" s="24">
        <v>1061</v>
      </c>
      <c r="B1062" s="89" t="s">
        <v>571</v>
      </c>
      <c r="C1062" s="4" t="str">
        <f t="shared" si="263"/>
        <v>LlaveD81667220603100002601</v>
      </c>
      <c r="D1062" s="25" t="str">
        <f>VLOOKUP(E1062,'NO MODIFICAR'!J:K,2,0)</f>
        <v>D816</v>
      </c>
      <c r="E1062" s="102" t="s">
        <v>15</v>
      </c>
      <c r="F1062" s="25" t="str">
        <f>VLOOKUP(D1062,'NO MODIFICAR'!F:H,3,0)</f>
        <v>NORESTE</v>
      </c>
      <c r="G1062" s="28">
        <v>67220603</v>
      </c>
      <c r="H1062" s="93" t="s">
        <v>629</v>
      </c>
      <c r="I1062" s="94">
        <v>10000260</v>
      </c>
      <c r="J1062" s="4" t="str">
        <f>VLOOKUP(I1062,'Materiales,canteras'!C:D,2,0)</f>
        <v>Arena Triturada Caliza Malla 5</v>
      </c>
      <c r="K1062" s="25">
        <f>VLOOKUP(I1062,'Materiales,canteras'!C:E,3,0)</f>
        <v>1.72</v>
      </c>
      <c r="L1062" s="105">
        <v>410.4</v>
      </c>
      <c r="M1062" s="28" t="s">
        <v>93</v>
      </c>
      <c r="N1062" s="193">
        <f t="shared" ca="1" si="249"/>
        <v>46267</v>
      </c>
      <c r="O1062" s="24" t="s">
        <v>201</v>
      </c>
      <c r="S1062" s="82">
        <v>495</v>
      </c>
      <c r="T1062" s="303">
        <f t="shared" si="257"/>
        <v>-84.600000000000023</v>
      </c>
      <c r="U1062" s="88">
        <f t="shared" si="258"/>
        <v>410.4</v>
      </c>
      <c r="V1062" s="82">
        <v>174.57</v>
      </c>
      <c r="W1062" s="4">
        <v>1</v>
      </c>
      <c r="X1062" s="195">
        <f t="shared" si="259"/>
        <v>584.97</v>
      </c>
      <c r="Y1062" s="29" t="e">
        <f>IF(+VLOOKUP(I1062,P.Referencia!E:S,3,FALSE)&lt;=L1062,"Champion","Gerente")</f>
        <v>#N/A</v>
      </c>
      <c r="Z1062" s="30" t="e">
        <f>VLOOKUP(I1062,P.Referencia!E:S,3,0)</f>
        <v>#N/A</v>
      </c>
      <c r="AA1062" s="196" t="e">
        <f t="shared" si="260"/>
        <v>#N/A</v>
      </c>
      <c r="AB1062" s="197" t="e">
        <f t="shared" si="261"/>
        <v>#N/A</v>
      </c>
      <c r="AC1062" s="197" t="e">
        <f t="shared" si="262"/>
        <v>#N/A</v>
      </c>
    </row>
    <row r="1063" spans="1:30" s="4" customFormat="1" x14ac:dyDescent="0.25">
      <c r="A1063" s="24">
        <v>1062</v>
      </c>
      <c r="B1063" s="89" t="s">
        <v>571</v>
      </c>
      <c r="C1063" s="4" t="str">
        <f t="shared" si="263"/>
        <v>LlaveD86667236121100002662</v>
      </c>
      <c r="D1063" s="25" t="str">
        <f>VLOOKUP(E1063,'NO MODIFICAR'!J:K,2,0)</f>
        <v>D866</v>
      </c>
      <c r="E1063" s="102" t="s">
        <v>62</v>
      </c>
      <c r="F1063" s="25" t="str">
        <f>VLOOKUP(D1063,'NO MODIFICAR'!F:H,3,0)</f>
        <v>NORESTE</v>
      </c>
      <c r="G1063" s="28">
        <v>67236121</v>
      </c>
      <c r="H1063" s="93" t="s">
        <v>630</v>
      </c>
      <c r="I1063" s="94">
        <v>10000266</v>
      </c>
      <c r="J1063" s="4" t="str">
        <f>VLOOKUP(I1063,'Materiales,canteras'!C:D,2,0)</f>
        <v>Arena Triturada Basalto Malla</v>
      </c>
      <c r="K1063" s="25">
        <f>VLOOKUP(I1063,'Materiales,canteras'!C:E,3,0)</f>
        <v>1.6819999999999999</v>
      </c>
      <c r="L1063" s="105">
        <v>205</v>
      </c>
      <c r="M1063" s="28" t="s">
        <v>93</v>
      </c>
      <c r="N1063" s="193">
        <f t="shared" ca="1" si="249"/>
        <v>46267</v>
      </c>
      <c r="O1063" s="24" t="s">
        <v>201</v>
      </c>
      <c r="R1063" s="4">
        <v>0</v>
      </c>
      <c r="S1063" s="82">
        <v>253</v>
      </c>
      <c r="T1063" s="303">
        <f t="shared" si="257"/>
        <v>-48</v>
      </c>
      <c r="U1063" s="88">
        <f>S1063</f>
        <v>253</v>
      </c>
      <c r="V1063" s="82">
        <v>0</v>
      </c>
      <c r="W1063" s="4">
        <v>2</v>
      </c>
      <c r="X1063" s="195">
        <f t="shared" si="259"/>
        <v>253</v>
      </c>
      <c r="Y1063" s="29" t="e">
        <f>IF(+VLOOKUP(I1063,P.Referencia!E:S,3,FALSE)&lt;=S1063,"Champion","Gerente")</f>
        <v>#N/A</v>
      </c>
      <c r="Z1063" s="30" t="e">
        <f>VLOOKUP(I1063,P.Referencia!E:S,3,0)</f>
        <v>#N/A</v>
      </c>
      <c r="AA1063" s="196" t="e">
        <f t="shared" si="260"/>
        <v>#N/A</v>
      </c>
      <c r="AB1063" s="197" t="e">
        <f t="shared" si="261"/>
        <v>#N/A</v>
      </c>
      <c r="AC1063" s="197" t="e">
        <f t="shared" si="262"/>
        <v>#N/A</v>
      </c>
    </row>
    <row r="1064" spans="1:30" s="4" customFormat="1" x14ac:dyDescent="0.25">
      <c r="A1064" s="24">
        <v>1063</v>
      </c>
      <c r="B1064" s="89" t="s">
        <v>571</v>
      </c>
      <c r="C1064" s="4" t="str">
        <f t="shared" si="263"/>
        <v>LlaveD86667236121100002742</v>
      </c>
      <c r="D1064" s="25" t="str">
        <f>VLOOKUP(E1064,'NO MODIFICAR'!J:K,2,0)</f>
        <v>D866</v>
      </c>
      <c r="E1064" s="102" t="s">
        <v>62</v>
      </c>
      <c r="F1064" s="25" t="str">
        <f>VLOOKUP(D1064,'NO MODIFICAR'!F:H,3,0)</f>
        <v>NORESTE</v>
      </c>
      <c r="G1064" s="28">
        <v>67236121</v>
      </c>
      <c r="H1064" s="93" t="s">
        <v>630</v>
      </c>
      <c r="I1064" s="94">
        <v>10000274</v>
      </c>
      <c r="J1064" s="4" t="str">
        <f>VLOOKUP(I1064,'Materiales,canteras'!C:D,2,0)</f>
        <v>Grava Triturada Basalto  20 mm</v>
      </c>
      <c r="K1064" s="25">
        <f>VLOOKUP(I1064,'Materiales,canteras'!C:E,3,0)</f>
        <v>1.4710000000000001</v>
      </c>
      <c r="L1064" s="105">
        <v>185</v>
      </c>
      <c r="M1064" s="28" t="s">
        <v>93</v>
      </c>
      <c r="N1064" s="193">
        <f t="shared" ca="1" si="249"/>
        <v>46267</v>
      </c>
      <c r="O1064" s="24" t="s">
        <v>201</v>
      </c>
      <c r="S1064" s="82">
        <v>226</v>
      </c>
      <c r="T1064" s="303">
        <f t="shared" si="257"/>
        <v>-41</v>
      </c>
      <c r="U1064" s="88">
        <f>S1064</f>
        <v>226</v>
      </c>
      <c r="V1064" s="82">
        <v>0</v>
      </c>
      <c r="W1064" s="4">
        <v>2</v>
      </c>
      <c r="X1064" s="195">
        <f t="shared" si="259"/>
        <v>226</v>
      </c>
      <c r="Y1064" s="29" t="e">
        <f>IF(+VLOOKUP(I1064,P.Referencia!E:S,3,FALSE)&lt;=S1064,"Champion","Gerente")</f>
        <v>#N/A</v>
      </c>
      <c r="Z1064" s="30" t="e">
        <f>VLOOKUP(I1064,P.Referencia!E:S,3,0)</f>
        <v>#N/A</v>
      </c>
      <c r="AA1064" s="196" t="e">
        <f t="shared" si="260"/>
        <v>#N/A</v>
      </c>
      <c r="AB1064" s="197" t="e">
        <f t="shared" si="261"/>
        <v>#N/A</v>
      </c>
      <c r="AC1064" s="197" t="e">
        <f t="shared" si="262"/>
        <v>#N/A</v>
      </c>
    </row>
    <row r="1065" spans="1:30" s="4" customFormat="1" x14ac:dyDescent="0.25">
      <c r="A1065" s="24">
        <v>1064</v>
      </c>
      <c r="B1065" s="89" t="s">
        <v>571</v>
      </c>
      <c r="C1065" s="4" t="str">
        <f t="shared" si="263"/>
        <v>LlaveD86667236121100002932</v>
      </c>
      <c r="D1065" s="25" t="str">
        <f>VLOOKUP(E1065,'NO MODIFICAR'!J:K,2,0)</f>
        <v>D866</v>
      </c>
      <c r="E1065" s="102" t="s">
        <v>62</v>
      </c>
      <c r="F1065" s="25" t="str">
        <f>VLOOKUP(D1065,'NO MODIFICAR'!F:H,3,0)</f>
        <v>NORESTE</v>
      </c>
      <c r="G1065" s="28">
        <v>67236121</v>
      </c>
      <c r="H1065" s="93" t="s">
        <v>630</v>
      </c>
      <c r="I1065" s="94">
        <v>10000293</v>
      </c>
      <c r="J1065" s="4" t="str">
        <f>VLOOKUP(I1065,'Materiales,canteras'!C:D,2,0)</f>
        <v>Grava Triturada Basalto 10mm -</v>
      </c>
      <c r="K1065" s="25">
        <f>VLOOKUP(I1065,'Materiales,canteras'!C:E,3,0)</f>
        <v>1.5549999999999999</v>
      </c>
      <c r="L1065" s="105">
        <v>250</v>
      </c>
      <c r="M1065" s="28" t="s">
        <v>93</v>
      </c>
      <c r="N1065" s="193">
        <f t="shared" ca="1" si="249"/>
        <v>46267</v>
      </c>
      <c r="O1065" s="24" t="s">
        <v>201</v>
      </c>
      <c r="S1065" s="82">
        <v>319</v>
      </c>
      <c r="T1065" s="303">
        <f t="shared" si="257"/>
        <v>-69</v>
      </c>
      <c r="U1065" s="88">
        <f>S1065</f>
        <v>319</v>
      </c>
      <c r="V1065" s="82">
        <v>0</v>
      </c>
      <c r="W1065" s="4">
        <v>2</v>
      </c>
      <c r="X1065" s="195">
        <f t="shared" si="259"/>
        <v>319</v>
      </c>
      <c r="Y1065" s="29" t="e">
        <f>IF(+VLOOKUP(I1065,P.Referencia!E:S,3,FALSE)&lt;=S1065,"Champion","Gerente")</f>
        <v>#N/A</v>
      </c>
      <c r="Z1065" s="30" t="e">
        <f>VLOOKUP(I1065,P.Referencia!E:S,3,0)</f>
        <v>#N/A</v>
      </c>
      <c r="AA1065" s="196" t="e">
        <f t="shared" si="260"/>
        <v>#N/A</v>
      </c>
      <c r="AB1065" s="197" t="e">
        <f t="shared" si="261"/>
        <v>#N/A</v>
      </c>
      <c r="AC1065" s="197" t="e">
        <f t="shared" si="262"/>
        <v>#N/A</v>
      </c>
    </row>
    <row r="1066" spans="1:30" s="4" customFormat="1" hidden="1" x14ac:dyDescent="0.25">
      <c r="A1066" s="24">
        <v>1065</v>
      </c>
      <c r="B1066" s="89" t="s">
        <v>571</v>
      </c>
      <c r="C1066" s="4" t="str">
        <f t="shared" si="263"/>
        <v>LlaveD89367371671100583632</v>
      </c>
      <c r="D1066" s="25" t="str">
        <f>VLOOKUP(E1066,'NO MODIFICAR'!J:K,2,0)</f>
        <v>D893</v>
      </c>
      <c r="E1066" s="102" t="s">
        <v>253</v>
      </c>
      <c r="F1066" s="25" t="str">
        <f>VLOOKUP(D1066,'NO MODIFICAR'!F:H,3,0)</f>
        <v>NORESTE</v>
      </c>
      <c r="G1066" s="28">
        <v>67371671</v>
      </c>
      <c r="H1066" s="93" t="s">
        <v>620</v>
      </c>
      <c r="I1066" s="94">
        <v>10058363</v>
      </c>
      <c r="J1066" s="4" t="str">
        <f>VLOOKUP(I1066,'Materiales,canteras'!C:D,2,0)</f>
        <v>ARENA BASALTO SÍLICE/CUARZO BL</v>
      </c>
      <c r="K1066" s="25">
        <f>VLOOKUP(I1066,'Materiales,canteras'!C:E,3,0)</f>
        <v>1.5109999999999999</v>
      </c>
      <c r="L1066" s="105">
        <v>40</v>
      </c>
      <c r="M1066" s="28" t="s">
        <v>93</v>
      </c>
      <c r="N1066" s="193">
        <f t="shared" ca="1" si="249"/>
        <v>46267</v>
      </c>
      <c r="O1066" s="24" t="s">
        <v>201</v>
      </c>
      <c r="R1066" s="4">
        <v>2.25</v>
      </c>
      <c r="S1066" s="82">
        <v>150</v>
      </c>
      <c r="T1066" s="303">
        <f t="shared" si="257"/>
        <v>-107.75</v>
      </c>
      <c r="U1066" s="88">
        <f t="shared" si="258"/>
        <v>40</v>
      </c>
      <c r="V1066" s="82">
        <v>0</v>
      </c>
      <c r="W1066" s="4">
        <v>2</v>
      </c>
      <c r="X1066" s="195">
        <f t="shared" si="259"/>
        <v>40</v>
      </c>
      <c r="Y1066" s="29" t="e">
        <f>IF(+VLOOKUP(I1066,P.Referencia!E:S,3,FALSE)&lt;=L1066,"Champion","Gerente")</f>
        <v>#N/A</v>
      </c>
      <c r="Z1066" s="30" t="e">
        <f>VLOOKUP(I1066,P.Referencia!E:S,3,0)</f>
        <v>#N/A</v>
      </c>
      <c r="AA1066" s="196" t="e">
        <f t="shared" si="260"/>
        <v>#N/A</v>
      </c>
      <c r="AB1066" s="197" t="e">
        <f t="shared" si="261"/>
        <v>#N/A</v>
      </c>
      <c r="AC1066" s="197" t="e">
        <f t="shared" si="262"/>
        <v>#N/A</v>
      </c>
      <c r="AD1066" s="4" t="s">
        <v>631</v>
      </c>
    </row>
    <row r="1067" spans="1:30" s="4" customFormat="1" hidden="1" x14ac:dyDescent="0.25">
      <c r="A1067" s="24">
        <v>1066</v>
      </c>
      <c r="B1067" s="89" t="s">
        <v>571</v>
      </c>
      <c r="C1067" s="4" t="str">
        <f t="shared" si="263"/>
        <v>LlaveD86467367416100002362</v>
      </c>
      <c r="D1067" s="25" t="str">
        <f>VLOOKUP(E1067,'NO MODIFICAR'!J:K,2,0)</f>
        <v>D864</v>
      </c>
      <c r="E1067" s="102" t="s">
        <v>55</v>
      </c>
      <c r="F1067" s="25" t="str">
        <f>VLOOKUP(D1067,'NO MODIFICAR'!F:H,3,0)</f>
        <v xml:space="preserve">CENTRO </v>
      </c>
      <c r="G1067" s="28">
        <v>67367416</v>
      </c>
      <c r="H1067" s="93" t="s">
        <v>632</v>
      </c>
      <c r="I1067" s="94">
        <v>10000236</v>
      </c>
      <c r="J1067" s="4" t="str">
        <f>VLOOKUP(I1067,'Materiales,canteras'!C:D,2,0)</f>
        <v>Grava Triturada Caliza 10 mm -</v>
      </c>
      <c r="K1067" s="25">
        <f>VLOOKUP(I1067,'Materiales,canteras'!C:E,3,0)</f>
        <v>1.41</v>
      </c>
      <c r="L1067" s="105">
        <v>135</v>
      </c>
      <c r="M1067" s="28" t="s">
        <v>93</v>
      </c>
      <c r="N1067" s="193">
        <f t="shared" ca="1" si="249"/>
        <v>46267</v>
      </c>
      <c r="O1067" s="24" t="s">
        <v>201</v>
      </c>
      <c r="S1067" s="82">
        <v>252</v>
      </c>
      <c r="T1067" s="303">
        <f t="shared" si="257"/>
        <v>-117</v>
      </c>
      <c r="U1067" s="88">
        <f t="shared" si="258"/>
        <v>135</v>
      </c>
      <c r="V1067" s="82">
        <v>0</v>
      </c>
      <c r="W1067" s="4">
        <v>2</v>
      </c>
      <c r="X1067" s="195">
        <f t="shared" si="259"/>
        <v>135</v>
      </c>
      <c r="Y1067" s="29" t="e">
        <f>IF(+VLOOKUP(I1067,P.Referencia!E:S,3,FALSE)&lt;=L1067,"Champion","Gerente")</f>
        <v>#N/A</v>
      </c>
      <c r="Z1067" s="30" t="e">
        <f>VLOOKUP(I1067,P.Referencia!E:S,3,0)</f>
        <v>#N/A</v>
      </c>
      <c r="AA1067" s="196" t="e">
        <f t="shared" si="260"/>
        <v>#N/A</v>
      </c>
      <c r="AB1067" s="197" t="e">
        <f t="shared" si="261"/>
        <v>#N/A</v>
      </c>
      <c r="AC1067" s="197" t="e">
        <f t="shared" si="262"/>
        <v>#N/A</v>
      </c>
    </row>
    <row r="1068" spans="1:30" s="4" customFormat="1" hidden="1" x14ac:dyDescent="0.25">
      <c r="A1068" s="24">
        <v>1067</v>
      </c>
      <c r="B1068" s="89" t="s">
        <v>571</v>
      </c>
      <c r="C1068" s="4" t="str">
        <f t="shared" si="263"/>
        <v>LlaveD86467367416100002402</v>
      </c>
      <c r="D1068" s="25" t="str">
        <f>VLOOKUP(E1068,'NO MODIFICAR'!J:K,2,0)</f>
        <v>D864</v>
      </c>
      <c r="E1068" s="102" t="s">
        <v>55</v>
      </c>
      <c r="F1068" s="25" t="str">
        <f>VLOOKUP(D1068,'NO MODIFICAR'!F:H,3,0)</f>
        <v xml:space="preserve">CENTRO </v>
      </c>
      <c r="G1068" s="28">
        <v>67367416</v>
      </c>
      <c r="H1068" s="93" t="s">
        <v>632</v>
      </c>
      <c r="I1068" s="94">
        <v>10000240</v>
      </c>
      <c r="J1068" s="4" t="str">
        <f>VLOOKUP(I1068,'Materiales,canteras'!C:D,2,0)</f>
        <v>Grava Triturada Caliza 20 mm -</v>
      </c>
      <c r="K1068" s="25">
        <f>VLOOKUP(I1068,'Materiales,canteras'!C:E,3,0)</f>
        <v>1.462</v>
      </c>
      <c r="L1068" s="105">
        <v>142</v>
      </c>
      <c r="M1068" s="28" t="s">
        <v>93</v>
      </c>
      <c r="N1068" s="193">
        <f t="shared" ca="1" si="249"/>
        <v>46267</v>
      </c>
      <c r="O1068" s="24" t="s">
        <v>201</v>
      </c>
      <c r="S1068" s="82">
        <v>294</v>
      </c>
      <c r="T1068" s="303">
        <f t="shared" si="257"/>
        <v>-152</v>
      </c>
      <c r="U1068" s="88">
        <f t="shared" si="258"/>
        <v>142</v>
      </c>
      <c r="V1068" s="82">
        <v>0</v>
      </c>
      <c r="W1068" s="4">
        <v>2</v>
      </c>
      <c r="X1068" s="195">
        <f t="shared" si="259"/>
        <v>142</v>
      </c>
      <c r="Y1068" s="29" t="e">
        <f>IF(+VLOOKUP(I1068,P.Referencia!E:S,3,FALSE)&lt;=L1068,"Champion","Gerente")</f>
        <v>#N/A</v>
      </c>
      <c r="Z1068" s="30" t="e">
        <f>VLOOKUP(I1068,P.Referencia!E:S,3,0)</f>
        <v>#N/A</v>
      </c>
      <c r="AA1068" s="196" t="e">
        <f t="shared" si="260"/>
        <v>#N/A</v>
      </c>
      <c r="AB1068" s="197" t="e">
        <f t="shared" si="261"/>
        <v>#N/A</v>
      </c>
      <c r="AC1068" s="197" t="e">
        <f t="shared" si="262"/>
        <v>#N/A</v>
      </c>
    </row>
    <row r="1069" spans="1:30" s="4" customFormat="1" hidden="1" x14ac:dyDescent="0.25">
      <c r="A1069" s="24">
        <v>1068</v>
      </c>
      <c r="B1069" s="89" t="s">
        <v>571</v>
      </c>
      <c r="C1069" s="4" t="str">
        <f t="shared" si="263"/>
        <v>LlaveD86467367416100002692</v>
      </c>
      <c r="D1069" s="25" t="str">
        <f>VLOOKUP(E1069,'NO MODIFICAR'!J:K,2,0)</f>
        <v>D864</v>
      </c>
      <c r="E1069" s="102" t="s">
        <v>55</v>
      </c>
      <c r="F1069" s="25" t="str">
        <f>VLOOKUP(D1069,'NO MODIFICAR'!F:H,3,0)</f>
        <v xml:space="preserve">CENTRO </v>
      </c>
      <c r="G1069" s="28">
        <v>67367416</v>
      </c>
      <c r="H1069" s="93" t="s">
        <v>632</v>
      </c>
      <c r="I1069" s="94">
        <v>10000269</v>
      </c>
      <c r="J1069" s="4" t="str">
        <f>VLOOKUP(I1069,'Materiales,canteras'!C:D,2,0)</f>
        <v>Grava Triturada Caliza 13 mm -</v>
      </c>
      <c r="K1069" s="25">
        <f>VLOOKUP(I1069,'Materiales,canteras'!C:E,3,0)</f>
        <v>1.423</v>
      </c>
      <c r="L1069" s="105">
        <v>152.5</v>
      </c>
      <c r="M1069" s="28" t="s">
        <v>93</v>
      </c>
      <c r="N1069" s="193">
        <f t="shared" ca="1" si="249"/>
        <v>46267</v>
      </c>
      <c r="O1069" s="24" t="s">
        <v>201</v>
      </c>
      <c r="S1069" s="82">
        <v>263</v>
      </c>
      <c r="T1069" s="303">
        <f t="shared" si="257"/>
        <v>-110.5</v>
      </c>
      <c r="U1069" s="88">
        <f t="shared" si="258"/>
        <v>152.5</v>
      </c>
      <c r="V1069" s="82">
        <v>0</v>
      </c>
      <c r="W1069" s="4">
        <v>2</v>
      </c>
      <c r="X1069" s="195">
        <f t="shared" si="259"/>
        <v>152.5</v>
      </c>
      <c r="Y1069" s="29" t="e">
        <f>IF(+VLOOKUP(I1069,P.Referencia!E:S,3,FALSE)&lt;=L1069,"Champion","Gerente")</f>
        <v>#N/A</v>
      </c>
      <c r="Z1069" s="30" t="e">
        <f>VLOOKUP(I1069,P.Referencia!E:S,3,0)</f>
        <v>#N/A</v>
      </c>
      <c r="AA1069" s="196" t="e">
        <f t="shared" si="260"/>
        <v>#N/A</v>
      </c>
      <c r="AB1069" s="197" t="e">
        <f t="shared" si="261"/>
        <v>#N/A</v>
      </c>
      <c r="AC1069" s="197" t="e">
        <f t="shared" si="262"/>
        <v>#N/A</v>
      </c>
    </row>
    <row r="1070" spans="1:30" s="4" customFormat="1" hidden="1" x14ac:dyDescent="0.25">
      <c r="A1070" s="24">
        <v>1069</v>
      </c>
      <c r="B1070" s="89" t="s">
        <v>571</v>
      </c>
      <c r="C1070" s="4" t="str">
        <f t="shared" si="263"/>
        <v>LlaveD86467367416100010732</v>
      </c>
      <c r="D1070" s="25" t="str">
        <f>VLOOKUP(E1070,'NO MODIFICAR'!J:K,2,0)</f>
        <v>D864</v>
      </c>
      <c r="E1070" s="102" t="s">
        <v>55</v>
      </c>
      <c r="F1070" s="25" t="str">
        <f>VLOOKUP(D1070,'NO MODIFICAR'!F:H,3,0)</f>
        <v xml:space="preserve">CENTRO </v>
      </c>
      <c r="G1070" s="28">
        <v>67367416</v>
      </c>
      <c r="H1070" s="93" t="s">
        <v>632</v>
      </c>
      <c r="I1070" s="94">
        <v>10001073</v>
      </c>
      <c r="J1070" s="4" t="str">
        <f>VLOOKUP(I1070,'Materiales,canteras'!C:D,2,0)</f>
        <v>Arena Triturada Caliza Malla 4</v>
      </c>
      <c r="K1070" s="25">
        <f>VLOOKUP(I1070,'Materiales,canteras'!C:E,3,0)</f>
        <v>1.56</v>
      </c>
      <c r="L1070" s="105">
        <v>100</v>
      </c>
      <c r="M1070" s="28" t="s">
        <v>93</v>
      </c>
      <c r="N1070" s="193">
        <f t="shared" ca="1" si="249"/>
        <v>46267</v>
      </c>
      <c r="O1070" s="24" t="s">
        <v>201</v>
      </c>
      <c r="S1070" s="82">
        <v>158</v>
      </c>
      <c r="T1070" s="303">
        <f t="shared" si="257"/>
        <v>-58</v>
      </c>
      <c r="U1070" s="88">
        <f t="shared" si="258"/>
        <v>100</v>
      </c>
      <c r="V1070" s="82">
        <v>0</v>
      </c>
      <c r="W1070" s="4">
        <v>2</v>
      </c>
      <c r="X1070" s="195">
        <f t="shared" si="259"/>
        <v>100</v>
      </c>
      <c r="Y1070" s="29" t="e">
        <f>IF(+VLOOKUP(I1070,P.Referencia!E:S,3,FALSE)&lt;=L1070,"Champion","Gerente")</f>
        <v>#N/A</v>
      </c>
      <c r="Z1070" s="30" t="e">
        <f>VLOOKUP(I1070,P.Referencia!E:S,3,0)</f>
        <v>#N/A</v>
      </c>
      <c r="AA1070" s="196" t="e">
        <f t="shared" si="260"/>
        <v>#N/A</v>
      </c>
      <c r="AB1070" s="197" t="e">
        <f t="shared" si="261"/>
        <v>#N/A</v>
      </c>
      <c r="AC1070" s="197" t="e">
        <f t="shared" si="262"/>
        <v>#N/A</v>
      </c>
    </row>
    <row r="1071" spans="1:30" s="4" customFormat="1" hidden="1" x14ac:dyDescent="0.25">
      <c r="A1071" s="24">
        <v>1070</v>
      </c>
      <c r="B1071" s="89" t="s">
        <v>571</v>
      </c>
      <c r="C1071" s="4" t="str">
        <f t="shared" si="263"/>
        <v>LlaveD86467367416100010742</v>
      </c>
      <c r="D1071" s="25" t="str">
        <f>VLOOKUP(E1071,'NO MODIFICAR'!J:K,2,0)</f>
        <v>D864</v>
      </c>
      <c r="E1071" s="102" t="s">
        <v>55</v>
      </c>
      <c r="F1071" s="25" t="str">
        <f>VLOOKUP(D1071,'NO MODIFICAR'!F:H,3,0)</f>
        <v xml:space="preserve">CENTRO </v>
      </c>
      <c r="G1071" s="28">
        <v>67367416</v>
      </c>
      <c r="H1071" s="93" t="s">
        <v>632</v>
      </c>
      <c r="I1071" s="94">
        <v>10001074</v>
      </c>
      <c r="J1071" s="4" t="str">
        <f>VLOOKUP(I1071,'Materiales,canteras'!C:D,2,0)</f>
        <v>Grava Triturada Caliza 40 mm -</v>
      </c>
      <c r="K1071" s="25">
        <f>VLOOKUP(I1071,'Materiales,canteras'!C:E,3,0)</f>
        <v>1.4</v>
      </c>
      <c r="L1071" s="105">
        <v>152</v>
      </c>
      <c r="M1071" s="28" t="s">
        <v>93</v>
      </c>
      <c r="N1071" s="193">
        <f t="shared" ca="1" si="249"/>
        <v>46267</v>
      </c>
      <c r="O1071" s="24" t="s">
        <v>201</v>
      </c>
      <c r="S1071" s="82">
        <v>231</v>
      </c>
      <c r="T1071" s="303">
        <f t="shared" si="257"/>
        <v>-79</v>
      </c>
      <c r="U1071" s="88">
        <f t="shared" si="258"/>
        <v>152</v>
      </c>
      <c r="V1071" s="82">
        <v>0</v>
      </c>
      <c r="W1071" s="4">
        <v>2</v>
      </c>
      <c r="X1071" s="195">
        <f t="shared" si="259"/>
        <v>152</v>
      </c>
      <c r="Y1071" s="29" t="e">
        <f>IF(+VLOOKUP(I1071,P.Referencia!E:S,3,FALSE)&lt;=L1071,"Champion","Gerente")</f>
        <v>#N/A</v>
      </c>
      <c r="Z1071" s="30" t="e">
        <f>VLOOKUP(I1071,P.Referencia!E:S,3,0)</f>
        <v>#N/A</v>
      </c>
      <c r="AA1071" s="196" t="e">
        <f t="shared" si="260"/>
        <v>#N/A</v>
      </c>
      <c r="AB1071" s="197" t="e">
        <f t="shared" si="261"/>
        <v>#N/A</v>
      </c>
      <c r="AC1071" s="197" t="e">
        <f t="shared" si="262"/>
        <v>#N/A</v>
      </c>
    </row>
    <row r="1072" spans="1:30" s="4" customFormat="1" hidden="1" x14ac:dyDescent="0.25">
      <c r="A1072" s="24">
        <v>1071</v>
      </c>
      <c r="B1072" s="89" t="s">
        <v>571</v>
      </c>
      <c r="C1072" s="4" t="str">
        <f t="shared" si="263"/>
        <v>LlaveD86467367449100002362</v>
      </c>
      <c r="D1072" s="25" t="str">
        <f>VLOOKUP(E1072,'NO MODIFICAR'!J:K,2,0)</f>
        <v>D864</v>
      </c>
      <c r="E1072" s="102" t="s">
        <v>55</v>
      </c>
      <c r="F1072" s="25" t="str">
        <f>VLOOKUP(D1072,'NO MODIFICAR'!F:H,3,0)</f>
        <v xml:space="preserve">CENTRO </v>
      </c>
      <c r="G1072" s="28">
        <v>67367449</v>
      </c>
      <c r="H1072" s="93" t="s">
        <v>633</v>
      </c>
      <c r="I1072" s="94">
        <v>10000236</v>
      </c>
      <c r="J1072" s="4" t="str">
        <f>VLOOKUP(I1072,'Materiales,canteras'!C:D,2,0)</f>
        <v>Grava Triturada Caliza 10 mm -</v>
      </c>
      <c r="K1072" s="25">
        <f>VLOOKUP(I1072,'Materiales,canteras'!C:E,3,0)</f>
        <v>1.41</v>
      </c>
      <c r="L1072" s="105">
        <v>135</v>
      </c>
      <c r="M1072" s="28" t="s">
        <v>93</v>
      </c>
      <c r="N1072" s="193">
        <f t="shared" ca="1" si="249"/>
        <v>46267</v>
      </c>
      <c r="O1072" s="24" t="s">
        <v>201</v>
      </c>
      <c r="S1072" s="82">
        <v>252</v>
      </c>
      <c r="T1072" s="303">
        <f t="shared" si="257"/>
        <v>-117</v>
      </c>
      <c r="U1072" s="88">
        <f t="shared" si="258"/>
        <v>135</v>
      </c>
      <c r="V1072" s="82">
        <v>0</v>
      </c>
      <c r="W1072" s="4">
        <v>2</v>
      </c>
      <c r="X1072" s="195">
        <f t="shared" si="259"/>
        <v>135</v>
      </c>
      <c r="Y1072" s="29" t="e">
        <f>IF(+VLOOKUP(I1072,P.Referencia!E:S,3,FALSE)&lt;=L1072,"Champion","Gerente")</f>
        <v>#N/A</v>
      </c>
      <c r="Z1072" s="30" t="e">
        <f>VLOOKUP(I1072,P.Referencia!E:S,3,0)</f>
        <v>#N/A</v>
      </c>
      <c r="AA1072" s="196" t="e">
        <f t="shared" si="260"/>
        <v>#N/A</v>
      </c>
      <c r="AB1072" s="197" t="e">
        <f t="shared" si="261"/>
        <v>#N/A</v>
      </c>
      <c r="AC1072" s="197" t="e">
        <f t="shared" si="262"/>
        <v>#N/A</v>
      </c>
    </row>
    <row r="1073" spans="1:29" s="4" customFormat="1" hidden="1" x14ac:dyDescent="0.25">
      <c r="A1073" s="24">
        <v>1072</v>
      </c>
      <c r="B1073" s="89" t="s">
        <v>571</v>
      </c>
      <c r="C1073" s="4" t="str">
        <f t="shared" si="263"/>
        <v>LlaveD86467367449100002402</v>
      </c>
      <c r="D1073" s="25" t="str">
        <f>VLOOKUP(E1073,'NO MODIFICAR'!J:K,2,0)</f>
        <v>D864</v>
      </c>
      <c r="E1073" s="102" t="s">
        <v>55</v>
      </c>
      <c r="F1073" s="25" t="str">
        <f>VLOOKUP(D1073,'NO MODIFICAR'!F:H,3,0)</f>
        <v xml:space="preserve">CENTRO </v>
      </c>
      <c r="G1073" s="28">
        <v>67367449</v>
      </c>
      <c r="H1073" s="93" t="s">
        <v>633</v>
      </c>
      <c r="I1073" s="94">
        <v>10000240</v>
      </c>
      <c r="J1073" s="4" t="str">
        <f>VLOOKUP(I1073,'Materiales,canteras'!C:D,2,0)</f>
        <v>Grava Triturada Caliza 20 mm -</v>
      </c>
      <c r="K1073" s="25">
        <f>VLOOKUP(I1073,'Materiales,canteras'!C:E,3,0)</f>
        <v>1.462</v>
      </c>
      <c r="L1073" s="105">
        <v>142</v>
      </c>
      <c r="M1073" s="28" t="s">
        <v>93</v>
      </c>
      <c r="N1073" s="193">
        <f t="shared" ca="1" si="249"/>
        <v>46267</v>
      </c>
      <c r="O1073" s="24" t="s">
        <v>201</v>
      </c>
      <c r="S1073" s="82">
        <v>294</v>
      </c>
      <c r="T1073" s="303">
        <f t="shared" si="257"/>
        <v>-152</v>
      </c>
      <c r="U1073" s="88">
        <f t="shared" si="258"/>
        <v>142</v>
      </c>
      <c r="V1073" s="82">
        <v>0</v>
      </c>
      <c r="W1073" s="4">
        <v>2</v>
      </c>
      <c r="X1073" s="195">
        <f t="shared" si="259"/>
        <v>142</v>
      </c>
      <c r="Y1073" s="29" t="e">
        <f>IF(+VLOOKUP(I1073,P.Referencia!E:S,3,FALSE)&lt;=L1073,"Champion","Gerente")</f>
        <v>#N/A</v>
      </c>
      <c r="Z1073" s="30" t="e">
        <f>VLOOKUP(I1073,P.Referencia!E:S,3,0)</f>
        <v>#N/A</v>
      </c>
      <c r="AA1073" s="196" t="e">
        <f t="shared" si="260"/>
        <v>#N/A</v>
      </c>
      <c r="AB1073" s="197" t="e">
        <f t="shared" si="261"/>
        <v>#N/A</v>
      </c>
      <c r="AC1073" s="197" t="e">
        <f t="shared" si="262"/>
        <v>#N/A</v>
      </c>
    </row>
    <row r="1074" spans="1:29" s="4" customFormat="1" hidden="1" x14ac:dyDescent="0.25">
      <c r="A1074" s="24">
        <v>1073</v>
      </c>
      <c r="B1074" s="89" t="s">
        <v>571</v>
      </c>
      <c r="C1074" s="4" t="str">
        <f t="shared" si="263"/>
        <v>LlaveD86467367449100002692</v>
      </c>
      <c r="D1074" s="25" t="str">
        <f>VLOOKUP(E1074,'NO MODIFICAR'!J:K,2,0)</f>
        <v>D864</v>
      </c>
      <c r="E1074" s="102" t="s">
        <v>55</v>
      </c>
      <c r="F1074" s="25" t="str">
        <f>VLOOKUP(D1074,'NO MODIFICAR'!F:H,3,0)</f>
        <v xml:space="preserve">CENTRO </v>
      </c>
      <c r="G1074" s="28">
        <v>67367449</v>
      </c>
      <c r="H1074" s="93" t="s">
        <v>633</v>
      </c>
      <c r="I1074" s="94">
        <v>10000269</v>
      </c>
      <c r="J1074" s="4" t="str">
        <f>VLOOKUP(I1074,'Materiales,canteras'!C:D,2,0)</f>
        <v>Grava Triturada Caliza 13 mm -</v>
      </c>
      <c r="K1074" s="25">
        <f>VLOOKUP(I1074,'Materiales,canteras'!C:E,3,0)</f>
        <v>1.423</v>
      </c>
      <c r="L1074" s="105">
        <v>152.5</v>
      </c>
      <c r="M1074" s="28" t="s">
        <v>93</v>
      </c>
      <c r="N1074" s="193">
        <f t="shared" ca="1" si="249"/>
        <v>46267</v>
      </c>
      <c r="O1074" s="24" t="s">
        <v>201</v>
      </c>
      <c r="S1074" s="82">
        <v>263</v>
      </c>
      <c r="T1074" s="303">
        <f t="shared" si="257"/>
        <v>-110.5</v>
      </c>
      <c r="U1074" s="88">
        <f t="shared" si="258"/>
        <v>152.5</v>
      </c>
      <c r="V1074" s="82">
        <v>0</v>
      </c>
      <c r="W1074" s="4">
        <v>2</v>
      </c>
      <c r="X1074" s="195">
        <f t="shared" si="259"/>
        <v>152.5</v>
      </c>
      <c r="Y1074" s="29" t="e">
        <f>IF(+VLOOKUP(I1074,P.Referencia!E:S,3,FALSE)&lt;=L1074,"Champion","Gerente")</f>
        <v>#N/A</v>
      </c>
      <c r="Z1074" s="30" t="e">
        <f>VLOOKUP(I1074,P.Referencia!E:S,3,0)</f>
        <v>#N/A</v>
      </c>
      <c r="AA1074" s="196" t="e">
        <f t="shared" si="260"/>
        <v>#N/A</v>
      </c>
      <c r="AB1074" s="197" t="e">
        <f t="shared" si="261"/>
        <v>#N/A</v>
      </c>
      <c r="AC1074" s="197" t="e">
        <f t="shared" si="262"/>
        <v>#N/A</v>
      </c>
    </row>
    <row r="1075" spans="1:29" s="4" customFormat="1" hidden="1" x14ac:dyDescent="0.25">
      <c r="A1075" s="24">
        <v>1074</v>
      </c>
      <c r="B1075" s="89" t="s">
        <v>571</v>
      </c>
      <c r="C1075" s="4" t="str">
        <f t="shared" si="263"/>
        <v>LlaveD86467367449100010732</v>
      </c>
      <c r="D1075" s="25" t="str">
        <f>VLOOKUP(E1075,'NO MODIFICAR'!J:K,2,0)</f>
        <v>D864</v>
      </c>
      <c r="E1075" s="102" t="s">
        <v>55</v>
      </c>
      <c r="F1075" s="25" t="str">
        <f>VLOOKUP(D1075,'NO MODIFICAR'!F:H,3,0)</f>
        <v xml:space="preserve">CENTRO </v>
      </c>
      <c r="G1075" s="28">
        <v>67367449</v>
      </c>
      <c r="H1075" s="93" t="s">
        <v>633</v>
      </c>
      <c r="I1075" s="94">
        <v>10001073</v>
      </c>
      <c r="J1075" s="4" t="str">
        <f>VLOOKUP(I1075,'Materiales,canteras'!C:D,2,0)</f>
        <v>Arena Triturada Caliza Malla 4</v>
      </c>
      <c r="K1075" s="25">
        <f>VLOOKUP(I1075,'Materiales,canteras'!C:E,3,0)</f>
        <v>1.56</v>
      </c>
      <c r="L1075" s="105">
        <v>100</v>
      </c>
      <c r="M1075" s="28" t="s">
        <v>93</v>
      </c>
      <c r="N1075" s="193">
        <f t="shared" ca="1" si="249"/>
        <v>46267</v>
      </c>
      <c r="O1075" s="24" t="s">
        <v>201</v>
      </c>
      <c r="S1075" s="82">
        <v>158</v>
      </c>
      <c r="T1075" s="303">
        <f t="shared" si="257"/>
        <v>-58</v>
      </c>
      <c r="U1075" s="88">
        <f t="shared" si="258"/>
        <v>100</v>
      </c>
      <c r="V1075" s="82">
        <v>0</v>
      </c>
      <c r="W1075" s="4">
        <v>2</v>
      </c>
      <c r="X1075" s="195">
        <f t="shared" si="259"/>
        <v>100</v>
      </c>
      <c r="Y1075" s="29" t="e">
        <f>IF(+VLOOKUP(I1075,P.Referencia!E:S,3,FALSE)&lt;=L1075,"Champion","Gerente")</f>
        <v>#N/A</v>
      </c>
      <c r="Z1075" s="30" t="e">
        <f>VLOOKUP(I1075,P.Referencia!E:S,3,0)</f>
        <v>#N/A</v>
      </c>
      <c r="AA1075" s="196" t="e">
        <f t="shared" si="260"/>
        <v>#N/A</v>
      </c>
      <c r="AB1075" s="197" t="e">
        <f t="shared" si="261"/>
        <v>#N/A</v>
      </c>
      <c r="AC1075" s="197" t="e">
        <f t="shared" si="262"/>
        <v>#N/A</v>
      </c>
    </row>
    <row r="1076" spans="1:29" s="4" customFormat="1" hidden="1" x14ac:dyDescent="0.25">
      <c r="A1076" s="24">
        <v>1075</v>
      </c>
      <c r="B1076" s="89" t="s">
        <v>571</v>
      </c>
      <c r="C1076" s="4" t="str">
        <f t="shared" si="263"/>
        <v>LlaveD86467367449100010742</v>
      </c>
      <c r="D1076" s="25" t="str">
        <f>VLOOKUP(E1076,'NO MODIFICAR'!J:K,2,0)</f>
        <v>D864</v>
      </c>
      <c r="E1076" s="102" t="s">
        <v>55</v>
      </c>
      <c r="F1076" s="25" t="str">
        <f>VLOOKUP(D1076,'NO MODIFICAR'!F:H,3,0)</f>
        <v xml:space="preserve">CENTRO </v>
      </c>
      <c r="G1076" s="28">
        <v>67367449</v>
      </c>
      <c r="H1076" s="93" t="s">
        <v>633</v>
      </c>
      <c r="I1076" s="94">
        <v>10001074</v>
      </c>
      <c r="J1076" s="4" t="str">
        <f>VLOOKUP(I1076,'Materiales,canteras'!C:D,2,0)</f>
        <v>Grava Triturada Caliza 40 mm -</v>
      </c>
      <c r="K1076" s="25">
        <f>VLOOKUP(I1076,'Materiales,canteras'!C:E,3,0)</f>
        <v>1.4</v>
      </c>
      <c r="L1076" s="105">
        <v>152</v>
      </c>
      <c r="M1076" s="28" t="s">
        <v>93</v>
      </c>
      <c r="N1076" s="193">
        <f t="shared" ca="1" si="249"/>
        <v>46267</v>
      </c>
      <c r="O1076" s="24" t="s">
        <v>201</v>
      </c>
      <c r="S1076" s="82">
        <v>231</v>
      </c>
      <c r="T1076" s="303">
        <f t="shared" si="257"/>
        <v>-79</v>
      </c>
      <c r="U1076" s="88">
        <f t="shared" si="258"/>
        <v>152</v>
      </c>
      <c r="V1076" s="82">
        <v>0</v>
      </c>
      <c r="W1076" s="4">
        <v>2</v>
      </c>
      <c r="X1076" s="195">
        <f t="shared" si="259"/>
        <v>152</v>
      </c>
      <c r="Y1076" s="29" t="e">
        <f>IF(+VLOOKUP(I1076,P.Referencia!E:S,3,FALSE)&lt;=L1076,"Champion","Gerente")</f>
        <v>#N/A</v>
      </c>
      <c r="Z1076" s="30" t="e">
        <f>VLOOKUP(I1076,P.Referencia!E:S,3,0)</f>
        <v>#N/A</v>
      </c>
      <c r="AA1076" s="196" t="e">
        <f t="shared" si="260"/>
        <v>#N/A</v>
      </c>
      <c r="AB1076" s="197" t="e">
        <f t="shared" si="261"/>
        <v>#N/A</v>
      </c>
      <c r="AC1076" s="197" t="e">
        <f t="shared" si="262"/>
        <v>#N/A</v>
      </c>
    </row>
    <row r="1077" spans="1:29" s="4" customFormat="1" hidden="1" x14ac:dyDescent="0.25">
      <c r="A1077" s="24">
        <v>1076</v>
      </c>
      <c r="B1077" s="89" t="s">
        <v>571</v>
      </c>
      <c r="C1077" s="4" t="str">
        <f t="shared" si="263"/>
        <v>LlaveD81667289550100002622</v>
      </c>
      <c r="D1077" s="25" t="str">
        <f>VLOOKUP(E1077,'NO MODIFICAR'!J:K,2,0)</f>
        <v>D816</v>
      </c>
      <c r="E1077" s="102" t="s">
        <v>15</v>
      </c>
      <c r="F1077" s="25" t="str">
        <f>VLOOKUP(D1077,'NO MODIFICAR'!F:H,3,0)</f>
        <v>NORESTE</v>
      </c>
      <c r="G1077" s="28">
        <v>67289550</v>
      </c>
      <c r="H1077" s="93" t="s">
        <v>634</v>
      </c>
      <c r="I1077" s="94">
        <v>10000262</v>
      </c>
      <c r="J1077" s="4" t="str">
        <f>VLOOKUP(I1077,'Materiales,canteras'!C:D,2,0)</f>
        <v>Base H Triturada Caliza 1 1/2"</v>
      </c>
      <c r="K1077" s="25">
        <f>VLOOKUP(I1077,'Materiales,canteras'!C:E,3,0)</f>
        <v>1.821</v>
      </c>
      <c r="L1077" s="105">
        <v>270</v>
      </c>
      <c r="M1077" s="28" t="s">
        <v>93</v>
      </c>
      <c r="N1077" s="193">
        <f t="shared" ca="1" si="249"/>
        <v>46267</v>
      </c>
      <c r="O1077" s="24" t="s">
        <v>201</v>
      </c>
      <c r="S1077" s="82"/>
      <c r="T1077" s="303">
        <f t="shared" si="257"/>
        <v>270</v>
      </c>
      <c r="U1077" s="88">
        <f t="shared" si="258"/>
        <v>270</v>
      </c>
      <c r="V1077" s="82">
        <v>87.19</v>
      </c>
      <c r="W1077" s="4">
        <v>2</v>
      </c>
      <c r="X1077" s="195">
        <f t="shared" si="259"/>
        <v>357.19</v>
      </c>
      <c r="Y1077" s="29" t="e">
        <f>IF(+VLOOKUP(I1077,P.Referencia!E:S,3,FALSE)&lt;=L1077,"Champion","Gerente")</f>
        <v>#N/A</v>
      </c>
      <c r="Z1077" s="30" t="e">
        <f>VLOOKUP(I1077,P.Referencia!E:S,3,0)</f>
        <v>#N/A</v>
      </c>
      <c r="AA1077" s="196" t="e">
        <f t="shared" si="260"/>
        <v>#N/A</v>
      </c>
      <c r="AB1077" s="197" t="e">
        <f t="shared" si="261"/>
        <v>#N/A</v>
      </c>
      <c r="AC1077" s="197" t="e">
        <f t="shared" si="262"/>
        <v>#N/A</v>
      </c>
    </row>
    <row r="1078" spans="1:29" s="4" customFormat="1" hidden="1" x14ac:dyDescent="0.25">
      <c r="A1078" s="24">
        <v>1077</v>
      </c>
      <c r="B1078" s="89" t="s">
        <v>571</v>
      </c>
      <c r="C1078" s="4" t="str">
        <f t="shared" si="263"/>
        <v>LlaveD81667289550100364882</v>
      </c>
      <c r="D1078" s="25" t="str">
        <f>VLOOKUP(E1078,'NO MODIFICAR'!J:K,2,0)</f>
        <v>D816</v>
      </c>
      <c r="E1078" s="102" t="s">
        <v>15</v>
      </c>
      <c r="F1078" s="25" t="str">
        <f>VLOOKUP(D1078,'NO MODIFICAR'!F:H,3,0)</f>
        <v>NORESTE</v>
      </c>
      <c r="G1078" s="28">
        <v>67289550</v>
      </c>
      <c r="H1078" s="93" t="s">
        <v>634</v>
      </c>
      <c r="I1078" s="94">
        <v>10036488</v>
      </c>
      <c r="J1078" s="4" t="str">
        <f>VLOOKUP(I1078,'Materiales,canteras'!C:D,2,0)</f>
        <v>Base H Trit Caliza 3/4" a Fino</v>
      </c>
      <c r="K1078" s="25">
        <f>VLOOKUP(I1078,'Materiales,canteras'!C:E,3,0)</f>
        <v>1.78</v>
      </c>
      <c r="L1078" s="105">
        <v>270</v>
      </c>
      <c r="M1078" s="28" t="s">
        <v>93</v>
      </c>
      <c r="N1078" s="193">
        <f t="shared" ca="1" si="249"/>
        <v>46267</v>
      </c>
      <c r="O1078" s="24" t="s">
        <v>201</v>
      </c>
      <c r="S1078" s="82"/>
      <c r="T1078" s="303">
        <f t="shared" si="257"/>
        <v>270</v>
      </c>
      <c r="U1078" s="88">
        <f t="shared" si="258"/>
        <v>270</v>
      </c>
      <c r="V1078" s="82">
        <v>87.19</v>
      </c>
      <c r="W1078" s="4">
        <v>2</v>
      </c>
      <c r="X1078" s="195">
        <f t="shared" si="259"/>
        <v>357.19</v>
      </c>
      <c r="Y1078" s="29" t="e">
        <f>IF(+VLOOKUP(I1078,P.Referencia!E:S,3,FALSE)&lt;=L1078,"Champion","Gerente")</f>
        <v>#N/A</v>
      </c>
      <c r="Z1078" s="30" t="e">
        <f>VLOOKUP(I1078,P.Referencia!E:S,3,0)</f>
        <v>#N/A</v>
      </c>
      <c r="AA1078" s="196" t="e">
        <f t="shared" si="260"/>
        <v>#N/A</v>
      </c>
      <c r="AB1078" s="197" t="e">
        <f t="shared" si="261"/>
        <v>#N/A</v>
      </c>
      <c r="AC1078" s="197" t="e">
        <f t="shared" si="262"/>
        <v>#N/A</v>
      </c>
    </row>
    <row r="1079" spans="1:29" s="4" customFormat="1" hidden="1" x14ac:dyDescent="0.25">
      <c r="A1079" s="24">
        <v>1078</v>
      </c>
      <c r="B1079" s="89" t="s">
        <v>571</v>
      </c>
      <c r="C1079" s="4" t="str">
        <f t="shared" si="263"/>
        <v>LlaveD81667289550100002482</v>
      </c>
      <c r="D1079" s="25" t="str">
        <f>VLOOKUP(E1079,'NO MODIFICAR'!J:K,2,0)</f>
        <v>D816</v>
      </c>
      <c r="E1079" s="102" t="s">
        <v>15</v>
      </c>
      <c r="F1079" s="25" t="str">
        <f>VLOOKUP(D1079,'NO MODIFICAR'!F:H,3,0)</f>
        <v>NORESTE</v>
      </c>
      <c r="G1079" s="28">
        <v>67289550</v>
      </c>
      <c r="H1079" s="93" t="s">
        <v>634</v>
      </c>
      <c r="I1079" s="94">
        <v>10000248</v>
      </c>
      <c r="J1079" s="4" t="str">
        <f>VLOOKUP(I1079,'Materiales,canteras'!C:D,2,0)</f>
        <v>Sub-base Triturado Caliza 1 1/2" a Finos</v>
      </c>
      <c r="K1079" s="25">
        <f>VLOOKUP(I1079,'Materiales,canteras'!C:E,3,0)</f>
        <v>1.821</v>
      </c>
      <c r="L1079" s="105">
        <v>268</v>
      </c>
      <c r="M1079" s="28" t="s">
        <v>93</v>
      </c>
      <c r="N1079" s="193">
        <f t="shared" ca="1" si="249"/>
        <v>46267</v>
      </c>
      <c r="O1079" s="24" t="s">
        <v>201</v>
      </c>
      <c r="S1079" s="82"/>
      <c r="T1079" s="303">
        <f t="shared" si="257"/>
        <v>268</v>
      </c>
      <c r="U1079" s="88">
        <f t="shared" si="258"/>
        <v>268</v>
      </c>
      <c r="V1079" s="82">
        <v>87.19</v>
      </c>
      <c r="W1079" s="4">
        <v>2</v>
      </c>
      <c r="X1079" s="195">
        <f t="shared" si="259"/>
        <v>355.19</v>
      </c>
      <c r="Y1079" s="29" t="e">
        <f>IF(+VLOOKUP(I1079,P.Referencia!E:S,3,FALSE)&lt;=L1079,"Champion","Gerente")</f>
        <v>#N/A</v>
      </c>
      <c r="Z1079" s="30" t="e">
        <f>VLOOKUP(I1079,P.Referencia!E:S,3,0)</f>
        <v>#N/A</v>
      </c>
      <c r="AA1079" s="196" t="e">
        <f t="shared" si="260"/>
        <v>#N/A</v>
      </c>
      <c r="AB1079" s="197" t="e">
        <f t="shared" si="261"/>
        <v>#N/A</v>
      </c>
      <c r="AC1079" s="197" t="e">
        <f t="shared" si="262"/>
        <v>#N/A</v>
      </c>
    </row>
    <row r="1080" spans="1:29" s="4" customFormat="1" hidden="1" x14ac:dyDescent="0.25">
      <c r="A1080" s="24">
        <v>1079</v>
      </c>
      <c r="B1080" s="89" t="s">
        <v>571</v>
      </c>
      <c r="C1080" s="4" t="str">
        <f t="shared" si="263"/>
        <v>LlaveD86167158561100002902</v>
      </c>
      <c r="D1080" s="25" t="str">
        <f>VLOOKUP(E1080,'NO MODIFICAR'!J:K,2,0)</f>
        <v>D861</v>
      </c>
      <c r="E1080" s="102" t="s">
        <v>44</v>
      </c>
      <c r="F1080" s="25" t="str">
        <f>VLOOKUP(D1080,'NO MODIFICAR'!F:H,3,0)</f>
        <v xml:space="preserve">CENTRO </v>
      </c>
      <c r="G1080" s="28">
        <v>67158561</v>
      </c>
      <c r="H1080" s="93" t="s">
        <v>635</v>
      </c>
      <c r="I1080" s="94">
        <v>10000290</v>
      </c>
      <c r="J1080" s="4" t="str">
        <f>VLOOKUP(I1080,'Materiales,canteras'!C:D,2,0)</f>
        <v>Polvos Triturado Basalto 3/4"</v>
      </c>
      <c r="K1080" s="25">
        <f>VLOOKUP(I1080,'Materiales,canteras'!C:E,3,0)</f>
        <v>1.3720000000000001</v>
      </c>
      <c r="L1080" s="105">
        <v>18</v>
      </c>
      <c r="M1080" s="28" t="s">
        <v>93</v>
      </c>
      <c r="N1080" s="193">
        <f t="shared" ca="1" si="249"/>
        <v>46267</v>
      </c>
      <c r="O1080" s="24" t="s">
        <v>201</v>
      </c>
      <c r="R1080" s="4">
        <v>0.42</v>
      </c>
      <c r="S1080" s="82">
        <v>28</v>
      </c>
      <c r="T1080" s="303">
        <f t="shared" ref="T1080:T1096" si="264">L1080-((S1080-P1080)-(Q1080)-(R1080))</f>
        <v>-9.5799999999999983</v>
      </c>
      <c r="U1080" s="88">
        <f t="shared" ref="U1080:U1094" si="265">L1080</f>
        <v>18</v>
      </c>
      <c r="V1080" s="82">
        <v>52</v>
      </c>
      <c r="W1080" s="4">
        <v>2</v>
      </c>
      <c r="X1080" s="195">
        <f t="shared" ref="X1080:X1085" si="266">U1080+V1080</f>
        <v>70</v>
      </c>
      <c r="Y1080" s="29" t="e">
        <f>IF(+VLOOKUP(I1080,P.Referencia!E:S,3,FALSE)&lt;=L1080,"Champion","Gerente")</f>
        <v>#N/A</v>
      </c>
      <c r="Z1080" s="30" t="e">
        <f>VLOOKUP(I1080,P.Referencia!E:S,3,0)</f>
        <v>#N/A</v>
      </c>
      <c r="AA1080" s="196" t="e">
        <f t="shared" ref="AA1080:AA1085" si="267">(Z1080-U1080)/U1080</f>
        <v>#N/A</v>
      </c>
      <c r="AB1080" s="197" t="e">
        <f t="shared" ref="AB1080:AB1085" si="268">U1080*AA1080</f>
        <v>#N/A</v>
      </c>
      <c r="AC1080" s="197" t="e">
        <f t="shared" ref="AC1080:AC1085" si="269">U1080+AB1080</f>
        <v>#N/A</v>
      </c>
    </row>
    <row r="1081" spans="1:29" s="4" customFormat="1" hidden="1" x14ac:dyDescent="0.25">
      <c r="A1081" s="24">
        <v>1080</v>
      </c>
      <c r="B1081" s="89" t="s">
        <v>571</v>
      </c>
      <c r="C1081" s="4" t="str">
        <f t="shared" si="263"/>
        <v>LlaveD86167346311100002902</v>
      </c>
      <c r="D1081" s="25" t="str">
        <f>VLOOKUP(E1081,'NO MODIFICAR'!J:K,2,0)</f>
        <v>D861</v>
      </c>
      <c r="E1081" s="102" t="s">
        <v>44</v>
      </c>
      <c r="F1081" s="25" t="str">
        <f>VLOOKUP(D1081,'NO MODIFICAR'!F:H,3,0)</f>
        <v xml:space="preserve">CENTRO </v>
      </c>
      <c r="G1081" s="28">
        <v>67346311</v>
      </c>
      <c r="H1081" s="93" t="s">
        <v>636</v>
      </c>
      <c r="I1081" s="94">
        <v>10000290</v>
      </c>
      <c r="J1081" s="4" t="str">
        <f>VLOOKUP(I1081,'Materiales,canteras'!C:D,2,0)</f>
        <v>Polvos Triturado Basalto 3/4"</v>
      </c>
      <c r="K1081" s="25">
        <f>VLOOKUP(I1081,'Materiales,canteras'!C:E,3,0)</f>
        <v>1.3720000000000001</v>
      </c>
      <c r="L1081" s="105">
        <v>18</v>
      </c>
      <c r="M1081" s="28" t="s">
        <v>93</v>
      </c>
      <c r="N1081" s="193">
        <f t="shared" ca="1" si="249"/>
        <v>46267</v>
      </c>
      <c r="O1081" s="24" t="s">
        <v>201</v>
      </c>
      <c r="S1081" s="82">
        <v>28</v>
      </c>
      <c r="T1081" s="303">
        <f t="shared" si="264"/>
        <v>-10</v>
      </c>
      <c r="U1081" s="88">
        <f t="shared" si="265"/>
        <v>18</v>
      </c>
      <c r="V1081" s="82">
        <v>52</v>
      </c>
      <c r="W1081" s="4">
        <v>2</v>
      </c>
      <c r="X1081" s="195">
        <f t="shared" si="266"/>
        <v>70</v>
      </c>
      <c r="Y1081" s="29" t="e">
        <f>IF(+VLOOKUP(I1081,P.Referencia!E:S,3,FALSE)&lt;=L1081,"Champion","Gerente")</f>
        <v>#N/A</v>
      </c>
      <c r="Z1081" s="30" t="e">
        <f>VLOOKUP(I1081,P.Referencia!E:S,3,0)</f>
        <v>#N/A</v>
      </c>
      <c r="AA1081" s="196" t="e">
        <f t="shared" si="267"/>
        <v>#N/A</v>
      </c>
      <c r="AB1081" s="197" t="e">
        <f t="shared" si="268"/>
        <v>#N/A</v>
      </c>
      <c r="AC1081" s="197" t="e">
        <f t="shared" si="269"/>
        <v>#N/A</v>
      </c>
    </row>
    <row r="1082" spans="1:29" s="4" customFormat="1" hidden="1" x14ac:dyDescent="0.25">
      <c r="A1082" s="24">
        <v>1081</v>
      </c>
      <c r="B1082" s="89" t="s">
        <v>571</v>
      </c>
      <c r="C1082" s="4" t="str">
        <f t="shared" si="263"/>
        <v>LlaveD81667373068100002482</v>
      </c>
      <c r="D1082" s="25" t="str">
        <f>VLOOKUP(E1082,'NO MODIFICAR'!J:K,2,0)</f>
        <v>D816</v>
      </c>
      <c r="E1082" s="102" t="s">
        <v>15</v>
      </c>
      <c r="F1082" s="25" t="str">
        <f>VLOOKUP(D1082,'NO MODIFICAR'!F:H,3,0)</f>
        <v>NORESTE</v>
      </c>
      <c r="G1082" s="28">
        <v>67373068</v>
      </c>
      <c r="H1082" s="93" t="s">
        <v>637</v>
      </c>
      <c r="I1082" s="94">
        <v>10000248</v>
      </c>
      <c r="J1082" s="4" t="str">
        <f>VLOOKUP(I1082,'Materiales,canteras'!C:D,2,0)</f>
        <v>Sub-base Triturado Caliza 1 1/2" a Finos</v>
      </c>
      <c r="K1082" s="25">
        <f>VLOOKUP(I1082,'Materiales,canteras'!C:E,3,0)</f>
        <v>1.821</v>
      </c>
      <c r="L1082" s="105">
        <v>297</v>
      </c>
      <c r="M1082" s="28" t="s">
        <v>93</v>
      </c>
      <c r="N1082" s="193">
        <f t="shared" ca="1" si="249"/>
        <v>46267</v>
      </c>
      <c r="O1082" s="24" t="s">
        <v>201</v>
      </c>
      <c r="R1082" s="4">
        <v>4.83</v>
      </c>
      <c r="S1082" s="82">
        <v>322</v>
      </c>
      <c r="T1082" s="303">
        <f t="shared" si="264"/>
        <v>-20.170000000000016</v>
      </c>
      <c r="U1082" s="88">
        <f t="shared" si="265"/>
        <v>297</v>
      </c>
      <c r="V1082" s="82">
        <v>0</v>
      </c>
      <c r="W1082" s="4">
        <v>2</v>
      </c>
      <c r="X1082" s="195">
        <f t="shared" si="266"/>
        <v>297</v>
      </c>
      <c r="Y1082" s="29" t="e">
        <f>IF(+VLOOKUP(I1082,P.Referencia!E:S,3,FALSE)&lt;=L1082,"Champion","Gerente")</f>
        <v>#N/A</v>
      </c>
      <c r="Z1082" s="30" t="e">
        <f>VLOOKUP(I1082,P.Referencia!E:S,3,0)</f>
        <v>#N/A</v>
      </c>
      <c r="AA1082" s="196" t="e">
        <f t="shared" si="267"/>
        <v>#N/A</v>
      </c>
      <c r="AB1082" s="197" t="e">
        <f t="shared" si="268"/>
        <v>#N/A</v>
      </c>
      <c r="AC1082" s="197" t="e">
        <f t="shared" si="269"/>
        <v>#N/A</v>
      </c>
    </row>
    <row r="1083" spans="1:29" s="4" customFormat="1" hidden="1" x14ac:dyDescent="0.25">
      <c r="A1083" s="24">
        <v>1082</v>
      </c>
      <c r="B1083" s="89" t="s">
        <v>571</v>
      </c>
      <c r="C1083" s="4" t="str">
        <f t="shared" ref="C1083:C1085" si="270">_xlfn.CONCAT($C$1,D1083,G1083,I1083,W1083)</f>
        <v>LlaveD81665000236100011702</v>
      </c>
      <c r="D1083" s="25" t="str">
        <f>VLOOKUP(E1083,'NO MODIFICAR'!J:K,2,0)</f>
        <v>D816</v>
      </c>
      <c r="E1083" s="102" t="s">
        <v>15</v>
      </c>
      <c r="F1083" s="25" t="str">
        <f>VLOOKUP(D1083,'NO MODIFICAR'!F:H,3,0)</f>
        <v>NORESTE</v>
      </c>
      <c r="G1083" s="28">
        <v>65000236</v>
      </c>
      <c r="H1083" s="93" t="s">
        <v>638</v>
      </c>
      <c r="I1083" s="94">
        <v>10001170</v>
      </c>
      <c r="J1083" s="4" t="str">
        <f>VLOOKUP(I1083,'Materiales,canteras'!C:D,2,0)</f>
        <v>Arena Triturada Caliza Block</v>
      </c>
      <c r="K1083" s="25">
        <f>VLOOKUP(I1083,'Materiales,canteras'!C:E,3,0)</f>
        <v>1.7709999999999999</v>
      </c>
      <c r="L1083" s="105">
        <v>270</v>
      </c>
      <c r="M1083" s="28" t="s">
        <v>93</v>
      </c>
      <c r="N1083" s="193">
        <f t="shared" ca="1" si="249"/>
        <v>46267</v>
      </c>
      <c r="O1083" s="24" t="s">
        <v>201</v>
      </c>
      <c r="Q1083" s="4">
        <v>47.06</v>
      </c>
      <c r="R1083" s="4">
        <v>25.34</v>
      </c>
      <c r="S1083" s="82">
        <v>362</v>
      </c>
      <c r="T1083" s="303">
        <f t="shared" si="264"/>
        <v>-19.600000000000023</v>
      </c>
      <c r="U1083" s="88">
        <f t="shared" si="265"/>
        <v>270</v>
      </c>
      <c r="V1083" s="82">
        <v>0</v>
      </c>
      <c r="W1083" s="4">
        <v>2</v>
      </c>
      <c r="X1083" s="195">
        <f t="shared" si="266"/>
        <v>270</v>
      </c>
      <c r="Y1083" s="29" t="e">
        <f>IF(+VLOOKUP(I1083,P.Referencia!E:S,3,FALSE)&lt;=L1083,"Champion","Gerente")</f>
        <v>#N/A</v>
      </c>
      <c r="Z1083" s="30" t="e">
        <f>VLOOKUP(I1083,P.Referencia!E:S,3,0)</f>
        <v>#N/A</v>
      </c>
      <c r="AA1083" s="196" t="e">
        <f t="shared" si="267"/>
        <v>#N/A</v>
      </c>
      <c r="AB1083" s="197" t="e">
        <f t="shared" si="268"/>
        <v>#N/A</v>
      </c>
      <c r="AC1083" s="197" t="e">
        <f t="shared" si="269"/>
        <v>#N/A</v>
      </c>
    </row>
    <row r="1084" spans="1:29" s="4" customFormat="1" hidden="1" x14ac:dyDescent="0.25">
      <c r="A1084" s="24">
        <v>1083</v>
      </c>
      <c r="B1084" s="89" t="s">
        <v>641</v>
      </c>
      <c r="C1084" s="4" t="str">
        <f t="shared" si="270"/>
        <v>LlaveDU0767373209100001032</v>
      </c>
      <c r="D1084" s="25" t="str">
        <f>VLOOKUP(E1084,'NO MODIFICAR'!J:K,2,0)</f>
        <v>DU07</v>
      </c>
      <c r="E1084" s="102" t="s">
        <v>87</v>
      </c>
      <c r="F1084" s="25" t="str">
        <f>VLOOKUP(D1084,'NO MODIFICAR'!F:H,3,0)</f>
        <v>SURESTE</v>
      </c>
      <c r="G1084" s="28">
        <v>67373209</v>
      </c>
      <c r="H1084" s="93" t="s">
        <v>639</v>
      </c>
      <c r="I1084" s="94">
        <v>10000103</v>
      </c>
      <c r="J1084" s="4" t="str">
        <f>VLOOKUP(I1084,'Materiales,canteras'!C:D,2,0)</f>
        <v>Base H Triturada Caliza 1 1/2" a Finos</v>
      </c>
      <c r="K1084" s="25">
        <f>VLOOKUP(I1084,'Materiales,canteras'!C:E,3,0)</f>
        <v>1.462</v>
      </c>
      <c r="L1084" s="105">
        <f>137.931/K1084</f>
        <v>94.344049247606023</v>
      </c>
      <c r="M1084" s="28" t="s">
        <v>93</v>
      </c>
      <c r="N1084" s="193">
        <f t="shared" ca="1" si="249"/>
        <v>46267</v>
      </c>
      <c r="O1084" s="24" t="s">
        <v>201</v>
      </c>
      <c r="S1084" s="82">
        <v>158</v>
      </c>
      <c r="T1084" s="303">
        <f t="shared" si="264"/>
        <v>-63.655950752393977</v>
      </c>
      <c r="U1084" s="88">
        <f t="shared" si="265"/>
        <v>94.344049247606023</v>
      </c>
      <c r="V1084" s="82">
        <v>0</v>
      </c>
      <c r="W1084" s="4">
        <v>2</v>
      </c>
      <c r="X1084" s="195">
        <f t="shared" si="266"/>
        <v>94.344049247606023</v>
      </c>
      <c r="Y1084" s="29" t="e">
        <f>IF(+VLOOKUP(I1084,P.Referencia!E:S,3,FALSE)&lt;=L1084,"Champion","Gerente")</f>
        <v>#N/A</v>
      </c>
      <c r="Z1084" s="30" t="e">
        <f>VLOOKUP(I1084,P.Referencia!E:S,3,0)</f>
        <v>#N/A</v>
      </c>
      <c r="AA1084" s="196" t="e">
        <f t="shared" si="267"/>
        <v>#N/A</v>
      </c>
      <c r="AB1084" s="197" t="e">
        <f t="shared" si="268"/>
        <v>#N/A</v>
      </c>
      <c r="AC1084" s="197" t="e">
        <f t="shared" si="269"/>
        <v>#N/A</v>
      </c>
    </row>
    <row r="1085" spans="1:29" s="4" customFormat="1" hidden="1" x14ac:dyDescent="0.25">
      <c r="A1085" s="24">
        <v>1084</v>
      </c>
      <c r="B1085" s="89" t="s">
        <v>641</v>
      </c>
      <c r="C1085" s="4" t="str">
        <f t="shared" si="270"/>
        <v>LlaveDU0767373219100001032</v>
      </c>
      <c r="D1085" s="25" t="str">
        <f>VLOOKUP(E1085,'NO MODIFICAR'!J:K,2,0)</f>
        <v>DU07</v>
      </c>
      <c r="E1085" s="102" t="s">
        <v>87</v>
      </c>
      <c r="F1085" s="25" t="str">
        <f>VLOOKUP(D1085,'NO MODIFICAR'!F:H,3,0)</f>
        <v>SURESTE</v>
      </c>
      <c r="G1085" s="28">
        <v>67373219</v>
      </c>
      <c r="H1085" s="93" t="s">
        <v>640</v>
      </c>
      <c r="I1085" s="94">
        <v>10000103</v>
      </c>
      <c r="J1085" s="4" t="str">
        <f>VLOOKUP(I1085,'Materiales,canteras'!C:D,2,0)</f>
        <v>Base H Triturada Caliza 1 1/2" a Finos</v>
      </c>
      <c r="K1085" s="25">
        <f>VLOOKUP(I1085,'Materiales,canteras'!C:E,3,0)</f>
        <v>1.462</v>
      </c>
      <c r="L1085" s="105">
        <f>137.931/K1085</f>
        <v>94.344049247606023</v>
      </c>
      <c r="M1085" s="28" t="s">
        <v>93</v>
      </c>
      <c r="N1085" s="193">
        <f t="shared" ca="1" si="249"/>
        <v>46267</v>
      </c>
      <c r="O1085" s="24" t="s">
        <v>201</v>
      </c>
      <c r="S1085" s="82">
        <v>158</v>
      </c>
      <c r="T1085" s="303">
        <f t="shared" si="264"/>
        <v>-63.655950752393977</v>
      </c>
      <c r="U1085" s="88">
        <f t="shared" si="265"/>
        <v>94.344049247606023</v>
      </c>
      <c r="V1085" s="82">
        <v>0</v>
      </c>
      <c r="W1085" s="4">
        <v>2</v>
      </c>
      <c r="X1085" s="195">
        <f t="shared" si="266"/>
        <v>94.344049247606023</v>
      </c>
      <c r="Y1085" s="29" t="e">
        <f>IF(+VLOOKUP(I1085,P.Referencia!E:S,3,FALSE)&lt;=L1085,"Champion","Gerente")</f>
        <v>#N/A</v>
      </c>
      <c r="Z1085" s="30" t="e">
        <f>VLOOKUP(I1085,P.Referencia!E:S,3,0)</f>
        <v>#N/A</v>
      </c>
      <c r="AA1085" s="196" t="e">
        <f t="shared" si="267"/>
        <v>#N/A</v>
      </c>
      <c r="AB1085" s="197" t="e">
        <f t="shared" si="268"/>
        <v>#N/A</v>
      </c>
      <c r="AC1085" s="197" t="e">
        <f t="shared" si="269"/>
        <v>#N/A</v>
      </c>
    </row>
    <row r="1086" spans="1:29" s="4" customFormat="1" hidden="1" x14ac:dyDescent="0.25">
      <c r="A1086" s="24">
        <v>1085</v>
      </c>
      <c r="B1086" s="89" t="s">
        <v>641</v>
      </c>
      <c r="C1086" s="4" t="str">
        <f t="shared" ref="C1086:C1099" si="271">_xlfn.CONCAT($C$1,D1086,G1086,I1086,W1086)</f>
        <v>LlaveD86165164446100002312</v>
      </c>
      <c r="D1086" s="25" t="str">
        <f>VLOOKUP(E1086,'NO MODIFICAR'!J:K,2,0)</f>
        <v>D861</v>
      </c>
      <c r="E1086" s="102" t="s">
        <v>44</v>
      </c>
      <c r="F1086" s="25" t="str">
        <f>VLOOKUP(D1086,'NO MODIFICAR'!F:H,3,0)</f>
        <v xml:space="preserve">CENTRO </v>
      </c>
      <c r="G1086" s="28">
        <v>65164446</v>
      </c>
      <c r="H1086" s="93" t="s">
        <v>569</v>
      </c>
      <c r="I1086" s="94">
        <v>10000231</v>
      </c>
      <c r="J1086" s="4" t="str">
        <f>VLOOKUP(I1086,'Materiales,canteras'!C:D,2,0)</f>
        <v>Grava Triturada Basalto 20 mm</v>
      </c>
      <c r="K1086" s="25">
        <f>VLOOKUP(I1086,'Materiales,canteras'!C:E,3,0)</f>
        <v>1.5649999999999999</v>
      </c>
      <c r="L1086" s="105">
        <v>230</v>
      </c>
      <c r="M1086" s="28" t="s">
        <v>93</v>
      </c>
      <c r="N1086" s="193">
        <f t="shared" ca="1" si="249"/>
        <v>46267</v>
      </c>
      <c r="O1086" s="24" t="s">
        <v>201</v>
      </c>
      <c r="R1086" s="4">
        <v>4.62</v>
      </c>
      <c r="S1086" s="82">
        <v>308</v>
      </c>
      <c r="T1086" s="303">
        <f t="shared" si="264"/>
        <v>-73.38</v>
      </c>
      <c r="U1086" s="88">
        <f t="shared" si="265"/>
        <v>230</v>
      </c>
      <c r="V1086" s="82">
        <v>0</v>
      </c>
      <c r="W1086" s="4">
        <v>2</v>
      </c>
      <c r="X1086" s="195">
        <f t="shared" ref="X1086:X1099" si="272">U1086+V1086</f>
        <v>230</v>
      </c>
      <c r="Y1086" s="29" t="e">
        <f>IF(+VLOOKUP(I1086,P.Referencia!E:S,3,FALSE)&lt;=L1086,"Champion","Gerente")</f>
        <v>#N/A</v>
      </c>
      <c r="Z1086" s="30" t="e">
        <f>VLOOKUP(I1086,P.Referencia!E:S,3,0)</f>
        <v>#N/A</v>
      </c>
      <c r="AA1086" s="196" t="e">
        <f t="shared" ref="AA1086:AA1099" si="273">(Z1086-U1086)/U1086</f>
        <v>#N/A</v>
      </c>
      <c r="AB1086" s="197" t="e">
        <f t="shared" ref="AB1086:AB1099" si="274">U1086*AA1086</f>
        <v>#N/A</v>
      </c>
      <c r="AC1086" s="197" t="e">
        <f t="shared" ref="AC1086:AC1099" si="275">U1086+AB1086</f>
        <v>#N/A</v>
      </c>
    </row>
    <row r="1087" spans="1:29" s="4" customFormat="1" hidden="1" x14ac:dyDescent="0.25">
      <c r="A1087" s="24">
        <v>1086</v>
      </c>
      <c r="B1087" s="89" t="s">
        <v>642</v>
      </c>
      <c r="C1087" s="4" t="str">
        <f t="shared" si="271"/>
        <v>LlaveD81667241103100002621</v>
      </c>
      <c r="D1087" s="25" t="str">
        <f>VLOOKUP(E1087,'NO MODIFICAR'!J:K,2,0)</f>
        <v>D816</v>
      </c>
      <c r="E1087" s="102" t="s">
        <v>15</v>
      </c>
      <c r="F1087" s="25" t="str">
        <f>VLOOKUP(D1087,'NO MODIFICAR'!F:H,3,0)</f>
        <v>NORESTE</v>
      </c>
      <c r="G1087" s="28">
        <v>67241103</v>
      </c>
      <c r="H1087" s="93" t="s">
        <v>547</v>
      </c>
      <c r="I1087" s="94">
        <v>10000262</v>
      </c>
      <c r="J1087" s="4" t="str">
        <f>VLOOKUP(I1087,'Materiales,canteras'!C:D,2,0)</f>
        <v>Base H Triturada Caliza 1 1/2"</v>
      </c>
      <c r="K1087" s="25">
        <f>VLOOKUP(I1087,'Materiales,canteras'!C:E,3,0)</f>
        <v>1.821</v>
      </c>
      <c r="L1087" s="82">
        <v>270.24</v>
      </c>
      <c r="M1087" s="28" t="s">
        <v>93</v>
      </c>
      <c r="N1087" s="193">
        <f t="shared" ca="1" si="249"/>
        <v>46267</v>
      </c>
      <c r="O1087" s="24" t="s">
        <v>201</v>
      </c>
      <c r="Q1087" s="4">
        <v>5.09</v>
      </c>
      <c r="R1087" s="4">
        <v>17.850000000000001</v>
      </c>
      <c r="S1087" s="4">
        <v>357</v>
      </c>
      <c r="T1087" s="303">
        <f t="shared" si="264"/>
        <v>-63.819999999999993</v>
      </c>
      <c r="U1087" s="88">
        <f t="shared" si="265"/>
        <v>270.24</v>
      </c>
      <c r="V1087" s="82">
        <v>100.76</v>
      </c>
      <c r="W1087" s="4">
        <v>1</v>
      </c>
      <c r="X1087" s="195">
        <f t="shared" si="272"/>
        <v>371</v>
      </c>
      <c r="Y1087" s="29" t="e">
        <f>IF(+VLOOKUP(I1087,P.Referencia!E:S,3,FALSE)&lt;=L1087,"Champion","Gerente")</f>
        <v>#N/A</v>
      </c>
      <c r="Z1087" s="30" t="e">
        <f>VLOOKUP(I1087,P.Referencia!E:S,3,0)</f>
        <v>#N/A</v>
      </c>
      <c r="AA1087" s="196" t="e">
        <f t="shared" si="273"/>
        <v>#N/A</v>
      </c>
      <c r="AB1087" s="197" t="e">
        <f t="shared" si="274"/>
        <v>#N/A</v>
      </c>
      <c r="AC1087" s="197" t="e">
        <f t="shared" si="275"/>
        <v>#N/A</v>
      </c>
    </row>
    <row r="1088" spans="1:29" s="4" customFormat="1" hidden="1" x14ac:dyDescent="0.25">
      <c r="A1088" s="24">
        <v>1087</v>
      </c>
      <c r="B1088" s="89" t="s">
        <v>642</v>
      </c>
      <c r="C1088" s="4" t="str">
        <f t="shared" si="271"/>
        <v>LlaveD81667241103100002601</v>
      </c>
      <c r="D1088" s="25" t="str">
        <f>VLOOKUP(E1088,'NO MODIFICAR'!J:K,2,0)</f>
        <v>D816</v>
      </c>
      <c r="E1088" s="102" t="s">
        <v>15</v>
      </c>
      <c r="F1088" s="25" t="str">
        <f>VLOOKUP(D1088,'NO MODIFICAR'!F:H,3,0)</f>
        <v>NORESTE</v>
      </c>
      <c r="G1088" s="28">
        <v>67241103</v>
      </c>
      <c r="H1088" s="93" t="s">
        <v>547</v>
      </c>
      <c r="I1088" s="94">
        <v>10000260</v>
      </c>
      <c r="J1088" s="4" t="str">
        <f>VLOOKUP(I1088,'Materiales,canteras'!C:D,2,0)</f>
        <v>Arena Triturada Caliza Malla 5</v>
      </c>
      <c r="K1088" s="25">
        <f>VLOOKUP(I1088,'Materiales,canteras'!C:E,3,0)</f>
        <v>1.72</v>
      </c>
      <c r="L1088" s="82">
        <v>390.24</v>
      </c>
      <c r="M1088" s="28" t="s">
        <v>93</v>
      </c>
      <c r="N1088" s="193">
        <f t="shared" ca="1" si="249"/>
        <v>46267</v>
      </c>
      <c r="O1088" s="24" t="s">
        <v>201</v>
      </c>
      <c r="Q1088" s="4">
        <v>24.75</v>
      </c>
      <c r="R1088" s="4">
        <v>7.05</v>
      </c>
      <c r="S1088" s="4">
        <v>495</v>
      </c>
      <c r="T1088" s="303">
        <f t="shared" si="264"/>
        <v>-72.95999999999998</v>
      </c>
      <c r="U1088" s="88">
        <f t="shared" si="265"/>
        <v>390.24</v>
      </c>
      <c r="V1088" s="82">
        <v>100.76</v>
      </c>
      <c r="W1088" s="4">
        <v>1</v>
      </c>
      <c r="X1088" s="195">
        <f t="shared" si="272"/>
        <v>491</v>
      </c>
      <c r="Y1088" s="29" t="e">
        <f>IF(+VLOOKUP(I1088,P.Referencia!E:S,3,FALSE)&lt;=L1088,"Champion","Gerente")</f>
        <v>#N/A</v>
      </c>
      <c r="Z1088" s="30" t="e">
        <f>VLOOKUP(I1088,P.Referencia!E:S,3,0)</f>
        <v>#N/A</v>
      </c>
      <c r="AA1088" s="196" t="e">
        <f t="shared" si="273"/>
        <v>#N/A</v>
      </c>
      <c r="AB1088" s="197" t="e">
        <f t="shared" si="274"/>
        <v>#N/A</v>
      </c>
      <c r="AC1088" s="197" t="e">
        <f t="shared" si="275"/>
        <v>#N/A</v>
      </c>
    </row>
    <row r="1089" spans="1:30" s="4" customFormat="1" hidden="1" x14ac:dyDescent="0.25">
      <c r="A1089" s="24">
        <v>1088</v>
      </c>
      <c r="B1089" s="89" t="s">
        <v>642</v>
      </c>
      <c r="C1089" s="4" t="str">
        <f t="shared" si="271"/>
        <v>LlaveD81667241103100002411</v>
      </c>
      <c r="D1089" s="25" t="str">
        <f>VLOOKUP(E1089,'NO MODIFICAR'!J:K,2,0)</f>
        <v>D816</v>
      </c>
      <c r="E1089" s="102" t="s">
        <v>15</v>
      </c>
      <c r="F1089" s="25" t="str">
        <f>VLOOKUP(D1089,'NO MODIFICAR'!F:H,3,0)</f>
        <v>NORESTE</v>
      </c>
      <c r="G1089" s="28">
        <v>67241103</v>
      </c>
      <c r="H1089" s="93" t="s">
        <v>547</v>
      </c>
      <c r="I1089" s="94">
        <v>10000241</v>
      </c>
      <c r="J1089" s="4" t="str">
        <f>VLOOKUP(I1089,'Materiales,canteras'!C:D,2,0)</f>
        <v>Grava Triturada Caliza 20 mm -</v>
      </c>
      <c r="K1089" s="25">
        <f>VLOOKUP(I1089,'Materiales,canteras'!C:E,3,0)</f>
        <v>1.43</v>
      </c>
      <c r="L1089" s="82">
        <v>295</v>
      </c>
      <c r="M1089" s="28" t="s">
        <v>93</v>
      </c>
      <c r="N1089" s="193">
        <f t="shared" ca="1" si="249"/>
        <v>46267</v>
      </c>
      <c r="O1089" s="24" t="s">
        <v>201</v>
      </c>
      <c r="Q1089" s="4">
        <v>20.7</v>
      </c>
      <c r="R1089" s="4">
        <v>5.9</v>
      </c>
      <c r="S1089" s="4">
        <v>414</v>
      </c>
      <c r="T1089" s="303">
        <f t="shared" si="264"/>
        <v>-92.400000000000034</v>
      </c>
      <c r="U1089" s="88">
        <f t="shared" si="265"/>
        <v>295</v>
      </c>
      <c r="V1089" s="82">
        <v>100.76</v>
      </c>
      <c r="W1089" s="4">
        <v>1</v>
      </c>
      <c r="X1089" s="195">
        <f t="shared" si="272"/>
        <v>395.76</v>
      </c>
      <c r="Y1089" s="29" t="e">
        <f>IF(+VLOOKUP(I1089,P.Referencia!E:S,3,FALSE)&lt;=L1089,"Champion","Gerente")</f>
        <v>#N/A</v>
      </c>
      <c r="Z1089" s="30" t="e">
        <f>VLOOKUP(I1089,P.Referencia!E:S,3,0)</f>
        <v>#N/A</v>
      </c>
      <c r="AA1089" s="196" t="e">
        <f t="shared" si="273"/>
        <v>#N/A</v>
      </c>
      <c r="AB1089" s="197" t="e">
        <f t="shared" si="274"/>
        <v>#N/A</v>
      </c>
      <c r="AC1089" s="197" t="e">
        <f t="shared" si="275"/>
        <v>#N/A</v>
      </c>
    </row>
    <row r="1090" spans="1:30" s="4" customFormat="1" hidden="1" x14ac:dyDescent="0.25">
      <c r="A1090" s="24">
        <v>1089</v>
      </c>
      <c r="B1090" s="89" t="s">
        <v>642</v>
      </c>
      <c r="C1090" s="4" t="str">
        <f t="shared" si="271"/>
        <v>LlaveD81666178714100001241</v>
      </c>
      <c r="D1090" s="25" t="str">
        <f>VLOOKUP(E1090,'NO MODIFICAR'!J:K,2,0)</f>
        <v>D816</v>
      </c>
      <c r="E1090" s="102" t="s">
        <v>15</v>
      </c>
      <c r="F1090" s="25" t="str">
        <f>VLOOKUP(D1090,'NO MODIFICAR'!F:H,3,0)</f>
        <v>NORESTE</v>
      </c>
      <c r="G1090" s="28">
        <v>66178714</v>
      </c>
      <c r="H1090" s="93" t="s">
        <v>407</v>
      </c>
      <c r="I1090" s="94">
        <v>10000124</v>
      </c>
      <c r="J1090" s="4" t="str">
        <f>VLOOKUP(I1090,'Materiales,canteras'!C:D,2,0)</f>
        <v>Arena Triturada Caliza Malla 4</v>
      </c>
      <c r="K1090" s="25">
        <f>VLOOKUP(I1090,'Materiales,canteras'!C:E,3,0)</f>
        <v>1.7390000000000001</v>
      </c>
      <c r="L1090" s="82">
        <v>290.76</v>
      </c>
      <c r="M1090" s="28" t="s">
        <v>93</v>
      </c>
      <c r="N1090" s="193">
        <f t="shared" ca="1" si="249"/>
        <v>46267</v>
      </c>
      <c r="O1090" s="24" t="s">
        <v>201</v>
      </c>
      <c r="Q1090" s="4">
        <v>7.05</v>
      </c>
      <c r="R1090" s="4">
        <v>24.75</v>
      </c>
      <c r="S1090" s="4">
        <v>495</v>
      </c>
      <c r="T1090" s="303">
        <f t="shared" si="264"/>
        <v>-172.44</v>
      </c>
      <c r="U1090" s="88">
        <f t="shared" si="265"/>
        <v>290.76</v>
      </c>
      <c r="V1090" s="82">
        <v>32.24</v>
      </c>
      <c r="W1090" s="4">
        <v>1</v>
      </c>
      <c r="X1090" s="195">
        <f t="shared" si="272"/>
        <v>323</v>
      </c>
      <c r="Y1090" s="29" t="e">
        <f>IF(+VLOOKUP(I1090,P.Referencia!E:S,3,FALSE)&lt;=L1090,"Champion","Gerente")</f>
        <v>#N/A</v>
      </c>
      <c r="Z1090" s="30" t="e">
        <f>VLOOKUP(I1090,P.Referencia!E:S,3,0)</f>
        <v>#N/A</v>
      </c>
      <c r="AA1090" s="196" t="e">
        <f t="shared" si="273"/>
        <v>#N/A</v>
      </c>
      <c r="AB1090" s="197" t="e">
        <f t="shared" si="274"/>
        <v>#N/A</v>
      </c>
      <c r="AC1090" s="197" t="e">
        <f t="shared" si="275"/>
        <v>#N/A</v>
      </c>
    </row>
    <row r="1091" spans="1:30" s="4" customFormat="1" hidden="1" x14ac:dyDescent="0.25">
      <c r="A1091" s="24">
        <v>1090</v>
      </c>
      <c r="B1091" s="89" t="s">
        <v>642</v>
      </c>
      <c r="C1091" s="4" t="str">
        <f t="shared" si="271"/>
        <v>LlaveD81666178714100002601</v>
      </c>
      <c r="D1091" s="25" t="str">
        <f>VLOOKUP(E1091,'NO MODIFICAR'!J:K,2,0)</f>
        <v>D816</v>
      </c>
      <c r="E1091" s="102" t="s">
        <v>15</v>
      </c>
      <c r="F1091" s="25" t="str">
        <f>VLOOKUP(D1091,'NO MODIFICAR'!F:H,3,0)</f>
        <v>NORESTE</v>
      </c>
      <c r="G1091" s="28">
        <v>66178714</v>
      </c>
      <c r="H1091" s="93" t="s">
        <v>407</v>
      </c>
      <c r="I1091" s="94">
        <v>10000260</v>
      </c>
      <c r="J1091" s="4" t="str">
        <f>VLOOKUP(I1091,'Materiales,canteras'!C:D,2,0)</f>
        <v>Arena Triturada Caliza Malla 5</v>
      </c>
      <c r="K1091" s="25">
        <f>VLOOKUP(I1091,'Materiales,canteras'!C:E,3,0)</f>
        <v>1.72</v>
      </c>
      <c r="L1091" s="82">
        <v>390.76</v>
      </c>
      <c r="M1091" s="28" t="s">
        <v>93</v>
      </c>
      <c r="N1091" s="193">
        <f t="shared" ca="1" si="249"/>
        <v>46267</v>
      </c>
      <c r="O1091" s="24" t="s">
        <v>201</v>
      </c>
      <c r="Q1091" s="4">
        <v>7.05</v>
      </c>
      <c r="R1091" s="4">
        <v>24.75</v>
      </c>
      <c r="S1091" s="4">
        <v>495</v>
      </c>
      <c r="T1091" s="303">
        <f t="shared" si="264"/>
        <v>-72.44</v>
      </c>
      <c r="U1091" s="88">
        <f t="shared" si="265"/>
        <v>390.76</v>
      </c>
      <c r="V1091" s="82">
        <v>32.24</v>
      </c>
      <c r="W1091" s="4">
        <v>1</v>
      </c>
      <c r="X1091" s="195">
        <f t="shared" si="272"/>
        <v>423</v>
      </c>
      <c r="Y1091" s="29" t="e">
        <f>IF(+VLOOKUP(I1091,P.Referencia!E:S,3,FALSE)&lt;=L1091,"Champion","Gerente")</f>
        <v>#N/A</v>
      </c>
      <c r="Z1091" s="30" t="e">
        <f>VLOOKUP(I1091,P.Referencia!E:S,3,0)</f>
        <v>#N/A</v>
      </c>
      <c r="AA1091" s="196" t="e">
        <f t="shared" si="273"/>
        <v>#N/A</v>
      </c>
      <c r="AB1091" s="197" t="e">
        <f t="shared" si="274"/>
        <v>#N/A</v>
      </c>
      <c r="AC1091" s="197" t="e">
        <f t="shared" si="275"/>
        <v>#N/A</v>
      </c>
    </row>
    <row r="1092" spans="1:30" s="4" customFormat="1" hidden="1" x14ac:dyDescent="0.25">
      <c r="A1092" s="24">
        <v>1091</v>
      </c>
      <c r="B1092" s="89" t="s">
        <v>642</v>
      </c>
      <c r="C1092" s="4" t="str">
        <f t="shared" si="271"/>
        <v>LlaveD81666178714100002371</v>
      </c>
      <c r="D1092" s="25" t="str">
        <f>VLOOKUP(E1092,'NO MODIFICAR'!J:K,2,0)</f>
        <v>D816</v>
      </c>
      <c r="E1092" s="102" t="s">
        <v>15</v>
      </c>
      <c r="F1092" s="25" t="str">
        <f>VLOOKUP(D1092,'NO MODIFICAR'!F:H,3,0)</f>
        <v>NORESTE</v>
      </c>
      <c r="G1092" s="28">
        <v>66178714</v>
      </c>
      <c r="H1092" s="93" t="s">
        <v>407</v>
      </c>
      <c r="I1092" s="94">
        <v>10000237</v>
      </c>
      <c r="J1092" s="4" t="str">
        <f>VLOOKUP(I1092,'Materiales,canteras'!C:D,2,0)</f>
        <v>Grava Triturada Caliza 10 mm -</v>
      </c>
      <c r="K1092" s="25">
        <f>VLOOKUP(I1092,'Materiales,canteras'!C:E,3,0)</f>
        <v>1.5620000000000001</v>
      </c>
      <c r="L1092" s="82">
        <v>338.76</v>
      </c>
      <c r="M1092" s="28" t="s">
        <v>93</v>
      </c>
      <c r="N1092" s="193">
        <f t="shared" ca="1" si="249"/>
        <v>46267</v>
      </c>
      <c r="O1092" s="24" t="s">
        <v>201</v>
      </c>
      <c r="Q1092" s="4">
        <v>20.7</v>
      </c>
      <c r="R1092" s="4">
        <v>5.9</v>
      </c>
      <c r="S1092" s="4">
        <v>414</v>
      </c>
      <c r="T1092" s="303">
        <f t="shared" si="264"/>
        <v>-48.640000000000043</v>
      </c>
      <c r="U1092" s="88">
        <f t="shared" si="265"/>
        <v>338.76</v>
      </c>
      <c r="V1092" s="82">
        <v>32.24</v>
      </c>
      <c r="W1092" s="4">
        <v>1</v>
      </c>
      <c r="X1092" s="195">
        <f t="shared" si="272"/>
        <v>371</v>
      </c>
      <c r="Y1092" s="29" t="e">
        <f>IF(+VLOOKUP(I1092,P.Referencia!E:S,3,FALSE)&lt;=L1092,"Champion","Gerente")</f>
        <v>#N/A</v>
      </c>
      <c r="Z1092" s="30" t="e">
        <f>VLOOKUP(I1092,P.Referencia!E:S,3,0)</f>
        <v>#N/A</v>
      </c>
      <c r="AA1092" s="196" t="e">
        <f t="shared" si="273"/>
        <v>#N/A</v>
      </c>
      <c r="AB1092" s="197" t="e">
        <f t="shared" si="274"/>
        <v>#N/A</v>
      </c>
      <c r="AC1092" s="197" t="e">
        <f t="shared" si="275"/>
        <v>#N/A</v>
      </c>
    </row>
    <row r="1093" spans="1:30" s="4" customFormat="1" hidden="1" x14ac:dyDescent="0.25">
      <c r="A1093" s="24">
        <v>1092</v>
      </c>
      <c r="B1093" s="89" t="s">
        <v>642</v>
      </c>
      <c r="C1093" s="4" t="str">
        <f t="shared" si="271"/>
        <v>LlaveD81666178714100002411</v>
      </c>
      <c r="D1093" s="25" t="str">
        <f>VLOOKUP(E1093,'NO MODIFICAR'!J:K,2,0)</f>
        <v>D816</v>
      </c>
      <c r="E1093" s="102" t="s">
        <v>15</v>
      </c>
      <c r="F1093" s="25" t="str">
        <f>VLOOKUP(D1093,'NO MODIFICAR'!F:H,3,0)</f>
        <v>NORESTE</v>
      </c>
      <c r="G1093" s="28">
        <v>66178714</v>
      </c>
      <c r="H1093" s="93" t="s">
        <v>407</v>
      </c>
      <c r="I1093" s="94">
        <v>10000241</v>
      </c>
      <c r="J1093" s="4" t="str">
        <f>VLOOKUP(I1093,'Materiales,canteras'!C:D,2,0)</f>
        <v>Grava Triturada Caliza 20 mm -</v>
      </c>
      <c r="K1093" s="25">
        <f>VLOOKUP(I1093,'Materiales,canteras'!C:E,3,0)</f>
        <v>1.43</v>
      </c>
      <c r="L1093" s="82">
        <v>290.76</v>
      </c>
      <c r="M1093" s="28" t="s">
        <v>93</v>
      </c>
      <c r="N1093" s="193">
        <f t="shared" ca="1" si="249"/>
        <v>46267</v>
      </c>
      <c r="O1093" s="24" t="s">
        <v>201</v>
      </c>
      <c r="Q1093" s="4">
        <v>20.7</v>
      </c>
      <c r="R1093" s="4">
        <v>5.9</v>
      </c>
      <c r="S1093" s="4">
        <v>414</v>
      </c>
      <c r="T1093" s="303">
        <f t="shared" si="264"/>
        <v>-96.640000000000043</v>
      </c>
      <c r="U1093" s="88">
        <f t="shared" si="265"/>
        <v>290.76</v>
      </c>
      <c r="V1093" s="82">
        <v>32.24</v>
      </c>
      <c r="W1093" s="4">
        <v>1</v>
      </c>
      <c r="X1093" s="195">
        <f t="shared" si="272"/>
        <v>323</v>
      </c>
      <c r="Y1093" s="29" t="e">
        <f>IF(+VLOOKUP(I1093,P.Referencia!E:S,3,FALSE)&lt;=L1093,"Champion","Gerente")</f>
        <v>#N/A</v>
      </c>
      <c r="Z1093" s="30" t="e">
        <f>VLOOKUP(I1093,P.Referencia!E:S,3,0)</f>
        <v>#N/A</v>
      </c>
      <c r="AA1093" s="196" t="e">
        <f t="shared" si="273"/>
        <v>#N/A</v>
      </c>
      <c r="AB1093" s="197" t="e">
        <f t="shared" si="274"/>
        <v>#N/A</v>
      </c>
      <c r="AC1093" s="197" t="e">
        <f t="shared" si="275"/>
        <v>#N/A</v>
      </c>
    </row>
    <row r="1094" spans="1:30" s="4" customFormat="1" hidden="1" x14ac:dyDescent="0.25">
      <c r="A1094" s="24">
        <v>1093</v>
      </c>
      <c r="B1094" s="89" t="s">
        <v>642</v>
      </c>
      <c r="C1094" s="4" t="str">
        <f t="shared" si="271"/>
        <v>LlaveDU0766984747100001032</v>
      </c>
      <c r="D1094" s="25" t="str">
        <f>VLOOKUP(E1094,'NO MODIFICAR'!J:K,2,0)</f>
        <v>DU07</v>
      </c>
      <c r="E1094" s="102" t="s">
        <v>87</v>
      </c>
      <c r="F1094" s="25" t="str">
        <f>VLOOKUP(D1094,'NO MODIFICAR'!F:H,3,0)</f>
        <v>SURESTE</v>
      </c>
      <c r="G1094" s="28">
        <v>66984747</v>
      </c>
      <c r="H1094" s="93" t="s">
        <v>643</v>
      </c>
      <c r="I1094" s="94">
        <v>10000103</v>
      </c>
      <c r="J1094" s="4" t="str">
        <f>VLOOKUP(I1094,'Materiales,canteras'!C:D,2,0)</f>
        <v>Base H Triturada Caliza 1 1/2" a Finos</v>
      </c>
      <c r="K1094" s="25">
        <f>VLOOKUP(I1094,'Materiales,canteras'!C:E,3,0)</f>
        <v>1.462</v>
      </c>
      <c r="L1094" s="82">
        <f>155.1724/K1094</f>
        <v>106.13707250341999</v>
      </c>
      <c r="M1094" s="28" t="s">
        <v>93</v>
      </c>
      <c r="N1094" s="193">
        <f t="shared" ca="1" si="249"/>
        <v>46267</v>
      </c>
      <c r="O1094" s="24" t="s">
        <v>201</v>
      </c>
      <c r="S1094" s="4">
        <v>158</v>
      </c>
      <c r="T1094" s="303">
        <f t="shared" si="264"/>
        <v>-51.862927496580014</v>
      </c>
      <c r="U1094" s="88">
        <f t="shared" si="265"/>
        <v>106.13707250341999</v>
      </c>
      <c r="V1094" s="82">
        <v>0</v>
      </c>
      <c r="W1094" s="4">
        <v>2</v>
      </c>
      <c r="X1094" s="195">
        <f t="shared" si="272"/>
        <v>106.13707250341999</v>
      </c>
      <c r="Y1094" s="29" t="e">
        <f>IF(+VLOOKUP(I1094,P.Referencia!E:S,3,FALSE)&lt;=L1094,"Champion","Gerente")</f>
        <v>#N/A</v>
      </c>
      <c r="Z1094" s="30" t="e">
        <f>VLOOKUP(I1094,P.Referencia!E:S,3,0)</f>
        <v>#N/A</v>
      </c>
      <c r="AA1094" s="196" t="e">
        <f t="shared" si="273"/>
        <v>#N/A</v>
      </c>
      <c r="AB1094" s="197" t="e">
        <f t="shared" si="274"/>
        <v>#N/A</v>
      </c>
      <c r="AC1094" s="197" t="e">
        <f t="shared" si="275"/>
        <v>#N/A</v>
      </c>
    </row>
    <row r="1095" spans="1:30" s="4" customFormat="1" hidden="1" x14ac:dyDescent="0.25">
      <c r="A1095" s="24">
        <v>1094</v>
      </c>
      <c r="B1095" s="89" t="s">
        <v>642</v>
      </c>
      <c r="C1095" s="4" t="str">
        <f t="shared" si="271"/>
        <v>LlaveD86167328141100668612</v>
      </c>
      <c r="D1095" s="25" t="str">
        <f>VLOOKUP(E1095,'NO MODIFICAR'!J:K,2,0)</f>
        <v>D861</v>
      </c>
      <c r="E1095" s="102" t="s">
        <v>44</v>
      </c>
      <c r="F1095" s="25" t="str">
        <f>VLOOKUP(D1095,'NO MODIFICAR'!F:H,3,0)</f>
        <v xml:space="preserve">CENTRO </v>
      </c>
      <c r="G1095" s="28">
        <v>67328141</v>
      </c>
      <c r="H1095" s="93" t="s">
        <v>442</v>
      </c>
      <c r="I1095" s="94">
        <v>10066861</v>
      </c>
      <c r="J1095" s="4" t="str">
        <f>VLOOKUP(I1095,'Materiales,canteras'!C:D,2,0)</f>
        <v>GRAVA TRITURADA BASALTO DE 40</v>
      </c>
      <c r="K1095" s="25">
        <f>VLOOKUP(I1095,'Materiales,canteras'!C:E,3,0)</f>
        <v>1.464</v>
      </c>
      <c r="L1095" s="82">
        <v>190</v>
      </c>
      <c r="M1095" s="28" t="s">
        <v>93</v>
      </c>
      <c r="N1095" s="193">
        <f t="shared" ref="N1095:N1158" ca="1" si="276">TODAY()</f>
        <v>46267</v>
      </c>
      <c r="O1095" s="24" t="s">
        <v>201</v>
      </c>
      <c r="S1095" s="4">
        <v>220</v>
      </c>
      <c r="T1095" s="303">
        <f t="shared" si="264"/>
        <v>-30</v>
      </c>
      <c r="U1095" s="88">
        <f t="shared" ref="U1095:U1099" si="277">L1095</f>
        <v>190</v>
      </c>
      <c r="V1095" s="82">
        <v>0</v>
      </c>
      <c r="W1095" s="4">
        <v>2</v>
      </c>
      <c r="X1095" s="195">
        <f t="shared" si="272"/>
        <v>190</v>
      </c>
      <c r="Y1095" s="29" t="e">
        <f>IF(+VLOOKUP(I1095,P.Referencia!E:S,3,FALSE)&lt;=L1095,"Champion","Gerente")</f>
        <v>#N/A</v>
      </c>
      <c r="Z1095" s="30" t="e">
        <f>VLOOKUP(I1095,P.Referencia!E:S,3,0)</f>
        <v>#N/A</v>
      </c>
      <c r="AA1095" s="196" t="e">
        <f t="shared" si="273"/>
        <v>#N/A</v>
      </c>
      <c r="AB1095" s="197" t="e">
        <f t="shared" si="274"/>
        <v>#N/A</v>
      </c>
      <c r="AC1095" s="197" t="e">
        <f t="shared" si="275"/>
        <v>#N/A</v>
      </c>
      <c r="AD1095" s="4" t="s">
        <v>644</v>
      </c>
    </row>
    <row r="1096" spans="1:30" s="4" customFormat="1" hidden="1" x14ac:dyDescent="0.25">
      <c r="A1096" s="24">
        <v>1095</v>
      </c>
      <c r="B1096" s="89" t="s">
        <v>642</v>
      </c>
      <c r="C1096" s="4" t="str">
        <f t="shared" si="271"/>
        <v>LlaveD86167357397100668612</v>
      </c>
      <c r="D1096" s="25" t="str">
        <f>VLOOKUP(E1096,'NO MODIFICAR'!J:K,2,0)</f>
        <v>D861</v>
      </c>
      <c r="E1096" s="102" t="s">
        <v>44</v>
      </c>
      <c r="F1096" s="25" t="str">
        <f>VLOOKUP(D1096,'NO MODIFICAR'!F:H,3,0)</f>
        <v xml:space="preserve">CENTRO </v>
      </c>
      <c r="G1096" s="28">
        <v>67357397</v>
      </c>
      <c r="H1096" s="93" t="s">
        <v>443</v>
      </c>
      <c r="I1096" s="94">
        <v>10066861</v>
      </c>
      <c r="J1096" s="4" t="str">
        <f>VLOOKUP(I1096,'Materiales,canteras'!C:D,2,0)</f>
        <v>GRAVA TRITURADA BASALTO DE 40</v>
      </c>
      <c r="K1096" s="25">
        <f>VLOOKUP(I1096,'Materiales,canteras'!C:E,3,0)</f>
        <v>1.464</v>
      </c>
      <c r="L1096" s="82">
        <v>190</v>
      </c>
      <c r="M1096" s="28" t="s">
        <v>93</v>
      </c>
      <c r="N1096" s="193">
        <f t="shared" ca="1" si="276"/>
        <v>46267</v>
      </c>
      <c r="O1096" s="24" t="s">
        <v>201</v>
      </c>
      <c r="R1096" s="4">
        <v>3.3</v>
      </c>
      <c r="S1096" s="4">
        <v>220</v>
      </c>
      <c r="T1096" s="303">
        <f t="shared" si="264"/>
        <v>-26.699999999999989</v>
      </c>
      <c r="U1096" s="88">
        <f t="shared" si="277"/>
        <v>190</v>
      </c>
      <c r="V1096" s="82">
        <v>0</v>
      </c>
      <c r="W1096" s="4">
        <v>2</v>
      </c>
      <c r="X1096" s="195">
        <f t="shared" si="272"/>
        <v>190</v>
      </c>
      <c r="Y1096" s="29" t="e">
        <f>IF(+VLOOKUP(I1096,P.Referencia!E:S,3,FALSE)&lt;=L1096,"Champion","Gerente")</f>
        <v>#N/A</v>
      </c>
      <c r="Z1096" s="30" t="e">
        <f>VLOOKUP(I1096,P.Referencia!E:S,3,0)</f>
        <v>#N/A</v>
      </c>
      <c r="AA1096" s="196" t="e">
        <f t="shared" si="273"/>
        <v>#N/A</v>
      </c>
      <c r="AB1096" s="197" t="e">
        <f t="shared" si="274"/>
        <v>#N/A</v>
      </c>
      <c r="AC1096" s="197" t="e">
        <f t="shared" si="275"/>
        <v>#N/A</v>
      </c>
      <c r="AD1096" s="4" t="s">
        <v>644</v>
      </c>
    </row>
    <row r="1097" spans="1:30" s="4" customFormat="1" hidden="1" x14ac:dyDescent="0.25">
      <c r="A1097" s="24">
        <v>1096</v>
      </c>
      <c r="B1097" s="89" t="s">
        <v>642</v>
      </c>
      <c r="C1097" s="4" t="str">
        <f t="shared" si="271"/>
        <v>LlaveD81666547825100002601</v>
      </c>
      <c r="D1097" s="25" t="str">
        <f>VLOOKUP(E1097,'NO MODIFICAR'!J:K,2,0)</f>
        <v>D816</v>
      </c>
      <c r="E1097" s="102" t="s">
        <v>15</v>
      </c>
      <c r="F1097" s="25" t="str">
        <f>VLOOKUP(D1097,'NO MODIFICAR'!F:H,3,0)</f>
        <v>NORESTE</v>
      </c>
      <c r="G1097" s="28">
        <v>66547825</v>
      </c>
      <c r="H1097" s="93" t="s">
        <v>467</v>
      </c>
      <c r="I1097" s="94">
        <v>10000260</v>
      </c>
      <c r="J1097" s="4" t="str">
        <f>VLOOKUP(I1097,'Materiales,canteras'!C:D,2,0)</f>
        <v>Arena Triturada Caliza Malla 5</v>
      </c>
      <c r="K1097" s="25">
        <f>VLOOKUP(I1097,'Materiales,canteras'!C:E,3,0)</f>
        <v>1.72</v>
      </c>
      <c r="L1097" s="82">
        <v>470.24</v>
      </c>
      <c r="M1097" s="28" t="s">
        <v>93</v>
      </c>
      <c r="N1097" s="193">
        <f t="shared" ca="1" si="276"/>
        <v>46267</v>
      </c>
      <c r="O1097" s="24" t="s">
        <v>201</v>
      </c>
      <c r="S1097" s="4">
        <v>495</v>
      </c>
      <c r="T1097" s="303">
        <f t="shared" ref="T1097:T1098" si="278">L1097-(S1097-(S1097*R1097))</f>
        <v>-24.759999999999991</v>
      </c>
      <c r="U1097" s="88">
        <f t="shared" si="277"/>
        <v>470.24</v>
      </c>
      <c r="V1097" s="82">
        <v>139.05000000000001</v>
      </c>
      <c r="W1097" s="4">
        <v>1</v>
      </c>
      <c r="X1097" s="195">
        <f>U1097+V1097</f>
        <v>609.29</v>
      </c>
      <c r="Y1097" s="29" t="e">
        <f>IF(+VLOOKUP(I1097,P.Referencia!E:S,3,FALSE)&lt;=L1097,"Champion","Gerente")</f>
        <v>#N/A</v>
      </c>
      <c r="Z1097" s="30" t="e">
        <f>VLOOKUP(I1097,P.Referencia!E:S,3,0)</f>
        <v>#N/A</v>
      </c>
      <c r="AA1097" s="196" t="e">
        <f t="shared" si="273"/>
        <v>#N/A</v>
      </c>
      <c r="AB1097" s="197" t="e">
        <f t="shared" si="274"/>
        <v>#N/A</v>
      </c>
      <c r="AC1097" s="197" t="e">
        <f t="shared" si="275"/>
        <v>#N/A</v>
      </c>
      <c r="AD1097" s="4" t="s">
        <v>645</v>
      </c>
    </row>
    <row r="1098" spans="1:30" s="4" customFormat="1" hidden="1" x14ac:dyDescent="0.25">
      <c r="A1098" s="24">
        <v>1097</v>
      </c>
      <c r="B1098" s="89" t="s">
        <v>642</v>
      </c>
      <c r="C1098" s="4" t="str">
        <f t="shared" si="271"/>
        <v>LlaveD81666547825100001241</v>
      </c>
      <c r="D1098" s="25" t="str">
        <f>VLOOKUP(E1098,'NO MODIFICAR'!J:K,2,0)</f>
        <v>D816</v>
      </c>
      <c r="E1098" s="102" t="s">
        <v>15</v>
      </c>
      <c r="F1098" s="25" t="str">
        <f>VLOOKUP(D1098,'NO MODIFICAR'!F:H,3,0)</f>
        <v>NORESTE</v>
      </c>
      <c r="G1098" s="28">
        <v>66547825</v>
      </c>
      <c r="H1098" s="93" t="s">
        <v>467</v>
      </c>
      <c r="I1098" s="94">
        <v>10000124</v>
      </c>
      <c r="J1098" s="4" t="str">
        <f>VLOOKUP(I1098,'Materiales,canteras'!C:D,2,0)</f>
        <v>Arena Triturada Caliza Malla 4</v>
      </c>
      <c r="K1098" s="25">
        <f>VLOOKUP(I1098,'Materiales,canteras'!C:E,3,0)</f>
        <v>1.7390000000000001</v>
      </c>
      <c r="L1098" s="82">
        <v>470.24</v>
      </c>
      <c r="M1098" s="28" t="s">
        <v>93</v>
      </c>
      <c r="N1098" s="193">
        <f t="shared" ca="1" si="276"/>
        <v>46267</v>
      </c>
      <c r="O1098" s="24" t="s">
        <v>201</v>
      </c>
      <c r="S1098" s="4">
        <v>495</v>
      </c>
      <c r="T1098" s="303">
        <f t="shared" si="278"/>
        <v>-24.759999999999991</v>
      </c>
      <c r="U1098" s="88">
        <f t="shared" si="277"/>
        <v>470.24</v>
      </c>
      <c r="V1098" s="82">
        <v>139.05000000000001</v>
      </c>
      <c r="W1098" s="4">
        <v>1</v>
      </c>
      <c r="X1098" s="195">
        <f t="shared" ref="X1098" si="279">U1098+V1098</f>
        <v>609.29</v>
      </c>
      <c r="Y1098" s="29" t="e">
        <f>IF(+VLOOKUP(I1098,P.Referencia!E:S,3,FALSE)&lt;=L1098,"Champion","Gerente")</f>
        <v>#N/A</v>
      </c>
      <c r="Z1098" s="30" t="e">
        <f>VLOOKUP(I1098,P.Referencia!E:S,3,0)</f>
        <v>#N/A</v>
      </c>
      <c r="AA1098" s="196" t="e">
        <f t="shared" si="273"/>
        <v>#N/A</v>
      </c>
      <c r="AB1098" s="197" t="e">
        <f t="shared" si="274"/>
        <v>#N/A</v>
      </c>
      <c r="AC1098" s="197" t="e">
        <f t="shared" si="275"/>
        <v>#N/A</v>
      </c>
      <c r="AD1098" s="4" t="s">
        <v>645</v>
      </c>
    </row>
    <row r="1099" spans="1:30" s="4" customFormat="1" hidden="1" x14ac:dyDescent="0.25">
      <c r="A1099" s="24">
        <v>1098</v>
      </c>
      <c r="B1099" s="89" t="s">
        <v>642</v>
      </c>
      <c r="C1099" s="4" t="str">
        <f t="shared" si="271"/>
        <v>LlaveD86167331519100014502</v>
      </c>
      <c r="D1099" s="25" t="str">
        <f>VLOOKUP(E1099,'NO MODIFICAR'!J:K,2,0)</f>
        <v>D861</v>
      </c>
      <c r="E1099" s="102" t="s">
        <v>44</v>
      </c>
      <c r="F1099" s="25" t="str">
        <f>VLOOKUP(D1099,'NO MODIFICAR'!F:H,3,0)</f>
        <v xml:space="preserve">CENTRO </v>
      </c>
      <c r="G1099" s="28">
        <v>67331519</v>
      </c>
      <c r="H1099" s="93" t="s">
        <v>646</v>
      </c>
      <c r="I1099" s="94">
        <v>10001450</v>
      </c>
      <c r="J1099" s="4" t="str">
        <f>VLOOKUP(I1099,'Materiales,canteras'!C:D,2,0)</f>
        <v>Base Hidraúlica Basalto de 1 /1/2</v>
      </c>
      <c r="K1099" s="25">
        <f>VLOOKUP(I1099,'Materiales,canteras'!C:E,3,0)</f>
        <v>1.7490000000000001</v>
      </c>
      <c r="L1099" s="82">
        <v>228</v>
      </c>
      <c r="M1099" s="28" t="s">
        <v>93</v>
      </c>
      <c r="N1099" s="193">
        <f t="shared" ca="1" si="276"/>
        <v>46267</v>
      </c>
      <c r="O1099" s="24" t="s">
        <v>201</v>
      </c>
      <c r="R1099" s="4">
        <v>14.3</v>
      </c>
      <c r="S1099" s="4">
        <v>286</v>
      </c>
      <c r="T1099" s="303">
        <f t="shared" ref="T1099" si="280">L1099-((S1099-P1099)-(Q1099)-(R1099))</f>
        <v>-43.699999999999989</v>
      </c>
      <c r="U1099" s="88">
        <f t="shared" si="277"/>
        <v>228</v>
      </c>
      <c r="V1099" s="82">
        <v>0</v>
      </c>
      <c r="W1099" s="4">
        <v>2</v>
      </c>
      <c r="X1099" s="195">
        <f t="shared" si="272"/>
        <v>228</v>
      </c>
      <c r="Y1099" s="29" t="e">
        <f>IF(+VLOOKUP(I1099,P.Referencia!E:S,3,FALSE)&lt;=L1099,"Champion","Gerente")</f>
        <v>#N/A</v>
      </c>
      <c r="Z1099" s="30" t="e">
        <f>VLOOKUP(I1099,P.Referencia!E:S,3,0)</f>
        <v>#N/A</v>
      </c>
      <c r="AA1099" s="196" t="e">
        <f t="shared" si="273"/>
        <v>#N/A</v>
      </c>
      <c r="AB1099" s="197" t="e">
        <f t="shared" si="274"/>
        <v>#N/A</v>
      </c>
      <c r="AC1099" s="197" t="e">
        <f t="shared" si="275"/>
        <v>#N/A</v>
      </c>
      <c r="AD1099" s="4" t="s">
        <v>649</v>
      </c>
    </row>
    <row r="1100" spans="1:30" s="4" customFormat="1" hidden="1" x14ac:dyDescent="0.25">
      <c r="A1100" s="24">
        <v>1099</v>
      </c>
      <c r="B1100" s="89" t="s">
        <v>642</v>
      </c>
      <c r="C1100" s="4" t="str">
        <f t="shared" ref="C1100:C1116" si="281">_xlfn.CONCAT($C$1,D1100,G1100,I1100,W1100)</f>
        <v>LlaveD89367330993100512952</v>
      </c>
      <c r="D1100" s="25" t="str">
        <f>VLOOKUP(E1100,'NO MODIFICAR'!J:K,2,0)</f>
        <v>D893</v>
      </c>
      <c r="E1100" s="102" t="s">
        <v>253</v>
      </c>
      <c r="F1100" s="25" t="str">
        <f>VLOOKUP(D1100,'NO MODIFICAR'!F:H,3,0)</f>
        <v>NORESTE</v>
      </c>
      <c r="G1100" s="28">
        <v>67330993</v>
      </c>
      <c r="H1100" s="93" t="s">
        <v>523</v>
      </c>
      <c r="I1100" s="94">
        <v>10051295</v>
      </c>
      <c r="J1100" s="4" t="str">
        <f>VLOOKUP(I1100,'Materiales,canteras'!C:D,2,0)</f>
        <v>Grava Triturada Basalto 10 mm</v>
      </c>
      <c r="K1100" s="25">
        <f>VLOOKUP(I1100,'Materiales,canteras'!C:E,3,0)</f>
        <v>1.2529999999999999</v>
      </c>
      <c r="L1100" s="82">
        <v>290</v>
      </c>
      <c r="M1100" s="28" t="s">
        <v>93</v>
      </c>
      <c r="N1100" s="193">
        <f t="shared" ca="1" si="276"/>
        <v>46267</v>
      </c>
      <c r="O1100" s="24" t="s">
        <v>201</v>
      </c>
      <c r="R1100" s="4">
        <v>5.93</v>
      </c>
      <c r="S1100" s="4">
        <v>395</v>
      </c>
      <c r="T1100" s="303">
        <f t="shared" ref="T1100:T1116" si="282">L1100-((S1100-P1100)-(Q1100)-(R1100))</f>
        <v>-99.07</v>
      </c>
      <c r="U1100" s="88">
        <f t="shared" ref="U1100:U1116" si="283">L1100</f>
        <v>290</v>
      </c>
      <c r="V1100" s="82">
        <v>0</v>
      </c>
      <c r="W1100" s="4">
        <v>2</v>
      </c>
      <c r="X1100" s="195">
        <f t="shared" ref="X1100:X1116" si="284">U1100+V1100</f>
        <v>290</v>
      </c>
      <c r="Y1100" s="29" t="e">
        <f>IF(+VLOOKUP(I1100,P.Referencia!E:S,3,FALSE)&lt;=L1100,"Champion","Gerente")</f>
        <v>#N/A</v>
      </c>
      <c r="Z1100" s="30" t="e">
        <f>VLOOKUP(I1100,P.Referencia!E:S,3,0)</f>
        <v>#N/A</v>
      </c>
      <c r="AA1100" s="196" t="e">
        <f t="shared" ref="AA1100:AA1116" si="285">(Z1100-U1100)/U1100</f>
        <v>#N/A</v>
      </c>
      <c r="AB1100" s="197" t="e">
        <f t="shared" ref="AB1100:AB1116" si="286">U1100*AA1100</f>
        <v>#N/A</v>
      </c>
      <c r="AC1100" s="197" t="e">
        <f t="shared" ref="AC1100:AC1116" si="287">U1100+AB1100</f>
        <v>#N/A</v>
      </c>
      <c r="AD1100" s="4" t="s">
        <v>648</v>
      </c>
    </row>
    <row r="1101" spans="1:30" s="4" customFormat="1" hidden="1" x14ac:dyDescent="0.25">
      <c r="A1101" s="24">
        <v>1100</v>
      </c>
      <c r="B1101" s="89" t="s">
        <v>642</v>
      </c>
      <c r="C1101" s="4" t="str">
        <f t="shared" si="281"/>
        <v>LlaveD89367363678101038362</v>
      </c>
      <c r="D1101" s="25" t="str">
        <f>VLOOKUP(E1101,'NO MODIFICAR'!J:K,2,0)</f>
        <v>D893</v>
      </c>
      <c r="E1101" s="102" t="s">
        <v>253</v>
      </c>
      <c r="F1101" s="25" t="str">
        <f>VLOOKUP(D1101,'NO MODIFICAR'!F:H,3,0)</f>
        <v>NORESTE</v>
      </c>
      <c r="G1101" s="28">
        <v>67363678</v>
      </c>
      <c r="H1101" s="93" t="s">
        <v>647</v>
      </c>
      <c r="I1101" s="94">
        <v>10103836</v>
      </c>
      <c r="J1101" s="4" t="str">
        <f>VLOOKUP(I1101,'Materiales,canteras'!C:D,2,0)</f>
        <v>BASE HIDRAULICA</v>
      </c>
      <c r="K1101" s="25">
        <f>VLOOKUP(I1101,'Materiales,canteras'!C:E,3,0)</f>
        <v>1.7070000000000001</v>
      </c>
      <c r="L1101" s="82">
        <v>80</v>
      </c>
      <c r="M1101" s="28" t="s">
        <v>93</v>
      </c>
      <c r="N1101" s="193">
        <f t="shared" ca="1" si="276"/>
        <v>46267</v>
      </c>
      <c r="O1101" s="24" t="s">
        <v>201</v>
      </c>
      <c r="R1101" s="4">
        <v>3.84</v>
      </c>
      <c r="S1101" s="4">
        <v>128</v>
      </c>
      <c r="T1101" s="303">
        <f t="shared" si="282"/>
        <v>-44.16</v>
      </c>
      <c r="U1101" s="88">
        <f t="shared" si="283"/>
        <v>80</v>
      </c>
      <c r="V1101" s="82">
        <v>0</v>
      </c>
      <c r="W1101" s="4">
        <v>2</v>
      </c>
      <c r="X1101" s="195">
        <f t="shared" si="284"/>
        <v>80</v>
      </c>
      <c r="Y1101" s="29" t="e">
        <f>IF(+VLOOKUP(I1101,P.Referencia!E:S,3,FALSE)&lt;=L1101,"Champion","Gerente")</f>
        <v>#N/A</v>
      </c>
      <c r="Z1101" s="30" t="e">
        <f>VLOOKUP(I1101,P.Referencia!E:S,3,0)</f>
        <v>#N/A</v>
      </c>
      <c r="AA1101" s="196" t="e">
        <f t="shared" si="285"/>
        <v>#N/A</v>
      </c>
      <c r="AB1101" s="197" t="e">
        <f t="shared" si="286"/>
        <v>#N/A</v>
      </c>
      <c r="AC1101" s="197" t="e">
        <f t="shared" si="287"/>
        <v>#N/A</v>
      </c>
      <c r="AD1101" s="4" t="s">
        <v>648</v>
      </c>
    </row>
    <row r="1102" spans="1:30" s="4" customFormat="1" hidden="1" x14ac:dyDescent="0.25">
      <c r="A1102" s="24">
        <v>1101</v>
      </c>
      <c r="B1102" s="89" t="s">
        <v>642</v>
      </c>
      <c r="C1102" s="4" t="str">
        <f t="shared" si="281"/>
        <v>LlaveD86467277485100010732</v>
      </c>
      <c r="D1102" s="25" t="str">
        <f>VLOOKUP(E1102,'NO MODIFICAR'!J:K,2,0)</f>
        <v>D864</v>
      </c>
      <c r="E1102" s="102" t="s">
        <v>55</v>
      </c>
      <c r="F1102" s="25" t="str">
        <f>VLOOKUP(D1102,'NO MODIFICAR'!F:H,3,0)</f>
        <v xml:space="preserve">CENTRO </v>
      </c>
      <c r="G1102" s="28">
        <v>67277485</v>
      </c>
      <c r="H1102" s="93" t="s">
        <v>650</v>
      </c>
      <c r="I1102" s="94">
        <v>10001073</v>
      </c>
      <c r="J1102" s="4" t="str">
        <f>VLOOKUP(I1102,'Materiales,canteras'!C:D,2,0)</f>
        <v>Arena Triturada Caliza Malla 4</v>
      </c>
      <c r="K1102" s="25">
        <f>VLOOKUP(I1102,'Materiales,canteras'!C:E,3,0)</f>
        <v>1.56</v>
      </c>
      <c r="L1102" s="82">
        <v>92</v>
      </c>
      <c r="M1102" s="28" t="s">
        <v>93</v>
      </c>
      <c r="N1102" s="193">
        <f t="shared" ca="1" si="276"/>
        <v>46267</v>
      </c>
      <c r="O1102" s="24" t="s">
        <v>201</v>
      </c>
      <c r="R1102" s="4">
        <v>2.37</v>
      </c>
      <c r="S1102" s="4">
        <v>158</v>
      </c>
      <c r="T1102" s="303">
        <f t="shared" si="282"/>
        <v>-63.629999999999995</v>
      </c>
      <c r="U1102" s="88">
        <f t="shared" si="283"/>
        <v>92</v>
      </c>
      <c r="V1102" s="82">
        <v>0</v>
      </c>
      <c r="W1102" s="4">
        <v>2</v>
      </c>
      <c r="X1102" s="195">
        <f t="shared" si="284"/>
        <v>92</v>
      </c>
      <c r="Y1102" s="29" t="e">
        <f>IF(+VLOOKUP(I1102,P.Referencia!E:S,3,FALSE)&lt;=L1102,"Champion","Gerente")</f>
        <v>#N/A</v>
      </c>
      <c r="Z1102" s="30" t="e">
        <f>VLOOKUP(I1102,P.Referencia!E:S,3,0)</f>
        <v>#N/A</v>
      </c>
      <c r="AA1102" s="196" t="e">
        <f t="shared" si="285"/>
        <v>#N/A</v>
      </c>
      <c r="AB1102" s="197" t="e">
        <f t="shared" si="286"/>
        <v>#N/A</v>
      </c>
      <c r="AC1102" s="197" t="e">
        <f t="shared" si="287"/>
        <v>#N/A</v>
      </c>
    </row>
    <row r="1103" spans="1:30" s="4" customFormat="1" hidden="1" x14ac:dyDescent="0.25">
      <c r="A1103" s="24">
        <v>1102</v>
      </c>
      <c r="B1103" s="89" t="s">
        <v>642</v>
      </c>
      <c r="C1103" s="4" t="str">
        <f t="shared" si="281"/>
        <v>LlaveD81367277485100023502</v>
      </c>
      <c r="D1103" s="25" t="str">
        <f>VLOOKUP(E1103,'NO MODIFICAR'!J:K,2,0)</f>
        <v>D813</v>
      </c>
      <c r="E1103" s="102" t="s">
        <v>6</v>
      </c>
      <c r="F1103" s="25" t="str">
        <f>VLOOKUP(D1103,'NO MODIFICAR'!F:H,3,0)</f>
        <v xml:space="preserve">CENTRO </v>
      </c>
      <c r="G1103" s="28">
        <v>67277485</v>
      </c>
      <c r="H1103" s="93" t="s">
        <v>650</v>
      </c>
      <c r="I1103" s="94">
        <v>10002350</v>
      </c>
      <c r="J1103" s="4" t="str">
        <f>VLOOKUP(I1103,'Materiales,canteras'!C:D,2,0)</f>
        <v>Grava Triturada Andesita 10mm-</v>
      </c>
      <c r="K1103" s="25">
        <f>VLOOKUP(I1103,'Materiales,canteras'!C:E,3,0)</f>
        <v>1.246</v>
      </c>
      <c r="L1103" s="82">
        <v>86</v>
      </c>
      <c r="M1103" s="28" t="s">
        <v>93</v>
      </c>
      <c r="N1103" s="193">
        <f t="shared" ca="1" si="276"/>
        <v>46267</v>
      </c>
      <c r="O1103" s="24" t="s">
        <v>201</v>
      </c>
      <c r="R1103" s="4">
        <v>2.37</v>
      </c>
      <c r="S1103" s="4">
        <v>158</v>
      </c>
      <c r="T1103" s="303">
        <f t="shared" si="282"/>
        <v>-69.63</v>
      </c>
      <c r="U1103" s="88">
        <f t="shared" si="283"/>
        <v>86</v>
      </c>
      <c r="V1103" s="82">
        <v>0</v>
      </c>
      <c r="W1103" s="4">
        <v>2</v>
      </c>
      <c r="X1103" s="195">
        <f t="shared" si="284"/>
        <v>86</v>
      </c>
      <c r="Y1103" s="29" t="e">
        <f>IF(+VLOOKUP(I1103,P.Referencia!E:S,3,FALSE)&lt;=L1103,"Champion","Gerente")</f>
        <v>#N/A</v>
      </c>
      <c r="Z1103" s="30" t="e">
        <f>VLOOKUP(I1103,P.Referencia!E:S,3,0)</f>
        <v>#N/A</v>
      </c>
      <c r="AA1103" s="196" t="e">
        <f t="shared" si="285"/>
        <v>#N/A</v>
      </c>
      <c r="AB1103" s="197" t="e">
        <f t="shared" si="286"/>
        <v>#N/A</v>
      </c>
      <c r="AC1103" s="197" t="e">
        <f t="shared" si="287"/>
        <v>#N/A</v>
      </c>
    </row>
    <row r="1104" spans="1:30" s="4" customFormat="1" hidden="1" x14ac:dyDescent="0.25">
      <c r="A1104" s="24">
        <v>1103</v>
      </c>
      <c r="B1104" s="89" t="s">
        <v>642</v>
      </c>
      <c r="C1104" s="4" t="str">
        <f t="shared" si="281"/>
        <v>LlaveD86467277484100010732</v>
      </c>
      <c r="D1104" s="25" t="str">
        <f>VLOOKUP(E1104,'NO MODIFICAR'!J:K,2,0)</f>
        <v>D864</v>
      </c>
      <c r="E1104" s="102" t="s">
        <v>55</v>
      </c>
      <c r="F1104" s="25" t="str">
        <f>VLOOKUP(D1104,'NO MODIFICAR'!F:H,3,0)</f>
        <v xml:space="preserve">CENTRO </v>
      </c>
      <c r="G1104" s="28">
        <v>67277484</v>
      </c>
      <c r="H1104" s="93" t="s">
        <v>651</v>
      </c>
      <c r="I1104" s="94">
        <v>10001073</v>
      </c>
      <c r="J1104" s="4" t="str">
        <f>VLOOKUP(I1104,'Materiales,canteras'!C:D,2,0)</f>
        <v>Arena Triturada Caliza Malla 4</v>
      </c>
      <c r="K1104" s="25">
        <f>VLOOKUP(I1104,'Materiales,canteras'!C:E,3,0)</f>
        <v>1.56</v>
      </c>
      <c r="L1104" s="82">
        <v>92</v>
      </c>
      <c r="M1104" s="28" t="s">
        <v>93</v>
      </c>
      <c r="N1104" s="193">
        <f t="shared" ca="1" si="276"/>
        <v>46267</v>
      </c>
      <c r="O1104" s="24" t="s">
        <v>201</v>
      </c>
      <c r="R1104" s="4">
        <v>2.37</v>
      </c>
      <c r="S1104" s="4">
        <v>158</v>
      </c>
      <c r="T1104" s="303">
        <f t="shared" si="282"/>
        <v>-63.629999999999995</v>
      </c>
      <c r="U1104" s="88">
        <f t="shared" si="283"/>
        <v>92</v>
      </c>
      <c r="V1104" s="82">
        <v>0</v>
      </c>
      <c r="W1104" s="4">
        <v>2</v>
      </c>
      <c r="X1104" s="195">
        <f t="shared" si="284"/>
        <v>92</v>
      </c>
      <c r="Y1104" s="29" t="e">
        <f>IF(+VLOOKUP(I1104,P.Referencia!E:S,3,FALSE)&lt;=L1104,"Champion","Gerente")</f>
        <v>#N/A</v>
      </c>
      <c r="Z1104" s="30" t="e">
        <f>VLOOKUP(I1104,P.Referencia!E:S,3,0)</f>
        <v>#N/A</v>
      </c>
      <c r="AA1104" s="196" t="e">
        <f t="shared" si="285"/>
        <v>#N/A</v>
      </c>
      <c r="AB1104" s="197" t="e">
        <f t="shared" si="286"/>
        <v>#N/A</v>
      </c>
      <c r="AC1104" s="197" t="e">
        <f t="shared" si="287"/>
        <v>#N/A</v>
      </c>
    </row>
    <row r="1105" spans="1:30" s="4" customFormat="1" hidden="1" x14ac:dyDescent="0.25">
      <c r="A1105" s="24">
        <v>1104</v>
      </c>
      <c r="B1105" s="89" t="s">
        <v>642</v>
      </c>
      <c r="C1105" s="4" t="str">
        <f t="shared" si="281"/>
        <v>LlaveD81367277484100023502</v>
      </c>
      <c r="D1105" s="25" t="str">
        <f>VLOOKUP(E1105,'NO MODIFICAR'!J:K,2,0)</f>
        <v>D813</v>
      </c>
      <c r="E1105" s="102" t="s">
        <v>6</v>
      </c>
      <c r="F1105" s="25" t="str">
        <f>VLOOKUP(D1105,'NO MODIFICAR'!F:H,3,0)</f>
        <v xml:space="preserve">CENTRO </v>
      </c>
      <c r="G1105" s="28">
        <v>67277484</v>
      </c>
      <c r="H1105" s="93" t="s">
        <v>651</v>
      </c>
      <c r="I1105" s="94">
        <v>10002350</v>
      </c>
      <c r="J1105" s="4" t="str">
        <f>VLOOKUP(I1105,'Materiales,canteras'!C:D,2,0)</f>
        <v>Grava Triturada Andesita 10mm-</v>
      </c>
      <c r="K1105" s="25">
        <f>VLOOKUP(I1105,'Materiales,canteras'!C:E,3,0)</f>
        <v>1.246</v>
      </c>
      <c r="L1105" s="82">
        <v>86</v>
      </c>
      <c r="M1105" s="28" t="s">
        <v>93</v>
      </c>
      <c r="N1105" s="193">
        <f t="shared" ca="1" si="276"/>
        <v>46267</v>
      </c>
      <c r="O1105" s="24" t="s">
        <v>201</v>
      </c>
      <c r="R1105" s="4">
        <v>2.37</v>
      </c>
      <c r="S1105" s="4">
        <v>158</v>
      </c>
      <c r="T1105" s="303">
        <f t="shared" si="282"/>
        <v>-69.63</v>
      </c>
      <c r="U1105" s="88">
        <f t="shared" si="283"/>
        <v>86</v>
      </c>
      <c r="V1105" s="82">
        <v>0</v>
      </c>
      <c r="W1105" s="4">
        <v>2</v>
      </c>
      <c r="X1105" s="195">
        <f t="shared" si="284"/>
        <v>86</v>
      </c>
      <c r="Y1105" s="29" t="e">
        <f>IF(+VLOOKUP(I1105,P.Referencia!E:S,3,FALSE)&lt;=L1105,"Champion","Gerente")</f>
        <v>#N/A</v>
      </c>
      <c r="Z1105" s="30" t="e">
        <f>VLOOKUP(I1105,P.Referencia!E:S,3,0)</f>
        <v>#N/A</v>
      </c>
      <c r="AA1105" s="196" t="e">
        <f t="shared" si="285"/>
        <v>#N/A</v>
      </c>
      <c r="AB1105" s="197" t="e">
        <f t="shared" si="286"/>
        <v>#N/A</v>
      </c>
      <c r="AC1105" s="197" t="e">
        <f t="shared" si="287"/>
        <v>#N/A</v>
      </c>
    </row>
    <row r="1106" spans="1:30" s="4" customFormat="1" hidden="1" x14ac:dyDescent="0.25">
      <c r="A1106" s="24">
        <v>1105</v>
      </c>
      <c r="B1106" s="89" t="s">
        <v>642</v>
      </c>
      <c r="C1106" s="4" t="str">
        <f t="shared" si="281"/>
        <v>LlaveDU0767357507100001031</v>
      </c>
      <c r="D1106" s="25" t="str">
        <f>VLOOKUP(E1106,'NO MODIFICAR'!J:K,2,0)</f>
        <v>DU07</v>
      </c>
      <c r="E1106" s="102" t="s">
        <v>87</v>
      </c>
      <c r="F1106" s="25" t="str">
        <f>VLOOKUP(D1106,'NO MODIFICAR'!F:H,3,0)</f>
        <v>SURESTE</v>
      </c>
      <c r="G1106" s="28">
        <v>67357507</v>
      </c>
      <c r="H1106" s="93" t="s">
        <v>652</v>
      </c>
      <c r="I1106" s="94">
        <v>10000103</v>
      </c>
      <c r="J1106" s="4" t="str">
        <f>VLOOKUP(I1106,'Materiales,canteras'!C:D,2,0)</f>
        <v>Base H Triturada Caliza 1 1/2" a Finos</v>
      </c>
      <c r="K1106" s="25">
        <f>VLOOKUP(I1106,'Materiales,canteras'!C:E,3,0)</f>
        <v>1.462</v>
      </c>
      <c r="L1106" s="82">
        <v>108.07</v>
      </c>
      <c r="M1106" s="28" t="s">
        <v>93</v>
      </c>
      <c r="N1106" s="193">
        <f t="shared" ca="1" si="276"/>
        <v>46267</v>
      </c>
      <c r="O1106" s="24" t="s">
        <v>201</v>
      </c>
      <c r="P1106" s="195"/>
      <c r="Q1106" s="195"/>
      <c r="R1106" s="4">
        <v>0</v>
      </c>
      <c r="S1106" s="4">
        <v>158</v>
      </c>
      <c r="T1106" s="303">
        <f t="shared" si="282"/>
        <v>-49.930000000000007</v>
      </c>
      <c r="U1106" s="88">
        <f t="shared" si="283"/>
        <v>108.07</v>
      </c>
      <c r="V1106" s="82">
        <v>86.87</v>
      </c>
      <c r="W1106" s="4">
        <v>1</v>
      </c>
      <c r="X1106" s="195">
        <f t="shared" si="284"/>
        <v>194.94</v>
      </c>
      <c r="Y1106" s="29" t="e">
        <f>IF(+VLOOKUP(I1106,P.Referencia!E:S,3,FALSE)&lt;=L1106,"Champion","Gerente")</f>
        <v>#N/A</v>
      </c>
      <c r="Z1106" s="30" t="e">
        <f>VLOOKUP(I1106,P.Referencia!E:S,3,0)</f>
        <v>#N/A</v>
      </c>
      <c r="AA1106" s="196" t="e">
        <f t="shared" si="285"/>
        <v>#N/A</v>
      </c>
      <c r="AB1106" s="197" t="e">
        <f t="shared" si="286"/>
        <v>#N/A</v>
      </c>
      <c r="AC1106" s="197" t="e">
        <f t="shared" si="287"/>
        <v>#N/A</v>
      </c>
    </row>
    <row r="1107" spans="1:30" s="4" customFormat="1" hidden="1" x14ac:dyDescent="0.25">
      <c r="A1107" s="24">
        <v>1106</v>
      </c>
      <c r="B1107" s="89" t="s">
        <v>642</v>
      </c>
      <c r="C1107" s="4" t="str">
        <f t="shared" si="281"/>
        <v>LlaveDU0766817584100001032</v>
      </c>
      <c r="D1107" s="25" t="str">
        <f>VLOOKUP(E1107,'NO MODIFICAR'!J:K,2,0)</f>
        <v>DU07</v>
      </c>
      <c r="E1107" s="102" t="s">
        <v>87</v>
      </c>
      <c r="F1107" s="25" t="str">
        <f>VLOOKUP(D1107,'NO MODIFICAR'!F:H,3,0)</f>
        <v>SURESTE</v>
      </c>
      <c r="G1107" s="28">
        <v>66817584</v>
      </c>
      <c r="H1107" s="93" t="s">
        <v>976</v>
      </c>
      <c r="I1107" s="94">
        <v>10000103</v>
      </c>
      <c r="J1107" s="4" t="str">
        <f>VLOOKUP(I1107,'Materiales,canteras'!C:D,2,0)</f>
        <v>Base H Triturada Caliza 1 1/2" a Finos</v>
      </c>
      <c r="K1107" s="25">
        <f>VLOOKUP(I1107,'Materiales,canteras'!C:E,3,0)</f>
        <v>1.462</v>
      </c>
      <c r="L1107" s="82">
        <f>137.931/K1107</f>
        <v>94.344049247606023</v>
      </c>
      <c r="M1107" s="28" t="s">
        <v>93</v>
      </c>
      <c r="N1107" s="193">
        <f t="shared" ca="1" si="276"/>
        <v>46267</v>
      </c>
      <c r="O1107" s="24" t="s">
        <v>201</v>
      </c>
      <c r="S1107" s="4">
        <v>158</v>
      </c>
      <c r="T1107" s="303">
        <f t="shared" si="282"/>
        <v>-63.655950752393977</v>
      </c>
      <c r="U1107" s="88">
        <f t="shared" si="283"/>
        <v>94.344049247606023</v>
      </c>
      <c r="V1107" s="82">
        <v>0</v>
      </c>
      <c r="W1107" s="4">
        <v>2</v>
      </c>
      <c r="X1107" s="195">
        <f t="shared" si="284"/>
        <v>94.344049247606023</v>
      </c>
      <c r="Y1107" s="29" t="e">
        <f>IF(+VLOOKUP(I1107,P.Referencia!E:S,3,FALSE)&lt;=L1107,"Champion","Gerente")</f>
        <v>#N/A</v>
      </c>
      <c r="Z1107" s="30" t="e">
        <f>VLOOKUP(I1107,P.Referencia!E:S,3,0)</f>
        <v>#N/A</v>
      </c>
      <c r="AA1107" s="196" t="e">
        <f t="shared" si="285"/>
        <v>#N/A</v>
      </c>
      <c r="AB1107" s="197" t="e">
        <f t="shared" si="286"/>
        <v>#N/A</v>
      </c>
      <c r="AC1107" s="197" t="e">
        <f t="shared" si="287"/>
        <v>#N/A</v>
      </c>
    </row>
    <row r="1108" spans="1:30" s="4" customFormat="1" hidden="1" x14ac:dyDescent="0.25">
      <c r="A1108" s="24">
        <v>1107</v>
      </c>
      <c r="B1108" s="89" t="s">
        <v>642</v>
      </c>
      <c r="C1108" s="4" t="str">
        <f t="shared" si="281"/>
        <v>LlaveD86466908488100010742</v>
      </c>
      <c r="D1108" s="25" t="str">
        <f>VLOOKUP(E1108,'NO MODIFICAR'!J:K,2,0)</f>
        <v>D864</v>
      </c>
      <c r="E1108" s="102" t="s">
        <v>55</v>
      </c>
      <c r="F1108" s="25" t="str">
        <f>VLOOKUP(D1108,'NO MODIFICAR'!F:H,3,0)</f>
        <v xml:space="preserve">CENTRO </v>
      </c>
      <c r="G1108" s="28">
        <v>66908488</v>
      </c>
      <c r="H1108" s="93" t="s">
        <v>317</v>
      </c>
      <c r="I1108" s="94">
        <v>10001074</v>
      </c>
      <c r="J1108" s="4" t="str">
        <f>VLOOKUP(I1108,'Materiales,canteras'!C:D,2,0)</f>
        <v>Grava Triturada Caliza 40 mm -</v>
      </c>
      <c r="K1108" s="25">
        <f>VLOOKUP(I1108,'Materiales,canteras'!C:E,3,0)</f>
        <v>1.4</v>
      </c>
      <c r="L1108" s="82">
        <v>134.62</v>
      </c>
      <c r="M1108" s="28" t="s">
        <v>93</v>
      </c>
      <c r="N1108" s="193">
        <f t="shared" ca="1" si="276"/>
        <v>46267</v>
      </c>
      <c r="O1108" s="24" t="s">
        <v>201</v>
      </c>
      <c r="S1108" s="4">
        <v>231</v>
      </c>
      <c r="T1108" s="303">
        <f t="shared" si="282"/>
        <v>-96.38</v>
      </c>
      <c r="U1108" s="88">
        <f t="shared" si="283"/>
        <v>134.62</v>
      </c>
      <c r="V1108" s="82">
        <v>0</v>
      </c>
      <c r="W1108" s="4">
        <v>2</v>
      </c>
      <c r="X1108" s="195">
        <f t="shared" si="284"/>
        <v>134.62</v>
      </c>
      <c r="Y1108" s="29" t="e">
        <f>IF(+VLOOKUP(I1108,P.Referencia!E:S,3,FALSE)&lt;=L1108,"Champion","Gerente")</f>
        <v>#N/A</v>
      </c>
      <c r="Z1108" s="30" t="e">
        <f>VLOOKUP(I1108,P.Referencia!E:S,3,0)</f>
        <v>#N/A</v>
      </c>
      <c r="AA1108" s="196" t="e">
        <f t="shared" si="285"/>
        <v>#N/A</v>
      </c>
      <c r="AB1108" s="197" t="e">
        <f t="shared" si="286"/>
        <v>#N/A</v>
      </c>
      <c r="AC1108" s="197" t="e">
        <f t="shared" si="287"/>
        <v>#N/A</v>
      </c>
    </row>
    <row r="1109" spans="1:30" s="4" customFormat="1" hidden="1" x14ac:dyDescent="0.25">
      <c r="A1109" s="24">
        <v>1108</v>
      </c>
      <c r="B1109" s="89" t="s">
        <v>642</v>
      </c>
      <c r="C1109" s="4" t="str">
        <f t="shared" si="281"/>
        <v>LlaveD81666547825100002411</v>
      </c>
      <c r="D1109" s="25" t="str">
        <f>VLOOKUP(E1109,'NO MODIFICAR'!J:K,2,0)</f>
        <v>D816</v>
      </c>
      <c r="E1109" s="102" t="s">
        <v>15</v>
      </c>
      <c r="F1109" s="25" t="str">
        <f>VLOOKUP(D1109,'NO MODIFICAR'!F:H,3,0)</f>
        <v>NORESTE</v>
      </c>
      <c r="G1109" s="28">
        <v>66547825</v>
      </c>
      <c r="H1109" s="93" t="s">
        <v>467</v>
      </c>
      <c r="I1109" s="94">
        <v>10000241</v>
      </c>
      <c r="J1109" s="4" t="str">
        <f>VLOOKUP(I1109,'Materiales,canteras'!C:D,2,0)</f>
        <v>Grava Triturada Caliza 20 mm -</v>
      </c>
      <c r="K1109" s="25">
        <f>VLOOKUP(I1109,'Materiales,canteras'!C:E,3,0)</f>
        <v>1.43</v>
      </c>
      <c r="L1109" s="82">
        <v>470.24</v>
      </c>
      <c r="M1109" s="28" t="s">
        <v>93</v>
      </c>
      <c r="N1109" s="193">
        <f t="shared" ca="1" si="276"/>
        <v>46267</v>
      </c>
      <c r="O1109" s="24" t="s">
        <v>201</v>
      </c>
      <c r="P1109" s="195"/>
      <c r="Q1109" s="195"/>
      <c r="S1109" s="4">
        <v>414</v>
      </c>
      <c r="T1109" s="303">
        <f t="shared" si="282"/>
        <v>56.240000000000009</v>
      </c>
      <c r="U1109" s="88">
        <f t="shared" si="283"/>
        <v>470.24</v>
      </c>
      <c r="V1109" s="82">
        <v>139.05000000000001</v>
      </c>
      <c r="W1109" s="4">
        <v>1</v>
      </c>
      <c r="X1109" s="195">
        <f t="shared" si="284"/>
        <v>609.29</v>
      </c>
      <c r="Y1109" s="29" t="e">
        <f>IF(+VLOOKUP(I1109,P.Referencia!E:S,3,FALSE)&lt;=L1109,"Champion","Gerente")</f>
        <v>#N/A</v>
      </c>
      <c r="Z1109" s="30" t="e">
        <f>VLOOKUP(I1109,P.Referencia!E:S,3,0)</f>
        <v>#N/A</v>
      </c>
      <c r="AA1109" s="196" t="e">
        <f t="shared" si="285"/>
        <v>#N/A</v>
      </c>
      <c r="AB1109" s="197" t="e">
        <f t="shared" si="286"/>
        <v>#N/A</v>
      </c>
      <c r="AC1109" s="197" t="e">
        <f t="shared" si="287"/>
        <v>#N/A</v>
      </c>
    </row>
    <row r="1110" spans="1:30" s="4" customFormat="1" hidden="1" x14ac:dyDescent="0.25">
      <c r="A1110" s="24">
        <v>1109</v>
      </c>
      <c r="B1110" s="89" t="s">
        <v>642</v>
      </c>
      <c r="C1110" s="4" t="str">
        <f t="shared" si="281"/>
        <v>LlaveD81666785167100001241</v>
      </c>
      <c r="D1110" s="25" t="str">
        <f>VLOOKUP(E1110,'NO MODIFICAR'!J:K,2,0)</f>
        <v>D816</v>
      </c>
      <c r="E1110" s="102" t="s">
        <v>15</v>
      </c>
      <c r="F1110" s="25" t="str">
        <f>VLOOKUP(D1110,'NO MODIFICAR'!F:H,3,0)</f>
        <v>NORESTE</v>
      </c>
      <c r="G1110" s="28">
        <v>66785167</v>
      </c>
      <c r="H1110" s="93" t="s">
        <v>977</v>
      </c>
      <c r="I1110" s="94">
        <v>10000124</v>
      </c>
      <c r="J1110" s="4" t="str">
        <f>VLOOKUP(I1110,'Materiales,canteras'!C:D,2,0)</f>
        <v>Arena Triturada Caliza Malla 4</v>
      </c>
      <c r="K1110" s="25">
        <f>VLOOKUP(I1110,'Materiales,canteras'!C:E,3,0)</f>
        <v>1.7390000000000001</v>
      </c>
      <c r="L1110" s="82">
        <v>275</v>
      </c>
      <c r="M1110" s="28" t="s">
        <v>93</v>
      </c>
      <c r="N1110" s="193">
        <f t="shared" ca="1" si="276"/>
        <v>46267</v>
      </c>
      <c r="O1110" s="24" t="s">
        <v>201</v>
      </c>
      <c r="P1110" s="195"/>
      <c r="Q1110" s="195"/>
      <c r="T1110" s="303">
        <f t="shared" si="282"/>
        <v>275</v>
      </c>
      <c r="U1110" s="88">
        <f t="shared" si="283"/>
        <v>275</v>
      </c>
      <c r="V1110" s="82">
        <v>37.880000000000003</v>
      </c>
      <c r="W1110" s="4">
        <v>1</v>
      </c>
      <c r="X1110" s="195">
        <f t="shared" si="284"/>
        <v>312.88</v>
      </c>
      <c r="Y1110" s="29" t="e">
        <f>IF(+VLOOKUP(I1110,P.Referencia!E:S,3,FALSE)&lt;=L1110,"Champion","Gerente")</f>
        <v>#N/A</v>
      </c>
      <c r="Z1110" s="30" t="e">
        <f>VLOOKUP(I1110,P.Referencia!E:S,3,0)</f>
        <v>#N/A</v>
      </c>
      <c r="AA1110" s="196" t="e">
        <f t="shared" si="285"/>
        <v>#N/A</v>
      </c>
      <c r="AB1110" s="197" t="e">
        <f t="shared" si="286"/>
        <v>#N/A</v>
      </c>
      <c r="AC1110" s="197" t="e">
        <f t="shared" si="287"/>
        <v>#N/A</v>
      </c>
      <c r="AD1110" s="4" t="s">
        <v>979</v>
      </c>
    </row>
    <row r="1111" spans="1:30" s="4" customFormat="1" hidden="1" x14ac:dyDescent="0.25">
      <c r="A1111" s="24">
        <v>1110</v>
      </c>
      <c r="B1111" s="89" t="s">
        <v>642</v>
      </c>
      <c r="C1111" s="4" t="str">
        <f t="shared" si="281"/>
        <v>LlaveD81666785167100002371</v>
      </c>
      <c r="D1111" s="25" t="str">
        <f>VLOOKUP(E1111,'NO MODIFICAR'!J:K,2,0)</f>
        <v>D816</v>
      </c>
      <c r="E1111" s="102" t="s">
        <v>15</v>
      </c>
      <c r="F1111" s="25" t="str">
        <f>VLOOKUP(D1111,'NO MODIFICAR'!F:H,3,0)</f>
        <v>NORESTE</v>
      </c>
      <c r="G1111" s="28">
        <v>66785167</v>
      </c>
      <c r="H1111" s="93" t="s">
        <v>977</v>
      </c>
      <c r="I1111" s="94">
        <v>10000237</v>
      </c>
      <c r="J1111" s="4" t="str">
        <f>VLOOKUP(I1111,'Materiales,canteras'!C:D,2,0)</f>
        <v>Grava Triturada Caliza 10 mm -</v>
      </c>
      <c r="K1111" s="25">
        <f>VLOOKUP(I1111,'Materiales,canteras'!C:E,3,0)</f>
        <v>1.5620000000000001</v>
      </c>
      <c r="L1111" s="82">
        <v>285</v>
      </c>
      <c r="M1111" s="28" t="s">
        <v>93</v>
      </c>
      <c r="N1111" s="193">
        <f t="shared" ca="1" si="276"/>
        <v>46267</v>
      </c>
      <c r="O1111" s="24" t="s">
        <v>201</v>
      </c>
      <c r="P1111" s="195"/>
      <c r="Q1111" s="195"/>
      <c r="T1111" s="303">
        <f t="shared" si="282"/>
        <v>285</v>
      </c>
      <c r="U1111" s="88">
        <f t="shared" si="283"/>
        <v>285</v>
      </c>
      <c r="V1111" s="82">
        <v>37.880000000000003</v>
      </c>
      <c r="W1111" s="4">
        <v>1</v>
      </c>
      <c r="X1111" s="195">
        <f t="shared" si="284"/>
        <v>322.88</v>
      </c>
      <c r="Y1111" s="29" t="e">
        <f>IF(+VLOOKUP(I1111,P.Referencia!E:S,3,FALSE)&lt;=L1111,"Champion","Gerente")</f>
        <v>#N/A</v>
      </c>
      <c r="Z1111" s="30" t="e">
        <f>VLOOKUP(I1111,P.Referencia!E:S,3,0)</f>
        <v>#N/A</v>
      </c>
      <c r="AA1111" s="196" t="e">
        <f t="shared" si="285"/>
        <v>#N/A</v>
      </c>
      <c r="AB1111" s="197" t="e">
        <f t="shared" si="286"/>
        <v>#N/A</v>
      </c>
      <c r="AC1111" s="197" t="e">
        <f t="shared" si="287"/>
        <v>#N/A</v>
      </c>
      <c r="AD1111" s="4" t="s">
        <v>979</v>
      </c>
    </row>
    <row r="1112" spans="1:30" s="4" customFormat="1" hidden="1" x14ac:dyDescent="0.25">
      <c r="A1112" s="24">
        <v>1111</v>
      </c>
      <c r="B1112" s="89" t="s">
        <v>642</v>
      </c>
      <c r="C1112" s="4" t="str">
        <f t="shared" si="281"/>
        <v>LlaveD81666785167100002411</v>
      </c>
      <c r="D1112" s="25" t="str">
        <f>VLOOKUP(E1112,'NO MODIFICAR'!J:K,2,0)</f>
        <v>D816</v>
      </c>
      <c r="E1112" s="102" t="s">
        <v>15</v>
      </c>
      <c r="F1112" s="25" t="str">
        <f>VLOOKUP(D1112,'NO MODIFICAR'!F:H,3,0)</f>
        <v>NORESTE</v>
      </c>
      <c r="G1112" s="28">
        <v>66785167</v>
      </c>
      <c r="H1112" s="93" t="s">
        <v>977</v>
      </c>
      <c r="I1112" s="94">
        <v>10000241</v>
      </c>
      <c r="J1112" s="4" t="str">
        <f>VLOOKUP(I1112,'Materiales,canteras'!C:D,2,0)</f>
        <v>Grava Triturada Caliza 20 mm -</v>
      </c>
      <c r="K1112" s="25">
        <f>VLOOKUP(I1112,'Materiales,canteras'!C:E,3,0)</f>
        <v>1.43</v>
      </c>
      <c r="L1112" s="82">
        <v>275</v>
      </c>
      <c r="M1112" s="28" t="s">
        <v>93</v>
      </c>
      <c r="N1112" s="193">
        <f t="shared" ca="1" si="276"/>
        <v>46267</v>
      </c>
      <c r="O1112" s="24" t="s">
        <v>201</v>
      </c>
      <c r="P1112" s="195"/>
      <c r="Q1112" s="195"/>
      <c r="T1112" s="303">
        <f t="shared" si="282"/>
        <v>275</v>
      </c>
      <c r="U1112" s="88">
        <f t="shared" si="283"/>
        <v>275</v>
      </c>
      <c r="V1112" s="82">
        <v>37.880000000000003</v>
      </c>
      <c r="W1112" s="4">
        <v>1</v>
      </c>
      <c r="X1112" s="195">
        <f t="shared" si="284"/>
        <v>312.88</v>
      </c>
      <c r="Y1112" s="29" t="e">
        <f>IF(+VLOOKUP(I1112,P.Referencia!E:S,3,FALSE)&lt;=L1112,"Champion","Gerente")</f>
        <v>#N/A</v>
      </c>
      <c r="Z1112" s="30" t="e">
        <f>VLOOKUP(I1112,P.Referencia!E:S,3,0)</f>
        <v>#N/A</v>
      </c>
      <c r="AA1112" s="196" t="e">
        <f t="shared" si="285"/>
        <v>#N/A</v>
      </c>
      <c r="AB1112" s="197" t="e">
        <f t="shared" si="286"/>
        <v>#N/A</v>
      </c>
      <c r="AC1112" s="197" t="e">
        <f t="shared" si="287"/>
        <v>#N/A</v>
      </c>
      <c r="AD1112" s="4" t="s">
        <v>979</v>
      </c>
    </row>
    <row r="1113" spans="1:30" s="4" customFormat="1" hidden="1" x14ac:dyDescent="0.25">
      <c r="A1113" s="24">
        <v>1112</v>
      </c>
      <c r="B1113" s="89" t="s">
        <v>642</v>
      </c>
      <c r="C1113" s="4" t="str">
        <f t="shared" si="281"/>
        <v>LlaveD81666785167100002601</v>
      </c>
      <c r="D1113" s="25" t="str">
        <f>VLOOKUP(E1113,'NO MODIFICAR'!J:K,2,0)</f>
        <v>D816</v>
      </c>
      <c r="E1113" s="102" t="s">
        <v>15</v>
      </c>
      <c r="F1113" s="25" t="str">
        <f>VLOOKUP(D1113,'NO MODIFICAR'!F:H,3,0)</f>
        <v>NORESTE</v>
      </c>
      <c r="G1113" s="28">
        <v>66785167</v>
      </c>
      <c r="H1113" s="93" t="s">
        <v>977</v>
      </c>
      <c r="I1113" s="94">
        <v>10000260</v>
      </c>
      <c r="J1113" s="4" t="str">
        <f>VLOOKUP(I1113,'Materiales,canteras'!C:D,2,0)</f>
        <v>Arena Triturada Caliza Malla 5</v>
      </c>
      <c r="K1113" s="25">
        <f>VLOOKUP(I1113,'Materiales,canteras'!C:E,3,0)</f>
        <v>1.72</v>
      </c>
      <c r="L1113" s="82">
        <v>308</v>
      </c>
      <c r="M1113" s="28" t="s">
        <v>93</v>
      </c>
      <c r="N1113" s="193">
        <f t="shared" ca="1" si="276"/>
        <v>46267</v>
      </c>
      <c r="O1113" s="24" t="s">
        <v>201</v>
      </c>
      <c r="P1113" s="195"/>
      <c r="Q1113" s="195"/>
      <c r="T1113" s="303">
        <f t="shared" si="282"/>
        <v>308</v>
      </c>
      <c r="U1113" s="88">
        <f t="shared" si="283"/>
        <v>308</v>
      </c>
      <c r="V1113" s="82">
        <v>37.880000000000003</v>
      </c>
      <c r="W1113" s="4">
        <v>1</v>
      </c>
      <c r="X1113" s="195">
        <f t="shared" si="284"/>
        <v>345.88</v>
      </c>
      <c r="Y1113" s="29" t="e">
        <f>IF(+VLOOKUP(I1113,P.Referencia!E:S,3,FALSE)&lt;=L1113,"Champion","Gerente")</f>
        <v>#N/A</v>
      </c>
      <c r="Z1113" s="30" t="e">
        <f>VLOOKUP(I1113,P.Referencia!E:S,3,0)</f>
        <v>#N/A</v>
      </c>
      <c r="AA1113" s="196" t="e">
        <f t="shared" si="285"/>
        <v>#N/A</v>
      </c>
      <c r="AB1113" s="197" t="e">
        <f t="shared" si="286"/>
        <v>#N/A</v>
      </c>
      <c r="AC1113" s="197" t="e">
        <f t="shared" si="287"/>
        <v>#N/A</v>
      </c>
      <c r="AD1113" s="4" t="s">
        <v>979</v>
      </c>
    </row>
    <row r="1114" spans="1:30" s="4" customFormat="1" hidden="1" x14ac:dyDescent="0.25">
      <c r="A1114" s="24">
        <v>1113</v>
      </c>
      <c r="B1114" s="89" t="s">
        <v>642</v>
      </c>
      <c r="C1114" s="4" t="str">
        <f t="shared" si="281"/>
        <v>LlaveD81666844727100001241</v>
      </c>
      <c r="D1114" s="25" t="str">
        <f>VLOOKUP(E1114,'NO MODIFICAR'!J:K,2,0)</f>
        <v>D816</v>
      </c>
      <c r="E1114" s="102" t="s">
        <v>15</v>
      </c>
      <c r="F1114" s="25" t="str">
        <f>VLOOKUP(D1114,'NO MODIFICAR'!F:H,3,0)</f>
        <v>NORESTE</v>
      </c>
      <c r="G1114" s="28">
        <v>66844727</v>
      </c>
      <c r="H1114" s="93" t="s">
        <v>978</v>
      </c>
      <c r="I1114" s="94">
        <v>10000124</v>
      </c>
      <c r="J1114" s="4" t="str">
        <f>VLOOKUP(I1114,'Materiales,canteras'!C:D,2,0)</f>
        <v>Arena Triturada Caliza Malla 4</v>
      </c>
      <c r="K1114" s="25">
        <f>VLOOKUP(I1114,'Materiales,canteras'!C:E,3,0)</f>
        <v>1.7390000000000001</v>
      </c>
      <c r="L1114" s="82">
        <v>277.95999999999998</v>
      </c>
      <c r="M1114" s="28" t="s">
        <v>93</v>
      </c>
      <c r="N1114" s="193">
        <f t="shared" ca="1" si="276"/>
        <v>46267</v>
      </c>
      <c r="O1114" s="24" t="s">
        <v>201</v>
      </c>
      <c r="P1114" s="195"/>
      <c r="Q1114" s="195"/>
      <c r="R1114" s="4">
        <v>19.8</v>
      </c>
      <c r="S1114" s="4">
        <v>495</v>
      </c>
      <c r="T1114" s="303">
        <f t="shared" si="282"/>
        <v>-197.24</v>
      </c>
      <c r="U1114" s="88">
        <f t="shared" si="283"/>
        <v>277.95999999999998</v>
      </c>
      <c r="V1114" s="82">
        <v>78.88</v>
      </c>
      <c r="W1114" s="4">
        <v>1</v>
      </c>
      <c r="X1114" s="195">
        <f t="shared" si="284"/>
        <v>356.84</v>
      </c>
      <c r="Y1114" s="29" t="e">
        <f>IF(+VLOOKUP(I1114,P.Referencia!E:S,3,FALSE)&lt;=L1114,"Champion","Gerente")</f>
        <v>#N/A</v>
      </c>
      <c r="Z1114" s="30" t="e">
        <f>VLOOKUP(I1114,P.Referencia!E:S,3,0)</f>
        <v>#N/A</v>
      </c>
      <c r="AA1114" s="196" t="e">
        <f t="shared" si="285"/>
        <v>#N/A</v>
      </c>
      <c r="AB1114" s="197" t="e">
        <f t="shared" si="286"/>
        <v>#N/A</v>
      </c>
      <c r="AC1114" s="197" t="e">
        <f t="shared" si="287"/>
        <v>#N/A</v>
      </c>
    </row>
    <row r="1115" spans="1:30" s="4" customFormat="1" hidden="1" x14ac:dyDescent="0.25">
      <c r="A1115" s="24">
        <v>1114</v>
      </c>
      <c r="B1115" s="89" t="s">
        <v>642</v>
      </c>
      <c r="C1115" s="4" t="str">
        <f t="shared" si="281"/>
        <v>LlaveD81666844727100002371</v>
      </c>
      <c r="D1115" s="25" t="str">
        <f>VLOOKUP(E1115,'NO MODIFICAR'!J:K,2,0)</f>
        <v>D816</v>
      </c>
      <c r="E1115" s="102" t="s">
        <v>15</v>
      </c>
      <c r="F1115" s="25" t="str">
        <f>VLOOKUP(D1115,'NO MODIFICAR'!F:H,3,0)</f>
        <v>NORESTE</v>
      </c>
      <c r="G1115" s="28">
        <v>66844727</v>
      </c>
      <c r="H1115" s="93" t="s">
        <v>978</v>
      </c>
      <c r="I1115" s="94">
        <v>10000237</v>
      </c>
      <c r="J1115" s="4" t="str">
        <f>VLOOKUP(I1115,'Materiales,canteras'!C:D,2,0)</f>
        <v>Grava Triturada Caliza 10 mm -</v>
      </c>
      <c r="K1115" s="25">
        <f>VLOOKUP(I1115,'Materiales,canteras'!C:E,3,0)</f>
        <v>1.5620000000000001</v>
      </c>
      <c r="L1115" s="82">
        <v>287.95999999999998</v>
      </c>
      <c r="M1115" s="28" t="s">
        <v>93</v>
      </c>
      <c r="N1115" s="193">
        <f t="shared" ca="1" si="276"/>
        <v>46267</v>
      </c>
      <c r="O1115" s="24" t="s">
        <v>201</v>
      </c>
      <c r="P1115" s="195"/>
      <c r="Q1115" s="195"/>
      <c r="R1115" s="4">
        <v>16.559999999999999</v>
      </c>
      <c r="S1115" s="4">
        <v>414</v>
      </c>
      <c r="T1115" s="303">
        <f t="shared" si="282"/>
        <v>-109.48000000000002</v>
      </c>
      <c r="U1115" s="88">
        <f t="shared" si="283"/>
        <v>287.95999999999998</v>
      </c>
      <c r="V1115" s="82">
        <v>78.88</v>
      </c>
      <c r="W1115" s="4">
        <v>1</v>
      </c>
      <c r="X1115" s="195">
        <f t="shared" si="284"/>
        <v>366.84</v>
      </c>
      <c r="Y1115" s="29" t="e">
        <f>IF(+VLOOKUP(I1115,P.Referencia!E:S,3,FALSE)&lt;=L1115,"Champion","Gerente")</f>
        <v>#N/A</v>
      </c>
      <c r="Z1115" s="30" t="e">
        <f>VLOOKUP(I1115,P.Referencia!E:S,3,0)</f>
        <v>#N/A</v>
      </c>
      <c r="AA1115" s="196" t="e">
        <f t="shared" si="285"/>
        <v>#N/A</v>
      </c>
      <c r="AB1115" s="197" t="e">
        <f t="shared" si="286"/>
        <v>#N/A</v>
      </c>
      <c r="AC1115" s="197" t="e">
        <f t="shared" si="287"/>
        <v>#N/A</v>
      </c>
    </row>
    <row r="1116" spans="1:30" s="4" customFormat="1" hidden="1" x14ac:dyDescent="0.25">
      <c r="A1116" s="24">
        <v>1115</v>
      </c>
      <c r="B1116" s="89" t="s">
        <v>642</v>
      </c>
      <c r="C1116" s="4" t="str">
        <f t="shared" si="281"/>
        <v>LlaveD81666844727100002411</v>
      </c>
      <c r="D1116" s="25" t="str">
        <f>VLOOKUP(E1116,'NO MODIFICAR'!J:K,2,0)</f>
        <v>D816</v>
      </c>
      <c r="E1116" s="102" t="s">
        <v>15</v>
      </c>
      <c r="F1116" s="25" t="str">
        <f>VLOOKUP(D1116,'NO MODIFICAR'!F:H,3,0)</f>
        <v>NORESTE</v>
      </c>
      <c r="G1116" s="28">
        <v>66844727</v>
      </c>
      <c r="H1116" s="93" t="s">
        <v>978</v>
      </c>
      <c r="I1116" s="94">
        <v>10000241</v>
      </c>
      <c r="J1116" s="4" t="str">
        <f>VLOOKUP(I1116,'Materiales,canteras'!C:D,2,0)</f>
        <v>Grava Triturada Caliza 20 mm -</v>
      </c>
      <c r="K1116" s="25">
        <f>VLOOKUP(I1116,'Materiales,canteras'!C:E,3,0)</f>
        <v>1.43</v>
      </c>
      <c r="L1116" s="82">
        <v>277.95999999999998</v>
      </c>
      <c r="M1116" s="28" t="s">
        <v>93</v>
      </c>
      <c r="N1116" s="193">
        <f t="shared" ca="1" si="276"/>
        <v>46267</v>
      </c>
      <c r="O1116" s="24" t="s">
        <v>201</v>
      </c>
      <c r="P1116" s="195"/>
      <c r="Q1116" s="195"/>
      <c r="R1116" s="4">
        <v>16.559999999999999</v>
      </c>
      <c r="S1116" s="4">
        <v>414</v>
      </c>
      <c r="T1116" s="303">
        <f t="shared" si="282"/>
        <v>-119.48000000000002</v>
      </c>
      <c r="U1116" s="88">
        <f t="shared" si="283"/>
        <v>277.95999999999998</v>
      </c>
      <c r="V1116" s="82">
        <v>78.88</v>
      </c>
      <c r="W1116" s="4">
        <v>1</v>
      </c>
      <c r="X1116" s="195">
        <f t="shared" si="284"/>
        <v>356.84</v>
      </c>
      <c r="Y1116" s="29" t="e">
        <f>IF(+VLOOKUP(I1116,P.Referencia!E:S,3,FALSE)&lt;=L1116,"Champion","Gerente")</f>
        <v>#N/A</v>
      </c>
      <c r="Z1116" s="30" t="e">
        <f>VLOOKUP(I1116,P.Referencia!E:S,3,0)</f>
        <v>#N/A</v>
      </c>
      <c r="AA1116" s="196" t="e">
        <f t="shared" si="285"/>
        <v>#N/A</v>
      </c>
      <c r="AB1116" s="197" t="e">
        <f t="shared" si="286"/>
        <v>#N/A</v>
      </c>
      <c r="AC1116" s="197" t="e">
        <f t="shared" si="287"/>
        <v>#N/A</v>
      </c>
    </row>
    <row r="1117" spans="1:30" s="4" customFormat="1" hidden="1" x14ac:dyDescent="0.25">
      <c r="A1117" s="24">
        <v>1116</v>
      </c>
      <c r="B1117" s="89" t="s">
        <v>642</v>
      </c>
      <c r="C1117" s="4" t="str">
        <f t="shared" ref="C1117:C1180" si="288">_xlfn.CONCAT($C$1,D1117,G1117,I1117,W1117)</f>
        <v>LlaveD81666844727100002601</v>
      </c>
      <c r="D1117" s="25" t="str">
        <f>VLOOKUP(E1117,'NO MODIFICAR'!J:K,2,0)</f>
        <v>D816</v>
      </c>
      <c r="E1117" s="102" t="s">
        <v>15</v>
      </c>
      <c r="F1117" s="25" t="str">
        <f>VLOOKUP(D1117,'NO MODIFICAR'!F:H,3,0)</f>
        <v>NORESTE</v>
      </c>
      <c r="G1117" s="28">
        <v>66844727</v>
      </c>
      <c r="H1117" s="93" t="s">
        <v>978</v>
      </c>
      <c r="I1117" s="94">
        <v>10000260</v>
      </c>
      <c r="J1117" s="4" t="str">
        <f>VLOOKUP(I1117,'Materiales,canteras'!C:D,2,0)</f>
        <v>Arena Triturada Caliza Malla 5</v>
      </c>
      <c r="K1117" s="25">
        <f>VLOOKUP(I1117,'Materiales,canteras'!C:E,3,0)</f>
        <v>1.72</v>
      </c>
      <c r="L1117" s="82">
        <v>310.95999999999998</v>
      </c>
      <c r="M1117" s="28" t="s">
        <v>93</v>
      </c>
      <c r="N1117" s="193">
        <f t="shared" ca="1" si="276"/>
        <v>46267</v>
      </c>
      <c r="O1117" s="24" t="s">
        <v>356</v>
      </c>
      <c r="P1117" s="195"/>
      <c r="Q1117" s="195"/>
      <c r="R1117" s="4">
        <v>19.8</v>
      </c>
      <c r="S1117" s="4">
        <v>495</v>
      </c>
      <c r="T1117" s="303">
        <f t="shared" ref="T1117:T1180" si="289">L1117-((S1117-P1117)-(Q1117)-(R1117))</f>
        <v>-164.24</v>
      </c>
      <c r="U1117" s="88">
        <f t="shared" ref="U1117:U1180" si="290">L1117</f>
        <v>310.95999999999998</v>
      </c>
      <c r="V1117" s="82">
        <v>78.88</v>
      </c>
      <c r="W1117" s="4">
        <v>1</v>
      </c>
      <c r="X1117" s="195">
        <f t="shared" ref="X1117:X1180" si="291">U1117+V1117</f>
        <v>389.84</v>
      </c>
      <c r="Y1117" s="29" t="e">
        <f>IF(+VLOOKUP(I1117,P.Referencia!E:S,3,FALSE)&lt;=L1117,"Champion","Gerente")</f>
        <v>#N/A</v>
      </c>
      <c r="Z1117" s="30" t="e">
        <f>VLOOKUP(I1117,P.Referencia!E:S,3,0)</f>
        <v>#N/A</v>
      </c>
      <c r="AA1117" s="196" t="e">
        <f t="shared" ref="AA1117:AA1180" si="292">(Z1117-U1117)/U1117</f>
        <v>#N/A</v>
      </c>
      <c r="AB1117" s="197" t="e">
        <f t="shared" ref="AB1117:AB1180" si="293">U1117*AA1117</f>
        <v>#N/A</v>
      </c>
      <c r="AC1117" s="197" t="e">
        <f t="shared" ref="AC1117:AC1180" si="294">U1117+AB1117</f>
        <v>#N/A</v>
      </c>
    </row>
    <row r="1118" spans="1:30" s="4" customFormat="1" hidden="1" x14ac:dyDescent="0.25">
      <c r="A1118" s="24">
        <v>1117</v>
      </c>
      <c r="B1118" s="89" t="s">
        <v>642</v>
      </c>
      <c r="C1118" s="4" t="str">
        <f t="shared" si="288"/>
        <v>LlaveD89367246784101038362</v>
      </c>
      <c r="D1118" s="25" t="str">
        <f>VLOOKUP(E1118,'NO MODIFICAR'!J:K,2,0)</f>
        <v>D893</v>
      </c>
      <c r="E1118" s="102" t="s">
        <v>253</v>
      </c>
      <c r="F1118" s="25" t="str">
        <f>VLOOKUP(D1118,'NO MODIFICAR'!F:H,3,0)</f>
        <v>NORESTE</v>
      </c>
      <c r="G1118" s="28">
        <v>67246784</v>
      </c>
      <c r="H1118" s="93" t="s">
        <v>980</v>
      </c>
      <c r="I1118" s="94">
        <v>10103836</v>
      </c>
      <c r="J1118" s="4" t="str">
        <f>VLOOKUP(I1118,'Materiales,canteras'!C:D,2,0)</f>
        <v>BASE HIDRAULICA</v>
      </c>
      <c r="K1118" s="25">
        <f>VLOOKUP(I1118,'Materiales,canteras'!C:E,3,0)</f>
        <v>1.7070000000000001</v>
      </c>
      <c r="L1118" s="82">
        <v>80</v>
      </c>
      <c r="M1118" s="28" t="s">
        <v>93</v>
      </c>
      <c r="N1118" s="193">
        <f t="shared" ca="1" si="276"/>
        <v>46267</v>
      </c>
      <c r="O1118" s="24" t="s">
        <v>534</v>
      </c>
      <c r="P1118" s="195"/>
      <c r="Q1118" s="195"/>
      <c r="S1118" s="4">
        <v>128</v>
      </c>
      <c r="T1118" s="303">
        <f t="shared" si="289"/>
        <v>-48</v>
      </c>
      <c r="U1118" s="88">
        <f t="shared" si="290"/>
        <v>80</v>
      </c>
      <c r="V1118" s="82">
        <v>0</v>
      </c>
      <c r="W1118" s="4">
        <v>2</v>
      </c>
      <c r="X1118" s="195">
        <f t="shared" si="291"/>
        <v>80</v>
      </c>
      <c r="Y1118" s="29" t="e">
        <f>IF(+VLOOKUP(I1118,P.Referencia!E:S,3,FALSE)&lt;=L1118,"Champion","Gerente")</f>
        <v>#N/A</v>
      </c>
      <c r="Z1118" s="30" t="e">
        <f>VLOOKUP(I1118,P.Referencia!E:S,3,0)</f>
        <v>#N/A</v>
      </c>
      <c r="AA1118" s="196" t="e">
        <f t="shared" si="292"/>
        <v>#N/A</v>
      </c>
      <c r="AB1118" s="197" t="e">
        <f t="shared" si="293"/>
        <v>#N/A</v>
      </c>
      <c r="AC1118" s="197" t="e">
        <f t="shared" si="294"/>
        <v>#N/A</v>
      </c>
      <c r="AD1118" s="4" t="s">
        <v>981</v>
      </c>
    </row>
    <row r="1119" spans="1:30" s="4" customFormat="1" hidden="1" x14ac:dyDescent="0.25">
      <c r="A1119" s="24">
        <v>1118</v>
      </c>
      <c r="B1119" s="89" t="s">
        <v>642</v>
      </c>
      <c r="C1119" s="4" t="str">
        <f t="shared" si="288"/>
        <v>LlaveD86365005808100389522</v>
      </c>
      <c r="D1119" s="25" t="str">
        <f>VLOOKUP(E1119,'NO MODIFICAR'!J:K,2,0)</f>
        <v>D863</v>
      </c>
      <c r="E1119" s="102" t="s">
        <v>53</v>
      </c>
      <c r="F1119" s="25" t="str">
        <f>VLOOKUP(D1119,'NO MODIFICAR'!F:H,3,0)</f>
        <v>NORESTE</v>
      </c>
      <c r="G1119" s="28">
        <v>65005808</v>
      </c>
      <c r="H1119" s="93" t="s">
        <v>418</v>
      </c>
      <c r="I1119" s="94">
        <v>10038952</v>
      </c>
      <c r="J1119" s="4" t="str">
        <f>VLOOKUP(I1119,'Materiales,canteras'!C:D,2,0)</f>
        <v>Arena Triturada Caliza Malla 4</v>
      </c>
      <c r="K1119" s="25">
        <f>VLOOKUP(I1119,'Materiales,canteras'!C:E,3,0)</f>
        <v>1.6</v>
      </c>
      <c r="L1119" s="82">
        <v>163.79310344827587</v>
      </c>
      <c r="M1119" s="28" t="s">
        <v>93</v>
      </c>
      <c r="N1119" s="193">
        <f t="shared" ca="1" si="276"/>
        <v>46267</v>
      </c>
      <c r="O1119" s="24" t="s">
        <v>535</v>
      </c>
      <c r="P1119" s="195"/>
      <c r="Q1119" s="195"/>
      <c r="R1119" s="4">
        <v>15.68</v>
      </c>
      <c r="S1119" s="4">
        <v>196</v>
      </c>
      <c r="T1119" s="303">
        <f t="shared" si="289"/>
        <v>-16.526896551724121</v>
      </c>
      <c r="U1119" s="88">
        <f t="shared" si="290"/>
        <v>163.79310344827587</v>
      </c>
      <c r="V1119" s="82">
        <v>0</v>
      </c>
      <c r="W1119" s="4">
        <v>2</v>
      </c>
      <c r="X1119" s="195">
        <f t="shared" si="291"/>
        <v>163.79310344827587</v>
      </c>
      <c r="Y1119" s="29" t="e">
        <f>IF(+VLOOKUP(I1119,P.Referencia!E:S,3,FALSE)&lt;=L1119,"Champion","Gerente")</f>
        <v>#N/A</v>
      </c>
      <c r="Z1119" s="30" t="e">
        <f>VLOOKUP(I1119,P.Referencia!E:S,3,0)</f>
        <v>#N/A</v>
      </c>
      <c r="AA1119" s="196" t="e">
        <f t="shared" si="292"/>
        <v>#N/A</v>
      </c>
      <c r="AB1119" s="197" t="e">
        <f t="shared" si="293"/>
        <v>#N/A</v>
      </c>
      <c r="AC1119" s="197" t="e">
        <f t="shared" si="294"/>
        <v>#N/A</v>
      </c>
    </row>
    <row r="1120" spans="1:30" s="4" customFormat="1" hidden="1" x14ac:dyDescent="0.25">
      <c r="A1120" s="24">
        <v>1119</v>
      </c>
      <c r="B1120" s="89" t="s">
        <v>642</v>
      </c>
      <c r="C1120" s="4" t="str">
        <f t="shared" si="288"/>
        <v>LlaveD86365005808100389502</v>
      </c>
      <c r="D1120" s="25" t="str">
        <f>VLOOKUP(E1120,'NO MODIFICAR'!J:K,2,0)</f>
        <v>D863</v>
      </c>
      <c r="E1120" s="102" t="s">
        <v>53</v>
      </c>
      <c r="F1120" s="25" t="str">
        <f>VLOOKUP(D1120,'NO MODIFICAR'!F:H,3,0)</f>
        <v>NORESTE</v>
      </c>
      <c r="G1120" s="28">
        <v>65005808</v>
      </c>
      <c r="H1120" s="93" t="s">
        <v>418</v>
      </c>
      <c r="I1120" s="94">
        <v>10038950</v>
      </c>
      <c r="J1120" s="4" t="str">
        <f>VLOOKUP(I1120,'Materiales,canteras'!C:D,2,0)</f>
        <v>Grava Triturada Caliza 20 mm -</v>
      </c>
      <c r="K1120" s="25">
        <f>VLOOKUP(I1120,'Materiales,canteras'!C:E,3,0)</f>
        <v>1.474</v>
      </c>
      <c r="L1120" s="82">
        <v>163.79310344827587</v>
      </c>
      <c r="M1120" s="28" t="s">
        <v>93</v>
      </c>
      <c r="N1120" s="193">
        <f t="shared" ca="1" si="276"/>
        <v>46267</v>
      </c>
      <c r="O1120" s="24" t="s">
        <v>536</v>
      </c>
      <c r="P1120" s="195"/>
      <c r="Q1120" s="195"/>
      <c r="R1120" s="4">
        <v>17.04</v>
      </c>
      <c r="S1120" s="4">
        <v>213</v>
      </c>
      <c r="T1120" s="303">
        <f t="shared" si="289"/>
        <v>-32.166896551724136</v>
      </c>
      <c r="U1120" s="88">
        <f t="shared" si="290"/>
        <v>163.79310344827587</v>
      </c>
      <c r="V1120" s="82">
        <v>0</v>
      </c>
      <c r="W1120" s="4">
        <v>2</v>
      </c>
      <c r="X1120" s="195">
        <f t="shared" si="291"/>
        <v>163.79310344827587</v>
      </c>
      <c r="Y1120" s="29" t="e">
        <f>IF(+VLOOKUP(I1120,P.Referencia!E:S,3,FALSE)&lt;=L1120,"Champion","Gerente")</f>
        <v>#N/A</v>
      </c>
      <c r="Z1120" s="30" t="e">
        <f>VLOOKUP(I1120,P.Referencia!E:S,3,0)</f>
        <v>#N/A</v>
      </c>
      <c r="AA1120" s="196" t="e">
        <f t="shared" si="292"/>
        <v>#N/A</v>
      </c>
      <c r="AB1120" s="197" t="e">
        <f t="shared" si="293"/>
        <v>#N/A</v>
      </c>
      <c r="AC1120" s="197" t="e">
        <f t="shared" si="294"/>
        <v>#N/A</v>
      </c>
    </row>
    <row r="1121" spans="1:29" s="117" customFormat="1" hidden="1" x14ac:dyDescent="0.25">
      <c r="A1121" s="24">
        <v>1120</v>
      </c>
      <c r="B1121" s="118" t="s">
        <v>642</v>
      </c>
      <c r="C1121" s="117" t="str">
        <f t="shared" si="288"/>
        <v>LlaveD86365000340100389522</v>
      </c>
      <c r="D1121" s="107" t="str">
        <f>VLOOKUP(E1121,'NO MODIFICAR'!J:K,2,0)</f>
        <v>D863</v>
      </c>
      <c r="E1121" s="305" t="s">
        <v>53</v>
      </c>
      <c r="F1121" s="107" t="str">
        <f>VLOOKUP(D1121,'NO MODIFICAR'!F:H,3,0)</f>
        <v>NORESTE</v>
      </c>
      <c r="G1121" s="114">
        <v>65000340</v>
      </c>
      <c r="H1121" s="110" t="s">
        <v>982</v>
      </c>
      <c r="I1121" s="111">
        <v>10038952</v>
      </c>
      <c r="J1121" s="117" t="str">
        <f>VLOOKUP(I1121,'Materiales,canteras'!C:D,2,0)</f>
        <v>Arena Triturada Caliza Malla 4</v>
      </c>
      <c r="K1121" s="107">
        <f>VLOOKUP(I1121,'Materiales,canteras'!C:E,3,0)</f>
        <v>1.6</v>
      </c>
      <c r="L1121" s="306">
        <v>163.79310344827587</v>
      </c>
      <c r="M1121" s="114" t="s">
        <v>93</v>
      </c>
      <c r="N1121" s="115">
        <f t="shared" ca="1" si="276"/>
        <v>46267</v>
      </c>
      <c r="O1121" s="106" t="s">
        <v>537</v>
      </c>
      <c r="P1121" s="122"/>
      <c r="Q1121" s="122">
        <v>2.7</v>
      </c>
      <c r="R1121" s="117">
        <v>15.68</v>
      </c>
      <c r="S1121" s="117">
        <v>196</v>
      </c>
      <c r="T1121" s="119">
        <f t="shared" si="289"/>
        <v>-13.826896551724133</v>
      </c>
      <c r="U1121" s="120">
        <f t="shared" si="290"/>
        <v>163.79310344827587</v>
      </c>
      <c r="V1121" s="306">
        <v>0</v>
      </c>
      <c r="W1121" s="117">
        <v>2</v>
      </c>
      <c r="X1121" s="122">
        <f t="shared" si="291"/>
        <v>163.79310344827587</v>
      </c>
      <c r="Y1121" s="116" t="e">
        <f>IF(+VLOOKUP(I1121,P.Referencia!E:S,3,FALSE)&lt;=L1121,"Champion","Gerente")</f>
        <v>#N/A</v>
      </c>
      <c r="Z1121" s="123" t="e">
        <f>VLOOKUP(I1121,P.Referencia!E:S,3,0)</f>
        <v>#N/A</v>
      </c>
      <c r="AA1121" s="124" t="e">
        <f t="shared" si="292"/>
        <v>#N/A</v>
      </c>
      <c r="AB1121" s="125" t="e">
        <f t="shared" si="293"/>
        <v>#N/A</v>
      </c>
      <c r="AC1121" s="125" t="e">
        <f t="shared" si="294"/>
        <v>#N/A</v>
      </c>
    </row>
    <row r="1122" spans="1:29" s="117" customFormat="1" hidden="1" x14ac:dyDescent="0.25">
      <c r="A1122" s="24">
        <v>1121</v>
      </c>
      <c r="B1122" s="118" t="s">
        <v>642</v>
      </c>
      <c r="C1122" s="117" t="str">
        <f t="shared" si="288"/>
        <v>LlaveD86365000340100389502</v>
      </c>
      <c r="D1122" s="107" t="str">
        <f>VLOOKUP(E1122,'NO MODIFICAR'!J:K,2,0)</f>
        <v>D863</v>
      </c>
      <c r="E1122" s="305" t="s">
        <v>53</v>
      </c>
      <c r="F1122" s="107" t="str">
        <f>VLOOKUP(D1122,'NO MODIFICAR'!F:H,3,0)</f>
        <v>NORESTE</v>
      </c>
      <c r="G1122" s="114">
        <v>65000340</v>
      </c>
      <c r="H1122" s="110" t="s">
        <v>982</v>
      </c>
      <c r="I1122" s="111">
        <v>10038950</v>
      </c>
      <c r="J1122" s="117" t="str">
        <f>VLOOKUP(I1122,'Materiales,canteras'!C:D,2,0)</f>
        <v>Grava Triturada Caliza 20 mm -</v>
      </c>
      <c r="K1122" s="107">
        <f>VLOOKUP(I1122,'Materiales,canteras'!C:E,3,0)</f>
        <v>1.474</v>
      </c>
      <c r="L1122" s="306">
        <v>163.79310344827587</v>
      </c>
      <c r="M1122" s="114" t="s">
        <v>93</v>
      </c>
      <c r="N1122" s="115">
        <f t="shared" ca="1" si="276"/>
        <v>46267</v>
      </c>
      <c r="O1122" s="106" t="s">
        <v>538</v>
      </c>
      <c r="P1122" s="122"/>
      <c r="Q1122" s="122">
        <v>2.94</v>
      </c>
      <c r="R1122" s="117">
        <v>17.04</v>
      </c>
      <c r="S1122" s="117">
        <v>213</v>
      </c>
      <c r="T1122" s="119">
        <f t="shared" si="289"/>
        <v>-29.226896551724138</v>
      </c>
      <c r="U1122" s="120">
        <f t="shared" si="290"/>
        <v>163.79310344827587</v>
      </c>
      <c r="V1122" s="306">
        <v>0</v>
      </c>
      <c r="W1122" s="117">
        <v>2</v>
      </c>
      <c r="X1122" s="122">
        <f t="shared" si="291"/>
        <v>163.79310344827587</v>
      </c>
      <c r="Y1122" s="116" t="e">
        <f>IF(+VLOOKUP(I1122,P.Referencia!E:S,3,FALSE)&lt;=L1122,"Champion","Gerente")</f>
        <v>#N/A</v>
      </c>
      <c r="Z1122" s="123" t="e">
        <f>VLOOKUP(I1122,P.Referencia!E:S,3,0)</f>
        <v>#N/A</v>
      </c>
      <c r="AA1122" s="124" t="e">
        <f t="shared" si="292"/>
        <v>#N/A</v>
      </c>
      <c r="AB1122" s="125" t="e">
        <f t="shared" si="293"/>
        <v>#N/A</v>
      </c>
      <c r="AC1122" s="125" t="e">
        <f t="shared" si="294"/>
        <v>#N/A</v>
      </c>
    </row>
    <row r="1123" spans="1:29" s="4" customFormat="1" hidden="1" x14ac:dyDescent="0.25">
      <c r="A1123" s="24">
        <v>1122</v>
      </c>
      <c r="B1123" s="89" t="s">
        <v>642</v>
      </c>
      <c r="C1123" s="4" t="str">
        <f t="shared" si="288"/>
        <v>LlaveD86365004809100389522</v>
      </c>
      <c r="D1123" s="25" t="str">
        <f>VLOOKUP(E1123,'NO MODIFICAR'!J:K,2,0)</f>
        <v>D863</v>
      </c>
      <c r="E1123" s="102" t="s">
        <v>53</v>
      </c>
      <c r="F1123" s="25" t="str">
        <f>VLOOKUP(D1123,'NO MODIFICAR'!F:H,3,0)</f>
        <v>NORESTE</v>
      </c>
      <c r="G1123" s="28">
        <v>65004809</v>
      </c>
      <c r="H1123" s="93" t="s">
        <v>983</v>
      </c>
      <c r="I1123" s="94">
        <v>10038952</v>
      </c>
      <c r="J1123" s="4" t="str">
        <f>VLOOKUP(I1123,'Materiales,canteras'!C:D,2,0)</f>
        <v>Arena Triturada Caliza Malla 4</v>
      </c>
      <c r="K1123" s="25">
        <f>VLOOKUP(I1123,'Materiales,canteras'!C:E,3,0)</f>
        <v>1.6</v>
      </c>
      <c r="L1123" s="82">
        <v>163.79310344827587</v>
      </c>
      <c r="M1123" s="28" t="s">
        <v>93</v>
      </c>
      <c r="N1123" s="193">
        <f t="shared" ca="1" si="276"/>
        <v>46267</v>
      </c>
      <c r="O1123" s="24" t="s">
        <v>539</v>
      </c>
      <c r="P1123" s="195"/>
      <c r="Q1123" s="195"/>
      <c r="R1123" s="4">
        <v>15.68</v>
      </c>
      <c r="S1123" s="4">
        <v>196</v>
      </c>
      <c r="T1123" s="303">
        <f t="shared" si="289"/>
        <v>-16.526896551724121</v>
      </c>
      <c r="U1123" s="88">
        <f t="shared" si="290"/>
        <v>163.79310344827587</v>
      </c>
      <c r="V1123" s="82">
        <v>0</v>
      </c>
      <c r="W1123" s="4">
        <v>2</v>
      </c>
      <c r="X1123" s="195">
        <f t="shared" si="291"/>
        <v>163.79310344827587</v>
      </c>
      <c r="Y1123" s="29" t="e">
        <f>IF(+VLOOKUP(I1123,P.Referencia!E:S,3,FALSE)&lt;=L1123,"Champion","Gerente")</f>
        <v>#N/A</v>
      </c>
      <c r="Z1123" s="30" t="e">
        <f>VLOOKUP(I1123,P.Referencia!E:S,3,0)</f>
        <v>#N/A</v>
      </c>
      <c r="AA1123" s="196" t="e">
        <f t="shared" si="292"/>
        <v>#N/A</v>
      </c>
      <c r="AB1123" s="197" t="e">
        <f t="shared" si="293"/>
        <v>#N/A</v>
      </c>
      <c r="AC1123" s="197" t="e">
        <f t="shared" si="294"/>
        <v>#N/A</v>
      </c>
    </row>
    <row r="1124" spans="1:29" s="4" customFormat="1" hidden="1" x14ac:dyDescent="0.25">
      <c r="A1124" s="24">
        <v>1123</v>
      </c>
      <c r="B1124" s="89" t="s">
        <v>642</v>
      </c>
      <c r="C1124" s="4" t="str">
        <f t="shared" si="288"/>
        <v>LlaveD86365004809100389502</v>
      </c>
      <c r="D1124" s="25" t="str">
        <f>VLOOKUP(E1124,'NO MODIFICAR'!J:K,2,0)</f>
        <v>D863</v>
      </c>
      <c r="E1124" s="102" t="s">
        <v>53</v>
      </c>
      <c r="F1124" s="25" t="str">
        <f>VLOOKUP(D1124,'NO MODIFICAR'!F:H,3,0)</f>
        <v>NORESTE</v>
      </c>
      <c r="G1124" s="28">
        <v>65004809</v>
      </c>
      <c r="H1124" s="93" t="s">
        <v>983</v>
      </c>
      <c r="I1124" s="94">
        <v>10038950</v>
      </c>
      <c r="J1124" s="4" t="str">
        <f>VLOOKUP(I1124,'Materiales,canteras'!C:D,2,0)</f>
        <v>Grava Triturada Caliza 20 mm -</v>
      </c>
      <c r="K1124" s="25">
        <f>VLOOKUP(I1124,'Materiales,canteras'!C:E,3,0)</f>
        <v>1.474</v>
      </c>
      <c r="L1124" s="82">
        <v>163.79310344827587</v>
      </c>
      <c r="M1124" s="28" t="s">
        <v>93</v>
      </c>
      <c r="N1124" s="193">
        <f t="shared" ca="1" si="276"/>
        <v>46267</v>
      </c>
      <c r="O1124" s="24" t="s">
        <v>653</v>
      </c>
      <c r="P1124" s="195"/>
      <c r="Q1124" s="195"/>
      <c r="R1124" s="4">
        <v>17.04</v>
      </c>
      <c r="S1124" s="4">
        <v>213</v>
      </c>
      <c r="T1124" s="303">
        <f t="shared" si="289"/>
        <v>-32.166896551724136</v>
      </c>
      <c r="U1124" s="88">
        <f t="shared" si="290"/>
        <v>163.79310344827587</v>
      </c>
      <c r="V1124" s="82">
        <v>0</v>
      </c>
      <c r="W1124" s="4">
        <v>2</v>
      </c>
      <c r="X1124" s="195">
        <f t="shared" si="291"/>
        <v>163.79310344827587</v>
      </c>
      <c r="Y1124" s="29" t="e">
        <f>IF(+VLOOKUP(I1124,P.Referencia!E:S,3,FALSE)&lt;=L1124,"Champion","Gerente")</f>
        <v>#N/A</v>
      </c>
      <c r="Z1124" s="30" t="e">
        <f>VLOOKUP(I1124,P.Referencia!E:S,3,0)</f>
        <v>#N/A</v>
      </c>
      <c r="AA1124" s="196" t="e">
        <f t="shared" si="292"/>
        <v>#N/A</v>
      </c>
      <c r="AB1124" s="197" t="e">
        <f t="shared" si="293"/>
        <v>#N/A</v>
      </c>
      <c r="AC1124" s="197" t="e">
        <f t="shared" si="294"/>
        <v>#N/A</v>
      </c>
    </row>
    <row r="1125" spans="1:29" s="4" customFormat="1" hidden="1" x14ac:dyDescent="0.25">
      <c r="A1125" s="24">
        <v>1124</v>
      </c>
      <c r="B1125" s="89" t="s">
        <v>642</v>
      </c>
      <c r="C1125" s="4" t="str">
        <f t="shared" si="288"/>
        <v>LlaveD86167375007100002292</v>
      </c>
      <c r="D1125" s="25" t="str">
        <f>VLOOKUP(E1125,'NO MODIFICAR'!J:K,2,0)</f>
        <v>D861</v>
      </c>
      <c r="E1125" s="102" t="s">
        <v>44</v>
      </c>
      <c r="F1125" s="25" t="str">
        <f>VLOOKUP(D1125,'NO MODIFICAR'!F:H,3,0)</f>
        <v xml:space="preserve">CENTRO </v>
      </c>
      <c r="G1125" s="28">
        <v>67375007</v>
      </c>
      <c r="H1125" s="93" t="s">
        <v>984</v>
      </c>
      <c r="I1125" s="94">
        <v>10000229</v>
      </c>
      <c r="J1125" s="4" t="str">
        <f>VLOOKUP(I1125,'Materiales,canteras'!C:D,2,0)</f>
        <v>Grava Triturada Basalto  10 mm</v>
      </c>
      <c r="K1125" s="25">
        <f>VLOOKUP(I1125,'Materiales,canteras'!C:E,3,0)</f>
        <v>1.522</v>
      </c>
      <c r="L1125" s="231">
        <v>224</v>
      </c>
      <c r="M1125" s="28" t="s">
        <v>93</v>
      </c>
      <c r="N1125" s="193">
        <f t="shared" ca="1" si="276"/>
        <v>46267</v>
      </c>
      <c r="O1125" s="24" t="s">
        <v>654</v>
      </c>
      <c r="P1125" s="195"/>
      <c r="Q1125" s="195"/>
      <c r="R1125" s="4">
        <v>5.28</v>
      </c>
      <c r="S1125" s="4">
        <v>352</v>
      </c>
      <c r="T1125" s="303">
        <f t="shared" si="289"/>
        <v>-122.72000000000003</v>
      </c>
      <c r="U1125" s="88">
        <f t="shared" si="290"/>
        <v>224</v>
      </c>
      <c r="V1125" s="82">
        <v>0</v>
      </c>
      <c r="W1125" s="4">
        <v>2</v>
      </c>
      <c r="X1125" s="195">
        <f t="shared" si="291"/>
        <v>224</v>
      </c>
      <c r="Y1125" s="29" t="e">
        <f>IF(+VLOOKUP(I1125,P.Referencia!E:S,3,FALSE)&lt;=L1125,"Champion","Gerente")</f>
        <v>#N/A</v>
      </c>
      <c r="Z1125" s="30" t="e">
        <f>VLOOKUP(I1125,P.Referencia!E:S,3,0)</f>
        <v>#N/A</v>
      </c>
      <c r="AA1125" s="196" t="e">
        <f t="shared" si="292"/>
        <v>#N/A</v>
      </c>
      <c r="AB1125" s="197" t="e">
        <f t="shared" si="293"/>
        <v>#N/A</v>
      </c>
      <c r="AC1125" s="197" t="e">
        <f t="shared" si="294"/>
        <v>#N/A</v>
      </c>
    </row>
    <row r="1126" spans="1:29" s="4" customFormat="1" hidden="1" x14ac:dyDescent="0.25">
      <c r="A1126" s="24">
        <v>1125</v>
      </c>
      <c r="B1126" s="89" t="s">
        <v>642</v>
      </c>
      <c r="C1126" s="4" t="str">
        <f t="shared" si="288"/>
        <v>LlaveD86167375007100002312</v>
      </c>
      <c r="D1126" s="25" t="str">
        <f>VLOOKUP(E1126,'NO MODIFICAR'!J:K,2,0)</f>
        <v>D861</v>
      </c>
      <c r="E1126" s="102" t="s">
        <v>44</v>
      </c>
      <c r="F1126" s="25" t="str">
        <f>VLOOKUP(D1126,'NO MODIFICAR'!F:H,3,0)</f>
        <v xml:space="preserve">CENTRO </v>
      </c>
      <c r="G1126" s="28">
        <v>67375007</v>
      </c>
      <c r="H1126" s="93" t="s">
        <v>984</v>
      </c>
      <c r="I1126" s="94">
        <v>10000231</v>
      </c>
      <c r="J1126" s="4" t="str">
        <f>VLOOKUP(I1126,'Materiales,canteras'!C:D,2,0)</f>
        <v>Grava Triturada Basalto 20 mm</v>
      </c>
      <c r="K1126" s="25">
        <f>VLOOKUP(I1126,'Materiales,canteras'!C:E,3,0)</f>
        <v>1.5649999999999999</v>
      </c>
      <c r="L1126" s="231">
        <v>224</v>
      </c>
      <c r="M1126" s="28" t="s">
        <v>93</v>
      </c>
      <c r="N1126" s="193">
        <f t="shared" ca="1" si="276"/>
        <v>46267</v>
      </c>
      <c r="O1126" s="24" t="s">
        <v>655</v>
      </c>
      <c r="P1126" s="195"/>
      <c r="Q1126" s="195"/>
      <c r="R1126" s="4">
        <v>4.62</v>
      </c>
      <c r="S1126" s="4">
        <v>308</v>
      </c>
      <c r="T1126" s="303">
        <f t="shared" si="289"/>
        <v>-79.38</v>
      </c>
      <c r="U1126" s="88">
        <f t="shared" si="290"/>
        <v>224</v>
      </c>
      <c r="V1126" s="82">
        <v>0</v>
      </c>
      <c r="W1126" s="4">
        <v>2</v>
      </c>
      <c r="X1126" s="195">
        <f t="shared" si="291"/>
        <v>224</v>
      </c>
      <c r="Y1126" s="29" t="e">
        <f>IF(+VLOOKUP(I1126,P.Referencia!E:S,3,FALSE)&lt;=L1126,"Champion","Gerente")</f>
        <v>#N/A</v>
      </c>
      <c r="Z1126" s="30" t="e">
        <f>VLOOKUP(I1126,P.Referencia!E:S,3,0)</f>
        <v>#N/A</v>
      </c>
      <c r="AA1126" s="196" t="e">
        <f t="shared" si="292"/>
        <v>#N/A</v>
      </c>
      <c r="AB1126" s="197" t="e">
        <f t="shared" si="293"/>
        <v>#N/A</v>
      </c>
      <c r="AC1126" s="197" t="e">
        <f t="shared" si="294"/>
        <v>#N/A</v>
      </c>
    </row>
    <row r="1127" spans="1:29" s="4" customFormat="1" hidden="1" x14ac:dyDescent="0.25">
      <c r="A1127" s="24">
        <v>1126</v>
      </c>
      <c r="B1127" s="89" t="s">
        <v>642</v>
      </c>
      <c r="C1127" s="4" t="str">
        <f t="shared" si="288"/>
        <v>LlaveD86167375007100003112</v>
      </c>
      <c r="D1127" s="25" t="str">
        <f>VLOOKUP(E1127,'NO MODIFICAR'!J:K,2,0)</f>
        <v>D861</v>
      </c>
      <c r="E1127" s="102" t="s">
        <v>44</v>
      </c>
      <c r="F1127" s="25" t="str">
        <f>VLOOKUP(D1127,'NO MODIFICAR'!F:H,3,0)</f>
        <v xml:space="preserve">CENTRO </v>
      </c>
      <c r="G1127" s="28">
        <v>67375007</v>
      </c>
      <c r="H1127" s="93" t="s">
        <v>984</v>
      </c>
      <c r="I1127" s="94">
        <v>10000311</v>
      </c>
      <c r="J1127" s="4" t="str">
        <f>VLOOKUP(I1127,'Materiales,canteras'!C:D,2,0)</f>
        <v>Arena Triturada Basalto  Malla</v>
      </c>
      <c r="K1127" s="25">
        <f>VLOOKUP(I1127,'Materiales,canteras'!C:E,3,0)</f>
        <v>1.651</v>
      </c>
      <c r="L1127" s="231">
        <v>204.98</v>
      </c>
      <c r="M1127" s="28" t="s">
        <v>93</v>
      </c>
      <c r="N1127" s="193">
        <f t="shared" ca="1" si="276"/>
        <v>46267</v>
      </c>
      <c r="O1127" s="24" t="s">
        <v>656</v>
      </c>
      <c r="P1127" s="195"/>
      <c r="Q1127" s="195"/>
      <c r="R1127" s="4">
        <v>4.29</v>
      </c>
      <c r="S1127" s="4">
        <v>286</v>
      </c>
      <c r="T1127" s="303">
        <f t="shared" si="289"/>
        <v>-76.72999999999999</v>
      </c>
      <c r="U1127" s="88">
        <f t="shared" si="290"/>
        <v>204.98</v>
      </c>
      <c r="V1127" s="82">
        <v>0</v>
      </c>
      <c r="W1127" s="4">
        <v>2</v>
      </c>
      <c r="X1127" s="195">
        <f t="shared" si="291"/>
        <v>204.98</v>
      </c>
      <c r="Y1127" s="29" t="e">
        <f>IF(+VLOOKUP(I1127,P.Referencia!E:S,3,FALSE)&lt;=L1127,"Champion","Gerente")</f>
        <v>#N/A</v>
      </c>
      <c r="Z1127" s="30" t="e">
        <f>VLOOKUP(I1127,P.Referencia!E:S,3,0)</f>
        <v>#N/A</v>
      </c>
      <c r="AA1127" s="196" t="e">
        <f t="shared" si="292"/>
        <v>#N/A</v>
      </c>
      <c r="AB1127" s="197" t="e">
        <f t="shared" si="293"/>
        <v>#N/A</v>
      </c>
      <c r="AC1127" s="197" t="e">
        <f t="shared" si="294"/>
        <v>#N/A</v>
      </c>
    </row>
    <row r="1128" spans="1:29" s="4" customFormat="1" hidden="1" x14ac:dyDescent="0.25">
      <c r="A1128" s="24">
        <v>1127</v>
      </c>
      <c r="B1128" s="89" t="s">
        <v>642</v>
      </c>
      <c r="C1128" s="4" t="str">
        <f t="shared" si="288"/>
        <v>LlaveD86167375007100668612</v>
      </c>
      <c r="D1128" s="25" t="str">
        <f>VLOOKUP(E1128,'NO MODIFICAR'!J:K,2,0)</f>
        <v>D861</v>
      </c>
      <c r="E1128" s="102" t="s">
        <v>44</v>
      </c>
      <c r="F1128" s="25" t="str">
        <f>VLOOKUP(D1128,'NO MODIFICAR'!F:H,3,0)</f>
        <v xml:space="preserve">CENTRO </v>
      </c>
      <c r="G1128" s="28">
        <v>67375007</v>
      </c>
      <c r="H1128" s="93" t="s">
        <v>984</v>
      </c>
      <c r="I1128" s="94">
        <v>10066861</v>
      </c>
      <c r="J1128" s="4" t="str">
        <f>VLOOKUP(I1128,'Materiales,canteras'!C:D,2,0)</f>
        <v>GRAVA TRITURADA BASALTO DE 40</v>
      </c>
      <c r="K1128" s="25">
        <f>VLOOKUP(I1128,'Materiales,canteras'!C:E,3,0)</f>
        <v>1.464</v>
      </c>
      <c r="L1128" s="231">
        <v>224</v>
      </c>
      <c r="M1128" s="28" t="s">
        <v>93</v>
      </c>
      <c r="N1128" s="193">
        <f t="shared" ca="1" si="276"/>
        <v>46267</v>
      </c>
      <c r="O1128" s="24" t="s">
        <v>657</v>
      </c>
      <c r="P1128" s="195"/>
      <c r="Q1128" s="195"/>
      <c r="R1128" s="4">
        <v>3.3</v>
      </c>
      <c r="S1128" s="4">
        <v>220</v>
      </c>
      <c r="T1128" s="303">
        <f t="shared" si="289"/>
        <v>7.3000000000000114</v>
      </c>
      <c r="U1128" s="88">
        <f t="shared" si="290"/>
        <v>224</v>
      </c>
      <c r="V1128" s="82">
        <v>0</v>
      </c>
      <c r="W1128" s="4">
        <v>2</v>
      </c>
      <c r="X1128" s="195">
        <f t="shared" si="291"/>
        <v>224</v>
      </c>
      <c r="Y1128" s="29" t="e">
        <f>IF(+VLOOKUP(I1128,P.Referencia!E:S,3,FALSE)&lt;=L1128,"Champion","Gerente")</f>
        <v>#N/A</v>
      </c>
      <c r="Z1128" s="30" t="e">
        <f>VLOOKUP(I1128,P.Referencia!E:S,3,0)</f>
        <v>#N/A</v>
      </c>
      <c r="AA1128" s="196" t="e">
        <f t="shared" si="292"/>
        <v>#N/A</v>
      </c>
      <c r="AB1128" s="197" t="e">
        <f t="shared" si="293"/>
        <v>#N/A</v>
      </c>
      <c r="AC1128" s="197" t="e">
        <f t="shared" si="294"/>
        <v>#N/A</v>
      </c>
    </row>
    <row r="1129" spans="1:29" s="4" customFormat="1" hidden="1" x14ac:dyDescent="0.25">
      <c r="A1129" s="24">
        <v>1128</v>
      </c>
      <c r="B1129" s="89" t="s">
        <v>642</v>
      </c>
      <c r="C1129" s="4" t="str">
        <f t="shared" si="288"/>
        <v>LlaveD81666785167100001241</v>
      </c>
      <c r="D1129" s="25" t="str">
        <f>VLOOKUP(E1129,'NO MODIFICAR'!J:K,2,0)</f>
        <v>D816</v>
      </c>
      <c r="E1129" s="102" t="s">
        <v>15</v>
      </c>
      <c r="F1129" s="25" t="str">
        <f>VLOOKUP(D1129,'NO MODIFICAR'!F:H,3,0)</f>
        <v>NORESTE</v>
      </c>
      <c r="G1129" s="28">
        <v>66785167</v>
      </c>
      <c r="H1129" s="93" t="s">
        <v>977</v>
      </c>
      <c r="I1129" s="94">
        <v>10000124</v>
      </c>
      <c r="J1129" s="4" t="str">
        <f>VLOOKUP(I1129,'Materiales,canteras'!C:D,2,0)</f>
        <v>Arena Triturada Caliza Malla 4</v>
      </c>
      <c r="K1129" s="25">
        <f>VLOOKUP(I1129,'Materiales,canteras'!C:E,3,0)</f>
        <v>1.7390000000000001</v>
      </c>
      <c r="L1129" s="231">
        <v>279.95999999999998</v>
      </c>
      <c r="M1129" s="28" t="s">
        <v>93</v>
      </c>
      <c r="N1129" s="193">
        <f t="shared" ca="1" si="276"/>
        <v>46267</v>
      </c>
      <c r="O1129" s="24" t="s">
        <v>658</v>
      </c>
      <c r="P1129" s="195"/>
      <c r="Q1129" s="195"/>
      <c r="R1129" s="4">
        <v>19.8</v>
      </c>
      <c r="S1129" s="4">
        <v>495</v>
      </c>
      <c r="T1129" s="303">
        <f t="shared" si="289"/>
        <v>-195.24</v>
      </c>
      <c r="U1129" s="88">
        <f t="shared" si="290"/>
        <v>279.95999999999998</v>
      </c>
      <c r="V1129" s="82">
        <v>32.92</v>
      </c>
      <c r="W1129" s="4">
        <v>1</v>
      </c>
      <c r="X1129" s="195">
        <f t="shared" si="291"/>
        <v>312.88</v>
      </c>
      <c r="Y1129" s="29" t="e">
        <f>IF(+VLOOKUP(I1129,P.Referencia!E:S,3,FALSE)&lt;=L1129,"Champion","Gerente")</f>
        <v>#N/A</v>
      </c>
      <c r="Z1129" s="30" t="e">
        <f>VLOOKUP(I1129,P.Referencia!E:S,3,0)</f>
        <v>#N/A</v>
      </c>
      <c r="AA1129" s="196" t="e">
        <f t="shared" si="292"/>
        <v>#N/A</v>
      </c>
      <c r="AB1129" s="197" t="e">
        <f t="shared" si="293"/>
        <v>#N/A</v>
      </c>
      <c r="AC1129" s="197" t="e">
        <f t="shared" si="294"/>
        <v>#N/A</v>
      </c>
    </row>
    <row r="1130" spans="1:29" s="4" customFormat="1" hidden="1" x14ac:dyDescent="0.25">
      <c r="A1130" s="24">
        <v>1129</v>
      </c>
      <c r="B1130" s="89" t="s">
        <v>642</v>
      </c>
      <c r="C1130" s="4" t="str">
        <f t="shared" si="288"/>
        <v>LlaveD81666785167100002371</v>
      </c>
      <c r="D1130" s="25" t="str">
        <f>VLOOKUP(E1130,'NO MODIFICAR'!J:K,2,0)</f>
        <v>D816</v>
      </c>
      <c r="E1130" s="102" t="s">
        <v>15</v>
      </c>
      <c r="F1130" s="25" t="str">
        <f>VLOOKUP(D1130,'NO MODIFICAR'!F:H,3,0)</f>
        <v>NORESTE</v>
      </c>
      <c r="G1130" s="28">
        <v>66785167</v>
      </c>
      <c r="H1130" s="93" t="s">
        <v>977</v>
      </c>
      <c r="I1130" s="94">
        <v>10000237</v>
      </c>
      <c r="J1130" s="4" t="str">
        <f>VLOOKUP(I1130,'Materiales,canteras'!C:D,2,0)</f>
        <v>Grava Triturada Caliza 10 mm -</v>
      </c>
      <c r="K1130" s="25">
        <f>VLOOKUP(I1130,'Materiales,canteras'!C:E,3,0)</f>
        <v>1.5620000000000001</v>
      </c>
      <c r="L1130" s="231">
        <v>289.95999999999998</v>
      </c>
      <c r="M1130" s="28" t="s">
        <v>93</v>
      </c>
      <c r="N1130" s="193">
        <f t="shared" ca="1" si="276"/>
        <v>46267</v>
      </c>
      <c r="O1130" s="24" t="s">
        <v>659</v>
      </c>
      <c r="P1130" s="195"/>
      <c r="Q1130" s="195"/>
      <c r="R1130" s="4">
        <v>16.559999999999999</v>
      </c>
      <c r="S1130" s="4">
        <v>414</v>
      </c>
      <c r="T1130" s="303">
        <f t="shared" si="289"/>
        <v>-107.48000000000002</v>
      </c>
      <c r="U1130" s="88">
        <f t="shared" si="290"/>
        <v>289.95999999999998</v>
      </c>
      <c r="V1130" s="82">
        <v>32.92</v>
      </c>
      <c r="W1130" s="4">
        <v>1</v>
      </c>
      <c r="X1130" s="195">
        <f t="shared" si="291"/>
        <v>322.88</v>
      </c>
      <c r="Y1130" s="29" t="e">
        <f>IF(+VLOOKUP(I1130,P.Referencia!E:S,3,FALSE)&lt;=L1130,"Champion","Gerente")</f>
        <v>#N/A</v>
      </c>
      <c r="Z1130" s="30" t="e">
        <f>VLOOKUP(I1130,P.Referencia!E:S,3,0)</f>
        <v>#N/A</v>
      </c>
      <c r="AA1130" s="196" t="e">
        <f t="shared" si="292"/>
        <v>#N/A</v>
      </c>
      <c r="AB1130" s="197" t="e">
        <f t="shared" si="293"/>
        <v>#N/A</v>
      </c>
      <c r="AC1130" s="197" t="e">
        <f t="shared" si="294"/>
        <v>#N/A</v>
      </c>
    </row>
    <row r="1131" spans="1:29" s="4" customFormat="1" hidden="1" x14ac:dyDescent="0.25">
      <c r="A1131" s="24">
        <v>1130</v>
      </c>
      <c r="B1131" s="89" t="s">
        <v>642</v>
      </c>
      <c r="C1131" s="4" t="str">
        <f t="shared" si="288"/>
        <v>LlaveD81666785167100002411</v>
      </c>
      <c r="D1131" s="25" t="str">
        <f>VLOOKUP(E1131,'NO MODIFICAR'!J:K,2,0)</f>
        <v>D816</v>
      </c>
      <c r="E1131" s="102" t="s">
        <v>15</v>
      </c>
      <c r="F1131" s="25" t="str">
        <f>VLOOKUP(D1131,'NO MODIFICAR'!F:H,3,0)</f>
        <v>NORESTE</v>
      </c>
      <c r="G1131" s="28">
        <v>66785167</v>
      </c>
      <c r="H1131" s="93" t="s">
        <v>977</v>
      </c>
      <c r="I1131" s="94">
        <v>10000241</v>
      </c>
      <c r="J1131" s="4" t="str">
        <f>VLOOKUP(I1131,'Materiales,canteras'!C:D,2,0)</f>
        <v>Grava Triturada Caliza 20 mm -</v>
      </c>
      <c r="K1131" s="25">
        <f>VLOOKUP(I1131,'Materiales,canteras'!C:E,3,0)</f>
        <v>1.43</v>
      </c>
      <c r="L1131" s="231">
        <v>279.95999999999998</v>
      </c>
      <c r="M1131" s="28" t="s">
        <v>93</v>
      </c>
      <c r="N1131" s="193">
        <f t="shared" ca="1" si="276"/>
        <v>46267</v>
      </c>
      <c r="O1131" s="24" t="s">
        <v>660</v>
      </c>
      <c r="P1131" s="195"/>
      <c r="Q1131" s="195"/>
      <c r="R1131" s="4">
        <v>16.559999999999999</v>
      </c>
      <c r="S1131" s="4">
        <v>414</v>
      </c>
      <c r="T1131" s="303">
        <f t="shared" si="289"/>
        <v>-117.48000000000002</v>
      </c>
      <c r="U1131" s="88">
        <f t="shared" si="290"/>
        <v>279.95999999999998</v>
      </c>
      <c r="V1131" s="82">
        <v>32.92</v>
      </c>
      <c r="W1131" s="4">
        <v>1</v>
      </c>
      <c r="X1131" s="195">
        <f t="shared" si="291"/>
        <v>312.88</v>
      </c>
      <c r="Y1131" s="29" t="e">
        <f>IF(+VLOOKUP(I1131,P.Referencia!E:S,3,FALSE)&lt;=L1131,"Champion","Gerente")</f>
        <v>#N/A</v>
      </c>
      <c r="Z1131" s="30" t="e">
        <f>VLOOKUP(I1131,P.Referencia!E:S,3,0)</f>
        <v>#N/A</v>
      </c>
      <c r="AA1131" s="196" t="e">
        <f t="shared" si="292"/>
        <v>#N/A</v>
      </c>
      <c r="AB1131" s="197" t="e">
        <f t="shared" si="293"/>
        <v>#N/A</v>
      </c>
      <c r="AC1131" s="197" t="e">
        <f t="shared" si="294"/>
        <v>#N/A</v>
      </c>
    </row>
    <row r="1132" spans="1:29" s="4" customFormat="1" hidden="1" x14ac:dyDescent="0.25">
      <c r="A1132" s="24">
        <v>1131</v>
      </c>
      <c r="B1132" s="89" t="s">
        <v>642</v>
      </c>
      <c r="C1132" s="4" t="str">
        <f t="shared" si="288"/>
        <v>LlaveD81666785167100002601</v>
      </c>
      <c r="D1132" s="25" t="str">
        <f>VLOOKUP(E1132,'NO MODIFICAR'!J:K,2,0)</f>
        <v>D816</v>
      </c>
      <c r="E1132" s="102" t="s">
        <v>15</v>
      </c>
      <c r="F1132" s="25" t="str">
        <f>VLOOKUP(D1132,'NO MODIFICAR'!F:H,3,0)</f>
        <v>NORESTE</v>
      </c>
      <c r="G1132" s="28">
        <v>66785167</v>
      </c>
      <c r="H1132" s="93" t="s">
        <v>977</v>
      </c>
      <c r="I1132" s="94">
        <v>10000260</v>
      </c>
      <c r="J1132" s="4" t="str">
        <f>VLOOKUP(I1132,'Materiales,canteras'!C:D,2,0)</f>
        <v>Arena Triturada Caliza Malla 5</v>
      </c>
      <c r="K1132" s="25">
        <f>VLOOKUP(I1132,'Materiales,canteras'!C:E,3,0)</f>
        <v>1.72</v>
      </c>
      <c r="L1132" s="231">
        <v>370</v>
      </c>
      <c r="M1132" s="28" t="s">
        <v>93</v>
      </c>
      <c r="N1132" s="193">
        <f t="shared" ca="1" si="276"/>
        <v>46267</v>
      </c>
      <c r="O1132" s="24" t="s">
        <v>661</v>
      </c>
      <c r="P1132" s="195"/>
      <c r="Q1132" s="195"/>
      <c r="R1132" s="4">
        <v>19.8</v>
      </c>
      <c r="S1132" s="4">
        <v>495</v>
      </c>
      <c r="T1132" s="303">
        <f t="shared" si="289"/>
        <v>-105.19999999999999</v>
      </c>
      <c r="U1132" s="88">
        <f t="shared" si="290"/>
        <v>370</v>
      </c>
      <c r="V1132" s="82">
        <v>32.92</v>
      </c>
      <c r="W1132" s="4">
        <v>1</v>
      </c>
      <c r="X1132" s="195">
        <f t="shared" si="291"/>
        <v>402.92</v>
      </c>
      <c r="Y1132" s="29" t="e">
        <f>IF(+VLOOKUP(I1132,P.Referencia!E:S,3,FALSE)&lt;=L1132,"Champion","Gerente")</f>
        <v>#N/A</v>
      </c>
      <c r="Z1132" s="30" t="e">
        <f>VLOOKUP(I1132,P.Referencia!E:S,3,0)</f>
        <v>#N/A</v>
      </c>
      <c r="AA1132" s="196" t="e">
        <f t="shared" si="292"/>
        <v>#N/A</v>
      </c>
      <c r="AB1132" s="197" t="e">
        <f t="shared" si="293"/>
        <v>#N/A</v>
      </c>
      <c r="AC1132" s="197" t="e">
        <f t="shared" si="294"/>
        <v>#N/A</v>
      </c>
    </row>
    <row r="1133" spans="1:29" s="4" customFormat="1" hidden="1" x14ac:dyDescent="0.25">
      <c r="A1133" s="24">
        <v>1132</v>
      </c>
      <c r="B1133" s="89" t="s">
        <v>642</v>
      </c>
      <c r="C1133" s="4" t="str">
        <f t="shared" si="288"/>
        <v>LlaveD81666844727100001241</v>
      </c>
      <c r="D1133" s="25" t="str">
        <f>VLOOKUP(E1133,'NO MODIFICAR'!J:K,2,0)</f>
        <v>D816</v>
      </c>
      <c r="E1133" s="102" t="s">
        <v>15</v>
      </c>
      <c r="F1133" s="25" t="str">
        <f>VLOOKUP(D1133,'NO MODIFICAR'!F:H,3,0)</f>
        <v>NORESTE</v>
      </c>
      <c r="G1133" s="28">
        <v>66844727</v>
      </c>
      <c r="H1133" s="93" t="s">
        <v>978</v>
      </c>
      <c r="I1133" s="94">
        <v>10000124</v>
      </c>
      <c r="J1133" s="4" t="str">
        <f>VLOOKUP(I1133,'Materiales,canteras'!C:D,2,0)</f>
        <v>Arena Triturada Caliza Malla 4</v>
      </c>
      <c r="K1133" s="25">
        <f>VLOOKUP(I1133,'Materiales,canteras'!C:E,3,0)</f>
        <v>1.7390000000000001</v>
      </c>
      <c r="L1133" s="231">
        <v>274.41000000000003</v>
      </c>
      <c r="M1133" s="28" t="s">
        <v>93</v>
      </c>
      <c r="N1133" s="193">
        <f t="shared" ca="1" si="276"/>
        <v>46267</v>
      </c>
      <c r="O1133" s="24" t="s">
        <v>662</v>
      </c>
      <c r="P1133" s="195"/>
      <c r="Q1133" s="195"/>
      <c r="R1133" s="4">
        <v>19.8</v>
      </c>
      <c r="S1133" s="4">
        <v>495</v>
      </c>
      <c r="T1133" s="303">
        <f t="shared" si="289"/>
        <v>-200.78999999999996</v>
      </c>
      <c r="U1133" s="88">
        <f t="shared" si="290"/>
        <v>274.41000000000003</v>
      </c>
      <c r="V1133" s="82">
        <v>82.43</v>
      </c>
      <c r="W1133" s="4">
        <v>1</v>
      </c>
      <c r="X1133" s="195">
        <f t="shared" si="291"/>
        <v>356.84000000000003</v>
      </c>
      <c r="Y1133" s="29" t="e">
        <f>IF(+VLOOKUP(I1133,P.Referencia!E:S,3,FALSE)&lt;=L1133,"Champion","Gerente")</f>
        <v>#N/A</v>
      </c>
      <c r="Z1133" s="30" t="e">
        <f>VLOOKUP(I1133,P.Referencia!E:S,3,0)</f>
        <v>#N/A</v>
      </c>
      <c r="AA1133" s="196" t="e">
        <f t="shared" si="292"/>
        <v>#N/A</v>
      </c>
      <c r="AB1133" s="197" t="e">
        <f t="shared" si="293"/>
        <v>#N/A</v>
      </c>
      <c r="AC1133" s="197" t="e">
        <f t="shared" si="294"/>
        <v>#N/A</v>
      </c>
    </row>
    <row r="1134" spans="1:29" s="4" customFormat="1" hidden="1" x14ac:dyDescent="0.25">
      <c r="A1134" s="24">
        <v>1133</v>
      </c>
      <c r="B1134" s="89" t="s">
        <v>642</v>
      </c>
      <c r="C1134" s="4" t="str">
        <f t="shared" si="288"/>
        <v>LlaveD81666844727100002371</v>
      </c>
      <c r="D1134" s="25" t="str">
        <f>VLOOKUP(E1134,'NO MODIFICAR'!J:K,2,0)</f>
        <v>D816</v>
      </c>
      <c r="E1134" s="102" t="s">
        <v>15</v>
      </c>
      <c r="F1134" s="25" t="str">
        <f>VLOOKUP(D1134,'NO MODIFICAR'!F:H,3,0)</f>
        <v>NORESTE</v>
      </c>
      <c r="G1134" s="28">
        <v>66844727</v>
      </c>
      <c r="H1134" s="93" t="s">
        <v>978</v>
      </c>
      <c r="I1134" s="94">
        <v>10000237</v>
      </c>
      <c r="J1134" s="4" t="str">
        <f>VLOOKUP(I1134,'Materiales,canteras'!C:D,2,0)</f>
        <v>Grava Triturada Caliza 10 mm -</v>
      </c>
      <c r="K1134" s="25">
        <f>VLOOKUP(I1134,'Materiales,canteras'!C:E,3,0)</f>
        <v>1.5620000000000001</v>
      </c>
      <c r="L1134" s="231">
        <v>284.41000000000003</v>
      </c>
      <c r="M1134" s="28" t="s">
        <v>93</v>
      </c>
      <c r="N1134" s="193">
        <f t="shared" ca="1" si="276"/>
        <v>46267</v>
      </c>
      <c r="O1134" s="24" t="s">
        <v>663</v>
      </c>
      <c r="P1134" s="195"/>
      <c r="Q1134" s="195"/>
      <c r="R1134" s="4">
        <v>16.559999999999999</v>
      </c>
      <c r="S1134" s="4">
        <v>414</v>
      </c>
      <c r="T1134" s="303">
        <f t="shared" si="289"/>
        <v>-113.02999999999997</v>
      </c>
      <c r="U1134" s="88">
        <f t="shared" si="290"/>
        <v>284.41000000000003</v>
      </c>
      <c r="V1134" s="82">
        <v>82.43</v>
      </c>
      <c r="W1134" s="4">
        <v>1</v>
      </c>
      <c r="X1134" s="195">
        <f t="shared" si="291"/>
        <v>366.84000000000003</v>
      </c>
      <c r="Y1134" s="29" t="e">
        <f>IF(+VLOOKUP(I1134,P.Referencia!E:S,3,FALSE)&lt;=L1134,"Champion","Gerente")</f>
        <v>#N/A</v>
      </c>
      <c r="Z1134" s="30" t="e">
        <f>VLOOKUP(I1134,P.Referencia!E:S,3,0)</f>
        <v>#N/A</v>
      </c>
      <c r="AA1134" s="196" t="e">
        <f t="shared" si="292"/>
        <v>#N/A</v>
      </c>
      <c r="AB1134" s="197" t="e">
        <f t="shared" si="293"/>
        <v>#N/A</v>
      </c>
      <c r="AC1134" s="197" t="e">
        <f t="shared" si="294"/>
        <v>#N/A</v>
      </c>
    </row>
    <row r="1135" spans="1:29" s="4" customFormat="1" hidden="1" x14ac:dyDescent="0.25">
      <c r="A1135" s="24">
        <v>1134</v>
      </c>
      <c r="B1135" s="89" t="s">
        <v>642</v>
      </c>
      <c r="C1135" s="4" t="str">
        <f t="shared" si="288"/>
        <v>LlaveD81666844727100002411</v>
      </c>
      <c r="D1135" s="25" t="str">
        <f>VLOOKUP(E1135,'NO MODIFICAR'!J:K,2,0)</f>
        <v>D816</v>
      </c>
      <c r="E1135" s="102" t="s">
        <v>15</v>
      </c>
      <c r="F1135" s="25" t="str">
        <f>VLOOKUP(D1135,'NO MODIFICAR'!F:H,3,0)</f>
        <v>NORESTE</v>
      </c>
      <c r="G1135" s="28">
        <v>66844727</v>
      </c>
      <c r="H1135" s="93" t="s">
        <v>978</v>
      </c>
      <c r="I1135" s="94">
        <v>10000241</v>
      </c>
      <c r="J1135" s="4" t="str">
        <f>VLOOKUP(I1135,'Materiales,canteras'!C:D,2,0)</f>
        <v>Grava Triturada Caliza 20 mm -</v>
      </c>
      <c r="K1135" s="25">
        <f>VLOOKUP(I1135,'Materiales,canteras'!C:E,3,0)</f>
        <v>1.43</v>
      </c>
      <c r="L1135" s="231">
        <v>274.41000000000003</v>
      </c>
      <c r="M1135" s="28" t="s">
        <v>93</v>
      </c>
      <c r="N1135" s="193">
        <f t="shared" ca="1" si="276"/>
        <v>46267</v>
      </c>
      <c r="O1135" s="24" t="s">
        <v>664</v>
      </c>
      <c r="P1135" s="195"/>
      <c r="Q1135" s="195"/>
      <c r="R1135" s="4">
        <v>16.559999999999999</v>
      </c>
      <c r="S1135" s="4">
        <v>414</v>
      </c>
      <c r="T1135" s="303">
        <f t="shared" si="289"/>
        <v>-123.02999999999997</v>
      </c>
      <c r="U1135" s="88">
        <f t="shared" si="290"/>
        <v>274.41000000000003</v>
      </c>
      <c r="V1135" s="82">
        <v>82.43</v>
      </c>
      <c r="W1135" s="4">
        <v>1</v>
      </c>
      <c r="X1135" s="195">
        <f t="shared" si="291"/>
        <v>356.84000000000003</v>
      </c>
      <c r="Y1135" s="29" t="e">
        <f>IF(+VLOOKUP(I1135,P.Referencia!E:S,3,FALSE)&lt;=L1135,"Champion","Gerente")</f>
        <v>#N/A</v>
      </c>
      <c r="Z1135" s="30" t="e">
        <f>VLOOKUP(I1135,P.Referencia!E:S,3,0)</f>
        <v>#N/A</v>
      </c>
      <c r="AA1135" s="196" t="e">
        <f t="shared" si="292"/>
        <v>#N/A</v>
      </c>
      <c r="AB1135" s="197" t="e">
        <f t="shared" si="293"/>
        <v>#N/A</v>
      </c>
      <c r="AC1135" s="197" t="e">
        <f t="shared" si="294"/>
        <v>#N/A</v>
      </c>
    </row>
    <row r="1136" spans="1:29" s="4" customFormat="1" hidden="1" x14ac:dyDescent="0.25">
      <c r="A1136" s="24">
        <v>1135</v>
      </c>
      <c r="B1136" s="89" t="s">
        <v>642</v>
      </c>
      <c r="C1136" s="4" t="str">
        <f t="shared" si="288"/>
        <v>LlaveD81666844727100002601</v>
      </c>
      <c r="D1136" s="25" t="str">
        <f>VLOOKUP(E1136,'NO MODIFICAR'!J:K,2,0)</f>
        <v>D816</v>
      </c>
      <c r="E1136" s="102" t="s">
        <v>15</v>
      </c>
      <c r="F1136" s="25" t="str">
        <f>VLOOKUP(D1136,'NO MODIFICAR'!F:H,3,0)</f>
        <v>NORESTE</v>
      </c>
      <c r="G1136" s="28">
        <v>66844727</v>
      </c>
      <c r="H1136" s="93" t="s">
        <v>978</v>
      </c>
      <c r="I1136" s="94">
        <v>10000260</v>
      </c>
      <c r="J1136" s="4" t="str">
        <f>VLOOKUP(I1136,'Materiales,canteras'!C:D,2,0)</f>
        <v>Arena Triturada Caliza Malla 5</v>
      </c>
      <c r="K1136" s="25">
        <f>VLOOKUP(I1136,'Materiales,canteras'!C:E,3,0)</f>
        <v>1.72</v>
      </c>
      <c r="L1136" s="231">
        <v>370</v>
      </c>
      <c r="M1136" s="28" t="s">
        <v>93</v>
      </c>
      <c r="N1136" s="193">
        <f t="shared" ca="1" si="276"/>
        <v>46267</v>
      </c>
      <c r="O1136" s="24" t="s">
        <v>665</v>
      </c>
      <c r="P1136" s="195"/>
      <c r="Q1136" s="195"/>
      <c r="R1136" s="4">
        <v>19.8</v>
      </c>
      <c r="S1136" s="4">
        <v>495</v>
      </c>
      <c r="T1136" s="303">
        <f t="shared" si="289"/>
        <v>-105.19999999999999</v>
      </c>
      <c r="U1136" s="88">
        <f t="shared" si="290"/>
        <v>370</v>
      </c>
      <c r="V1136" s="82">
        <v>82.43</v>
      </c>
      <c r="W1136" s="4">
        <v>1</v>
      </c>
      <c r="X1136" s="195">
        <f t="shared" si="291"/>
        <v>452.43</v>
      </c>
      <c r="Y1136" s="29" t="e">
        <f>IF(+VLOOKUP(I1136,P.Referencia!E:S,3,FALSE)&lt;=L1136,"Champion","Gerente")</f>
        <v>#N/A</v>
      </c>
      <c r="Z1136" s="30" t="e">
        <f>VLOOKUP(I1136,P.Referencia!E:S,3,0)</f>
        <v>#N/A</v>
      </c>
      <c r="AA1136" s="196" t="e">
        <f t="shared" si="292"/>
        <v>#N/A</v>
      </c>
      <c r="AB1136" s="197" t="e">
        <f t="shared" si="293"/>
        <v>#N/A</v>
      </c>
      <c r="AC1136" s="197" t="e">
        <f t="shared" si="294"/>
        <v>#N/A</v>
      </c>
    </row>
    <row r="1137" spans="1:30" s="4" customFormat="1" hidden="1" x14ac:dyDescent="0.25">
      <c r="A1137" s="24">
        <v>1136</v>
      </c>
      <c r="B1137" s="89" t="s">
        <v>642</v>
      </c>
      <c r="C1137" s="4" t="str">
        <f t="shared" si="288"/>
        <v>LlaveD81667337511100002411</v>
      </c>
      <c r="D1137" s="25" t="str">
        <f>VLOOKUP(E1137,'NO MODIFICAR'!J:K,2,0)</f>
        <v>D816</v>
      </c>
      <c r="E1137" s="102" t="s">
        <v>15</v>
      </c>
      <c r="F1137" s="25" t="str">
        <f>VLOOKUP(D1137,'NO MODIFICAR'!F:H,3,0)</f>
        <v>NORESTE</v>
      </c>
      <c r="G1137" s="28">
        <v>67337511</v>
      </c>
      <c r="H1137" s="93" t="s">
        <v>408</v>
      </c>
      <c r="I1137" s="94">
        <v>10000241</v>
      </c>
      <c r="J1137" s="4" t="str">
        <f>VLOOKUP(I1137,'Materiales,canteras'!C:D,2,0)</f>
        <v>Grava Triturada Caliza 20 mm -</v>
      </c>
      <c r="K1137" s="25">
        <f>VLOOKUP(I1137,'Materiales,canteras'!C:E,3,0)</f>
        <v>1.43</v>
      </c>
      <c r="L1137" s="231">
        <v>300.02</v>
      </c>
      <c r="M1137" s="28" t="s">
        <v>93</v>
      </c>
      <c r="N1137" s="193">
        <f t="shared" ca="1" si="276"/>
        <v>46267</v>
      </c>
      <c r="O1137" s="24" t="s">
        <v>666</v>
      </c>
      <c r="P1137" s="195"/>
      <c r="Q1137" s="195"/>
      <c r="R1137" s="4">
        <v>16.559999999999999</v>
      </c>
      <c r="S1137" s="4">
        <v>414</v>
      </c>
      <c r="T1137" s="303">
        <f t="shared" si="289"/>
        <v>-97.420000000000016</v>
      </c>
      <c r="U1137" s="88">
        <f t="shared" si="290"/>
        <v>300.02</v>
      </c>
      <c r="V1137">
        <v>118.66</v>
      </c>
      <c r="W1137" s="4">
        <v>1</v>
      </c>
      <c r="X1137" s="195">
        <f t="shared" si="291"/>
        <v>418.67999999999995</v>
      </c>
      <c r="Y1137" s="29" t="e">
        <f>IF(+VLOOKUP(I1137,P.Referencia!E:S,3,FALSE)&lt;=L1137,"Champion","Gerente")</f>
        <v>#N/A</v>
      </c>
      <c r="Z1137" s="30" t="e">
        <f>VLOOKUP(I1137,P.Referencia!E:S,3,0)</f>
        <v>#N/A</v>
      </c>
      <c r="AA1137" s="196" t="e">
        <f t="shared" si="292"/>
        <v>#N/A</v>
      </c>
      <c r="AB1137" s="197" t="e">
        <f t="shared" si="293"/>
        <v>#N/A</v>
      </c>
      <c r="AC1137" s="197" t="e">
        <f t="shared" si="294"/>
        <v>#N/A</v>
      </c>
    </row>
    <row r="1138" spans="1:30" s="4" customFormat="1" hidden="1" x14ac:dyDescent="0.25">
      <c r="A1138" s="24">
        <v>1137</v>
      </c>
      <c r="B1138" s="89" t="s">
        <v>642</v>
      </c>
      <c r="C1138" s="4" t="str">
        <f t="shared" si="288"/>
        <v>LlaveD81366828114100023502</v>
      </c>
      <c r="D1138" s="25" t="str">
        <f>VLOOKUP(E1138,'NO MODIFICAR'!J:K,2,0)</f>
        <v>D813</v>
      </c>
      <c r="E1138" s="102" t="s">
        <v>6</v>
      </c>
      <c r="F1138" s="25" t="str">
        <f>VLOOKUP(D1138,'NO MODIFICAR'!F:H,3,0)</f>
        <v xml:space="preserve">CENTRO </v>
      </c>
      <c r="G1138" s="28">
        <v>66828114</v>
      </c>
      <c r="H1138" s="93" t="s">
        <v>504</v>
      </c>
      <c r="I1138" s="94">
        <v>10002350</v>
      </c>
      <c r="J1138" s="4" t="str">
        <f>VLOOKUP(I1138,'Materiales,canteras'!C:D,2,0)</f>
        <v>Grava Triturada Andesita 10mm-</v>
      </c>
      <c r="K1138" s="25">
        <f>VLOOKUP(I1138,'Materiales,canteras'!C:E,3,0)</f>
        <v>1.246</v>
      </c>
      <c r="L1138" s="82">
        <v>86</v>
      </c>
      <c r="M1138" s="28" t="s">
        <v>93</v>
      </c>
      <c r="N1138" s="193">
        <f t="shared" ca="1" si="276"/>
        <v>46267</v>
      </c>
      <c r="O1138" s="24" t="s">
        <v>667</v>
      </c>
      <c r="P1138" s="195"/>
      <c r="Q1138" s="195"/>
      <c r="R1138" s="4">
        <v>12.64</v>
      </c>
      <c r="S1138" s="4">
        <v>158</v>
      </c>
      <c r="T1138" s="303">
        <f t="shared" si="289"/>
        <v>-59.360000000000014</v>
      </c>
      <c r="U1138" s="88">
        <f t="shared" si="290"/>
        <v>86</v>
      </c>
      <c r="V1138" s="82">
        <v>0</v>
      </c>
      <c r="W1138" s="4">
        <v>2</v>
      </c>
      <c r="X1138" s="195">
        <f t="shared" si="291"/>
        <v>86</v>
      </c>
      <c r="Y1138" s="29" t="e">
        <f>IF(+VLOOKUP(I1138,P.Referencia!E:S,3,FALSE)&lt;=L1138,"Champion","Gerente")</f>
        <v>#N/A</v>
      </c>
      <c r="Z1138" s="30" t="e">
        <f>VLOOKUP(I1138,P.Referencia!E:S,3,0)</f>
        <v>#N/A</v>
      </c>
      <c r="AA1138" s="196" t="e">
        <f t="shared" si="292"/>
        <v>#N/A</v>
      </c>
      <c r="AB1138" s="197" t="e">
        <f t="shared" si="293"/>
        <v>#N/A</v>
      </c>
      <c r="AC1138" s="197" t="e">
        <f t="shared" si="294"/>
        <v>#N/A</v>
      </c>
    </row>
    <row r="1139" spans="1:30" s="4" customFormat="1" hidden="1" x14ac:dyDescent="0.25">
      <c r="A1139" s="24">
        <v>1138</v>
      </c>
      <c r="B1139" s="89" t="s">
        <v>642</v>
      </c>
      <c r="C1139" s="4" t="str">
        <f t="shared" si="288"/>
        <v>LlaveD81366864508100023502</v>
      </c>
      <c r="D1139" s="25" t="str">
        <f>VLOOKUP(E1139,'NO MODIFICAR'!J:K,2,0)</f>
        <v>D813</v>
      </c>
      <c r="E1139" s="102" t="s">
        <v>6</v>
      </c>
      <c r="F1139" s="25" t="str">
        <f>VLOOKUP(D1139,'NO MODIFICAR'!F:H,3,0)</f>
        <v xml:space="preserve">CENTRO </v>
      </c>
      <c r="G1139" s="28">
        <v>66864508</v>
      </c>
      <c r="H1139" s="93" t="s">
        <v>496</v>
      </c>
      <c r="I1139" s="94">
        <v>10002350</v>
      </c>
      <c r="J1139" s="4" t="str">
        <f>VLOOKUP(I1139,'Materiales,canteras'!C:D,2,0)</f>
        <v>Grava Triturada Andesita 10mm-</v>
      </c>
      <c r="K1139" s="25">
        <f>VLOOKUP(I1139,'Materiales,canteras'!C:E,3,0)</f>
        <v>1.246</v>
      </c>
      <c r="L1139" s="82">
        <v>86</v>
      </c>
      <c r="M1139" s="28" t="s">
        <v>93</v>
      </c>
      <c r="N1139" s="193">
        <f t="shared" ca="1" si="276"/>
        <v>46267</v>
      </c>
      <c r="O1139" s="24" t="s">
        <v>668</v>
      </c>
      <c r="P1139" s="195"/>
      <c r="Q1139" s="195"/>
      <c r="S1139" s="4">
        <v>158</v>
      </c>
      <c r="T1139" s="303">
        <f t="shared" si="289"/>
        <v>-72</v>
      </c>
      <c r="U1139" s="88">
        <f t="shared" si="290"/>
        <v>86</v>
      </c>
      <c r="V1139" s="82">
        <v>0</v>
      </c>
      <c r="W1139" s="4">
        <v>2</v>
      </c>
      <c r="X1139" s="195">
        <f t="shared" si="291"/>
        <v>86</v>
      </c>
      <c r="Y1139" s="29" t="e">
        <f>IF(+VLOOKUP(I1139,P.Referencia!E:S,3,FALSE)&lt;=L1139,"Champion","Gerente")</f>
        <v>#N/A</v>
      </c>
      <c r="Z1139" s="30" t="e">
        <f>VLOOKUP(I1139,P.Referencia!E:S,3,0)</f>
        <v>#N/A</v>
      </c>
      <c r="AA1139" s="196" t="e">
        <f t="shared" si="292"/>
        <v>#N/A</v>
      </c>
      <c r="AB1139" s="197" t="e">
        <f t="shared" si="293"/>
        <v>#N/A</v>
      </c>
      <c r="AC1139" s="197" t="e">
        <f t="shared" si="294"/>
        <v>#N/A</v>
      </c>
    </row>
    <row r="1140" spans="1:30" s="4" customFormat="1" hidden="1" x14ac:dyDescent="0.25">
      <c r="A1140" s="24">
        <v>1139</v>
      </c>
      <c r="B1140" s="89" t="s">
        <v>642</v>
      </c>
      <c r="C1140" s="4" t="str">
        <f t="shared" si="288"/>
        <v>LlaveD81366864540100023502</v>
      </c>
      <c r="D1140" s="25" t="str">
        <f>VLOOKUP(E1140,'NO MODIFICAR'!J:K,2,0)</f>
        <v>D813</v>
      </c>
      <c r="E1140" s="102" t="s">
        <v>6</v>
      </c>
      <c r="F1140" s="25" t="str">
        <f>VLOOKUP(D1140,'NO MODIFICAR'!F:H,3,0)</f>
        <v xml:space="preserve">CENTRO </v>
      </c>
      <c r="G1140" s="28">
        <v>66864540</v>
      </c>
      <c r="H1140" s="93" t="s">
        <v>181</v>
      </c>
      <c r="I1140" s="94">
        <v>10002350</v>
      </c>
      <c r="J1140" s="4" t="str">
        <f>VLOOKUP(I1140,'Materiales,canteras'!C:D,2,0)</f>
        <v>Grava Triturada Andesita 10mm-</v>
      </c>
      <c r="K1140" s="25">
        <f>VLOOKUP(I1140,'Materiales,canteras'!C:E,3,0)</f>
        <v>1.246</v>
      </c>
      <c r="L1140" s="82">
        <v>86</v>
      </c>
      <c r="M1140" s="28" t="s">
        <v>93</v>
      </c>
      <c r="N1140" s="193">
        <f t="shared" ca="1" si="276"/>
        <v>46267</v>
      </c>
      <c r="O1140" s="24" t="s">
        <v>669</v>
      </c>
      <c r="P1140" s="195"/>
      <c r="Q1140" s="195"/>
      <c r="S1140" s="4">
        <v>158</v>
      </c>
      <c r="T1140" s="303">
        <f t="shared" si="289"/>
        <v>-72</v>
      </c>
      <c r="U1140" s="88">
        <f t="shared" si="290"/>
        <v>86</v>
      </c>
      <c r="V1140" s="82">
        <v>0</v>
      </c>
      <c r="W1140" s="4">
        <v>2</v>
      </c>
      <c r="X1140" s="195">
        <f t="shared" si="291"/>
        <v>86</v>
      </c>
      <c r="Y1140" s="29" t="e">
        <f>IF(+VLOOKUP(I1140,P.Referencia!E:S,3,FALSE)&lt;=L1140,"Champion","Gerente")</f>
        <v>#N/A</v>
      </c>
      <c r="Z1140" s="30" t="e">
        <f>VLOOKUP(I1140,P.Referencia!E:S,3,0)</f>
        <v>#N/A</v>
      </c>
      <c r="AA1140" s="196" t="e">
        <f t="shared" si="292"/>
        <v>#N/A</v>
      </c>
      <c r="AB1140" s="197" t="e">
        <f t="shared" si="293"/>
        <v>#N/A</v>
      </c>
      <c r="AC1140" s="197" t="e">
        <f t="shared" si="294"/>
        <v>#N/A</v>
      </c>
    </row>
    <row r="1141" spans="1:30" s="4" customFormat="1" hidden="1" x14ac:dyDescent="0.25">
      <c r="A1141" s="24">
        <v>1140</v>
      </c>
      <c r="B1141" s="89" t="s">
        <v>642</v>
      </c>
      <c r="C1141" s="4" t="str">
        <f t="shared" si="288"/>
        <v>LlaveD81366982053100023502</v>
      </c>
      <c r="D1141" s="25" t="str">
        <f>VLOOKUP(E1141,'NO MODIFICAR'!J:K,2,0)</f>
        <v>D813</v>
      </c>
      <c r="E1141" s="102" t="s">
        <v>6</v>
      </c>
      <c r="F1141" s="25" t="str">
        <f>VLOOKUP(D1141,'NO MODIFICAR'!F:H,3,0)</f>
        <v xml:space="preserve">CENTRO </v>
      </c>
      <c r="G1141" s="28">
        <v>66982053</v>
      </c>
      <c r="H1141" s="93" t="s">
        <v>497</v>
      </c>
      <c r="I1141" s="94">
        <v>10002350</v>
      </c>
      <c r="J1141" s="4" t="str">
        <f>VLOOKUP(I1141,'Materiales,canteras'!C:D,2,0)</f>
        <v>Grava Triturada Andesita 10mm-</v>
      </c>
      <c r="K1141" s="25">
        <f>VLOOKUP(I1141,'Materiales,canteras'!C:E,3,0)</f>
        <v>1.246</v>
      </c>
      <c r="L1141" s="82">
        <v>86</v>
      </c>
      <c r="M1141" s="28" t="s">
        <v>93</v>
      </c>
      <c r="N1141" s="193">
        <f t="shared" ca="1" si="276"/>
        <v>46267</v>
      </c>
      <c r="O1141" s="24" t="s">
        <v>670</v>
      </c>
      <c r="P1141" s="195"/>
      <c r="Q1141" s="195"/>
      <c r="S1141" s="4">
        <v>158</v>
      </c>
      <c r="T1141" s="303">
        <f t="shared" si="289"/>
        <v>-72</v>
      </c>
      <c r="U1141" s="88">
        <f t="shared" si="290"/>
        <v>86</v>
      </c>
      <c r="V1141" s="82">
        <v>0</v>
      </c>
      <c r="W1141" s="4">
        <v>2</v>
      </c>
      <c r="X1141" s="195">
        <f t="shared" si="291"/>
        <v>86</v>
      </c>
      <c r="Y1141" s="29" t="e">
        <f>IF(+VLOOKUP(I1141,P.Referencia!E:S,3,FALSE)&lt;=L1141,"Champion","Gerente")</f>
        <v>#N/A</v>
      </c>
      <c r="Z1141" s="30" t="e">
        <f>VLOOKUP(I1141,P.Referencia!E:S,3,0)</f>
        <v>#N/A</v>
      </c>
      <c r="AA1141" s="196" t="e">
        <f t="shared" si="292"/>
        <v>#N/A</v>
      </c>
      <c r="AB1141" s="197" t="e">
        <f t="shared" si="293"/>
        <v>#N/A</v>
      </c>
      <c r="AC1141" s="197" t="e">
        <f t="shared" si="294"/>
        <v>#N/A</v>
      </c>
    </row>
    <row r="1142" spans="1:30" s="4" customFormat="1" hidden="1" x14ac:dyDescent="0.25">
      <c r="A1142" s="24">
        <v>1141</v>
      </c>
      <c r="B1142" s="89" t="s">
        <v>642</v>
      </c>
      <c r="C1142" s="4" t="str">
        <f t="shared" si="288"/>
        <v>LlaveD81367019979100023502</v>
      </c>
      <c r="D1142" s="25" t="str">
        <f>VLOOKUP(E1142,'NO MODIFICAR'!J:K,2,0)</f>
        <v>D813</v>
      </c>
      <c r="E1142" s="102" t="s">
        <v>6</v>
      </c>
      <c r="F1142" s="25" t="str">
        <f>VLOOKUP(D1142,'NO MODIFICAR'!F:H,3,0)</f>
        <v xml:space="preserve">CENTRO </v>
      </c>
      <c r="G1142" s="28">
        <v>67019979</v>
      </c>
      <c r="H1142" s="93" t="s">
        <v>170</v>
      </c>
      <c r="I1142" s="94">
        <v>10002350</v>
      </c>
      <c r="J1142" s="4" t="str">
        <f>VLOOKUP(I1142,'Materiales,canteras'!C:D,2,0)</f>
        <v>Grava Triturada Andesita 10mm-</v>
      </c>
      <c r="K1142" s="25">
        <f>VLOOKUP(I1142,'Materiales,canteras'!C:E,3,0)</f>
        <v>1.246</v>
      </c>
      <c r="L1142" s="82">
        <v>86</v>
      </c>
      <c r="M1142" s="28" t="s">
        <v>93</v>
      </c>
      <c r="N1142" s="193">
        <f t="shared" ca="1" si="276"/>
        <v>46267</v>
      </c>
      <c r="O1142" s="24" t="s">
        <v>671</v>
      </c>
      <c r="P1142" s="195"/>
      <c r="Q1142" s="195"/>
      <c r="S1142" s="4">
        <v>158</v>
      </c>
      <c r="T1142" s="303">
        <f t="shared" si="289"/>
        <v>-72</v>
      </c>
      <c r="U1142" s="88">
        <f t="shared" si="290"/>
        <v>86</v>
      </c>
      <c r="V1142" s="82">
        <v>0</v>
      </c>
      <c r="W1142" s="4">
        <v>2</v>
      </c>
      <c r="X1142" s="195">
        <f t="shared" si="291"/>
        <v>86</v>
      </c>
      <c r="Y1142" s="29" t="e">
        <f>IF(+VLOOKUP(I1142,P.Referencia!E:S,3,FALSE)&lt;=L1142,"Champion","Gerente")</f>
        <v>#N/A</v>
      </c>
      <c r="Z1142" s="30" t="e">
        <f>VLOOKUP(I1142,P.Referencia!E:S,3,0)</f>
        <v>#N/A</v>
      </c>
      <c r="AA1142" s="196" t="e">
        <f t="shared" si="292"/>
        <v>#N/A</v>
      </c>
      <c r="AB1142" s="197" t="e">
        <f t="shared" si="293"/>
        <v>#N/A</v>
      </c>
      <c r="AC1142" s="197" t="e">
        <f t="shared" si="294"/>
        <v>#N/A</v>
      </c>
    </row>
    <row r="1143" spans="1:30" s="4" customFormat="1" hidden="1" x14ac:dyDescent="0.25">
      <c r="A1143" s="24">
        <v>1142</v>
      </c>
      <c r="B1143" s="89" t="s">
        <v>642</v>
      </c>
      <c r="C1143" s="4" t="str">
        <f t="shared" si="288"/>
        <v>LlaveD81367243408100023502</v>
      </c>
      <c r="D1143" s="25" t="str">
        <f>VLOOKUP(E1143,'NO MODIFICAR'!J:K,2,0)</f>
        <v>D813</v>
      </c>
      <c r="E1143" s="102" t="s">
        <v>6</v>
      </c>
      <c r="F1143" s="25" t="str">
        <f>VLOOKUP(D1143,'NO MODIFICAR'!F:H,3,0)</f>
        <v xml:space="preserve">CENTRO </v>
      </c>
      <c r="G1143" s="28">
        <v>67243408</v>
      </c>
      <c r="H1143" s="93" t="s">
        <v>495</v>
      </c>
      <c r="I1143" s="94">
        <v>10002350</v>
      </c>
      <c r="J1143" s="4" t="str">
        <f>VLOOKUP(I1143,'Materiales,canteras'!C:D,2,0)</f>
        <v>Grava Triturada Andesita 10mm-</v>
      </c>
      <c r="K1143" s="25">
        <f>VLOOKUP(I1143,'Materiales,canteras'!C:E,3,0)</f>
        <v>1.246</v>
      </c>
      <c r="L1143" s="82">
        <v>86</v>
      </c>
      <c r="M1143" s="28" t="s">
        <v>93</v>
      </c>
      <c r="N1143" s="193">
        <f t="shared" ca="1" si="276"/>
        <v>46267</v>
      </c>
      <c r="O1143" s="24" t="s">
        <v>672</v>
      </c>
      <c r="P1143" s="195"/>
      <c r="Q1143" s="195"/>
      <c r="S1143" s="4">
        <v>158</v>
      </c>
      <c r="T1143" s="303">
        <f t="shared" si="289"/>
        <v>-72</v>
      </c>
      <c r="U1143" s="88">
        <f t="shared" si="290"/>
        <v>86</v>
      </c>
      <c r="V1143" s="82">
        <v>0</v>
      </c>
      <c r="W1143" s="4">
        <v>2</v>
      </c>
      <c r="X1143" s="195">
        <f t="shared" si="291"/>
        <v>86</v>
      </c>
      <c r="Y1143" s="29" t="e">
        <f>IF(+VLOOKUP(I1143,P.Referencia!E:S,3,FALSE)&lt;=L1143,"Champion","Gerente")</f>
        <v>#N/A</v>
      </c>
      <c r="Z1143" s="30" t="e">
        <f>VLOOKUP(I1143,P.Referencia!E:S,3,0)</f>
        <v>#N/A</v>
      </c>
      <c r="AA1143" s="196" t="e">
        <f t="shared" si="292"/>
        <v>#N/A</v>
      </c>
      <c r="AB1143" s="197" t="e">
        <f t="shared" si="293"/>
        <v>#N/A</v>
      </c>
      <c r="AC1143" s="197" t="e">
        <f t="shared" si="294"/>
        <v>#N/A</v>
      </c>
    </row>
    <row r="1144" spans="1:30" s="4" customFormat="1" hidden="1" x14ac:dyDescent="0.25">
      <c r="A1144" s="24">
        <v>1143</v>
      </c>
      <c r="B1144" s="89" t="s">
        <v>642</v>
      </c>
      <c r="C1144" s="4" t="str">
        <f t="shared" si="288"/>
        <v>LlaveD81367322499100023502</v>
      </c>
      <c r="D1144" s="25" t="str">
        <f>VLOOKUP(E1144,'NO MODIFICAR'!J:K,2,0)</f>
        <v>D813</v>
      </c>
      <c r="E1144" s="102" t="s">
        <v>6</v>
      </c>
      <c r="F1144" s="25" t="str">
        <f>VLOOKUP(D1144,'NO MODIFICAR'!F:H,3,0)</f>
        <v xml:space="preserve">CENTRO </v>
      </c>
      <c r="G1144" s="28">
        <v>67322499</v>
      </c>
      <c r="H1144" s="93" t="s">
        <v>985</v>
      </c>
      <c r="I1144" s="94">
        <v>10002350</v>
      </c>
      <c r="J1144" s="4" t="str">
        <f>VLOOKUP(I1144,'Materiales,canteras'!C:D,2,0)</f>
        <v>Grava Triturada Andesita 10mm-</v>
      </c>
      <c r="K1144" s="25">
        <f>VLOOKUP(I1144,'Materiales,canteras'!C:E,3,0)</f>
        <v>1.246</v>
      </c>
      <c r="L1144" s="82">
        <v>86</v>
      </c>
      <c r="M1144" s="28" t="s">
        <v>93</v>
      </c>
      <c r="N1144" s="193">
        <f t="shared" ca="1" si="276"/>
        <v>46267</v>
      </c>
      <c r="O1144" s="24" t="s">
        <v>673</v>
      </c>
      <c r="P1144" s="195"/>
      <c r="Q1144" s="195"/>
      <c r="S1144" s="4">
        <v>158</v>
      </c>
      <c r="T1144" s="303">
        <f t="shared" si="289"/>
        <v>-72</v>
      </c>
      <c r="U1144" s="88">
        <f t="shared" si="290"/>
        <v>86</v>
      </c>
      <c r="V1144" s="82">
        <v>0</v>
      </c>
      <c r="W1144" s="4">
        <v>2</v>
      </c>
      <c r="X1144" s="195">
        <f t="shared" si="291"/>
        <v>86</v>
      </c>
      <c r="Y1144" s="29" t="e">
        <f>IF(+VLOOKUP(I1144,P.Referencia!E:S,3,FALSE)&lt;=L1144,"Champion","Gerente")</f>
        <v>#N/A</v>
      </c>
      <c r="Z1144" s="30" t="e">
        <f>VLOOKUP(I1144,P.Referencia!E:S,3,0)</f>
        <v>#N/A</v>
      </c>
      <c r="AA1144" s="196" t="e">
        <f t="shared" si="292"/>
        <v>#N/A</v>
      </c>
      <c r="AB1144" s="197" t="e">
        <f t="shared" si="293"/>
        <v>#N/A</v>
      </c>
      <c r="AC1144" s="197" t="e">
        <f t="shared" si="294"/>
        <v>#N/A</v>
      </c>
    </row>
    <row r="1145" spans="1:30" s="4" customFormat="1" hidden="1" x14ac:dyDescent="0.25">
      <c r="A1145" s="24">
        <v>1144</v>
      </c>
      <c r="B1145" s="89" t="s">
        <v>642</v>
      </c>
      <c r="C1145" s="4" t="str">
        <f t="shared" si="288"/>
        <v>LlaveD90267343847102191352</v>
      </c>
      <c r="D1145" s="25" t="str">
        <f>VLOOKUP(E1145,'NO MODIFICAR'!J:K,2,0)</f>
        <v>D902</v>
      </c>
      <c r="E1145" s="102" t="s">
        <v>79</v>
      </c>
      <c r="F1145" s="25" t="str">
        <f>VLOOKUP(D1145,'NO MODIFICAR'!F:H,3,0)</f>
        <v>SURESTE</v>
      </c>
      <c r="G1145" s="28">
        <v>67343847</v>
      </c>
      <c r="H1145" s="93" t="s">
        <v>986</v>
      </c>
      <c r="I1145" s="94">
        <v>10219135</v>
      </c>
      <c r="J1145" s="4" t="str">
        <f>VLOOKUP(I1145,'Materiales,canteras'!C:D,2,0)</f>
        <v>BALASTO DE 2 ½#</v>
      </c>
      <c r="K1145" s="25">
        <f>VLOOKUP(I1145,'Materiales,canteras'!C:E,3,0)</f>
        <v>1.494</v>
      </c>
      <c r="L1145" s="82">
        <v>883.53</v>
      </c>
      <c r="M1145" s="28" t="s">
        <v>93</v>
      </c>
      <c r="N1145" s="193">
        <f t="shared" ca="1" si="276"/>
        <v>46267</v>
      </c>
      <c r="O1145" s="24" t="s">
        <v>674</v>
      </c>
      <c r="P1145" s="195"/>
      <c r="Q1145" s="195"/>
      <c r="S1145" s="4">
        <v>937</v>
      </c>
      <c r="T1145" s="303">
        <f t="shared" si="289"/>
        <v>-53.470000000000027</v>
      </c>
      <c r="U1145" s="88">
        <f t="shared" si="290"/>
        <v>883.53</v>
      </c>
      <c r="V1145" s="82">
        <v>0</v>
      </c>
      <c r="W1145" s="4">
        <v>2</v>
      </c>
      <c r="X1145" s="195">
        <f t="shared" si="291"/>
        <v>883.53</v>
      </c>
      <c r="Y1145" s="29" t="e">
        <f>IF(+VLOOKUP(I1145,P.Referencia!E:S,3,FALSE)&lt;=L1145,"Champion","Gerente")</f>
        <v>#N/A</v>
      </c>
      <c r="Z1145" s="30" t="e">
        <f>VLOOKUP(I1145,P.Referencia!E:S,3,0)</f>
        <v>#N/A</v>
      </c>
      <c r="AA1145" s="196" t="e">
        <f t="shared" si="292"/>
        <v>#N/A</v>
      </c>
      <c r="AB1145" s="197" t="e">
        <f t="shared" si="293"/>
        <v>#N/A</v>
      </c>
      <c r="AC1145" s="197" t="e">
        <f t="shared" si="294"/>
        <v>#N/A</v>
      </c>
      <c r="AD1145" s="4" t="s">
        <v>987</v>
      </c>
    </row>
    <row r="1146" spans="1:30" s="4" customFormat="1" hidden="1" x14ac:dyDescent="0.25">
      <c r="A1146" s="24">
        <v>1145</v>
      </c>
      <c r="B1146" s="89" t="s">
        <v>642</v>
      </c>
      <c r="C1146" s="4" t="str">
        <f t="shared" si="288"/>
        <v>LlaveD85265000375100389452</v>
      </c>
      <c r="D1146" s="25" t="str">
        <f>VLOOKUP(E1146,'NO MODIFICAR'!J:K,2,0)</f>
        <v>D852</v>
      </c>
      <c r="E1146" s="102" t="s">
        <v>36</v>
      </c>
      <c r="F1146" s="25" t="str">
        <f>VLOOKUP(D1146,'NO MODIFICAR'!F:H,3,0)</f>
        <v>NORESTE</v>
      </c>
      <c r="G1146" s="28">
        <v>65000375</v>
      </c>
      <c r="H1146" s="93" t="s">
        <v>988</v>
      </c>
      <c r="I1146" s="94">
        <v>10038945</v>
      </c>
      <c r="J1146" s="4" t="str">
        <f>VLOOKUP(I1146,'Materiales,canteras'!C:D,2,0)</f>
        <v>Grava Triturada Caliza 20 mm -</v>
      </c>
      <c r="K1146" s="25">
        <f>VLOOKUP(I1146,'Materiales,canteras'!C:E,3,0)</f>
        <v>1.54</v>
      </c>
      <c r="L1146" s="82">
        <v>115</v>
      </c>
      <c r="M1146" s="28" t="s">
        <v>93</v>
      </c>
      <c r="N1146" s="193">
        <f t="shared" ca="1" si="276"/>
        <v>46267</v>
      </c>
      <c r="O1146" s="24" t="s">
        <v>675</v>
      </c>
      <c r="P1146" s="195"/>
      <c r="Q1146" s="195"/>
      <c r="R1146" s="4">
        <v>6.92</v>
      </c>
      <c r="S1146" s="4">
        <v>173</v>
      </c>
      <c r="T1146" s="303">
        <f t="shared" si="289"/>
        <v>-51.080000000000013</v>
      </c>
      <c r="U1146" s="88">
        <f t="shared" si="290"/>
        <v>115</v>
      </c>
      <c r="V1146" s="82">
        <v>0</v>
      </c>
      <c r="W1146" s="4">
        <v>2</v>
      </c>
      <c r="X1146" s="195">
        <f t="shared" si="291"/>
        <v>115</v>
      </c>
      <c r="Y1146" s="29" t="e">
        <f>IF(+VLOOKUP(I1146,P.Referencia!E:S,3,FALSE)&lt;=L1146,"Champion","Gerente")</f>
        <v>#N/A</v>
      </c>
      <c r="Z1146" s="30" t="e">
        <f>VLOOKUP(I1146,P.Referencia!E:S,3,0)</f>
        <v>#N/A</v>
      </c>
      <c r="AA1146" s="196" t="e">
        <f t="shared" si="292"/>
        <v>#N/A</v>
      </c>
      <c r="AB1146" s="197" t="e">
        <f t="shared" si="293"/>
        <v>#N/A</v>
      </c>
      <c r="AC1146" s="197" t="e">
        <f t="shared" si="294"/>
        <v>#N/A</v>
      </c>
      <c r="AD1146" s="4" t="s">
        <v>989</v>
      </c>
    </row>
    <row r="1147" spans="1:30" s="4" customFormat="1" hidden="1" x14ac:dyDescent="0.25">
      <c r="A1147" s="24">
        <v>1146</v>
      </c>
      <c r="B1147" s="89" t="s">
        <v>642</v>
      </c>
      <c r="C1147" s="4" t="str">
        <f t="shared" si="288"/>
        <v>LlaveD81666823169100011702</v>
      </c>
      <c r="D1147" s="25" t="str">
        <f>VLOOKUP(E1147,'NO MODIFICAR'!J:K,2,0)</f>
        <v>D816</v>
      </c>
      <c r="E1147" s="102" t="s">
        <v>15</v>
      </c>
      <c r="F1147" s="25" t="str">
        <f>VLOOKUP(D1147,'NO MODIFICAR'!F:H,3,0)</f>
        <v>NORESTE</v>
      </c>
      <c r="G1147" s="28">
        <v>66823169</v>
      </c>
      <c r="H1147" s="93" t="s">
        <v>548</v>
      </c>
      <c r="I1147" s="94">
        <v>10001170</v>
      </c>
      <c r="J1147" s="4" t="str">
        <f>VLOOKUP(I1147,'Materiales,canteras'!C:D,2,0)</f>
        <v>Arena Triturada Caliza Block</v>
      </c>
      <c r="K1147" s="25">
        <f>VLOOKUP(I1147,'Materiales,canteras'!C:E,3,0)</f>
        <v>1.7709999999999999</v>
      </c>
      <c r="L1147" s="82">
        <v>265</v>
      </c>
      <c r="M1147" s="28" t="s">
        <v>93</v>
      </c>
      <c r="N1147" s="193">
        <f t="shared" ca="1" si="276"/>
        <v>46267</v>
      </c>
      <c r="O1147" s="24" t="s">
        <v>676</v>
      </c>
      <c r="P1147" s="195"/>
      <c r="Q1147" s="195">
        <v>4.72</v>
      </c>
      <c r="R1147" s="4">
        <v>47.06</v>
      </c>
      <c r="S1147" s="4">
        <v>362</v>
      </c>
      <c r="T1147" s="303">
        <f t="shared" si="289"/>
        <v>-45.21999999999997</v>
      </c>
      <c r="U1147" s="88">
        <f t="shared" si="290"/>
        <v>265</v>
      </c>
      <c r="V1147" s="82">
        <v>0</v>
      </c>
      <c r="W1147" s="4">
        <v>2</v>
      </c>
      <c r="X1147" s="195">
        <f t="shared" si="291"/>
        <v>265</v>
      </c>
      <c r="Y1147" s="29" t="e">
        <f>IF(+VLOOKUP(I1147,P.Referencia!E:S,3,FALSE)&lt;=L1147,"Champion","Gerente")</f>
        <v>#N/A</v>
      </c>
      <c r="Z1147" s="30" t="e">
        <f>VLOOKUP(I1147,P.Referencia!E:S,3,0)</f>
        <v>#N/A</v>
      </c>
      <c r="AA1147" s="196" t="e">
        <f t="shared" si="292"/>
        <v>#N/A</v>
      </c>
      <c r="AB1147" s="197" t="e">
        <f t="shared" si="293"/>
        <v>#N/A</v>
      </c>
      <c r="AC1147" s="197" t="e">
        <f t="shared" si="294"/>
        <v>#N/A</v>
      </c>
    </row>
    <row r="1148" spans="1:30" s="4" customFormat="1" hidden="1" x14ac:dyDescent="0.25">
      <c r="A1148" s="24">
        <v>1147</v>
      </c>
      <c r="B1148" s="89" t="s">
        <v>642</v>
      </c>
      <c r="C1148" s="4" t="str">
        <f t="shared" si="288"/>
        <v>LlaveD81666862802100011702</v>
      </c>
      <c r="D1148" s="25" t="str">
        <f>VLOOKUP(E1148,'NO MODIFICAR'!J:K,2,0)</f>
        <v>D816</v>
      </c>
      <c r="E1148" s="102" t="s">
        <v>15</v>
      </c>
      <c r="F1148" s="25" t="str">
        <f>VLOOKUP(D1148,'NO MODIFICAR'!F:H,3,0)</f>
        <v>NORESTE</v>
      </c>
      <c r="G1148" s="28">
        <v>66862802</v>
      </c>
      <c r="H1148" s="93" t="s">
        <v>990</v>
      </c>
      <c r="I1148" s="94">
        <v>10001170</v>
      </c>
      <c r="J1148" s="4" t="str">
        <f>VLOOKUP(I1148,'Materiales,canteras'!C:D,2,0)</f>
        <v>Arena Triturada Caliza Block</v>
      </c>
      <c r="K1148" s="25">
        <f>VLOOKUP(I1148,'Materiales,canteras'!C:E,3,0)</f>
        <v>1.7709999999999999</v>
      </c>
      <c r="L1148" s="82">
        <v>265</v>
      </c>
      <c r="M1148" s="28" t="s">
        <v>93</v>
      </c>
      <c r="N1148" s="193">
        <f t="shared" ca="1" si="276"/>
        <v>46267</v>
      </c>
      <c r="O1148" s="24" t="s">
        <v>677</v>
      </c>
      <c r="P1148" s="195"/>
      <c r="Q1148" s="195">
        <v>4.72</v>
      </c>
      <c r="R1148" s="4">
        <v>47.06</v>
      </c>
      <c r="S1148" s="4">
        <v>362</v>
      </c>
      <c r="T1148" s="303">
        <f t="shared" si="289"/>
        <v>-45.21999999999997</v>
      </c>
      <c r="U1148" s="88">
        <f t="shared" si="290"/>
        <v>265</v>
      </c>
      <c r="V1148" s="82">
        <v>0</v>
      </c>
      <c r="W1148" s="4">
        <v>2</v>
      </c>
      <c r="X1148" s="195">
        <f t="shared" si="291"/>
        <v>265</v>
      </c>
      <c r="Y1148" s="29" t="e">
        <f>IF(+VLOOKUP(I1148,P.Referencia!E:S,3,FALSE)&lt;=L1148,"Champion","Gerente")</f>
        <v>#N/A</v>
      </c>
      <c r="Z1148" s="30" t="e">
        <f>VLOOKUP(I1148,P.Referencia!E:S,3,0)</f>
        <v>#N/A</v>
      </c>
      <c r="AA1148" s="196" t="e">
        <f t="shared" si="292"/>
        <v>#N/A</v>
      </c>
      <c r="AB1148" s="197" t="e">
        <f t="shared" si="293"/>
        <v>#N/A</v>
      </c>
      <c r="AC1148" s="197" t="e">
        <f t="shared" si="294"/>
        <v>#N/A</v>
      </c>
    </row>
    <row r="1149" spans="1:30" s="4" customFormat="1" hidden="1" x14ac:dyDescent="0.25">
      <c r="A1149" s="24">
        <v>1148</v>
      </c>
      <c r="B1149" s="89" t="s">
        <v>642</v>
      </c>
      <c r="C1149" s="4" t="str">
        <f t="shared" si="288"/>
        <v>LlaveD86467375170100002402</v>
      </c>
      <c r="D1149" s="25" t="str">
        <f>VLOOKUP(E1149,'NO MODIFICAR'!J:K,2,0)</f>
        <v>D864</v>
      </c>
      <c r="E1149" s="102" t="s">
        <v>55</v>
      </c>
      <c r="F1149" s="25" t="str">
        <f>VLOOKUP(D1149,'NO MODIFICAR'!F:H,3,0)</f>
        <v xml:space="preserve">CENTRO </v>
      </c>
      <c r="G1149" s="28">
        <v>67375170</v>
      </c>
      <c r="H1149" s="93" t="s">
        <v>991</v>
      </c>
      <c r="I1149" s="94">
        <v>10000240</v>
      </c>
      <c r="J1149" s="4" t="str">
        <f>VLOOKUP(I1149,'Materiales,canteras'!C:D,2,0)</f>
        <v>Grava Triturada Caliza 20 mm -</v>
      </c>
      <c r="K1149" s="25">
        <f>VLOOKUP(I1149,'Materiales,canteras'!C:E,3,0)</f>
        <v>1.462</v>
      </c>
      <c r="L1149" s="82">
        <v>160</v>
      </c>
      <c r="M1149" s="28" t="s">
        <v>93</v>
      </c>
      <c r="N1149" s="193">
        <f t="shared" ca="1" si="276"/>
        <v>46267</v>
      </c>
      <c r="O1149" s="24" t="s">
        <v>678</v>
      </c>
      <c r="P1149" s="195"/>
      <c r="Q1149" s="195"/>
      <c r="R1149" s="4">
        <v>4.41</v>
      </c>
      <c r="S1149" s="4">
        <v>294</v>
      </c>
      <c r="T1149" s="303">
        <f t="shared" si="289"/>
        <v>-129.58999999999997</v>
      </c>
      <c r="U1149" s="88">
        <f t="shared" si="290"/>
        <v>160</v>
      </c>
      <c r="V1149" s="82">
        <v>0</v>
      </c>
      <c r="W1149" s="4">
        <v>2</v>
      </c>
      <c r="X1149" s="195">
        <f t="shared" si="291"/>
        <v>160</v>
      </c>
      <c r="Y1149" s="29" t="e">
        <f>IF(+VLOOKUP(I1149,P.Referencia!E:S,3,FALSE)&lt;=L1149,"Champion","Gerente")</f>
        <v>#N/A</v>
      </c>
      <c r="Z1149" s="30" t="e">
        <f>VLOOKUP(I1149,P.Referencia!E:S,3,0)</f>
        <v>#N/A</v>
      </c>
      <c r="AA1149" s="196" t="e">
        <f t="shared" si="292"/>
        <v>#N/A</v>
      </c>
      <c r="AB1149" s="197" t="e">
        <f t="shared" si="293"/>
        <v>#N/A</v>
      </c>
      <c r="AC1149" s="197" t="e">
        <f t="shared" si="294"/>
        <v>#N/A</v>
      </c>
    </row>
    <row r="1150" spans="1:30" s="4" customFormat="1" hidden="1" x14ac:dyDescent="0.25">
      <c r="A1150" s="24">
        <v>1149</v>
      </c>
      <c r="B1150" s="89" t="s">
        <v>642</v>
      </c>
      <c r="C1150" s="4" t="str">
        <f t="shared" si="288"/>
        <v>LlaveD86467375170100010732</v>
      </c>
      <c r="D1150" s="25" t="str">
        <f>VLOOKUP(E1150,'NO MODIFICAR'!J:K,2,0)</f>
        <v>D864</v>
      </c>
      <c r="E1150" s="102" t="s">
        <v>55</v>
      </c>
      <c r="F1150" s="25" t="str">
        <f>VLOOKUP(D1150,'NO MODIFICAR'!F:H,3,0)</f>
        <v xml:space="preserve">CENTRO </v>
      </c>
      <c r="G1150" s="28">
        <v>67375170</v>
      </c>
      <c r="H1150" s="93" t="s">
        <v>991</v>
      </c>
      <c r="I1150" s="94">
        <v>10001073</v>
      </c>
      <c r="J1150" s="4" t="str">
        <f>VLOOKUP(I1150,'Materiales,canteras'!C:D,2,0)</f>
        <v>Arena Triturada Caliza Malla 4</v>
      </c>
      <c r="K1150" s="25">
        <f>VLOOKUP(I1150,'Materiales,canteras'!C:E,3,0)</f>
        <v>1.56</v>
      </c>
      <c r="L1150" s="82">
        <v>105</v>
      </c>
      <c r="M1150" s="28" t="s">
        <v>93</v>
      </c>
      <c r="N1150" s="193">
        <f t="shared" ca="1" si="276"/>
        <v>46267</v>
      </c>
      <c r="O1150" s="24" t="s">
        <v>679</v>
      </c>
      <c r="P1150" s="195"/>
      <c r="Q1150" s="195"/>
      <c r="R1150" s="4">
        <v>2.37</v>
      </c>
      <c r="S1150" s="4">
        <v>158</v>
      </c>
      <c r="T1150" s="303">
        <f t="shared" si="289"/>
        <v>-50.629999999999995</v>
      </c>
      <c r="U1150" s="88">
        <f t="shared" si="290"/>
        <v>105</v>
      </c>
      <c r="V1150" s="82">
        <v>0</v>
      </c>
      <c r="W1150" s="4">
        <v>2</v>
      </c>
      <c r="X1150" s="195">
        <f t="shared" si="291"/>
        <v>105</v>
      </c>
      <c r="Y1150" s="29" t="e">
        <f>IF(+VLOOKUP(I1150,P.Referencia!E:S,3,FALSE)&lt;=L1150,"Champion","Gerente")</f>
        <v>#N/A</v>
      </c>
      <c r="Z1150" s="30" t="e">
        <f>VLOOKUP(I1150,P.Referencia!E:S,3,0)</f>
        <v>#N/A</v>
      </c>
      <c r="AA1150" s="196" t="e">
        <f t="shared" si="292"/>
        <v>#N/A</v>
      </c>
      <c r="AB1150" s="197" t="e">
        <f t="shared" si="293"/>
        <v>#N/A</v>
      </c>
      <c r="AC1150" s="197" t="e">
        <f t="shared" si="294"/>
        <v>#N/A</v>
      </c>
    </row>
    <row r="1151" spans="1:30" s="4" customFormat="1" hidden="1" x14ac:dyDescent="0.25">
      <c r="A1151" s="24">
        <v>1150</v>
      </c>
      <c r="B1151" s="89" t="s">
        <v>642</v>
      </c>
      <c r="C1151" s="4" t="str">
        <f t="shared" si="288"/>
        <v>LlaveD86167375119100002292</v>
      </c>
      <c r="D1151" s="25" t="str">
        <f>VLOOKUP(E1151,'NO MODIFICAR'!J:K,2,0)</f>
        <v>D861</v>
      </c>
      <c r="E1151" s="102" t="s">
        <v>44</v>
      </c>
      <c r="F1151" s="25" t="str">
        <f>VLOOKUP(D1151,'NO MODIFICAR'!F:H,3,0)</f>
        <v xml:space="preserve">CENTRO </v>
      </c>
      <c r="G1151" s="28">
        <v>67375119</v>
      </c>
      <c r="H1151" s="93" t="s">
        <v>992</v>
      </c>
      <c r="I1151" s="94">
        <v>10000229</v>
      </c>
      <c r="J1151" s="4" t="str">
        <f>VLOOKUP(I1151,'Materiales,canteras'!C:D,2,0)</f>
        <v>Grava Triturada Basalto  10 mm</v>
      </c>
      <c r="K1151" s="25">
        <f>VLOOKUP(I1151,'Materiales,canteras'!C:E,3,0)</f>
        <v>1.522</v>
      </c>
      <c r="L1151" s="82">
        <v>224</v>
      </c>
      <c r="M1151" s="28" t="s">
        <v>93</v>
      </c>
      <c r="N1151" s="193">
        <f t="shared" ca="1" si="276"/>
        <v>46267</v>
      </c>
      <c r="O1151" s="24" t="s">
        <v>680</v>
      </c>
      <c r="P1151" s="195"/>
      <c r="Q1151" s="195"/>
      <c r="R1151" s="4">
        <v>5.28</v>
      </c>
      <c r="S1151" s="4">
        <v>352</v>
      </c>
      <c r="T1151" s="303">
        <f t="shared" si="289"/>
        <v>-122.72000000000003</v>
      </c>
      <c r="U1151" s="88">
        <f t="shared" si="290"/>
        <v>224</v>
      </c>
      <c r="V1151" s="82">
        <v>0</v>
      </c>
      <c r="W1151" s="4">
        <v>2</v>
      </c>
      <c r="X1151" s="195">
        <f t="shared" si="291"/>
        <v>224</v>
      </c>
      <c r="Y1151" s="29" t="e">
        <f>IF(+VLOOKUP(I1151,P.Referencia!E:S,3,FALSE)&lt;=L1151,"Champion","Gerente")</f>
        <v>#N/A</v>
      </c>
      <c r="Z1151" s="30" t="e">
        <f>VLOOKUP(I1151,P.Referencia!E:S,3,0)</f>
        <v>#N/A</v>
      </c>
      <c r="AA1151" s="196" t="e">
        <f t="shared" si="292"/>
        <v>#N/A</v>
      </c>
      <c r="AB1151" s="197" t="e">
        <f t="shared" si="293"/>
        <v>#N/A</v>
      </c>
      <c r="AC1151" s="197" t="e">
        <f t="shared" si="294"/>
        <v>#N/A</v>
      </c>
    </row>
    <row r="1152" spans="1:30" s="4" customFormat="1" hidden="1" x14ac:dyDescent="0.25">
      <c r="A1152" s="24">
        <v>1151</v>
      </c>
      <c r="B1152" s="89" t="s">
        <v>642</v>
      </c>
      <c r="C1152" s="4" t="str">
        <f t="shared" si="288"/>
        <v>LlaveD86167375119100002312</v>
      </c>
      <c r="D1152" s="25" t="str">
        <f>VLOOKUP(E1152,'NO MODIFICAR'!J:K,2,0)</f>
        <v>D861</v>
      </c>
      <c r="E1152" s="102" t="s">
        <v>44</v>
      </c>
      <c r="F1152" s="25" t="str">
        <f>VLOOKUP(D1152,'NO MODIFICAR'!F:H,3,0)</f>
        <v xml:space="preserve">CENTRO </v>
      </c>
      <c r="G1152" s="28">
        <v>67375119</v>
      </c>
      <c r="H1152" s="93" t="s">
        <v>992</v>
      </c>
      <c r="I1152" s="94">
        <v>10000231</v>
      </c>
      <c r="J1152" s="4" t="str">
        <f>VLOOKUP(I1152,'Materiales,canteras'!C:D,2,0)</f>
        <v>Grava Triturada Basalto 20 mm</v>
      </c>
      <c r="K1152" s="25">
        <f>VLOOKUP(I1152,'Materiales,canteras'!C:E,3,0)</f>
        <v>1.5649999999999999</v>
      </c>
      <c r="L1152" s="82">
        <v>224</v>
      </c>
      <c r="M1152" s="28" t="s">
        <v>93</v>
      </c>
      <c r="N1152" s="193">
        <f t="shared" ca="1" si="276"/>
        <v>46267</v>
      </c>
      <c r="O1152" s="24" t="s">
        <v>681</v>
      </c>
      <c r="P1152" s="195"/>
      <c r="Q1152" s="195"/>
      <c r="R1152" s="4">
        <v>4.62</v>
      </c>
      <c r="S1152" s="4">
        <v>308</v>
      </c>
      <c r="T1152" s="303">
        <f t="shared" si="289"/>
        <v>-79.38</v>
      </c>
      <c r="U1152" s="88">
        <f t="shared" si="290"/>
        <v>224</v>
      </c>
      <c r="V1152" s="82">
        <v>0</v>
      </c>
      <c r="W1152" s="4">
        <v>2</v>
      </c>
      <c r="X1152" s="195">
        <f t="shared" si="291"/>
        <v>224</v>
      </c>
      <c r="Y1152" s="29" t="e">
        <f>IF(+VLOOKUP(I1152,P.Referencia!E:S,3,FALSE)&lt;=L1152,"Champion","Gerente")</f>
        <v>#N/A</v>
      </c>
      <c r="Z1152" s="30" t="e">
        <f>VLOOKUP(I1152,P.Referencia!E:S,3,0)</f>
        <v>#N/A</v>
      </c>
      <c r="AA1152" s="196" t="e">
        <f t="shared" si="292"/>
        <v>#N/A</v>
      </c>
      <c r="AB1152" s="197" t="e">
        <f t="shared" si="293"/>
        <v>#N/A</v>
      </c>
      <c r="AC1152" s="197" t="e">
        <f t="shared" si="294"/>
        <v>#N/A</v>
      </c>
    </row>
    <row r="1153" spans="1:29" s="4" customFormat="1" hidden="1" x14ac:dyDescent="0.25">
      <c r="A1153" s="24">
        <v>1152</v>
      </c>
      <c r="B1153" s="89" t="s">
        <v>642</v>
      </c>
      <c r="C1153" s="4" t="str">
        <f t="shared" si="288"/>
        <v>LlaveD86167375119100003112</v>
      </c>
      <c r="D1153" s="25" t="str">
        <f>VLOOKUP(E1153,'NO MODIFICAR'!J:K,2,0)</f>
        <v>D861</v>
      </c>
      <c r="E1153" s="102" t="s">
        <v>44</v>
      </c>
      <c r="F1153" s="25" t="str">
        <f>VLOOKUP(D1153,'NO MODIFICAR'!F:H,3,0)</f>
        <v xml:space="preserve">CENTRO </v>
      </c>
      <c r="G1153" s="28">
        <v>67375119</v>
      </c>
      <c r="H1153" s="93" t="s">
        <v>992</v>
      </c>
      <c r="I1153" s="94">
        <v>10000311</v>
      </c>
      <c r="J1153" s="4" t="str">
        <f>VLOOKUP(I1153,'Materiales,canteras'!C:D,2,0)</f>
        <v>Arena Triturada Basalto  Malla</v>
      </c>
      <c r="K1153" s="25">
        <f>VLOOKUP(I1153,'Materiales,canteras'!C:E,3,0)</f>
        <v>1.651</v>
      </c>
      <c r="L1153" s="82">
        <v>204.98</v>
      </c>
      <c r="M1153" s="28" t="s">
        <v>93</v>
      </c>
      <c r="N1153" s="193">
        <f t="shared" ca="1" si="276"/>
        <v>46267</v>
      </c>
      <c r="O1153" s="24" t="s">
        <v>682</v>
      </c>
      <c r="P1153" s="195"/>
      <c r="Q1153" s="195"/>
      <c r="R1153" s="4">
        <v>4.29</v>
      </c>
      <c r="S1153" s="4">
        <v>286</v>
      </c>
      <c r="T1153" s="303">
        <f t="shared" si="289"/>
        <v>-76.72999999999999</v>
      </c>
      <c r="U1153" s="88">
        <f t="shared" si="290"/>
        <v>204.98</v>
      </c>
      <c r="V1153" s="82">
        <v>0</v>
      </c>
      <c r="W1153" s="4">
        <v>2</v>
      </c>
      <c r="X1153" s="195">
        <f t="shared" si="291"/>
        <v>204.98</v>
      </c>
      <c r="Y1153" s="29" t="e">
        <f>IF(+VLOOKUP(I1153,P.Referencia!E:S,3,FALSE)&lt;=L1153,"Champion","Gerente")</f>
        <v>#N/A</v>
      </c>
      <c r="Z1153" s="30" t="e">
        <f>VLOOKUP(I1153,P.Referencia!E:S,3,0)</f>
        <v>#N/A</v>
      </c>
      <c r="AA1153" s="196" t="e">
        <f t="shared" si="292"/>
        <v>#N/A</v>
      </c>
      <c r="AB1153" s="197" t="e">
        <f t="shared" si="293"/>
        <v>#N/A</v>
      </c>
      <c r="AC1153" s="197" t="e">
        <f t="shared" si="294"/>
        <v>#N/A</v>
      </c>
    </row>
    <row r="1154" spans="1:29" s="4" customFormat="1" hidden="1" x14ac:dyDescent="0.25">
      <c r="A1154" s="24">
        <v>1153</v>
      </c>
      <c r="B1154" s="89" t="s">
        <v>642</v>
      </c>
      <c r="C1154" s="4" t="str">
        <f t="shared" si="288"/>
        <v>LlaveD86167375119100668612</v>
      </c>
      <c r="D1154" s="25" t="str">
        <f>VLOOKUP(E1154,'NO MODIFICAR'!J:K,2,0)</f>
        <v>D861</v>
      </c>
      <c r="E1154" s="102" t="s">
        <v>44</v>
      </c>
      <c r="F1154" s="25" t="str">
        <f>VLOOKUP(D1154,'NO MODIFICAR'!F:H,3,0)</f>
        <v xml:space="preserve">CENTRO </v>
      </c>
      <c r="G1154" s="28">
        <v>67375119</v>
      </c>
      <c r="H1154" s="93" t="s">
        <v>992</v>
      </c>
      <c r="I1154" s="94">
        <v>10066861</v>
      </c>
      <c r="J1154" s="4" t="str">
        <f>VLOOKUP(I1154,'Materiales,canteras'!C:D,2,0)</f>
        <v>GRAVA TRITURADA BASALTO DE 40</v>
      </c>
      <c r="K1154" s="25">
        <f>VLOOKUP(I1154,'Materiales,canteras'!C:E,3,0)</f>
        <v>1.464</v>
      </c>
      <c r="L1154" s="82">
        <v>224</v>
      </c>
      <c r="M1154" s="28" t="s">
        <v>93</v>
      </c>
      <c r="N1154" s="193">
        <f t="shared" ca="1" si="276"/>
        <v>46267</v>
      </c>
      <c r="O1154" s="24" t="s">
        <v>683</v>
      </c>
      <c r="P1154" s="195"/>
      <c r="Q1154" s="195"/>
      <c r="R1154" s="4">
        <v>3.3</v>
      </c>
      <c r="S1154" s="4">
        <v>220</v>
      </c>
      <c r="T1154" s="303">
        <f t="shared" si="289"/>
        <v>7.3000000000000114</v>
      </c>
      <c r="U1154" s="88">
        <f t="shared" si="290"/>
        <v>224</v>
      </c>
      <c r="V1154" s="82">
        <v>0</v>
      </c>
      <c r="W1154" s="4">
        <v>2</v>
      </c>
      <c r="X1154" s="195">
        <f t="shared" si="291"/>
        <v>224</v>
      </c>
      <c r="Y1154" s="29" t="e">
        <f>IF(+VLOOKUP(I1154,P.Referencia!E:S,3,FALSE)&lt;=L1154,"Champion","Gerente")</f>
        <v>#N/A</v>
      </c>
      <c r="Z1154" s="30" t="e">
        <f>VLOOKUP(I1154,P.Referencia!E:S,3,0)</f>
        <v>#N/A</v>
      </c>
      <c r="AA1154" s="196" t="e">
        <f t="shared" si="292"/>
        <v>#N/A</v>
      </c>
      <c r="AB1154" s="197" t="e">
        <f t="shared" si="293"/>
        <v>#N/A</v>
      </c>
      <c r="AC1154" s="197" t="e">
        <f t="shared" si="294"/>
        <v>#N/A</v>
      </c>
    </row>
    <row r="1155" spans="1:29" s="4" customFormat="1" hidden="1" x14ac:dyDescent="0.25">
      <c r="A1155" s="24">
        <v>1154</v>
      </c>
      <c r="B1155" s="89" t="s">
        <v>642</v>
      </c>
      <c r="C1155" s="4" t="str">
        <f t="shared" si="288"/>
        <v>LlaveD81667339273100002371</v>
      </c>
      <c r="D1155" s="25" t="str">
        <f>VLOOKUP(E1155,'NO MODIFICAR'!J:K,2,0)</f>
        <v>D816</v>
      </c>
      <c r="E1155" s="102" t="s">
        <v>15</v>
      </c>
      <c r="F1155" s="25" t="str">
        <f>VLOOKUP(D1155,'NO MODIFICAR'!F:H,3,0)</f>
        <v>NORESTE</v>
      </c>
      <c r="G1155" s="28">
        <v>67339273</v>
      </c>
      <c r="H1155" s="93" t="s">
        <v>586</v>
      </c>
      <c r="I1155" s="94">
        <v>10000237</v>
      </c>
      <c r="J1155" s="4" t="str">
        <f>VLOOKUP(I1155,'Materiales,canteras'!C:D,2,0)</f>
        <v>Grava Triturada Caliza 10 mm -</v>
      </c>
      <c r="K1155" s="25">
        <f>VLOOKUP(I1155,'Materiales,canteras'!C:E,3,0)</f>
        <v>1.5620000000000001</v>
      </c>
      <c r="L1155" s="82">
        <v>353</v>
      </c>
      <c r="M1155" s="28" t="s">
        <v>93</v>
      </c>
      <c r="N1155" s="193">
        <f t="shared" ca="1" si="276"/>
        <v>46267</v>
      </c>
      <c r="O1155" s="24" t="s">
        <v>684</v>
      </c>
      <c r="P1155" s="195"/>
      <c r="Q1155" s="195"/>
      <c r="R1155" s="4">
        <v>20.7</v>
      </c>
      <c r="S1155" s="4">
        <v>414</v>
      </c>
      <c r="T1155" s="303">
        <f t="shared" si="289"/>
        <v>-40.300000000000011</v>
      </c>
      <c r="U1155" s="88">
        <f t="shared" si="290"/>
        <v>353</v>
      </c>
      <c r="V1155" s="82">
        <v>101.95</v>
      </c>
      <c r="W1155" s="4">
        <v>1</v>
      </c>
      <c r="X1155" s="195">
        <f t="shared" si="291"/>
        <v>454.95</v>
      </c>
      <c r="Y1155" s="29" t="e">
        <f>IF(+VLOOKUP(I1155,P.Referencia!E:S,3,FALSE)&lt;=L1155,"Champion","Gerente")</f>
        <v>#N/A</v>
      </c>
      <c r="Z1155" s="30" t="e">
        <f>VLOOKUP(I1155,P.Referencia!E:S,3,0)</f>
        <v>#N/A</v>
      </c>
      <c r="AA1155" s="196" t="e">
        <f t="shared" si="292"/>
        <v>#N/A</v>
      </c>
      <c r="AB1155" s="197" t="e">
        <f t="shared" si="293"/>
        <v>#N/A</v>
      </c>
      <c r="AC1155" s="197" t="e">
        <f t="shared" si="294"/>
        <v>#N/A</v>
      </c>
    </row>
    <row r="1156" spans="1:29" s="4" customFormat="1" hidden="1" x14ac:dyDescent="0.25">
      <c r="A1156" s="24">
        <v>1155</v>
      </c>
      <c r="B1156" s="89" t="s">
        <v>642</v>
      </c>
      <c r="C1156" s="4" t="str">
        <f t="shared" si="288"/>
        <v>LlaveD81667339273102690421</v>
      </c>
      <c r="D1156" s="25" t="str">
        <f>VLOOKUP(E1156,'NO MODIFICAR'!J:K,2,0)</f>
        <v>D816</v>
      </c>
      <c r="E1156" s="102" t="s">
        <v>15</v>
      </c>
      <c r="F1156" s="25" t="str">
        <f>VLOOKUP(D1156,'NO MODIFICAR'!F:H,3,0)</f>
        <v>NORESTE</v>
      </c>
      <c r="G1156" s="28">
        <v>67339273</v>
      </c>
      <c r="H1156" s="93" t="s">
        <v>586</v>
      </c>
      <c r="I1156" s="94">
        <v>10269042</v>
      </c>
      <c r="J1156" s="4" t="str">
        <f>VLOOKUP(I1156,'Materiales,canteras'!C:D,2,0)</f>
        <v>NO CLASIFICADO BALASTO B9</v>
      </c>
      <c r="K1156" s="25">
        <f>VLOOKUP(I1156,'Materiales,canteras'!C:E,3,0)</f>
        <v>1.456</v>
      </c>
      <c r="L1156" s="82">
        <v>275.05</v>
      </c>
      <c r="M1156" s="28" t="s">
        <v>93</v>
      </c>
      <c r="N1156" s="193">
        <f t="shared" ca="1" si="276"/>
        <v>46267</v>
      </c>
      <c r="O1156" s="24" t="s">
        <v>685</v>
      </c>
      <c r="P1156" s="195"/>
      <c r="Q1156" s="195"/>
      <c r="R1156" s="4">
        <v>16.100000000000001</v>
      </c>
      <c r="S1156" s="4">
        <v>322</v>
      </c>
      <c r="T1156" s="303">
        <f t="shared" si="289"/>
        <v>-30.849999999999966</v>
      </c>
      <c r="U1156" s="88">
        <f t="shared" si="290"/>
        <v>275.05</v>
      </c>
      <c r="V1156" s="82">
        <v>101.95</v>
      </c>
      <c r="W1156" s="4">
        <v>1</v>
      </c>
      <c r="X1156" s="195">
        <f t="shared" si="291"/>
        <v>377</v>
      </c>
      <c r="Y1156" s="29" t="e">
        <f>IF(+VLOOKUP(I1156,P.Referencia!E:S,3,FALSE)&lt;=L1156,"Champion","Gerente")</f>
        <v>#N/A</v>
      </c>
      <c r="Z1156" s="30" t="e">
        <f>VLOOKUP(I1156,P.Referencia!E:S,3,0)</f>
        <v>#N/A</v>
      </c>
      <c r="AA1156" s="196" t="e">
        <f t="shared" si="292"/>
        <v>#N/A</v>
      </c>
      <c r="AB1156" s="197" t="e">
        <f t="shared" si="293"/>
        <v>#N/A</v>
      </c>
      <c r="AC1156" s="197" t="e">
        <f t="shared" si="294"/>
        <v>#N/A</v>
      </c>
    </row>
    <row r="1157" spans="1:29" s="4" customFormat="1" hidden="1" x14ac:dyDescent="0.25">
      <c r="A1157" s="24">
        <v>1156</v>
      </c>
      <c r="B1157" s="89" t="s">
        <v>642</v>
      </c>
      <c r="C1157" s="4" t="str">
        <f t="shared" si="288"/>
        <v>LlaveD81667339273101488241</v>
      </c>
      <c r="D1157" s="25" t="str">
        <f>VLOOKUP(E1157,'NO MODIFICAR'!J:K,2,0)</f>
        <v>D816</v>
      </c>
      <c r="E1157" s="102" t="s">
        <v>15</v>
      </c>
      <c r="F1157" s="25" t="str">
        <f>VLOOKUP(D1157,'NO MODIFICAR'!F:H,3,0)</f>
        <v>NORESTE</v>
      </c>
      <c r="G1157" s="28">
        <v>67339273</v>
      </c>
      <c r="H1157" s="93" t="s">
        <v>586</v>
      </c>
      <c r="I1157" s="94">
        <v>10148824</v>
      </c>
      <c r="J1157" s="4" t="str">
        <f>VLOOKUP(I1157,'Materiales,canteras'!C:D,2,0)</f>
        <v>BALASTO PIEDRA CALIZA 4"-6"</v>
      </c>
      <c r="K1157" s="25">
        <f>VLOOKUP(I1157,'Materiales,canteras'!C:E,3,0)</f>
        <v>1.5</v>
      </c>
      <c r="L1157" s="82">
        <v>290.05</v>
      </c>
      <c r="M1157" s="28" t="s">
        <v>93</v>
      </c>
      <c r="N1157" s="193">
        <f t="shared" ca="1" si="276"/>
        <v>46267</v>
      </c>
      <c r="O1157" s="24" t="s">
        <v>686</v>
      </c>
      <c r="P1157" s="195"/>
      <c r="Q1157" s="195"/>
      <c r="R1157" s="4">
        <v>15.25</v>
      </c>
      <c r="S1157" s="4">
        <v>305</v>
      </c>
      <c r="T1157" s="303">
        <f t="shared" si="289"/>
        <v>0.30000000000001137</v>
      </c>
      <c r="U1157" s="88">
        <f t="shared" si="290"/>
        <v>290.05</v>
      </c>
      <c r="V1157" s="82">
        <v>101.95</v>
      </c>
      <c r="W1157" s="4">
        <v>1</v>
      </c>
      <c r="X1157" s="195">
        <f t="shared" si="291"/>
        <v>392</v>
      </c>
      <c r="Y1157" s="29" t="e">
        <f>IF(+VLOOKUP(I1157,P.Referencia!E:S,3,FALSE)&lt;=L1157,"Champion","Gerente")</f>
        <v>#N/A</v>
      </c>
      <c r="Z1157" s="30" t="e">
        <f>VLOOKUP(I1157,P.Referencia!E:S,3,0)</f>
        <v>#N/A</v>
      </c>
      <c r="AA1157" s="196" t="e">
        <f t="shared" si="292"/>
        <v>#N/A</v>
      </c>
      <c r="AB1157" s="197" t="e">
        <f t="shared" si="293"/>
        <v>#N/A</v>
      </c>
      <c r="AC1157" s="197" t="e">
        <f t="shared" si="294"/>
        <v>#N/A</v>
      </c>
    </row>
    <row r="1158" spans="1:29" s="4" customFormat="1" hidden="1" x14ac:dyDescent="0.25">
      <c r="A1158" s="24">
        <v>1157</v>
      </c>
      <c r="B1158" s="89" t="s">
        <v>642</v>
      </c>
      <c r="C1158" s="4" t="str">
        <f t="shared" si="288"/>
        <v>LlaveD81667375628100001242</v>
      </c>
      <c r="D1158" s="25" t="str">
        <f>VLOOKUP(E1158,'NO MODIFICAR'!J:K,2,0)</f>
        <v>D816</v>
      </c>
      <c r="E1158" s="102" t="s">
        <v>15</v>
      </c>
      <c r="F1158" s="25" t="str">
        <f>VLOOKUP(D1158,'NO MODIFICAR'!F:H,3,0)</f>
        <v>NORESTE</v>
      </c>
      <c r="G1158" s="28">
        <v>67375628</v>
      </c>
      <c r="H1158" s="93" t="s">
        <v>993</v>
      </c>
      <c r="I1158" s="94">
        <v>10000124</v>
      </c>
      <c r="J1158" s="4" t="str">
        <f>VLOOKUP(I1158,'Materiales,canteras'!C:D,2,0)</f>
        <v>Arena Triturada Caliza Malla 4</v>
      </c>
      <c r="K1158" s="25">
        <f>VLOOKUP(I1158,'Materiales,canteras'!C:E,3,0)</f>
        <v>1.7390000000000001</v>
      </c>
      <c r="L1158" s="82">
        <v>295</v>
      </c>
      <c r="M1158" s="28" t="s">
        <v>93</v>
      </c>
      <c r="N1158" s="193">
        <f t="shared" ca="1" si="276"/>
        <v>46267</v>
      </c>
      <c r="O1158" s="24" t="s">
        <v>687</v>
      </c>
      <c r="P1158" s="195"/>
      <c r="Q1158" s="195"/>
      <c r="R1158" s="4">
        <v>7.43</v>
      </c>
      <c r="S1158" s="4">
        <v>495</v>
      </c>
      <c r="T1158" s="303">
        <f t="shared" si="289"/>
        <v>-192.57</v>
      </c>
      <c r="U1158" s="88">
        <f t="shared" si="290"/>
        <v>295</v>
      </c>
      <c r="V1158" s="82">
        <v>0</v>
      </c>
      <c r="W1158" s="4">
        <v>2</v>
      </c>
      <c r="X1158" s="195">
        <f t="shared" si="291"/>
        <v>295</v>
      </c>
      <c r="Y1158" s="29" t="e">
        <f>IF(+VLOOKUP(I1158,P.Referencia!E:S,3,FALSE)&lt;=L1158,"Champion","Gerente")</f>
        <v>#N/A</v>
      </c>
      <c r="Z1158" s="30" t="e">
        <f>VLOOKUP(I1158,P.Referencia!E:S,3,0)</f>
        <v>#N/A</v>
      </c>
      <c r="AA1158" s="196" t="e">
        <f t="shared" si="292"/>
        <v>#N/A</v>
      </c>
      <c r="AB1158" s="197" t="e">
        <f t="shared" si="293"/>
        <v>#N/A</v>
      </c>
      <c r="AC1158" s="197" t="e">
        <f t="shared" si="294"/>
        <v>#N/A</v>
      </c>
    </row>
    <row r="1159" spans="1:29" s="4" customFormat="1" hidden="1" x14ac:dyDescent="0.25">
      <c r="A1159" s="24">
        <v>1158</v>
      </c>
      <c r="B1159" s="89" t="s">
        <v>642</v>
      </c>
      <c r="C1159" s="4" t="str">
        <f t="shared" si="288"/>
        <v>LlaveD86167204053100002312</v>
      </c>
      <c r="D1159" s="25" t="str">
        <f>VLOOKUP(E1159,'NO MODIFICAR'!J:K,2,0)</f>
        <v>D861</v>
      </c>
      <c r="E1159" s="102" t="s">
        <v>44</v>
      </c>
      <c r="F1159" s="25" t="str">
        <f>VLOOKUP(D1159,'NO MODIFICAR'!F:H,3,0)</f>
        <v xml:space="preserve">CENTRO </v>
      </c>
      <c r="G1159" s="28">
        <v>67204053</v>
      </c>
      <c r="H1159" s="310" t="s">
        <v>994</v>
      </c>
      <c r="I1159" s="94">
        <v>10000231</v>
      </c>
      <c r="J1159" s="4" t="str">
        <f>VLOOKUP(I1159,'Materiales,canteras'!C:D,2,0)</f>
        <v>Grava Triturada Basalto 20 mm</v>
      </c>
      <c r="K1159" s="25">
        <f>VLOOKUP(I1159,'Materiales,canteras'!C:E,3,0)</f>
        <v>1.5649999999999999</v>
      </c>
      <c r="L1159" s="82">
        <v>225</v>
      </c>
      <c r="M1159" s="28" t="s">
        <v>93</v>
      </c>
      <c r="N1159" s="193">
        <f t="shared" ref="N1159:N1222" ca="1" si="295">TODAY()</f>
        <v>46267</v>
      </c>
      <c r="O1159" s="24" t="s">
        <v>688</v>
      </c>
      <c r="P1159" s="195"/>
      <c r="Q1159" s="195"/>
      <c r="R1159" s="4">
        <v>4.62</v>
      </c>
      <c r="S1159" s="4">
        <v>308</v>
      </c>
      <c r="T1159" s="303">
        <f t="shared" si="289"/>
        <v>-78.38</v>
      </c>
      <c r="U1159" s="88">
        <f t="shared" si="290"/>
        <v>225</v>
      </c>
      <c r="V1159" s="82">
        <v>0</v>
      </c>
      <c r="W1159" s="4">
        <v>2</v>
      </c>
      <c r="X1159" s="195">
        <f t="shared" si="291"/>
        <v>225</v>
      </c>
      <c r="Y1159" s="29" t="e">
        <f>IF(+VLOOKUP(I1159,P.Referencia!E:S,3,FALSE)&lt;=L1159,"Champion","Gerente")</f>
        <v>#N/A</v>
      </c>
      <c r="Z1159" s="30" t="e">
        <f>VLOOKUP(I1159,P.Referencia!E:S,3,0)</f>
        <v>#N/A</v>
      </c>
      <c r="AA1159" s="196" t="e">
        <f t="shared" si="292"/>
        <v>#N/A</v>
      </c>
      <c r="AB1159" s="197" t="e">
        <f t="shared" si="293"/>
        <v>#N/A</v>
      </c>
      <c r="AC1159" s="197" t="e">
        <f t="shared" si="294"/>
        <v>#N/A</v>
      </c>
    </row>
    <row r="1160" spans="1:29" hidden="1" x14ac:dyDescent="0.25">
      <c r="A1160" s="24">
        <v>1159</v>
      </c>
      <c r="B1160" s="89" t="s">
        <v>642</v>
      </c>
      <c r="C1160" s="4" t="str">
        <f t="shared" si="288"/>
        <v>LlaveD81366970213100023502</v>
      </c>
      <c r="D1160" s="25" t="str">
        <f>VLOOKUP(E1160,'NO MODIFICAR'!J:K,2,0)</f>
        <v>D813</v>
      </c>
      <c r="E1160" s="102" t="s">
        <v>6</v>
      </c>
      <c r="F1160" s="25" t="str">
        <f>VLOOKUP(D1160,'NO MODIFICAR'!F:H,3,0)</f>
        <v xml:space="preserve">CENTRO </v>
      </c>
      <c r="G1160" s="25">
        <v>66970213</v>
      </c>
      <c r="H1160" s="31" t="s">
        <v>995</v>
      </c>
      <c r="I1160" s="25">
        <v>10002350</v>
      </c>
      <c r="J1160" s="4" t="str">
        <f>VLOOKUP(I1160,'Materiales,canteras'!C:D,2,0)</f>
        <v>Grava Triturada Andesita 10mm-</v>
      </c>
      <c r="K1160" s="25">
        <f>VLOOKUP(I1160,'Materiales,canteras'!C:E,3,0)</f>
        <v>1.246</v>
      </c>
      <c r="L1160" s="82">
        <v>80</v>
      </c>
      <c r="M1160" s="28" t="s">
        <v>93</v>
      </c>
      <c r="N1160" s="193">
        <f t="shared" ca="1" si="295"/>
        <v>46267</v>
      </c>
      <c r="O1160" s="24" t="s">
        <v>689</v>
      </c>
      <c r="P1160" s="4"/>
      <c r="Q1160" s="4"/>
      <c r="R1160" s="4">
        <v>2.37</v>
      </c>
      <c r="S1160" s="4">
        <v>158</v>
      </c>
      <c r="T1160" s="303">
        <f t="shared" si="289"/>
        <v>-75.63</v>
      </c>
      <c r="U1160" s="88">
        <f t="shared" si="290"/>
        <v>80</v>
      </c>
      <c r="V1160" s="82">
        <v>0</v>
      </c>
      <c r="W1160" s="4">
        <v>2</v>
      </c>
      <c r="X1160" s="195">
        <f t="shared" si="291"/>
        <v>80</v>
      </c>
      <c r="Y1160" s="29" t="e">
        <f>IF(+VLOOKUP(I1160,P.Referencia!E:S,3,FALSE)&lt;=L1160,"Champion","Gerente")</f>
        <v>#N/A</v>
      </c>
      <c r="Z1160" s="30" t="e">
        <f>VLOOKUP(I1160,P.Referencia!E:S,3,0)</f>
        <v>#N/A</v>
      </c>
      <c r="AA1160" s="196" t="e">
        <f t="shared" si="292"/>
        <v>#N/A</v>
      </c>
      <c r="AB1160" s="197" t="e">
        <f t="shared" si="293"/>
        <v>#N/A</v>
      </c>
      <c r="AC1160" s="197" t="e">
        <f t="shared" si="294"/>
        <v>#N/A</v>
      </c>
    </row>
    <row r="1161" spans="1:29" hidden="1" x14ac:dyDescent="0.25">
      <c r="A1161" s="24">
        <v>1160</v>
      </c>
      <c r="B1161" s="89" t="s">
        <v>642</v>
      </c>
      <c r="C1161" s="4" t="str">
        <f t="shared" si="288"/>
        <v>LlaveD81667318318100002621</v>
      </c>
      <c r="D1161" s="25" t="str">
        <f>VLOOKUP(E1161,'NO MODIFICAR'!J:K,2,0)</f>
        <v>D816</v>
      </c>
      <c r="E1161" s="102" t="s">
        <v>15</v>
      </c>
      <c r="F1161" s="25" t="str">
        <f>VLOOKUP(D1161,'NO MODIFICAR'!F:H,3,0)</f>
        <v>NORESTE</v>
      </c>
      <c r="G1161" s="25">
        <v>67318318</v>
      </c>
      <c r="H1161" s="31" t="s">
        <v>565</v>
      </c>
      <c r="I1161" s="25">
        <v>10000262</v>
      </c>
      <c r="J1161" s="4" t="str">
        <f>VLOOKUP(I1161,'Materiales,canteras'!C:D,2,0)</f>
        <v>Base H Triturada Caliza 1 1/2"</v>
      </c>
      <c r="K1161" s="25">
        <f>VLOOKUP(I1161,'Materiales,canteras'!C:E,3,0)</f>
        <v>1.821</v>
      </c>
      <c r="L1161" s="82">
        <v>300.49</v>
      </c>
      <c r="M1161" s="28" t="s">
        <v>93</v>
      </c>
      <c r="N1161" s="193">
        <f t="shared" ca="1" si="295"/>
        <v>46267</v>
      </c>
      <c r="O1161" s="24" t="s">
        <v>201</v>
      </c>
      <c r="P1161" s="4"/>
      <c r="Q1161" s="4"/>
      <c r="R1161" s="4"/>
      <c r="S1161" s="4">
        <v>357</v>
      </c>
      <c r="T1161" s="303">
        <f t="shared" si="289"/>
        <v>-56.509999999999991</v>
      </c>
      <c r="U1161" s="88">
        <f t="shared" si="290"/>
        <v>300.49</v>
      </c>
      <c r="V1161" s="82">
        <v>118.51</v>
      </c>
      <c r="W1161" s="4">
        <v>1</v>
      </c>
      <c r="X1161" s="195">
        <f t="shared" si="291"/>
        <v>419</v>
      </c>
      <c r="Y1161" s="29" t="e">
        <f>IF(+VLOOKUP(I1161,P.Referencia!E:S,3,FALSE)&lt;=L1161,"Champion","Gerente")</f>
        <v>#N/A</v>
      </c>
      <c r="Z1161" s="30" t="e">
        <f>VLOOKUP(I1161,P.Referencia!E:S,3,0)</f>
        <v>#N/A</v>
      </c>
      <c r="AA1161" s="196" t="e">
        <f t="shared" si="292"/>
        <v>#N/A</v>
      </c>
      <c r="AB1161" s="197" t="e">
        <f t="shared" si="293"/>
        <v>#N/A</v>
      </c>
      <c r="AC1161" s="197" t="e">
        <f t="shared" si="294"/>
        <v>#N/A</v>
      </c>
    </row>
    <row r="1162" spans="1:29" s="4" customFormat="1" hidden="1" x14ac:dyDescent="0.25">
      <c r="A1162" s="24">
        <v>1161</v>
      </c>
      <c r="B1162" s="89" t="s">
        <v>642</v>
      </c>
      <c r="C1162" s="4" t="str">
        <f t="shared" si="288"/>
        <v>LlaveD8646734439610000236</v>
      </c>
      <c r="D1162" s="25" t="str">
        <f>VLOOKUP(E1162,'NO MODIFICAR'!J:K,2,0)</f>
        <v>D864</v>
      </c>
      <c r="E1162" s="102" t="s">
        <v>55</v>
      </c>
      <c r="F1162" s="25" t="str">
        <f>VLOOKUP(D1162,'NO MODIFICAR'!F:H,3,0)</f>
        <v xml:space="preserve">CENTRO </v>
      </c>
      <c r="G1162" s="28">
        <v>67344396</v>
      </c>
      <c r="H1162" s="310" t="s">
        <v>340</v>
      </c>
      <c r="I1162" s="94">
        <v>10000236</v>
      </c>
      <c r="J1162" s="4" t="str">
        <f>VLOOKUP(I1162,'Materiales,canteras'!C:D,2,0)</f>
        <v>Grava Triturada Caliza 10 mm -</v>
      </c>
      <c r="K1162" s="25">
        <f>VLOOKUP(I1162,'Materiales,canteras'!C:E,3,0)</f>
        <v>1.41</v>
      </c>
      <c r="L1162" s="82">
        <v>130</v>
      </c>
      <c r="M1162" s="28" t="s">
        <v>93</v>
      </c>
      <c r="N1162" s="193">
        <f t="shared" ca="1" si="295"/>
        <v>46267</v>
      </c>
      <c r="O1162" s="24" t="s">
        <v>690</v>
      </c>
      <c r="P1162" s="195"/>
      <c r="Q1162" s="195"/>
      <c r="R1162" s="4">
        <v>3.78</v>
      </c>
      <c r="S1162" s="4">
        <v>252</v>
      </c>
      <c r="T1162" s="303">
        <f t="shared" si="289"/>
        <v>-118.22</v>
      </c>
      <c r="U1162" s="88">
        <f t="shared" si="290"/>
        <v>130</v>
      </c>
      <c r="V1162" s="82"/>
      <c r="X1162" s="195">
        <f t="shared" si="291"/>
        <v>130</v>
      </c>
      <c r="Y1162" s="29" t="e">
        <f>IF(+VLOOKUP(I1162,P.Referencia!E:S,3,FALSE)&lt;=L1162,"Champion","Gerente")</f>
        <v>#N/A</v>
      </c>
      <c r="Z1162" s="30" t="e">
        <f>VLOOKUP(I1162,P.Referencia!E:S,3,0)</f>
        <v>#N/A</v>
      </c>
      <c r="AA1162" s="196" t="e">
        <f t="shared" si="292"/>
        <v>#N/A</v>
      </c>
      <c r="AB1162" s="197" t="e">
        <f t="shared" si="293"/>
        <v>#N/A</v>
      </c>
      <c r="AC1162" s="197" t="e">
        <f t="shared" si="294"/>
        <v>#N/A</v>
      </c>
    </row>
    <row r="1163" spans="1:29" s="4" customFormat="1" hidden="1" x14ac:dyDescent="0.25">
      <c r="A1163" s="24">
        <v>1162</v>
      </c>
      <c r="B1163" s="89" t="s">
        <v>642</v>
      </c>
      <c r="C1163" s="4" t="str">
        <f t="shared" si="288"/>
        <v>LlaveD8646734439610000240</v>
      </c>
      <c r="D1163" s="25" t="str">
        <f>VLOOKUP(E1163,'NO MODIFICAR'!J:K,2,0)</f>
        <v>D864</v>
      </c>
      <c r="E1163" s="102" t="s">
        <v>55</v>
      </c>
      <c r="F1163" s="25" t="str">
        <f>VLOOKUP(D1163,'NO MODIFICAR'!F:H,3,0)</f>
        <v xml:space="preserve">CENTRO </v>
      </c>
      <c r="G1163" s="28">
        <v>67344396</v>
      </c>
      <c r="H1163" s="310" t="s">
        <v>340</v>
      </c>
      <c r="I1163" s="94">
        <v>10000240</v>
      </c>
      <c r="J1163" s="4" t="str">
        <f>VLOOKUP(I1163,'Materiales,canteras'!C:D,2,0)</f>
        <v>Grava Triturada Caliza 20 mm -</v>
      </c>
      <c r="K1163" s="25">
        <f>VLOOKUP(I1163,'Materiales,canteras'!C:E,3,0)</f>
        <v>1.462</v>
      </c>
      <c r="L1163" s="82">
        <v>137</v>
      </c>
      <c r="M1163" s="28" t="s">
        <v>93</v>
      </c>
      <c r="N1163" s="193">
        <f t="shared" ca="1" si="295"/>
        <v>46267</v>
      </c>
      <c r="O1163" s="24" t="s">
        <v>691</v>
      </c>
      <c r="P1163" s="195"/>
      <c r="Q1163" s="195"/>
      <c r="R1163" s="4">
        <v>4.41</v>
      </c>
      <c r="S1163" s="4">
        <v>294</v>
      </c>
      <c r="T1163" s="303">
        <f t="shared" si="289"/>
        <v>-152.58999999999997</v>
      </c>
      <c r="U1163" s="88">
        <f t="shared" si="290"/>
        <v>137</v>
      </c>
      <c r="V1163" s="82"/>
      <c r="X1163" s="195">
        <f t="shared" si="291"/>
        <v>137</v>
      </c>
      <c r="Y1163" s="29" t="e">
        <f>IF(+VLOOKUP(I1163,P.Referencia!E:S,3,FALSE)&lt;=L1163,"Champion","Gerente")</f>
        <v>#N/A</v>
      </c>
      <c r="Z1163" s="30" t="e">
        <f>VLOOKUP(I1163,P.Referencia!E:S,3,0)</f>
        <v>#N/A</v>
      </c>
      <c r="AA1163" s="196" t="e">
        <f t="shared" si="292"/>
        <v>#N/A</v>
      </c>
      <c r="AB1163" s="197" t="e">
        <f t="shared" si="293"/>
        <v>#N/A</v>
      </c>
      <c r="AC1163" s="197" t="e">
        <f t="shared" si="294"/>
        <v>#N/A</v>
      </c>
    </row>
    <row r="1164" spans="1:29" s="4" customFormat="1" hidden="1" x14ac:dyDescent="0.25">
      <c r="A1164" s="24">
        <v>1163</v>
      </c>
      <c r="B1164" s="89" t="s">
        <v>642</v>
      </c>
      <c r="C1164" s="4" t="str">
        <f t="shared" si="288"/>
        <v>LlaveD8646734439610000269</v>
      </c>
      <c r="D1164" s="25" t="str">
        <f>VLOOKUP(E1164,'NO MODIFICAR'!J:K,2,0)</f>
        <v>D864</v>
      </c>
      <c r="E1164" s="102" t="s">
        <v>55</v>
      </c>
      <c r="F1164" s="25" t="str">
        <f>VLOOKUP(D1164,'NO MODIFICAR'!F:H,3,0)</f>
        <v xml:space="preserve">CENTRO </v>
      </c>
      <c r="G1164" s="28">
        <v>67344396</v>
      </c>
      <c r="H1164" s="310" t="s">
        <v>340</v>
      </c>
      <c r="I1164" s="94">
        <v>10000269</v>
      </c>
      <c r="J1164" s="4" t="str">
        <f>VLOOKUP(I1164,'Materiales,canteras'!C:D,2,0)</f>
        <v>Grava Triturada Caliza 13 mm -</v>
      </c>
      <c r="K1164" s="25">
        <f>VLOOKUP(I1164,'Materiales,canteras'!C:E,3,0)</f>
        <v>1.423</v>
      </c>
      <c r="L1164" s="82">
        <v>152.5</v>
      </c>
      <c r="M1164" s="28" t="s">
        <v>93</v>
      </c>
      <c r="N1164" s="193">
        <f t="shared" ca="1" si="295"/>
        <v>46267</v>
      </c>
      <c r="O1164" s="24" t="s">
        <v>692</v>
      </c>
      <c r="P1164" s="195"/>
      <c r="Q1164" s="195"/>
      <c r="R1164" s="4">
        <v>3.95</v>
      </c>
      <c r="S1164" s="4">
        <v>263</v>
      </c>
      <c r="T1164" s="303">
        <f t="shared" si="289"/>
        <v>-106.55000000000001</v>
      </c>
      <c r="U1164" s="88">
        <f t="shared" si="290"/>
        <v>152.5</v>
      </c>
      <c r="V1164" s="82"/>
      <c r="X1164" s="195">
        <f t="shared" si="291"/>
        <v>152.5</v>
      </c>
      <c r="Y1164" s="29" t="e">
        <f>IF(+VLOOKUP(I1164,P.Referencia!E:S,3,FALSE)&lt;=L1164,"Champion","Gerente")</f>
        <v>#N/A</v>
      </c>
      <c r="Z1164" s="30" t="e">
        <f>VLOOKUP(I1164,P.Referencia!E:S,3,0)</f>
        <v>#N/A</v>
      </c>
      <c r="AA1164" s="196" t="e">
        <f t="shared" si="292"/>
        <v>#N/A</v>
      </c>
      <c r="AB1164" s="197" t="e">
        <f t="shared" si="293"/>
        <v>#N/A</v>
      </c>
      <c r="AC1164" s="197" t="e">
        <f t="shared" si="294"/>
        <v>#N/A</v>
      </c>
    </row>
    <row r="1165" spans="1:29" s="4" customFormat="1" hidden="1" x14ac:dyDescent="0.25">
      <c r="A1165" s="24">
        <v>1164</v>
      </c>
      <c r="B1165" s="89" t="s">
        <v>642</v>
      </c>
      <c r="C1165" s="4" t="str">
        <f t="shared" si="288"/>
        <v>LlaveD8646734439610001073</v>
      </c>
      <c r="D1165" s="25" t="str">
        <f>VLOOKUP(E1165,'NO MODIFICAR'!J:K,2,0)</f>
        <v>D864</v>
      </c>
      <c r="E1165" s="102" t="s">
        <v>55</v>
      </c>
      <c r="F1165" s="25" t="str">
        <f>VLOOKUP(D1165,'NO MODIFICAR'!F:H,3,0)</f>
        <v xml:space="preserve">CENTRO </v>
      </c>
      <c r="G1165" s="28">
        <v>67344396</v>
      </c>
      <c r="H1165" s="310" t="s">
        <v>340</v>
      </c>
      <c r="I1165" s="94">
        <v>10001073</v>
      </c>
      <c r="J1165" s="4" t="str">
        <f>VLOOKUP(I1165,'Materiales,canteras'!C:D,2,0)</f>
        <v>Arena Triturada Caliza Malla 4</v>
      </c>
      <c r="K1165" s="25">
        <f>VLOOKUP(I1165,'Materiales,canteras'!C:E,3,0)</f>
        <v>1.56</v>
      </c>
      <c r="L1165" s="82">
        <v>95</v>
      </c>
      <c r="M1165" s="28" t="s">
        <v>93</v>
      </c>
      <c r="N1165" s="193">
        <f t="shared" ca="1" si="295"/>
        <v>46267</v>
      </c>
      <c r="O1165" s="24" t="s">
        <v>693</v>
      </c>
      <c r="P1165" s="195"/>
      <c r="Q1165" s="195"/>
      <c r="R1165" s="4">
        <v>2.37</v>
      </c>
      <c r="S1165" s="4">
        <v>158</v>
      </c>
      <c r="T1165" s="303">
        <f t="shared" si="289"/>
        <v>-60.629999999999995</v>
      </c>
      <c r="U1165" s="88">
        <f t="shared" si="290"/>
        <v>95</v>
      </c>
      <c r="V1165" s="82"/>
      <c r="X1165" s="195">
        <f t="shared" si="291"/>
        <v>95</v>
      </c>
      <c r="Y1165" s="29" t="e">
        <f>IF(+VLOOKUP(I1165,P.Referencia!E:S,3,FALSE)&lt;=L1165,"Champion","Gerente")</f>
        <v>#N/A</v>
      </c>
      <c r="Z1165" s="30" t="e">
        <f>VLOOKUP(I1165,P.Referencia!E:S,3,0)</f>
        <v>#N/A</v>
      </c>
      <c r="AA1165" s="196" t="e">
        <f t="shared" si="292"/>
        <v>#N/A</v>
      </c>
      <c r="AB1165" s="197" t="e">
        <f t="shared" si="293"/>
        <v>#N/A</v>
      </c>
      <c r="AC1165" s="197" t="e">
        <f t="shared" si="294"/>
        <v>#N/A</v>
      </c>
    </row>
    <row r="1166" spans="1:29" s="4" customFormat="1" hidden="1" x14ac:dyDescent="0.25">
      <c r="A1166" s="24">
        <v>1165</v>
      </c>
      <c r="B1166" s="89" t="s">
        <v>642</v>
      </c>
      <c r="C1166" s="4" t="str">
        <f t="shared" si="288"/>
        <v>LlaveD8646734439610001074</v>
      </c>
      <c r="D1166" s="25" t="str">
        <f>VLOOKUP(E1166,'NO MODIFICAR'!J:K,2,0)</f>
        <v>D864</v>
      </c>
      <c r="E1166" s="102" t="s">
        <v>55</v>
      </c>
      <c r="F1166" s="25" t="str">
        <f>VLOOKUP(D1166,'NO MODIFICAR'!F:H,3,0)</f>
        <v xml:space="preserve">CENTRO </v>
      </c>
      <c r="G1166" s="28">
        <v>67344396</v>
      </c>
      <c r="H1166" s="310" t="s">
        <v>340</v>
      </c>
      <c r="I1166" s="94">
        <v>10001074</v>
      </c>
      <c r="J1166" s="4" t="str">
        <f>VLOOKUP(I1166,'Materiales,canteras'!C:D,2,0)</f>
        <v>Grava Triturada Caliza 40 mm -</v>
      </c>
      <c r="K1166" s="25">
        <f>VLOOKUP(I1166,'Materiales,canteras'!C:E,3,0)</f>
        <v>1.4</v>
      </c>
      <c r="L1166" s="82">
        <v>145</v>
      </c>
      <c r="M1166" s="28" t="s">
        <v>93</v>
      </c>
      <c r="N1166" s="193">
        <f t="shared" ca="1" si="295"/>
        <v>46267</v>
      </c>
      <c r="O1166" s="24" t="s">
        <v>694</v>
      </c>
      <c r="P1166" s="195"/>
      <c r="Q1166" s="195"/>
      <c r="R1166" s="4">
        <v>3.47</v>
      </c>
      <c r="S1166" s="4">
        <v>231</v>
      </c>
      <c r="T1166" s="303">
        <f t="shared" si="289"/>
        <v>-82.53</v>
      </c>
      <c r="U1166" s="88">
        <f t="shared" si="290"/>
        <v>145</v>
      </c>
      <c r="V1166" s="82"/>
      <c r="X1166" s="195">
        <f t="shared" si="291"/>
        <v>145</v>
      </c>
      <c r="Y1166" s="29" t="e">
        <f>IF(+VLOOKUP(I1166,P.Referencia!E:S,3,FALSE)&lt;=L1166,"Champion","Gerente")</f>
        <v>#N/A</v>
      </c>
      <c r="Z1166" s="30" t="e">
        <f>VLOOKUP(I1166,P.Referencia!E:S,3,0)</f>
        <v>#N/A</v>
      </c>
      <c r="AA1166" s="196" t="e">
        <f t="shared" si="292"/>
        <v>#N/A</v>
      </c>
      <c r="AB1166" s="197" t="e">
        <f t="shared" si="293"/>
        <v>#N/A</v>
      </c>
      <c r="AC1166" s="197" t="e">
        <f t="shared" si="294"/>
        <v>#N/A</v>
      </c>
    </row>
    <row r="1167" spans="1:29" s="4" customFormat="1" hidden="1" x14ac:dyDescent="0.25">
      <c r="A1167" s="24">
        <v>1166</v>
      </c>
      <c r="B1167" s="89" t="s">
        <v>642</v>
      </c>
      <c r="C1167" s="4" t="str">
        <f t="shared" si="288"/>
        <v>LlaveD8646727715810000236</v>
      </c>
      <c r="D1167" s="25" t="str">
        <f>VLOOKUP(E1167,'NO MODIFICAR'!J:K,2,0)</f>
        <v>D864</v>
      </c>
      <c r="E1167" s="102" t="s">
        <v>55</v>
      </c>
      <c r="F1167" s="25" t="str">
        <f>VLOOKUP(D1167,'NO MODIFICAR'!F:H,3,0)</f>
        <v xml:space="preserve">CENTRO </v>
      </c>
      <c r="G1167" s="28">
        <v>67277158</v>
      </c>
      <c r="H1167" s="310" t="s">
        <v>996</v>
      </c>
      <c r="I1167" s="94">
        <v>10000236</v>
      </c>
      <c r="J1167" s="4" t="str">
        <f>VLOOKUP(I1167,'Materiales,canteras'!C:D,2,0)</f>
        <v>Grava Triturada Caliza 10 mm -</v>
      </c>
      <c r="K1167" s="25">
        <f>VLOOKUP(I1167,'Materiales,canteras'!C:E,3,0)</f>
        <v>1.41</v>
      </c>
      <c r="L1167" s="82">
        <v>130</v>
      </c>
      <c r="M1167" s="28" t="s">
        <v>93</v>
      </c>
      <c r="N1167" s="193">
        <f t="shared" ca="1" si="295"/>
        <v>46267</v>
      </c>
      <c r="O1167" s="24" t="s">
        <v>695</v>
      </c>
      <c r="P1167" s="195"/>
      <c r="Q1167" s="195"/>
      <c r="R1167" s="4">
        <v>3.78</v>
      </c>
      <c r="S1167" s="4">
        <v>252</v>
      </c>
      <c r="T1167" s="303">
        <f t="shared" si="289"/>
        <v>-118.22</v>
      </c>
      <c r="U1167" s="88">
        <f t="shared" si="290"/>
        <v>130</v>
      </c>
      <c r="V1167" s="82"/>
      <c r="X1167" s="195">
        <f t="shared" si="291"/>
        <v>130</v>
      </c>
      <c r="Y1167" s="29" t="e">
        <f>IF(+VLOOKUP(I1167,P.Referencia!E:S,3,FALSE)&lt;=L1167,"Champion","Gerente")</f>
        <v>#N/A</v>
      </c>
      <c r="Z1167" s="30" t="e">
        <f>VLOOKUP(I1167,P.Referencia!E:S,3,0)</f>
        <v>#N/A</v>
      </c>
      <c r="AA1167" s="196" t="e">
        <f t="shared" si="292"/>
        <v>#N/A</v>
      </c>
      <c r="AB1167" s="197" t="e">
        <f t="shared" si="293"/>
        <v>#N/A</v>
      </c>
      <c r="AC1167" s="197" t="e">
        <f t="shared" si="294"/>
        <v>#N/A</v>
      </c>
    </row>
    <row r="1168" spans="1:29" s="4" customFormat="1" hidden="1" x14ac:dyDescent="0.25">
      <c r="A1168" s="24">
        <v>1167</v>
      </c>
      <c r="B1168" s="89" t="s">
        <v>642</v>
      </c>
      <c r="C1168" s="4" t="str">
        <f t="shared" si="288"/>
        <v>LlaveD8646727715810000240</v>
      </c>
      <c r="D1168" s="25" t="str">
        <f>VLOOKUP(E1168,'NO MODIFICAR'!J:K,2,0)</f>
        <v>D864</v>
      </c>
      <c r="E1168" s="102" t="s">
        <v>55</v>
      </c>
      <c r="F1168" s="25" t="str">
        <f>VLOOKUP(D1168,'NO MODIFICAR'!F:H,3,0)</f>
        <v xml:space="preserve">CENTRO </v>
      </c>
      <c r="G1168" s="28">
        <v>67277158</v>
      </c>
      <c r="H1168" s="310" t="s">
        <v>996</v>
      </c>
      <c r="I1168" s="94">
        <v>10000240</v>
      </c>
      <c r="J1168" s="4" t="str">
        <f>VLOOKUP(I1168,'Materiales,canteras'!C:D,2,0)</f>
        <v>Grava Triturada Caliza 20 mm -</v>
      </c>
      <c r="K1168" s="25">
        <f>VLOOKUP(I1168,'Materiales,canteras'!C:E,3,0)</f>
        <v>1.462</v>
      </c>
      <c r="L1168" s="82">
        <v>137</v>
      </c>
      <c r="M1168" s="28" t="s">
        <v>93</v>
      </c>
      <c r="N1168" s="193">
        <f t="shared" ca="1" si="295"/>
        <v>46267</v>
      </c>
      <c r="O1168" s="24" t="s">
        <v>696</v>
      </c>
      <c r="P1168" s="195"/>
      <c r="Q1168" s="195"/>
      <c r="R1168" s="4">
        <v>4.41</v>
      </c>
      <c r="S1168" s="4">
        <v>294</v>
      </c>
      <c r="T1168" s="303">
        <f t="shared" si="289"/>
        <v>-152.58999999999997</v>
      </c>
      <c r="U1168" s="88">
        <f t="shared" si="290"/>
        <v>137</v>
      </c>
      <c r="V1168" s="82"/>
      <c r="X1168" s="195">
        <f t="shared" si="291"/>
        <v>137</v>
      </c>
      <c r="Y1168" s="29" t="e">
        <f>IF(+VLOOKUP(I1168,P.Referencia!E:S,3,FALSE)&lt;=L1168,"Champion","Gerente")</f>
        <v>#N/A</v>
      </c>
      <c r="Z1168" s="30" t="e">
        <f>VLOOKUP(I1168,P.Referencia!E:S,3,0)</f>
        <v>#N/A</v>
      </c>
      <c r="AA1168" s="196" t="e">
        <f t="shared" si="292"/>
        <v>#N/A</v>
      </c>
      <c r="AB1168" s="197" t="e">
        <f t="shared" si="293"/>
        <v>#N/A</v>
      </c>
      <c r="AC1168" s="197" t="e">
        <f t="shared" si="294"/>
        <v>#N/A</v>
      </c>
    </row>
    <row r="1169" spans="1:29" s="4" customFormat="1" hidden="1" x14ac:dyDescent="0.25">
      <c r="A1169" s="24">
        <v>1168</v>
      </c>
      <c r="B1169" s="89" t="s">
        <v>642</v>
      </c>
      <c r="C1169" s="4" t="str">
        <f t="shared" si="288"/>
        <v>LlaveD8646727715810000269</v>
      </c>
      <c r="D1169" s="25" t="str">
        <f>VLOOKUP(E1169,'NO MODIFICAR'!J:K,2,0)</f>
        <v>D864</v>
      </c>
      <c r="E1169" s="102" t="s">
        <v>55</v>
      </c>
      <c r="F1169" s="25" t="str">
        <f>VLOOKUP(D1169,'NO MODIFICAR'!F:H,3,0)</f>
        <v xml:space="preserve">CENTRO </v>
      </c>
      <c r="G1169" s="28">
        <v>67277158</v>
      </c>
      <c r="H1169" s="310" t="s">
        <v>996</v>
      </c>
      <c r="I1169" s="94">
        <v>10000269</v>
      </c>
      <c r="J1169" s="4" t="str">
        <f>VLOOKUP(I1169,'Materiales,canteras'!C:D,2,0)</f>
        <v>Grava Triturada Caliza 13 mm -</v>
      </c>
      <c r="K1169" s="25">
        <f>VLOOKUP(I1169,'Materiales,canteras'!C:E,3,0)</f>
        <v>1.423</v>
      </c>
      <c r="L1169" s="82">
        <v>152.5</v>
      </c>
      <c r="M1169" s="28" t="s">
        <v>93</v>
      </c>
      <c r="N1169" s="193">
        <f t="shared" ca="1" si="295"/>
        <v>46267</v>
      </c>
      <c r="O1169" s="24" t="s">
        <v>697</v>
      </c>
      <c r="P1169" s="195"/>
      <c r="Q1169" s="195"/>
      <c r="R1169" s="4">
        <v>3.95</v>
      </c>
      <c r="S1169" s="4">
        <v>263</v>
      </c>
      <c r="T1169" s="303">
        <f t="shared" si="289"/>
        <v>-106.55000000000001</v>
      </c>
      <c r="U1169" s="88">
        <f t="shared" si="290"/>
        <v>152.5</v>
      </c>
      <c r="V1169" s="82"/>
      <c r="X1169" s="195">
        <f t="shared" si="291"/>
        <v>152.5</v>
      </c>
      <c r="Y1169" s="29" t="e">
        <f>IF(+VLOOKUP(I1169,P.Referencia!E:S,3,FALSE)&lt;=L1169,"Champion","Gerente")</f>
        <v>#N/A</v>
      </c>
      <c r="Z1169" s="30" t="e">
        <f>VLOOKUP(I1169,P.Referencia!E:S,3,0)</f>
        <v>#N/A</v>
      </c>
      <c r="AA1169" s="196" t="e">
        <f t="shared" si="292"/>
        <v>#N/A</v>
      </c>
      <c r="AB1169" s="197" t="e">
        <f t="shared" si="293"/>
        <v>#N/A</v>
      </c>
      <c r="AC1169" s="197" t="e">
        <f t="shared" si="294"/>
        <v>#N/A</v>
      </c>
    </row>
    <row r="1170" spans="1:29" s="4" customFormat="1" hidden="1" x14ac:dyDescent="0.25">
      <c r="A1170" s="24">
        <v>1169</v>
      </c>
      <c r="B1170" s="89" t="s">
        <v>642</v>
      </c>
      <c r="C1170" s="4" t="str">
        <f t="shared" si="288"/>
        <v>LlaveD8646727715810001073</v>
      </c>
      <c r="D1170" s="25" t="str">
        <f>VLOOKUP(E1170,'NO MODIFICAR'!J:K,2,0)</f>
        <v>D864</v>
      </c>
      <c r="E1170" s="102" t="s">
        <v>55</v>
      </c>
      <c r="F1170" s="25" t="str">
        <f>VLOOKUP(D1170,'NO MODIFICAR'!F:H,3,0)</f>
        <v xml:space="preserve">CENTRO </v>
      </c>
      <c r="G1170" s="28">
        <v>67277158</v>
      </c>
      <c r="H1170" s="310" t="s">
        <v>996</v>
      </c>
      <c r="I1170" s="94">
        <v>10001073</v>
      </c>
      <c r="J1170" s="4" t="str">
        <f>VLOOKUP(I1170,'Materiales,canteras'!C:D,2,0)</f>
        <v>Arena Triturada Caliza Malla 4</v>
      </c>
      <c r="K1170" s="25">
        <f>VLOOKUP(I1170,'Materiales,canteras'!C:E,3,0)</f>
        <v>1.56</v>
      </c>
      <c r="L1170" s="82">
        <v>95</v>
      </c>
      <c r="M1170" s="28" t="s">
        <v>93</v>
      </c>
      <c r="N1170" s="193">
        <f t="shared" ca="1" si="295"/>
        <v>46267</v>
      </c>
      <c r="O1170" s="24" t="s">
        <v>698</v>
      </c>
      <c r="P1170" s="195"/>
      <c r="Q1170" s="195"/>
      <c r="R1170" s="4">
        <v>2.37</v>
      </c>
      <c r="S1170" s="4">
        <v>158</v>
      </c>
      <c r="T1170" s="303">
        <f t="shared" si="289"/>
        <v>-60.629999999999995</v>
      </c>
      <c r="U1170" s="88">
        <f t="shared" si="290"/>
        <v>95</v>
      </c>
      <c r="V1170" s="82"/>
      <c r="X1170" s="195">
        <f t="shared" si="291"/>
        <v>95</v>
      </c>
      <c r="Y1170" s="29" t="e">
        <f>IF(+VLOOKUP(I1170,P.Referencia!E:S,3,FALSE)&lt;=L1170,"Champion","Gerente")</f>
        <v>#N/A</v>
      </c>
      <c r="Z1170" s="30" t="e">
        <f>VLOOKUP(I1170,P.Referencia!E:S,3,0)</f>
        <v>#N/A</v>
      </c>
      <c r="AA1170" s="196" t="e">
        <f t="shared" si="292"/>
        <v>#N/A</v>
      </c>
      <c r="AB1170" s="197" t="e">
        <f t="shared" si="293"/>
        <v>#N/A</v>
      </c>
      <c r="AC1170" s="197" t="e">
        <f t="shared" si="294"/>
        <v>#N/A</v>
      </c>
    </row>
    <row r="1171" spans="1:29" s="4" customFormat="1" hidden="1" x14ac:dyDescent="0.25">
      <c r="A1171" s="24">
        <v>1170</v>
      </c>
      <c r="B1171" s="89" t="s">
        <v>642</v>
      </c>
      <c r="C1171" s="4" t="str">
        <f t="shared" si="288"/>
        <v>LlaveD8646727715810001074</v>
      </c>
      <c r="D1171" s="25" t="str">
        <f>VLOOKUP(E1171,'NO MODIFICAR'!J:K,2,0)</f>
        <v>D864</v>
      </c>
      <c r="E1171" s="102" t="s">
        <v>55</v>
      </c>
      <c r="F1171" s="25" t="str">
        <f>VLOOKUP(D1171,'NO MODIFICAR'!F:H,3,0)</f>
        <v xml:space="preserve">CENTRO </v>
      </c>
      <c r="G1171" s="28">
        <v>67277158</v>
      </c>
      <c r="H1171" s="310" t="s">
        <v>996</v>
      </c>
      <c r="I1171" s="94">
        <v>10001074</v>
      </c>
      <c r="J1171" s="4" t="str">
        <f>VLOOKUP(I1171,'Materiales,canteras'!C:D,2,0)</f>
        <v>Grava Triturada Caliza 40 mm -</v>
      </c>
      <c r="K1171" s="25">
        <f>VLOOKUP(I1171,'Materiales,canteras'!C:E,3,0)</f>
        <v>1.4</v>
      </c>
      <c r="L1171" s="82">
        <v>145</v>
      </c>
      <c r="M1171" s="28" t="s">
        <v>93</v>
      </c>
      <c r="N1171" s="193">
        <f t="shared" ca="1" si="295"/>
        <v>46267</v>
      </c>
      <c r="O1171" s="24" t="s">
        <v>699</v>
      </c>
      <c r="P1171" s="195"/>
      <c r="Q1171" s="195"/>
      <c r="R1171" s="4">
        <v>3.47</v>
      </c>
      <c r="S1171" s="4">
        <v>231</v>
      </c>
      <c r="T1171" s="303">
        <f t="shared" si="289"/>
        <v>-82.53</v>
      </c>
      <c r="U1171" s="88">
        <f t="shared" si="290"/>
        <v>145</v>
      </c>
      <c r="V1171" s="82"/>
      <c r="X1171" s="195">
        <f t="shared" si="291"/>
        <v>145</v>
      </c>
      <c r="Y1171" s="29" t="e">
        <f>IF(+VLOOKUP(I1171,P.Referencia!E:S,3,FALSE)&lt;=L1171,"Champion","Gerente")</f>
        <v>#N/A</v>
      </c>
      <c r="Z1171" s="30" t="e">
        <f>VLOOKUP(I1171,P.Referencia!E:S,3,0)</f>
        <v>#N/A</v>
      </c>
      <c r="AA1171" s="196" t="e">
        <f t="shared" si="292"/>
        <v>#N/A</v>
      </c>
      <c r="AB1171" s="197" t="e">
        <f t="shared" si="293"/>
        <v>#N/A</v>
      </c>
      <c r="AC1171" s="197" t="e">
        <f t="shared" si="294"/>
        <v>#N/A</v>
      </c>
    </row>
    <row r="1172" spans="1:29" s="4" customFormat="1" hidden="1" x14ac:dyDescent="0.25">
      <c r="A1172" s="24">
        <v>1171</v>
      </c>
      <c r="B1172" s="89" t="s">
        <v>642</v>
      </c>
      <c r="C1172" s="4" t="str">
        <f t="shared" si="288"/>
        <v>LlaveD81666858665100002372</v>
      </c>
      <c r="D1172" s="25" t="str">
        <f>VLOOKUP(E1172,'NO MODIFICAR'!J:K,2,0)</f>
        <v>D816</v>
      </c>
      <c r="E1172" s="102" t="s">
        <v>15</v>
      </c>
      <c r="F1172" s="25" t="str">
        <f>VLOOKUP(D1172,'NO MODIFICAR'!F:H,3,0)</f>
        <v>NORESTE</v>
      </c>
      <c r="G1172" s="28">
        <v>66858665</v>
      </c>
      <c r="H1172" s="310" t="s">
        <v>291</v>
      </c>
      <c r="I1172" s="94">
        <v>10000237</v>
      </c>
      <c r="J1172" s="4" t="str">
        <f>VLOOKUP(I1172,'Materiales,canteras'!C:D,2,0)</f>
        <v>Grava Triturada Caliza 10 mm -</v>
      </c>
      <c r="K1172" s="25">
        <f>VLOOKUP(I1172,'Materiales,canteras'!C:E,3,0)</f>
        <v>1.5620000000000001</v>
      </c>
      <c r="L1172" s="82">
        <v>270</v>
      </c>
      <c r="M1172" s="28" t="s">
        <v>93</v>
      </c>
      <c r="N1172" s="193">
        <f t="shared" ca="1" si="295"/>
        <v>46267</v>
      </c>
      <c r="O1172" s="24" t="s">
        <v>700</v>
      </c>
      <c r="P1172" s="195"/>
      <c r="Q1172" s="195"/>
      <c r="S1172" s="4">
        <v>414</v>
      </c>
      <c r="T1172" s="303">
        <f t="shared" si="289"/>
        <v>-144</v>
      </c>
      <c r="U1172" s="88">
        <f t="shared" si="290"/>
        <v>270</v>
      </c>
      <c r="V1172" s="82">
        <v>0</v>
      </c>
      <c r="W1172" s="4">
        <v>2</v>
      </c>
      <c r="X1172" s="195">
        <f t="shared" si="291"/>
        <v>270</v>
      </c>
      <c r="Y1172" s="29" t="e">
        <f>IF(+VLOOKUP(I1172,P.Referencia!E:S,3,FALSE)&lt;=L1172,"Champion","Gerente")</f>
        <v>#N/A</v>
      </c>
      <c r="Z1172" s="30" t="e">
        <f>VLOOKUP(I1172,P.Referencia!E:S,3,0)</f>
        <v>#N/A</v>
      </c>
      <c r="AA1172" s="196" t="e">
        <f t="shared" si="292"/>
        <v>#N/A</v>
      </c>
      <c r="AB1172" s="197" t="e">
        <f t="shared" si="293"/>
        <v>#N/A</v>
      </c>
      <c r="AC1172" s="197" t="e">
        <f t="shared" si="294"/>
        <v>#N/A</v>
      </c>
    </row>
    <row r="1173" spans="1:29" s="4" customFormat="1" hidden="1" x14ac:dyDescent="0.25">
      <c r="A1173" s="24">
        <v>1172</v>
      </c>
      <c r="B1173" s="89" t="s">
        <v>642</v>
      </c>
      <c r="C1173" s="4" t="str">
        <f t="shared" si="288"/>
        <v>LlaveD861D24310000231</v>
      </c>
      <c r="D1173" s="25" t="str">
        <f>VLOOKUP(E1173,'NO MODIFICAR'!J:K,2,0)</f>
        <v>D861</v>
      </c>
      <c r="E1173" s="102" t="s">
        <v>44</v>
      </c>
      <c r="F1173" s="25" t="str">
        <f>VLOOKUP(D1173,'NO MODIFICAR'!F:H,3,0)</f>
        <v xml:space="preserve">CENTRO </v>
      </c>
      <c r="G1173" s="28" t="s">
        <v>997</v>
      </c>
      <c r="H1173" s="310" t="s">
        <v>998</v>
      </c>
      <c r="I1173" s="94">
        <v>10000231</v>
      </c>
      <c r="J1173" s="4" t="str">
        <f>VLOOKUP(I1173,'Materiales,canteras'!C:D,2,0)</f>
        <v>Grava Triturada Basalto 20 mm</v>
      </c>
      <c r="K1173" s="25">
        <f>VLOOKUP(I1173,'Materiales,canteras'!C:E,3,0)</f>
        <v>1.5649999999999999</v>
      </c>
      <c r="L1173" s="82">
        <v>210</v>
      </c>
      <c r="M1173" s="28" t="s">
        <v>93</v>
      </c>
      <c r="N1173" s="193">
        <f t="shared" ca="1" si="295"/>
        <v>46267</v>
      </c>
      <c r="O1173" s="24" t="s">
        <v>701</v>
      </c>
      <c r="P1173" s="195"/>
      <c r="Q1173" s="195"/>
      <c r="T1173" s="303">
        <f t="shared" si="289"/>
        <v>210</v>
      </c>
      <c r="U1173" s="88">
        <f t="shared" si="290"/>
        <v>210</v>
      </c>
      <c r="V1173" s="82"/>
      <c r="X1173" s="195">
        <f t="shared" si="291"/>
        <v>210</v>
      </c>
      <c r="Y1173" s="29" t="e">
        <f>IF(+VLOOKUP(I1173,P.Referencia!E:S,3,FALSE)&lt;=L1173,"Champion","Gerente")</f>
        <v>#N/A</v>
      </c>
      <c r="Z1173" s="30" t="e">
        <f>VLOOKUP(I1173,P.Referencia!E:S,3,0)</f>
        <v>#N/A</v>
      </c>
      <c r="AA1173" s="196" t="e">
        <f t="shared" si="292"/>
        <v>#N/A</v>
      </c>
      <c r="AB1173" s="197" t="e">
        <f t="shared" si="293"/>
        <v>#N/A</v>
      </c>
      <c r="AC1173" s="197" t="e">
        <f t="shared" si="294"/>
        <v>#N/A</v>
      </c>
    </row>
    <row r="1174" spans="1:29" s="4" customFormat="1" hidden="1" x14ac:dyDescent="0.25">
      <c r="A1174" s="24">
        <v>1173</v>
      </c>
      <c r="B1174" s="89" t="s">
        <v>642</v>
      </c>
      <c r="C1174" s="4" t="str">
        <f t="shared" si="288"/>
        <v>LlaveD86467376830100002402</v>
      </c>
      <c r="D1174" s="25" t="str">
        <f>VLOOKUP(E1174,'NO MODIFICAR'!J:K,2,0)</f>
        <v>D864</v>
      </c>
      <c r="E1174" s="102" t="s">
        <v>55</v>
      </c>
      <c r="F1174" s="25" t="str">
        <f>VLOOKUP(D1174,'NO MODIFICAR'!F:H,3,0)</f>
        <v xml:space="preserve">CENTRO </v>
      </c>
      <c r="G1174" s="28">
        <v>67376830</v>
      </c>
      <c r="H1174" s="310" t="s">
        <v>999</v>
      </c>
      <c r="I1174" s="94">
        <v>10000240</v>
      </c>
      <c r="J1174" s="4" t="str">
        <f>VLOOKUP(I1174,'Materiales,canteras'!C:D,2,0)</f>
        <v>Grava Triturada Caliza 20 mm -</v>
      </c>
      <c r="K1174" s="25">
        <f>VLOOKUP(I1174,'Materiales,canteras'!C:E,3,0)</f>
        <v>1.462</v>
      </c>
      <c r="L1174" s="82">
        <v>165.5</v>
      </c>
      <c r="M1174" s="28" t="s">
        <v>93</v>
      </c>
      <c r="N1174" s="193">
        <f t="shared" ca="1" si="295"/>
        <v>46267</v>
      </c>
      <c r="O1174" s="24" t="s">
        <v>702</v>
      </c>
      <c r="P1174" s="195"/>
      <c r="Q1174" s="195"/>
      <c r="S1174" s="4">
        <v>294</v>
      </c>
      <c r="T1174" s="303">
        <f t="shared" si="289"/>
        <v>-128.5</v>
      </c>
      <c r="U1174" s="88">
        <f t="shared" si="290"/>
        <v>165.5</v>
      </c>
      <c r="V1174" s="82">
        <v>0</v>
      </c>
      <c r="W1174" s="4">
        <v>2</v>
      </c>
      <c r="X1174" s="195">
        <f t="shared" si="291"/>
        <v>165.5</v>
      </c>
      <c r="Y1174" s="29" t="e">
        <f>IF(+VLOOKUP(I1174,P.Referencia!E:S,3,FALSE)&lt;=L1174,"Champion","Gerente")</f>
        <v>#N/A</v>
      </c>
      <c r="Z1174" s="30" t="e">
        <f>VLOOKUP(I1174,P.Referencia!E:S,3,0)</f>
        <v>#N/A</v>
      </c>
      <c r="AA1174" s="196" t="e">
        <f t="shared" si="292"/>
        <v>#N/A</v>
      </c>
      <c r="AB1174" s="197" t="e">
        <f t="shared" si="293"/>
        <v>#N/A</v>
      </c>
      <c r="AC1174" s="197" t="e">
        <f t="shared" si="294"/>
        <v>#N/A</v>
      </c>
    </row>
    <row r="1175" spans="1:29" s="4" customFormat="1" hidden="1" x14ac:dyDescent="0.25">
      <c r="A1175" s="24">
        <v>1174</v>
      </c>
      <c r="B1175" s="89" t="s">
        <v>642</v>
      </c>
      <c r="C1175" s="4" t="str">
        <f t="shared" si="288"/>
        <v>LlaveD86467376830100010742</v>
      </c>
      <c r="D1175" s="25" t="str">
        <f>VLOOKUP(E1175,'NO MODIFICAR'!J:K,2,0)</f>
        <v>D864</v>
      </c>
      <c r="E1175" s="102" t="s">
        <v>55</v>
      </c>
      <c r="F1175" s="25" t="str">
        <f>VLOOKUP(D1175,'NO MODIFICAR'!F:H,3,0)</f>
        <v xml:space="preserve">CENTRO </v>
      </c>
      <c r="G1175" s="28">
        <v>67376830</v>
      </c>
      <c r="H1175" s="310" t="s">
        <v>999</v>
      </c>
      <c r="I1175" s="94">
        <v>10001074</v>
      </c>
      <c r="J1175" s="4" t="str">
        <f>VLOOKUP(I1175,'Materiales,canteras'!C:D,2,0)</f>
        <v>Grava Triturada Caliza 40 mm -</v>
      </c>
      <c r="K1175" s="25">
        <f>VLOOKUP(I1175,'Materiales,canteras'!C:E,3,0)</f>
        <v>1.4</v>
      </c>
      <c r="L1175" s="82">
        <v>175.5</v>
      </c>
      <c r="M1175" s="28" t="s">
        <v>93</v>
      </c>
      <c r="N1175" s="193">
        <f t="shared" ca="1" si="295"/>
        <v>46267</v>
      </c>
      <c r="O1175" s="24" t="s">
        <v>703</v>
      </c>
      <c r="P1175" s="195"/>
      <c r="Q1175" s="195"/>
      <c r="S1175" s="4">
        <v>231</v>
      </c>
      <c r="T1175" s="303">
        <f t="shared" si="289"/>
        <v>-55.5</v>
      </c>
      <c r="U1175" s="88">
        <f t="shared" si="290"/>
        <v>175.5</v>
      </c>
      <c r="V1175" s="82">
        <v>0</v>
      </c>
      <c r="W1175" s="4">
        <v>2</v>
      </c>
      <c r="X1175" s="195">
        <f t="shared" si="291"/>
        <v>175.5</v>
      </c>
      <c r="Y1175" s="29" t="e">
        <f>IF(+VLOOKUP(I1175,P.Referencia!E:S,3,FALSE)&lt;=L1175,"Champion","Gerente")</f>
        <v>#N/A</v>
      </c>
      <c r="Z1175" s="30" t="e">
        <f>VLOOKUP(I1175,P.Referencia!E:S,3,0)</f>
        <v>#N/A</v>
      </c>
      <c r="AA1175" s="196" t="e">
        <f t="shared" si="292"/>
        <v>#N/A</v>
      </c>
      <c r="AB1175" s="197" t="e">
        <f t="shared" si="293"/>
        <v>#N/A</v>
      </c>
      <c r="AC1175" s="197" t="e">
        <f t="shared" si="294"/>
        <v>#N/A</v>
      </c>
    </row>
    <row r="1176" spans="1:29" s="4" customFormat="1" hidden="1" x14ac:dyDescent="0.25">
      <c r="A1176" s="24">
        <v>1175</v>
      </c>
      <c r="B1176" s="89" t="s">
        <v>642</v>
      </c>
      <c r="C1176" s="4" t="str">
        <f t="shared" si="288"/>
        <v>LlaveD86467376830100002362</v>
      </c>
      <c r="D1176" s="25" t="str">
        <f>VLOOKUP(E1176,'NO MODIFICAR'!J:K,2,0)</f>
        <v>D864</v>
      </c>
      <c r="E1176" s="102" t="s">
        <v>55</v>
      </c>
      <c r="F1176" s="25" t="str">
        <f>VLOOKUP(D1176,'NO MODIFICAR'!F:H,3,0)</f>
        <v xml:space="preserve">CENTRO </v>
      </c>
      <c r="G1176" s="28">
        <v>67376830</v>
      </c>
      <c r="H1176" s="310" t="s">
        <v>999</v>
      </c>
      <c r="I1176" s="94">
        <v>10000236</v>
      </c>
      <c r="J1176" s="4" t="str">
        <f>VLOOKUP(I1176,'Materiales,canteras'!C:D,2,0)</f>
        <v>Grava Triturada Caliza 10 mm -</v>
      </c>
      <c r="K1176" s="25">
        <f>VLOOKUP(I1176,'Materiales,canteras'!C:E,3,0)</f>
        <v>1.41</v>
      </c>
      <c r="L1176" s="82">
        <v>164.5</v>
      </c>
      <c r="M1176" s="28" t="s">
        <v>93</v>
      </c>
      <c r="N1176" s="193">
        <f t="shared" ca="1" si="295"/>
        <v>46267</v>
      </c>
      <c r="O1176" s="24" t="s">
        <v>704</v>
      </c>
      <c r="P1176" s="195"/>
      <c r="Q1176" s="195"/>
      <c r="S1176" s="4">
        <v>252</v>
      </c>
      <c r="T1176" s="303">
        <f t="shared" si="289"/>
        <v>-87.5</v>
      </c>
      <c r="U1176" s="88">
        <f t="shared" si="290"/>
        <v>164.5</v>
      </c>
      <c r="V1176" s="82">
        <v>0</v>
      </c>
      <c r="W1176" s="4">
        <v>2</v>
      </c>
      <c r="X1176" s="195">
        <f t="shared" si="291"/>
        <v>164.5</v>
      </c>
      <c r="Y1176" s="29" t="e">
        <f>IF(+VLOOKUP(I1176,P.Referencia!E:S,3,FALSE)&lt;=L1176,"Champion","Gerente")</f>
        <v>#N/A</v>
      </c>
      <c r="Z1176" s="30" t="e">
        <f>VLOOKUP(I1176,P.Referencia!E:S,3,0)</f>
        <v>#N/A</v>
      </c>
      <c r="AA1176" s="196" t="e">
        <f t="shared" si="292"/>
        <v>#N/A</v>
      </c>
      <c r="AB1176" s="197" t="e">
        <f t="shared" si="293"/>
        <v>#N/A</v>
      </c>
      <c r="AC1176" s="197" t="e">
        <f t="shared" si="294"/>
        <v>#N/A</v>
      </c>
    </row>
    <row r="1177" spans="1:29" s="4" customFormat="1" hidden="1" x14ac:dyDescent="0.25">
      <c r="A1177" s="24">
        <v>1176</v>
      </c>
      <c r="B1177" s="89" t="s">
        <v>642</v>
      </c>
      <c r="C1177" s="4" t="str">
        <f t="shared" si="288"/>
        <v>LlaveD86467376830100010732</v>
      </c>
      <c r="D1177" s="25" t="str">
        <f>VLOOKUP(E1177,'NO MODIFICAR'!J:K,2,0)</f>
        <v>D864</v>
      </c>
      <c r="E1177" s="102" t="s">
        <v>55</v>
      </c>
      <c r="F1177" s="25" t="str">
        <f>VLOOKUP(D1177,'NO MODIFICAR'!F:H,3,0)</f>
        <v xml:space="preserve">CENTRO </v>
      </c>
      <c r="G1177" s="28">
        <v>67376830</v>
      </c>
      <c r="H1177" s="310" t="s">
        <v>999</v>
      </c>
      <c r="I1177" s="94">
        <v>10001073</v>
      </c>
      <c r="J1177" s="4" t="str">
        <f>VLOOKUP(I1177,'Materiales,canteras'!C:D,2,0)</f>
        <v>Arena Triturada Caliza Malla 4</v>
      </c>
      <c r="K1177" s="25">
        <f>VLOOKUP(I1177,'Materiales,canteras'!C:E,3,0)</f>
        <v>1.56</v>
      </c>
      <c r="L1177" s="82">
        <v>99</v>
      </c>
      <c r="M1177" s="28" t="s">
        <v>93</v>
      </c>
      <c r="N1177" s="193">
        <f t="shared" ca="1" si="295"/>
        <v>46267</v>
      </c>
      <c r="O1177" s="24" t="s">
        <v>705</v>
      </c>
      <c r="P1177" s="195"/>
      <c r="Q1177" s="195"/>
      <c r="S1177" s="4">
        <v>158</v>
      </c>
      <c r="T1177" s="303">
        <f t="shared" si="289"/>
        <v>-59</v>
      </c>
      <c r="U1177" s="88">
        <f t="shared" si="290"/>
        <v>99</v>
      </c>
      <c r="V1177" s="82">
        <v>0</v>
      </c>
      <c r="W1177" s="4">
        <v>2</v>
      </c>
      <c r="X1177" s="195">
        <f t="shared" si="291"/>
        <v>99</v>
      </c>
      <c r="Y1177" s="29" t="e">
        <f>IF(+VLOOKUP(I1177,P.Referencia!E:S,3,FALSE)&lt;=L1177,"Champion","Gerente")</f>
        <v>#N/A</v>
      </c>
      <c r="Z1177" s="30" t="e">
        <f>VLOOKUP(I1177,P.Referencia!E:S,3,0)</f>
        <v>#N/A</v>
      </c>
      <c r="AA1177" s="196" t="e">
        <f t="shared" si="292"/>
        <v>#N/A</v>
      </c>
      <c r="AB1177" s="197" t="e">
        <f t="shared" si="293"/>
        <v>#N/A</v>
      </c>
      <c r="AC1177" s="197" t="e">
        <f t="shared" si="294"/>
        <v>#N/A</v>
      </c>
    </row>
    <row r="1178" spans="1:29" s="4" customFormat="1" hidden="1" x14ac:dyDescent="0.25">
      <c r="A1178" s="24">
        <v>1177</v>
      </c>
      <c r="B1178" s="89" t="s">
        <v>1001</v>
      </c>
      <c r="C1178" s="4" t="str">
        <f t="shared" si="288"/>
        <v>LlaveD86166891467100002291</v>
      </c>
      <c r="D1178" s="25" t="str">
        <f>VLOOKUP(E1178,'NO MODIFICAR'!J:K,2,0)</f>
        <v>D861</v>
      </c>
      <c r="E1178" s="102" t="s">
        <v>44</v>
      </c>
      <c r="F1178" s="25" t="str">
        <f>VLOOKUP(D1178,'NO MODIFICAR'!F:H,3,0)</f>
        <v xml:space="preserve">CENTRO </v>
      </c>
      <c r="G1178" s="28" t="s">
        <v>543</v>
      </c>
      <c r="H1178" s="310" t="s">
        <v>544</v>
      </c>
      <c r="I1178" s="94">
        <v>10000229</v>
      </c>
      <c r="J1178" s="4" t="str">
        <f>VLOOKUP(I1178,'Materiales,canteras'!C:D,2,0)</f>
        <v>Grava Triturada Basalto  10 mm</v>
      </c>
      <c r="K1178" s="25">
        <f>VLOOKUP(I1178,'Materiales,canteras'!C:E,3,0)</f>
        <v>1.522</v>
      </c>
      <c r="L1178" s="82">
        <v>186.22</v>
      </c>
      <c r="M1178" s="28" t="s">
        <v>93</v>
      </c>
      <c r="N1178" s="193">
        <f t="shared" ca="1" si="295"/>
        <v>46267</v>
      </c>
      <c r="O1178" s="24" t="s">
        <v>706</v>
      </c>
      <c r="P1178" s="195"/>
      <c r="Q1178" s="195"/>
      <c r="R1178" s="4">
        <v>5.28</v>
      </c>
      <c r="S1178" s="4">
        <v>352</v>
      </c>
      <c r="T1178" s="303">
        <f t="shared" si="289"/>
        <v>-160.50000000000003</v>
      </c>
      <c r="U1178" s="88">
        <f t="shared" si="290"/>
        <v>186.22</v>
      </c>
      <c r="V1178" s="82">
        <v>72</v>
      </c>
      <c r="W1178" s="4">
        <v>1</v>
      </c>
      <c r="X1178" s="195">
        <f t="shared" si="291"/>
        <v>258.22000000000003</v>
      </c>
      <c r="Y1178" s="29" t="e">
        <f>IF(+VLOOKUP(I1178,P.Referencia!E:S,3,FALSE)&lt;=L1178,"Champion","Gerente")</f>
        <v>#N/A</v>
      </c>
      <c r="Z1178" s="30" t="e">
        <f>VLOOKUP(I1178,P.Referencia!E:S,3,0)</f>
        <v>#N/A</v>
      </c>
      <c r="AA1178" s="196" t="e">
        <f t="shared" si="292"/>
        <v>#N/A</v>
      </c>
      <c r="AB1178" s="197" t="e">
        <f t="shared" si="293"/>
        <v>#N/A</v>
      </c>
      <c r="AC1178" s="197" t="e">
        <f t="shared" si="294"/>
        <v>#N/A</v>
      </c>
    </row>
    <row r="1179" spans="1:29" s="4" customFormat="1" hidden="1" x14ac:dyDescent="0.25">
      <c r="A1179" s="24">
        <v>1178</v>
      </c>
      <c r="B1179" s="89" t="s">
        <v>1001</v>
      </c>
      <c r="C1179" s="4" t="str">
        <f t="shared" si="288"/>
        <v>LlaveD86166891467100002311</v>
      </c>
      <c r="D1179" s="25" t="str">
        <f>VLOOKUP(E1179,'NO MODIFICAR'!J:K,2,0)</f>
        <v>D861</v>
      </c>
      <c r="E1179" s="102" t="s">
        <v>44</v>
      </c>
      <c r="F1179" s="25" t="str">
        <f>VLOOKUP(D1179,'NO MODIFICAR'!F:H,3,0)</f>
        <v xml:space="preserve">CENTRO </v>
      </c>
      <c r="G1179" s="28" t="s">
        <v>543</v>
      </c>
      <c r="H1179" s="310" t="s">
        <v>544</v>
      </c>
      <c r="I1179" s="94">
        <v>10000231</v>
      </c>
      <c r="J1179" s="4" t="str">
        <f>VLOOKUP(I1179,'Materiales,canteras'!C:D,2,0)</f>
        <v>Grava Triturada Basalto 20 mm</v>
      </c>
      <c r="K1179" s="25">
        <f>VLOOKUP(I1179,'Materiales,canteras'!C:E,3,0)</f>
        <v>1.5649999999999999</v>
      </c>
      <c r="L1179" s="82">
        <v>186.22</v>
      </c>
      <c r="M1179" s="28" t="s">
        <v>93</v>
      </c>
      <c r="N1179" s="193">
        <f t="shared" ca="1" si="295"/>
        <v>46267</v>
      </c>
      <c r="O1179" s="24" t="s">
        <v>707</v>
      </c>
      <c r="P1179" s="195"/>
      <c r="Q1179" s="195"/>
      <c r="R1179" s="4">
        <v>4.62</v>
      </c>
      <c r="S1179" s="4">
        <v>308</v>
      </c>
      <c r="T1179" s="303">
        <f t="shared" si="289"/>
        <v>-117.16</v>
      </c>
      <c r="U1179" s="88">
        <f t="shared" si="290"/>
        <v>186.22</v>
      </c>
      <c r="V1179" s="82">
        <v>72</v>
      </c>
      <c r="W1179" s="4">
        <v>1</v>
      </c>
      <c r="X1179" s="195">
        <f t="shared" si="291"/>
        <v>258.22000000000003</v>
      </c>
      <c r="Y1179" s="29" t="e">
        <f>IF(+VLOOKUP(I1179,P.Referencia!E:S,3,FALSE)&lt;=L1179,"Champion","Gerente")</f>
        <v>#N/A</v>
      </c>
      <c r="Z1179" s="30" t="e">
        <f>VLOOKUP(I1179,P.Referencia!E:S,3,0)</f>
        <v>#N/A</v>
      </c>
      <c r="AA1179" s="196" t="e">
        <f t="shared" si="292"/>
        <v>#N/A</v>
      </c>
      <c r="AB1179" s="197" t="e">
        <f t="shared" si="293"/>
        <v>#N/A</v>
      </c>
      <c r="AC1179" s="197" t="e">
        <f t="shared" si="294"/>
        <v>#N/A</v>
      </c>
    </row>
    <row r="1180" spans="1:29" s="4" customFormat="1" hidden="1" x14ac:dyDescent="0.25">
      <c r="A1180" s="24">
        <v>1179</v>
      </c>
      <c r="B1180" s="89" t="s">
        <v>1001</v>
      </c>
      <c r="C1180" s="4" t="str">
        <f t="shared" si="288"/>
        <v>LlaveD86166891467100003111</v>
      </c>
      <c r="D1180" s="25" t="str">
        <f>VLOOKUP(E1180,'NO MODIFICAR'!J:K,2,0)</f>
        <v>D861</v>
      </c>
      <c r="E1180" s="102" t="s">
        <v>44</v>
      </c>
      <c r="F1180" s="25" t="str">
        <f>VLOOKUP(D1180,'NO MODIFICAR'!F:H,3,0)</f>
        <v xml:space="preserve">CENTRO </v>
      </c>
      <c r="G1180" s="28" t="s">
        <v>543</v>
      </c>
      <c r="H1180" s="310" t="s">
        <v>544</v>
      </c>
      <c r="I1180" s="94">
        <v>10000311</v>
      </c>
      <c r="J1180" s="4" t="str">
        <f>VLOOKUP(I1180,'Materiales,canteras'!C:D,2,0)</f>
        <v>Arena Triturada Basalto  Malla</v>
      </c>
      <c r="K1180" s="25">
        <f>VLOOKUP(I1180,'Materiales,canteras'!C:E,3,0)</f>
        <v>1.651</v>
      </c>
      <c r="L1180" s="82">
        <v>186.22</v>
      </c>
      <c r="M1180" s="28" t="s">
        <v>93</v>
      </c>
      <c r="N1180" s="193">
        <f t="shared" ca="1" si="295"/>
        <v>46267</v>
      </c>
      <c r="O1180" s="24" t="s">
        <v>708</v>
      </c>
      <c r="P1180" s="195"/>
      <c r="Q1180" s="195"/>
      <c r="R1180" s="4">
        <v>4.29</v>
      </c>
      <c r="S1180" s="4">
        <v>286</v>
      </c>
      <c r="T1180" s="303">
        <f t="shared" si="289"/>
        <v>-95.489999999999981</v>
      </c>
      <c r="U1180" s="88">
        <f t="shared" si="290"/>
        <v>186.22</v>
      </c>
      <c r="V1180" s="82">
        <v>72</v>
      </c>
      <c r="W1180" s="4">
        <v>1</v>
      </c>
      <c r="X1180" s="195">
        <f t="shared" si="291"/>
        <v>258.22000000000003</v>
      </c>
      <c r="Y1180" s="29" t="e">
        <f>IF(+VLOOKUP(I1180,P.Referencia!E:S,3,FALSE)&lt;=L1180,"Champion","Gerente")</f>
        <v>#N/A</v>
      </c>
      <c r="Z1180" s="30" t="e">
        <f>VLOOKUP(I1180,P.Referencia!E:S,3,0)</f>
        <v>#N/A</v>
      </c>
      <c r="AA1180" s="196" t="e">
        <f t="shared" si="292"/>
        <v>#N/A</v>
      </c>
      <c r="AB1180" s="197" t="e">
        <f t="shared" si="293"/>
        <v>#N/A</v>
      </c>
      <c r="AC1180" s="197" t="e">
        <f t="shared" si="294"/>
        <v>#N/A</v>
      </c>
    </row>
    <row r="1181" spans="1:29" s="4" customFormat="1" hidden="1" x14ac:dyDescent="0.25">
      <c r="A1181" s="24">
        <v>1180</v>
      </c>
      <c r="B1181" s="89" t="s">
        <v>1001</v>
      </c>
      <c r="C1181" s="4" t="str">
        <f t="shared" ref="C1181:C1244" si="296">_xlfn.CONCAT($C$1,D1181,G1181,I1181,W1181)</f>
        <v>LlaveD86166891467100014501</v>
      </c>
      <c r="D1181" s="25" t="str">
        <f>VLOOKUP(E1181,'NO MODIFICAR'!J:K,2,0)</f>
        <v>D861</v>
      </c>
      <c r="E1181" s="102" t="s">
        <v>44</v>
      </c>
      <c r="F1181" s="25" t="str">
        <f>VLOOKUP(D1181,'NO MODIFICAR'!F:H,3,0)</f>
        <v xml:space="preserve">CENTRO </v>
      </c>
      <c r="G1181" s="28" t="s">
        <v>543</v>
      </c>
      <c r="H1181" s="310" t="s">
        <v>544</v>
      </c>
      <c r="I1181" s="94">
        <v>10001450</v>
      </c>
      <c r="J1181" s="4" t="str">
        <f>VLOOKUP(I1181,'Materiales,canteras'!C:D,2,0)</f>
        <v>Base Hidraúlica Basalto de 1 /1/2</v>
      </c>
      <c r="K1181" s="25">
        <f>VLOOKUP(I1181,'Materiales,canteras'!C:E,3,0)</f>
        <v>1.7490000000000001</v>
      </c>
      <c r="L1181" s="82">
        <v>185.11</v>
      </c>
      <c r="M1181" s="28" t="s">
        <v>93</v>
      </c>
      <c r="N1181" s="193">
        <f t="shared" ca="1" si="295"/>
        <v>46267</v>
      </c>
      <c r="O1181" s="24" t="s">
        <v>709</v>
      </c>
      <c r="P1181" s="195"/>
      <c r="Q1181" s="195"/>
      <c r="R1181" s="4">
        <v>4.29</v>
      </c>
      <c r="S1181" s="4">
        <v>286</v>
      </c>
      <c r="T1181" s="303">
        <f t="shared" ref="T1181:T1244" si="297">L1181-((S1181-P1181)-(Q1181)-(R1181))</f>
        <v>-96.599999999999966</v>
      </c>
      <c r="U1181" s="88">
        <f t="shared" ref="U1181:U1244" si="298">L1181</f>
        <v>185.11</v>
      </c>
      <c r="V1181" s="82">
        <v>72</v>
      </c>
      <c r="W1181" s="4">
        <v>1</v>
      </c>
      <c r="X1181" s="195">
        <f t="shared" ref="X1181:X1244" si="299">U1181+V1181</f>
        <v>257.11</v>
      </c>
      <c r="Y1181" s="29" t="e">
        <f>IF(+VLOOKUP(I1181,P.Referencia!E:S,3,FALSE)&lt;=L1181,"Champion","Gerente")</f>
        <v>#N/A</v>
      </c>
      <c r="Z1181" s="30" t="e">
        <f>VLOOKUP(I1181,P.Referencia!E:S,3,0)</f>
        <v>#N/A</v>
      </c>
      <c r="AA1181" s="196" t="e">
        <f t="shared" ref="AA1181:AA1244" si="300">(Z1181-U1181)/U1181</f>
        <v>#N/A</v>
      </c>
      <c r="AB1181" s="197" t="e">
        <f t="shared" ref="AB1181:AB1244" si="301">U1181*AA1181</f>
        <v>#N/A</v>
      </c>
      <c r="AC1181" s="197" t="e">
        <f t="shared" ref="AC1181:AC1244" si="302">U1181+AB1181</f>
        <v>#N/A</v>
      </c>
    </row>
    <row r="1182" spans="1:29" s="4" customFormat="1" hidden="1" x14ac:dyDescent="0.25">
      <c r="A1182" s="24">
        <v>1181</v>
      </c>
      <c r="B1182" s="89" t="s">
        <v>1001</v>
      </c>
      <c r="C1182" s="4" t="str">
        <f t="shared" si="296"/>
        <v>LlaveD86166936788100002292</v>
      </c>
      <c r="D1182" s="25" t="str">
        <f>VLOOKUP(E1182,'NO MODIFICAR'!J:K,2,0)</f>
        <v>D861</v>
      </c>
      <c r="E1182" s="102" t="s">
        <v>44</v>
      </c>
      <c r="F1182" s="25" t="str">
        <f>VLOOKUP(D1182,'NO MODIFICAR'!F:H,3,0)</f>
        <v xml:space="preserve">CENTRO </v>
      </c>
      <c r="G1182" s="28">
        <v>66936788</v>
      </c>
      <c r="H1182" s="28" t="s">
        <v>303</v>
      </c>
      <c r="I1182" s="28">
        <v>10000229</v>
      </c>
      <c r="J1182" s="4" t="str">
        <f>VLOOKUP(I1182,'Materiales,canteras'!C:D,2,0)</f>
        <v>Grava Triturada Basalto  10 mm</v>
      </c>
      <c r="K1182" s="25">
        <f>VLOOKUP(I1182,'Materiales,canteras'!C:E,3,0)</f>
        <v>1.522</v>
      </c>
      <c r="L1182" s="82">
        <v>230</v>
      </c>
      <c r="M1182" s="28" t="s">
        <v>93</v>
      </c>
      <c r="N1182" s="193">
        <f t="shared" ca="1" si="295"/>
        <v>46267</v>
      </c>
      <c r="O1182" s="24" t="s">
        <v>710</v>
      </c>
      <c r="P1182" s="195"/>
      <c r="Q1182" s="195"/>
      <c r="S1182" s="4">
        <v>352</v>
      </c>
      <c r="T1182" s="303">
        <f t="shared" si="297"/>
        <v>-122</v>
      </c>
      <c r="U1182" s="88">
        <f t="shared" si="298"/>
        <v>230</v>
      </c>
      <c r="V1182" s="82">
        <v>0</v>
      </c>
      <c r="W1182" s="4">
        <v>2</v>
      </c>
      <c r="X1182" s="195">
        <f t="shared" si="299"/>
        <v>230</v>
      </c>
      <c r="Y1182" s="29" t="e">
        <f>IF(+VLOOKUP(I1182,P.Referencia!E:S,3,FALSE)&lt;=L1182,"Champion","Gerente")</f>
        <v>#N/A</v>
      </c>
      <c r="Z1182" s="30" t="e">
        <f>VLOOKUP(I1182,P.Referencia!E:S,3,0)</f>
        <v>#N/A</v>
      </c>
      <c r="AA1182" s="196" t="e">
        <f t="shared" si="300"/>
        <v>#N/A</v>
      </c>
      <c r="AB1182" s="197" t="e">
        <f t="shared" si="301"/>
        <v>#N/A</v>
      </c>
      <c r="AC1182" s="197" t="e">
        <f t="shared" si="302"/>
        <v>#N/A</v>
      </c>
    </row>
    <row r="1183" spans="1:29" s="4" customFormat="1" hidden="1" x14ac:dyDescent="0.25">
      <c r="A1183" s="24">
        <v>1182</v>
      </c>
      <c r="B1183" s="89" t="s">
        <v>1001</v>
      </c>
      <c r="C1183" s="4" t="str">
        <f t="shared" si="296"/>
        <v>LlaveD86166936788100002312</v>
      </c>
      <c r="D1183" s="25" t="str">
        <f>VLOOKUP(E1183,'NO MODIFICAR'!J:K,2,0)</f>
        <v>D861</v>
      </c>
      <c r="E1183" s="102" t="s">
        <v>44</v>
      </c>
      <c r="F1183" s="25" t="str">
        <f>VLOOKUP(D1183,'NO MODIFICAR'!F:H,3,0)</f>
        <v xml:space="preserve">CENTRO </v>
      </c>
      <c r="G1183" s="28">
        <v>66936788</v>
      </c>
      <c r="H1183" s="28" t="s">
        <v>303</v>
      </c>
      <c r="I1183" s="28">
        <v>10000231</v>
      </c>
      <c r="J1183" s="4" t="str">
        <f>VLOOKUP(I1183,'Materiales,canteras'!C:D,2,0)</f>
        <v>Grava Triturada Basalto 20 mm</v>
      </c>
      <c r="K1183" s="25">
        <f>VLOOKUP(I1183,'Materiales,canteras'!C:E,3,0)</f>
        <v>1.5649999999999999</v>
      </c>
      <c r="L1183" s="82">
        <v>200</v>
      </c>
      <c r="M1183" s="28" t="s">
        <v>93</v>
      </c>
      <c r="N1183" s="193">
        <f t="shared" ca="1" si="295"/>
        <v>46267</v>
      </c>
      <c r="O1183" s="24" t="s">
        <v>711</v>
      </c>
      <c r="P1183" s="195"/>
      <c r="Q1183" s="195"/>
      <c r="S1183" s="4">
        <v>308</v>
      </c>
      <c r="T1183" s="303">
        <f t="shared" si="297"/>
        <v>-108</v>
      </c>
      <c r="U1183" s="88">
        <f t="shared" si="298"/>
        <v>200</v>
      </c>
      <c r="V1183" s="82">
        <v>0</v>
      </c>
      <c r="W1183" s="4">
        <v>2</v>
      </c>
      <c r="X1183" s="195">
        <f t="shared" si="299"/>
        <v>200</v>
      </c>
      <c r="Y1183" s="29" t="e">
        <f>IF(+VLOOKUP(I1183,P.Referencia!E:S,3,FALSE)&lt;=L1183,"Champion","Gerente")</f>
        <v>#N/A</v>
      </c>
      <c r="Z1183" s="30" t="e">
        <f>VLOOKUP(I1183,P.Referencia!E:S,3,0)</f>
        <v>#N/A</v>
      </c>
      <c r="AA1183" s="196" t="e">
        <f t="shared" si="300"/>
        <v>#N/A</v>
      </c>
      <c r="AB1183" s="197" t="e">
        <f t="shared" si="301"/>
        <v>#N/A</v>
      </c>
      <c r="AC1183" s="197" t="e">
        <f t="shared" si="302"/>
        <v>#N/A</v>
      </c>
    </row>
    <row r="1184" spans="1:29" s="4" customFormat="1" hidden="1" x14ac:dyDescent="0.25">
      <c r="A1184" s="24">
        <v>1183</v>
      </c>
      <c r="B1184" s="89" t="s">
        <v>1001</v>
      </c>
      <c r="C1184" s="4" t="str">
        <f t="shared" si="296"/>
        <v>LlaveD86166936788100002332</v>
      </c>
      <c r="D1184" s="25" t="str">
        <f>VLOOKUP(E1184,'NO MODIFICAR'!J:K,2,0)</f>
        <v>D861</v>
      </c>
      <c r="E1184" s="102" t="s">
        <v>44</v>
      </c>
      <c r="F1184" s="25" t="str">
        <f>VLOOKUP(D1184,'NO MODIFICAR'!F:H,3,0)</f>
        <v xml:space="preserve">CENTRO </v>
      </c>
      <c r="G1184" s="28">
        <v>66936788</v>
      </c>
      <c r="H1184" s="28" t="s">
        <v>303</v>
      </c>
      <c r="I1184" s="28">
        <v>10000233</v>
      </c>
      <c r="J1184" s="4" t="str">
        <f>VLOOKUP(I1184,'Materiales,canteras'!C:D,2,0)</f>
        <v>Grava Triturada Basalto  40 mm</v>
      </c>
      <c r="K1184" s="25">
        <f>VLOOKUP(I1184,'Materiales,canteras'!C:E,3,0)</f>
        <v>1.456</v>
      </c>
      <c r="L1184" s="82">
        <v>210</v>
      </c>
      <c r="M1184" s="28" t="s">
        <v>93</v>
      </c>
      <c r="N1184" s="193">
        <f t="shared" ca="1" si="295"/>
        <v>46267</v>
      </c>
      <c r="O1184" s="24" t="s">
        <v>712</v>
      </c>
      <c r="P1184" s="195"/>
      <c r="Q1184" s="195"/>
      <c r="S1184" s="4">
        <v>310</v>
      </c>
      <c r="T1184" s="303">
        <f t="shared" si="297"/>
        <v>-100</v>
      </c>
      <c r="U1184" s="88">
        <f t="shared" si="298"/>
        <v>210</v>
      </c>
      <c r="V1184" s="82">
        <v>0</v>
      </c>
      <c r="W1184" s="4">
        <v>2</v>
      </c>
      <c r="X1184" s="195">
        <f t="shared" si="299"/>
        <v>210</v>
      </c>
      <c r="Y1184" s="29" t="e">
        <f>IF(+VLOOKUP(I1184,P.Referencia!E:S,3,FALSE)&lt;=L1184,"Champion","Gerente")</f>
        <v>#N/A</v>
      </c>
      <c r="Z1184" s="30" t="e">
        <f>VLOOKUP(I1184,P.Referencia!E:S,3,0)</f>
        <v>#N/A</v>
      </c>
      <c r="AA1184" s="196" t="e">
        <f t="shared" si="300"/>
        <v>#N/A</v>
      </c>
      <c r="AB1184" s="197" t="e">
        <f t="shared" si="301"/>
        <v>#N/A</v>
      </c>
      <c r="AC1184" s="197" t="e">
        <f t="shared" si="302"/>
        <v>#N/A</v>
      </c>
    </row>
    <row r="1185" spans="1:29" s="4" customFormat="1" hidden="1" x14ac:dyDescent="0.25">
      <c r="A1185" s="24">
        <v>1184</v>
      </c>
      <c r="B1185" s="89" t="s">
        <v>1001</v>
      </c>
      <c r="C1185" s="4" t="str">
        <f t="shared" si="296"/>
        <v>LlaveD86166913897100002292</v>
      </c>
      <c r="D1185" s="25" t="str">
        <f>VLOOKUP(E1185,'NO MODIFICAR'!J:K,2,0)</f>
        <v>D861</v>
      </c>
      <c r="E1185" s="102" t="s">
        <v>44</v>
      </c>
      <c r="F1185" s="25" t="str">
        <f>VLOOKUP(D1185,'NO MODIFICAR'!F:H,3,0)</f>
        <v xml:space="preserve">CENTRO </v>
      </c>
      <c r="G1185" s="28">
        <v>66913897</v>
      </c>
      <c r="H1185" s="28" t="s">
        <v>304</v>
      </c>
      <c r="I1185" s="28">
        <v>10000229</v>
      </c>
      <c r="J1185" s="4" t="str">
        <f>VLOOKUP(I1185,'Materiales,canteras'!C:D,2,0)</f>
        <v>Grava Triturada Basalto  10 mm</v>
      </c>
      <c r="K1185" s="25">
        <f>VLOOKUP(I1185,'Materiales,canteras'!C:E,3,0)</f>
        <v>1.522</v>
      </c>
      <c r="L1185" s="82">
        <v>230</v>
      </c>
      <c r="M1185" s="28" t="s">
        <v>93</v>
      </c>
      <c r="N1185" s="193">
        <f t="shared" ca="1" si="295"/>
        <v>46267</v>
      </c>
      <c r="O1185" s="24" t="s">
        <v>713</v>
      </c>
      <c r="P1185" s="195"/>
      <c r="Q1185" s="195"/>
      <c r="S1185" s="4">
        <v>352</v>
      </c>
      <c r="T1185" s="303">
        <f t="shared" si="297"/>
        <v>-122</v>
      </c>
      <c r="U1185" s="88">
        <f t="shared" si="298"/>
        <v>230</v>
      </c>
      <c r="V1185" s="82">
        <v>0</v>
      </c>
      <c r="W1185" s="4">
        <v>2</v>
      </c>
      <c r="X1185" s="195">
        <f t="shared" si="299"/>
        <v>230</v>
      </c>
      <c r="Y1185" s="29" t="e">
        <f>IF(+VLOOKUP(I1185,P.Referencia!E:S,3,FALSE)&lt;=L1185,"Champion","Gerente")</f>
        <v>#N/A</v>
      </c>
      <c r="Z1185" s="30" t="e">
        <f>VLOOKUP(I1185,P.Referencia!E:S,3,0)</f>
        <v>#N/A</v>
      </c>
      <c r="AA1185" s="196" t="e">
        <f t="shared" si="300"/>
        <v>#N/A</v>
      </c>
      <c r="AB1185" s="197" t="e">
        <f t="shared" si="301"/>
        <v>#N/A</v>
      </c>
      <c r="AC1185" s="197" t="e">
        <f t="shared" si="302"/>
        <v>#N/A</v>
      </c>
    </row>
    <row r="1186" spans="1:29" s="4" customFormat="1" hidden="1" x14ac:dyDescent="0.25">
      <c r="A1186" s="24">
        <v>1185</v>
      </c>
      <c r="B1186" s="89" t="s">
        <v>1001</v>
      </c>
      <c r="C1186" s="4" t="str">
        <f t="shared" si="296"/>
        <v>LlaveD86166913897100002312</v>
      </c>
      <c r="D1186" s="25" t="str">
        <f>VLOOKUP(E1186,'NO MODIFICAR'!J:K,2,0)</f>
        <v>D861</v>
      </c>
      <c r="E1186" s="102" t="s">
        <v>44</v>
      </c>
      <c r="F1186" s="25" t="str">
        <f>VLOOKUP(D1186,'NO MODIFICAR'!F:H,3,0)</f>
        <v xml:space="preserve">CENTRO </v>
      </c>
      <c r="G1186" s="28">
        <v>66913897</v>
      </c>
      <c r="H1186" s="28" t="s">
        <v>304</v>
      </c>
      <c r="I1186" s="28">
        <v>10000231</v>
      </c>
      <c r="J1186" s="4" t="str">
        <f>VLOOKUP(I1186,'Materiales,canteras'!C:D,2,0)</f>
        <v>Grava Triturada Basalto 20 mm</v>
      </c>
      <c r="K1186" s="25">
        <f>VLOOKUP(I1186,'Materiales,canteras'!C:E,3,0)</f>
        <v>1.5649999999999999</v>
      </c>
      <c r="L1186" s="82">
        <v>200</v>
      </c>
      <c r="M1186" s="28" t="s">
        <v>93</v>
      </c>
      <c r="N1186" s="193">
        <f t="shared" ca="1" si="295"/>
        <v>46267</v>
      </c>
      <c r="O1186" s="24" t="s">
        <v>714</v>
      </c>
      <c r="P1186" s="195"/>
      <c r="Q1186" s="195"/>
      <c r="S1186" s="4">
        <v>308</v>
      </c>
      <c r="T1186" s="303">
        <f t="shared" si="297"/>
        <v>-108</v>
      </c>
      <c r="U1186" s="88">
        <f t="shared" si="298"/>
        <v>200</v>
      </c>
      <c r="V1186" s="82">
        <v>0</v>
      </c>
      <c r="W1186" s="4">
        <v>2</v>
      </c>
      <c r="X1186" s="195">
        <f t="shared" si="299"/>
        <v>200</v>
      </c>
      <c r="Y1186" s="29" t="e">
        <f>IF(+VLOOKUP(I1186,P.Referencia!E:S,3,FALSE)&lt;=L1186,"Champion","Gerente")</f>
        <v>#N/A</v>
      </c>
      <c r="Z1186" s="30" t="e">
        <f>VLOOKUP(I1186,P.Referencia!E:S,3,0)</f>
        <v>#N/A</v>
      </c>
      <c r="AA1186" s="196" t="e">
        <f t="shared" si="300"/>
        <v>#N/A</v>
      </c>
      <c r="AB1186" s="197" t="e">
        <f t="shared" si="301"/>
        <v>#N/A</v>
      </c>
      <c r="AC1186" s="197" t="e">
        <f t="shared" si="302"/>
        <v>#N/A</v>
      </c>
    </row>
    <row r="1187" spans="1:29" s="4" customFormat="1" hidden="1" x14ac:dyDescent="0.25">
      <c r="A1187" s="24">
        <v>1186</v>
      </c>
      <c r="B1187" s="89" t="s">
        <v>1001</v>
      </c>
      <c r="C1187" s="4" t="str">
        <f t="shared" si="296"/>
        <v>LlaveD86166913897100002332</v>
      </c>
      <c r="D1187" s="25" t="str">
        <f>VLOOKUP(E1187,'NO MODIFICAR'!J:K,2,0)</f>
        <v>D861</v>
      </c>
      <c r="E1187" s="102" t="s">
        <v>44</v>
      </c>
      <c r="F1187" s="25" t="str">
        <f>VLOOKUP(D1187,'NO MODIFICAR'!F:H,3,0)</f>
        <v xml:space="preserve">CENTRO </v>
      </c>
      <c r="G1187" s="28">
        <v>66913897</v>
      </c>
      <c r="H1187" s="28" t="s">
        <v>304</v>
      </c>
      <c r="I1187" s="28">
        <v>10000233</v>
      </c>
      <c r="J1187" s="4" t="str">
        <f>VLOOKUP(I1187,'Materiales,canteras'!C:D,2,0)</f>
        <v>Grava Triturada Basalto  40 mm</v>
      </c>
      <c r="K1187" s="25">
        <f>VLOOKUP(I1187,'Materiales,canteras'!C:E,3,0)</f>
        <v>1.456</v>
      </c>
      <c r="L1187" s="82">
        <v>210</v>
      </c>
      <c r="M1187" s="28" t="s">
        <v>93</v>
      </c>
      <c r="N1187" s="193">
        <f t="shared" ca="1" si="295"/>
        <v>46267</v>
      </c>
      <c r="O1187" s="24" t="s">
        <v>715</v>
      </c>
      <c r="P1187" s="195"/>
      <c r="Q1187" s="195"/>
      <c r="S1187" s="4">
        <v>310</v>
      </c>
      <c r="T1187" s="303">
        <f t="shared" si="297"/>
        <v>-100</v>
      </c>
      <c r="U1187" s="88">
        <f t="shared" si="298"/>
        <v>210</v>
      </c>
      <c r="V1187" s="82">
        <v>0</v>
      </c>
      <c r="W1187" s="4">
        <v>2</v>
      </c>
      <c r="X1187" s="195">
        <f t="shared" si="299"/>
        <v>210</v>
      </c>
      <c r="Y1187" s="29" t="e">
        <f>IF(+VLOOKUP(I1187,P.Referencia!E:S,3,FALSE)&lt;=L1187,"Champion","Gerente")</f>
        <v>#N/A</v>
      </c>
      <c r="Z1187" s="30" t="e">
        <f>VLOOKUP(I1187,P.Referencia!E:S,3,0)</f>
        <v>#N/A</v>
      </c>
      <c r="AA1187" s="196" t="e">
        <f t="shared" si="300"/>
        <v>#N/A</v>
      </c>
      <c r="AB1187" s="197" t="e">
        <f t="shared" si="301"/>
        <v>#N/A</v>
      </c>
      <c r="AC1187" s="197" t="e">
        <f t="shared" si="302"/>
        <v>#N/A</v>
      </c>
    </row>
    <row r="1188" spans="1:29" s="4" customFormat="1" hidden="1" x14ac:dyDescent="0.25">
      <c r="A1188" s="24">
        <v>1187</v>
      </c>
      <c r="B1188" s="89" t="s">
        <v>1001</v>
      </c>
      <c r="C1188" s="4" t="str">
        <f t="shared" si="296"/>
        <v>LlaveD86166913819100002292</v>
      </c>
      <c r="D1188" s="25" t="str">
        <f>VLOOKUP(E1188,'NO MODIFICAR'!J:K,2,0)</f>
        <v>D861</v>
      </c>
      <c r="E1188" s="102" t="s">
        <v>44</v>
      </c>
      <c r="F1188" s="25" t="str">
        <f>VLOOKUP(D1188,'NO MODIFICAR'!F:H,3,0)</f>
        <v xml:space="preserve">CENTRO </v>
      </c>
      <c r="G1188" s="28">
        <v>66913819</v>
      </c>
      <c r="H1188" s="28" t="s">
        <v>305</v>
      </c>
      <c r="I1188" s="28">
        <v>10000229</v>
      </c>
      <c r="J1188" s="4" t="str">
        <f>VLOOKUP(I1188,'Materiales,canteras'!C:D,2,0)</f>
        <v>Grava Triturada Basalto  10 mm</v>
      </c>
      <c r="K1188" s="25">
        <f>VLOOKUP(I1188,'Materiales,canteras'!C:E,3,0)</f>
        <v>1.522</v>
      </c>
      <c r="L1188" s="82">
        <v>230</v>
      </c>
      <c r="M1188" s="28" t="s">
        <v>93</v>
      </c>
      <c r="N1188" s="193">
        <f t="shared" ca="1" si="295"/>
        <v>46267</v>
      </c>
      <c r="O1188" s="24" t="s">
        <v>716</v>
      </c>
      <c r="P1188" s="195"/>
      <c r="Q1188" s="195"/>
      <c r="S1188" s="4">
        <v>352</v>
      </c>
      <c r="T1188" s="303">
        <f t="shared" si="297"/>
        <v>-122</v>
      </c>
      <c r="U1188" s="88">
        <f t="shared" si="298"/>
        <v>230</v>
      </c>
      <c r="V1188" s="82">
        <v>0</v>
      </c>
      <c r="W1188" s="4">
        <v>2</v>
      </c>
      <c r="X1188" s="195">
        <f t="shared" si="299"/>
        <v>230</v>
      </c>
      <c r="Y1188" s="29" t="e">
        <f>IF(+VLOOKUP(I1188,P.Referencia!E:S,3,FALSE)&lt;=L1188,"Champion","Gerente")</f>
        <v>#N/A</v>
      </c>
      <c r="Z1188" s="30" t="e">
        <f>VLOOKUP(I1188,P.Referencia!E:S,3,0)</f>
        <v>#N/A</v>
      </c>
      <c r="AA1188" s="196" t="e">
        <f t="shared" si="300"/>
        <v>#N/A</v>
      </c>
      <c r="AB1188" s="197" t="e">
        <f t="shared" si="301"/>
        <v>#N/A</v>
      </c>
      <c r="AC1188" s="197" t="e">
        <f t="shared" si="302"/>
        <v>#N/A</v>
      </c>
    </row>
    <row r="1189" spans="1:29" s="4" customFormat="1" hidden="1" x14ac:dyDescent="0.25">
      <c r="A1189" s="24">
        <v>1188</v>
      </c>
      <c r="B1189" s="89" t="s">
        <v>1001</v>
      </c>
      <c r="C1189" s="4" t="str">
        <f t="shared" si="296"/>
        <v>LlaveD86166913819100002312</v>
      </c>
      <c r="D1189" s="25" t="str">
        <f>VLOOKUP(E1189,'NO MODIFICAR'!J:K,2,0)</f>
        <v>D861</v>
      </c>
      <c r="E1189" s="102" t="s">
        <v>44</v>
      </c>
      <c r="F1189" s="25" t="str">
        <f>VLOOKUP(D1189,'NO MODIFICAR'!F:H,3,0)</f>
        <v xml:space="preserve">CENTRO </v>
      </c>
      <c r="G1189" s="28">
        <v>66913819</v>
      </c>
      <c r="H1189" s="28" t="s">
        <v>305</v>
      </c>
      <c r="I1189" s="28">
        <v>10000231</v>
      </c>
      <c r="J1189" s="4" t="str">
        <f>VLOOKUP(I1189,'Materiales,canteras'!C:D,2,0)</f>
        <v>Grava Triturada Basalto 20 mm</v>
      </c>
      <c r="K1189" s="25">
        <f>VLOOKUP(I1189,'Materiales,canteras'!C:E,3,0)</f>
        <v>1.5649999999999999</v>
      </c>
      <c r="L1189" s="82">
        <v>200</v>
      </c>
      <c r="M1189" s="28" t="s">
        <v>93</v>
      </c>
      <c r="N1189" s="193">
        <f t="shared" ca="1" si="295"/>
        <v>46267</v>
      </c>
      <c r="O1189" s="24" t="s">
        <v>717</v>
      </c>
      <c r="P1189" s="195"/>
      <c r="Q1189" s="195"/>
      <c r="S1189" s="4">
        <v>308</v>
      </c>
      <c r="T1189" s="303">
        <f t="shared" si="297"/>
        <v>-108</v>
      </c>
      <c r="U1189" s="88">
        <f t="shared" si="298"/>
        <v>200</v>
      </c>
      <c r="V1189" s="82">
        <v>0</v>
      </c>
      <c r="W1189" s="4">
        <v>2</v>
      </c>
      <c r="X1189" s="195">
        <f t="shared" si="299"/>
        <v>200</v>
      </c>
      <c r="Y1189" s="29" t="e">
        <f>IF(+VLOOKUP(I1189,P.Referencia!E:S,3,FALSE)&lt;=L1189,"Champion","Gerente")</f>
        <v>#N/A</v>
      </c>
      <c r="Z1189" s="30" t="e">
        <f>VLOOKUP(I1189,P.Referencia!E:S,3,0)</f>
        <v>#N/A</v>
      </c>
      <c r="AA1189" s="196" t="e">
        <f t="shared" si="300"/>
        <v>#N/A</v>
      </c>
      <c r="AB1189" s="197" t="e">
        <f t="shared" si="301"/>
        <v>#N/A</v>
      </c>
      <c r="AC1189" s="197" t="e">
        <f t="shared" si="302"/>
        <v>#N/A</v>
      </c>
    </row>
    <row r="1190" spans="1:29" s="4" customFormat="1" hidden="1" x14ac:dyDescent="0.25">
      <c r="A1190" s="24">
        <v>1189</v>
      </c>
      <c r="B1190" s="89" t="s">
        <v>1001</v>
      </c>
      <c r="C1190" s="4" t="str">
        <f t="shared" si="296"/>
        <v>LlaveD86166913819100002332</v>
      </c>
      <c r="D1190" s="25" t="str">
        <f>VLOOKUP(E1190,'NO MODIFICAR'!J:K,2,0)</f>
        <v>D861</v>
      </c>
      <c r="E1190" s="102" t="s">
        <v>44</v>
      </c>
      <c r="F1190" s="25" t="str">
        <f>VLOOKUP(D1190,'NO MODIFICAR'!F:H,3,0)</f>
        <v xml:space="preserve">CENTRO </v>
      </c>
      <c r="G1190" s="28">
        <v>66913819</v>
      </c>
      <c r="H1190" s="28" t="s">
        <v>305</v>
      </c>
      <c r="I1190" s="28">
        <v>10000233</v>
      </c>
      <c r="J1190" s="4" t="str">
        <f>VLOOKUP(I1190,'Materiales,canteras'!C:D,2,0)</f>
        <v>Grava Triturada Basalto  40 mm</v>
      </c>
      <c r="K1190" s="25">
        <f>VLOOKUP(I1190,'Materiales,canteras'!C:E,3,0)</f>
        <v>1.456</v>
      </c>
      <c r="L1190" s="82">
        <v>210</v>
      </c>
      <c r="M1190" s="28" t="s">
        <v>93</v>
      </c>
      <c r="N1190" s="193">
        <f t="shared" ca="1" si="295"/>
        <v>46267</v>
      </c>
      <c r="O1190" s="24" t="s">
        <v>718</v>
      </c>
      <c r="P1190" s="195"/>
      <c r="Q1190" s="195"/>
      <c r="S1190" s="4">
        <v>310</v>
      </c>
      <c r="T1190" s="303">
        <f t="shared" si="297"/>
        <v>-100</v>
      </c>
      <c r="U1190" s="88">
        <f t="shared" si="298"/>
        <v>210</v>
      </c>
      <c r="V1190" s="82">
        <v>0</v>
      </c>
      <c r="W1190" s="4">
        <v>2</v>
      </c>
      <c r="X1190" s="195">
        <f t="shared" si="299"/>
        <v>210</v>
      </c>
      <c r="Y1190" s="29" t="e">
        <f>IF(+VLOOKUP(I1190,P.Referencia!E:S,3,FALSE)&lt;=L1190,"Champion","Gerente")</f>
        <v>#N/A</v>
      </c>
      <c r="Z1190" s="30" t="e">
        <f>VLOOKUP(I1190,P.Referencia!E:S,3,0)</f>
        <v>#N/A</v>
      </c>
      <c r="AA1190" s="196" t="e">
        <f t="shared" si="300"/>
        <v>#N/A</v>
      </c>
      <c r="AB1190" s="197" t="e">
        <f t="shared" si="301"/>
        <v>#N/A</v>
      </c>
      <c r="AC1190" s="197" t="e">
        <f t="shared" si="302"/>
        <v>#N/A</v>
      </c>
    </row>
    <row r="1191" spans="1:29" s="4" customFormat="1" hidden="1" x14ac:dyDescent="0.25">
      <c r="A1191" s="24">
        <v>1190</v>
      </c>
      <c r="B1191" s="89" t="s">
        <v>1001</v>
      </c>
      <c r="C1191" s="4" t="str">
        <f t="shared" si="296"/>
        <v>LlaveD86166932813100002292</v>
      </c>
      <c r="D1191" s="25" t="str">
        <f>VLOOKUP(E1191,'NO MODIFICAR'!J:K,2,0)</f>
        <v>D861</v>
      </c>
      <c r="E1191" s="102" t="s">
        <v>44</v>
      </c>
      <c r="F1191" s="25" t="str">
        <f>VLOOKUP(D1191,'NO MODIFICAR'!F:H,3,0)</f>
        <v xml:space="preserve">CENTRO </v>
      </c>
      <c r="G1191" s="28">
        <v>66932813</v>
      </c>
      <c r="H1191" s="28" t="s">
        <v>308</v>
      </c>
      <c r="I1191" s="28">
        <v>10000229</v>
      </c>
      <c r="J1191" s="4" t="str">
        <f>VLOOKUP(I1191,'Materiales,canteras'!C:D,2,0)</f>
        <v>Grava Triturada Basalto  10 mm</v>
      </c>
      <c r="K1191" s="25">
        <f>VLOOKUP(I1191,'Materiales,canteras'!C:E,3,0)</f>
        <v>1.522</v>
      </c>
      <c r="L1191" s="82">
        <v>230</v>
      </c>
      <c r="M1191" s="28" t="s">
        <v>93</v>
      </c>
      <c r="N1191" s="193">
        <f t="shared" ca="1" si="295"/>
        <v>46267</v>
      </c>
      <c r="O1191" s="24" t="s">
        <v>719</v>
      </c>
      <c r="P1191" s="195"/>
      <c r="Q1191" s="195"/>
      <c r="R1191" s="4">
        <v>14.08</v>
      </c>
      <c r="S1191" s="4">
        <v>352</v>
      </c>
      <c r="T1191" s="303">
        <f t="shared" si="297"/>
        <v>-107.92000000000002</v>
      </c>
      <c r="U1191" s="88">
        <f t="shared" si="298"/>
        <v>230</v>
      </c>
      <c r="V1191" s="82">
        <v>0</v>
      </c>
      <c r="W1191" s="4">
        <v>2</v>
      </c>
      <c r="X1191" s="195">
        <f t="shared" si="299"/>
        <v>230</v>
      </c>
      <c r="Y1191" s="29" t="e">
        <f>IF(+VLOOKUP(I1191,P.Referencia!E:S,3,FALSE)&lt;=L1191,"Champion","Gerente")</f>
        <v>#N/A</v>
      </c>
      <c r="Z1191" s="30" t="e">
        <f>VLOOKUP(I1191,P.Referencia!E:S,3,0)</f>
        <v>#N/A</v>
      </c>
      <c r="AA1191" s="196" t="e">
        <f t="shared" si="300"/>
        <v>#N/A</v>
      </c>
      <c r="AB1191" s="197" t="e">
        <f t="shared" si="301"/>
        <v>#N/A</v>
      </c>
      <c r="AC1191" s="197" t="e">
        <f t="shared" si="302"/>
        <v>#N/A</v>
      </c>
    </row>
    <row r="1192" spans="1:29" s="4" customFormat="1" hidden="1" x14ac:dyDescent="0.25">
      <c r="A1192" s="24">
        <v>1191</v>
      </c>
      <c r="B1192" s="89" t="s">
        <v>1001</v>
      </c>
      <c r="C1192" s="4" t="str">
        <f t="shared" si="296"/>
        <v>LlaveD86166932813100002312</v>
      </c>
      <c r="D1192" s="25" t="str">
        <f>VLOOKUP(E1192,'NO MODIFICAR'!J:K,2,0)</f>
        <v>D861</v>
      </c>
      <c r="E1192" s="102" t="s">
        <v>44</v>
      </c>
      <c r="F1192" s="25" t="str">
        <f>VLOOKUP(D1192,'NO MODIFICAR'!F:H,3,0)</f>
        <v xml:space="preserve">CENTRO </v>
      </c>
      <c r="G1192" s="28">
        <v>66932813</v>
      </c>
      <c r="H1192" s="28" t="s">
        <v>308</v>
      </c>
      <c r="I1192" s="28">
        <v>10000231</v>
      </c>
      <c r="J1192" s="4" t="str">
        <f>VLOOKUP(I1192,'Materiales,canteras'!C:D,2,0)</f>
        <v>Grava Triturada Basalto 20 mm</v>
      </c>
      <c r="K1192" s="25">
        <f>VLOOKUP(I1192,'Materiales,canteras'!C:E,3,0)</f>
        <v>1.5649999999999999</v>
      </c>
      <c r="L1192" s="82">
        <v>200</v>
      </c>
      <c r="M1192" s="28" t="s">
        <v>93</v>
      </c>
      <c r="N1192" s="193">
        <f t="shared" ca="1" si="295"/>
        <v>46267</v>
      </c>
      <c r="O1192" s="24" t="s">
        <v>720</v>
      </c>
      <c r="P1192" s="195"/>
      <c r="Q1192" s="195"/>
      <c r="R1192" s="4">
        <v>12.32</v>
      </c>
      <c r="S1192" s="4">
        <v>308</v>
      </c>
      <c r="T1192" s="303">
        <f t="shared" si="297"/>
        <v>-95.68</v>
      </c>
      <c r="U1192" s="88">
        <f t="shared" si="298"/>
        <v>200</v>
      </c>
      <c r="V1192" s="82">
        <v>0</v>
      </c>
      <c r="W1192" s="4">
        <v>2</v>
      </c>
      <c r="X1192" s="195">
        <f t="shared" si="299"/>
        <v>200</v>
      </c>
      <c r="Y1192" s="29" t="e">
        <f>IF(+VLOOKUP(I1192,P.Referencia!E:S,3,FALSE)&lt;=L1192,"Champion","Gerente")</f>
        <v>#N/A</v>
      </c>
      <c r="Z1192" s="30" t="e">
        <f>VLOOKUP(I1192,P.Referencia!E:S,3,0)</f>
        <v>#N/A</v>
      </c>
      <c r="AA1192" s="196" t="e">
        <f t="shared" si="300"/>
        <v>#N/A</v>
      </c>
      <c r="AB1192" s="197" t="e">
        <f t="shared" si="301"/>
        <v>#N/A</v>
      </c>
      <c r="AC1192" s="197" t="e">
        <f t="shared" si="302"/>
        <v>#N/A</v>
      </c>
    </row>
    <row r="1193" spans="1:29" s="4" customFormat="1" hidden="1" x14ac:dyDescent="0.25">
      <c r="A1193" s="24">
        <v>1192</v>
      </c>
      <c r="B1193" s="89" t="s">
        <v>1001</v>
      </c>
      <c r="C1193" s="4" t="str">
        <f t="shared" si="296"/>
        <v>LlaveD86166932813100002332</v>
      </c>
      <c r="D1193" s="25" t="str">
        <f>VLOOKUP(E1193,'NO MODIFICAR'!J:K,2,0)</f>
        <v>D861</v>
      </c>
      <c r="E1193" s="102" t="s">
        <v>44</v>
      </c>
      <c r="F1193" s="25" t="str">
        <f>VLOOKUP(D1193,'NO MODIFICAR'!F:H,3,0)</f>
        <v xml:space="preserve">CENTRO </v>
      </c>
      <c r="G1193" s="28">
        <v>66932813</v>
      </c>
      <c r="H1193" s="28" t="s">
        <v>308</v>
      </c>
      <c r="I1193" s="28">
        <v>10000233</v>
      </c>
      <c r="J1193" s="4" t="str">
        <f>VLOOKUP(I1193,'Materiales,canteras'!C:D,2,0)</f>
        <v>Grava Triturada Basalto  40 mm</v>
      </c>
      <c r="K1193" s="25">
        <f>VLOOKUP(I1193,'Materiales,canteras'!C:E,3,0)</f>
        <v>1.456</v>
      </c>
      <c r="L1193" s="82">
        <v>210</v>
      </c>
      <c r="M1193" s="28" t="s">
        <v>93</v>
      </c>
      <c r="N1193" s="193">
        <f t="shared" ca="1" si="295"/>
        <v>46267</v>
      </c>
      <c r="O1193" s="24" t="s">
        <v>721</v>
      </c>
      <c r="P1193" s="195"/>
      <c r="Q1193" s="195"/>
      <c r="R1193" s="4">
        <v>12.4</v>
      </c>
      <c r="S1193" s="4">
        <v>310</v>
      </c>
      <c r="T1193" s="303">
        <f t="shared" si="297"/>
        <v>-87.600000000000023</v>
      </c>
      <c r="U1193" s="88">
        <f t="shared" si="298"/>
        <v>210</v>
      </c>
      <c r="V1193" s="82">
        <v>0</v>
      </c>
      <c r="W1193" s="4">
        <v>2</v>
      </c>
      <c r="X1193" s="195">
        <f t="shared" si="299"/>
        <v>210</v>
      </c>
      <c r="Y1193" s="29" t="e">
        <f>IF(+VLOOKUP(I1193,P.Referencia!E:S,3,FALSE)&lt;=L1193,"Champion","Gerente")</f>
        <v>#N/A</v>
      </c>
      <c r="Z1193" s="30" t="e">
        <f>VLOOKUP(I1193,P.Referencia!E:S,3,0)</f>
        <v>#N/A</v>
      </c>
      <c r="AA1193" s="196" t="e">
        <f t="shared" si="300"/>
        <v>#N/A</v>
      </c>
      <c r="AB1193" s="197" t="e">
        <f t="shared" si="301"/>
        <v>#N/A</v>
      </c>
      <c r="AC1193" s="197" t="e">
        <f t="shared" si="302"/>
        <v>#N/A</v>
      </c>
    </row>
    <row r="1194" spans="1:29" s="4" customFormat="1" hidden="1" x14ac:dyDescent="0.25">
      <c r="A1194" s="24">
        <v>1193</v>
      </c>
      <c r="B1194" s="89" t="s">
        <v>1001</v>
      </c>
      <c r="C1194" s="4" t="str">
        <f t="shared" si="296"/>
        <v>LlaveDU0767377274100001032</v>
      </c>
      <c r="D1194" s="25" t="str">
        <f>VLOOKUP(E1194,'NO MODIFICAR'!J:K,2,0)</f>
        <v>DU07</v>
      </c>
      <c r="E1194" s="102" t="s">
        <v>87</v>
      </c>
      <c r="F1194" s="25" t="str">
        <f>VLOOKUP(D1194,'NO MODIFICAR'!F:H,3,0)</f>
        <v>SURESTE</v>
      </c>
      <c r="G1194" s="28">
        <v>67377274</v>
      </c>
      <c r="H1194" s="28" t="s">
        <v>1000</v>
      </c>
      <c r="I1194" s="28">
        <v>10000103</v>
      </c>
      <c r="J1194" s="4" t="str">
        <f>VLOOKUP(I1194,'Materiales,canteras'!C:D,2,0)</f>
        <v>Base H Triturada Caliza 1 1/2" a Finos</v>
      </c>
      <c r="K1194" s="25">
        <f>VLOOKUP(I1194,'Materiales,canteras'!C:E,3,0)</f>
        <v>1.462</v>
      </c>
      <c r="L1194" s="82">
        <f>(180/1.16)/K1194</f>
        <v>106.13708193782726</v>
      </c>
      <c r="M1194" s="28" t="s">
        <v>93</v>
      </c>
      <c r="N1194" s="193">
        <f t="shared" ca="1" si="295"/>
        <v>46267</v>
      </c>
      <c r="O1194" s="24" t="s">
        <v>722</v>
      </c>
      <c r="P1194" s="195"/>
      <c r="Q1194" s="195"/>
      <c r="S1194" s="4">
        <v>158</v>
      </c>
      <c r="T1194" s="303">
        <f t="shared" si="297"/>
        <v>-51.862918062172739</v>
      </c>
      <c r="U1194" s="88">
        <f t="shared" si="298"/>
        <v>106.13708193782726</v>
      </c>
      <c r="V1194" s="82">
        <v>0</v>
      </c>
      <c r="W1194" s="4">
        <v>2</v>
      </c>
      <c r="X1194" s="195">
        <f t="shared" si="299"/>
        <v>106.13708193782726</v>
      </c>
      <c r="Y1194" s="29" t="e">
        <f>IF(+VLOOKUP(I1194,P.Referencia!E:S,3,FALSE)&lt;=L1194,"Champion","Gerente")</f>
        <v>#N/A</v>
      </c>
      <c r="Z1194" s="30" t="e">
        <f>VLOOKUP(I1194,P.Referencia!E:S,3,0)</f>
        <v>#N/A</v>
      </c>
      <c r="AA1194" s="196" t="e">
        <f t="shared" ref="AA1194:AA1199" si="303">(Z1194-U1194)/U1194</f>
        <v>#N/A</v>
      </c>
      <c r="AB1194" s="197" t="e">
        <f t="shared" ref="AB1194:AB1199" si="304">U1194*AA1194</f>
        <v>#N/A</v>
      </c>
      <c r="AC1194" s="197" t="e">
        <f t="shared" ref="AC1194:AC1199" si="305">U1194+AB1194</f>
        <v>#N/A</v>
      </c>
    </row>
    <row r="1195" spans="1:29" s="4" customFormat="1" hidden="1" x14ac:dyDescent="0.25">
      <c r="A1195" s="24">
        <v>1194</v>
      </c>
      <c r="B1195" s="89" t="s">
        <v>1001</v>
      </c>
      <c r="C1195" s="4" t="str">
        <f t="shared" si="296"/>
        <v>LlaveD86467367103100002402</v>
      </c>
      <c r="D1195" s="25" t="str">
        <f>VLOOKUP(E1195,'NO MODIFICAR'!J:K,2,0)</f>
        <v>D864</v>
      </c>
      <c r="E1195" s="102" t="s">
        <v>55</v>
      </c>
      <c r="F1195" s="25" t="str">
        <f>VLOOKUP(D1195,'NO MODIFICAR'!F:H,3,0)</f>
        <v xml:space="preserve">CENTRO </v>
      </c>
      <c r="G1195" s="28">
        <v>67367103</v>
      </c>
      <c r="H1195" s="28" t="s">
        <v>1002</v>
      </c>
      <c r="I1195" s="28">
        <v>10000240</v>
      </c>
      <c r="J1195" s="4" t="str">
        <f>VLOOKUP(I1195,'Materiales,canteras'!C:D,2,0)</f>
        <v>Grava Triturada Caliza 20 mm -</v>
      </c>
      <c r="K1195" s="25">
        <f>VLOOKUP(I1195,'Materiales,canteras'!C:E,3,0)</f>
        <v>1.462</v>
      </c>
      <c r="L1195" s="82">
        <v>135</v>
      </c>
      <c r="M1195" s="28" t="s">
        <v>93</v>
      </c>
      <c r="N1195" s="193">
        <f t="shared" ca="1" si="295"/>
        <v>46267</v>
      </c>
      <c r="O1195" s="24" t="s">
        <v>723</v>
      </c>
      <c r="P1195" s="195"/>
      <c r="Q1195" s="195"/>
      <c r="R1195" s="4">
        <v>4.41</v>
      </c>
      <c r="S1195" s="4">
        <v>294</v>
      </c>
      <c r="T1195" s="303">
        <f t="shared" si="297"/>
        <v>-154.58999999999997</v>
      </c>
      <c r="U1195" s="88">
        <f t="shared" si="298"/>
        <v>135</v>
      </c>
      <c r="V1195" s="82">
        <v>0</v>
      </c>
      <c r="W1195" s="4">
        <v>2</v>
      </c>
      <c r="X1195" s="195">
        <f t="shared" si="299"/>
        <v>135</v>
      </c>
      <c r="Y1195" s="29" t="e">
        <f>IF(+VLOOKUP(I1195,P.Referencia!E:S,3,FALSE)&lt;=L1195,"Champion","Gerente")</f>
        <v>#N/A</v>
      </c>
      <c r="Z1195" s="30" t="e">
        <f>VLOOKUP(I1195,P.Referencia!E:S,3,0)</f>
        <v>#N/A</v>
      </c>
      <c r="AA1195" s="196" t="e">
        <f t="shared" si="303"/>
        <v>#N/A</v>
      </c>
      <c r="AB1195" s="197" t="e">
        <f t="shared" si="304"/>
        <v>#N/A</v>
      </c>
      <c r="AC1195" s="197" t="e">
        <f t="shared" si="305"/>
        <v>#N/A</v>
      </c>
    </row>
    <row r="1196" spans="1:29" s="4" customFormat="1" hidden="1" x14ac:dyDescent="0.25">
      <c r="A1196" s="24">
        <v>1195</v>
      </c>
      <c r="B1196" s="89" t="s">
        <v>1001</v>
      </c>
      <c r="C1196" s="4" t="str">
        <f t="shared" si="296"/>
        <v>LlaveD86467367103100010732</v>
      </c>
      <c r="D1196" s="25" t="str">
        <f>VLOOKUP(E1196,'NO MODIFICAR'!J:K,2,0)</f>
        <v>D864</v>
      </c>
      <c r="E1196" s="102" t="s">
        <v>55</v>
      </c>
      <c r="F1196" s="25" t="str">
        <f>VLOOKUP(D1196,'NO MODIFICAR'!F:H,3,0)</f>
        <v xml:space="preserve">CENTRO </v>
      </c>
      <c r="G1196" s="28">
        <v>67367103</v>
      </c>
      <c r="H1196" s="28" t="s">
        <v>1002</v>
      </c>
      <c r="I1196" s="28">
        <v>10001073</v>
      </c>
      <c r="J1196" s="4" t="str">
        <f>VLOOKUP(I1196,'Materiales,canteras'!C:D,2,0)</f>
        <v>Arena Triturada Caliza Malla 4</v>
      </c>
      <c r="K1196" s="25">
        <f>VLOOKUP(I1196,'Materiales,canteras'!C:E,3,0)</f>
        <v>1.56</v>
      </c>
      <c r="L1196" s="82">
        <v>99</v>
      </c>
      <c r="M1196" s="28" t="s">
        <v>93</v>
      </c>
      <c r="N1196" s="193">
        <f t="shared" ca="1" si="295"/>
        <v>46267</v>
      </c>
      <c r="O1196" s="24" t="s">
        <v>724</v>
      </c>
      <c r="P1196" s="195"/>
      <c r="Q1196" s="195"/>
      <c r="R1196" s="4">
        <v>2.37</v>
      </c>
      <c r="S1196" s="4">
        <v>158</v>
      </c>
      <c r="T1196" s="303">
        <f t="shared" si="297"/>
        <v>-56.629999999999995</v>
      </c>
      <c r="U1196" s="88">
        <f t="shared" si="298"/>
        <v>99</v>
      </c>
      <c r="V1196" s="82">
        <v>0</v>
      </c>
      <c r="W1196" s="4">
        <v>2</v>
      </c>
      <c r="X1196" s="195">
        <f t="shared" si="299"/>
        <v>99</v>
      </c>
      <c r="Y1196" s="29" t="e">
        <f>IF(+VLOOKUP(I1196,P.Referencia!E:S,3,FALSE)&lt;=L1196,"Champion","Gerente")</f>
        <v>#N/A</v>
      </c>
      <c r="Z1196" s="30" t="e">
        <f>VLOOKUP(I1196,P.Referencia!E:S,3,0)</f>
        <v>#N/A</v>
      </c>
      <c r="AA1196" s="196" t="e">
        <f t="shared" si="303"/>
        <v>#N/A</v>
      </c>
      <c r="AB1196" s="197" t="e">
        <f t="shared" si="304"/>
        <v>#N/A</v>
      </c>
      <c r="AC1196" s="197" t="e">
        <f t="shared" si="305"/>
        <v>#N/A</v>
      </c>
    </row>
    <row r="1197" spans="1:29" s="4" customFormat="1" hidden="1" x14ac:dyDescent="0.25">
      <c r="A1197" s="24">
        <v>1196</v>
      </c>
      <c r="B1197" s="89" t="s">
        <v>1001</v>
      </c>
      <c r="C1197" s="4" t="str">
        <f t="shared" si="296"/>
        <v>LlaveD85265046762100389452</v>
      </c>
      <c r="D1197" s="25" t="str">
        <f>VLOOKUP(E1197,'NO MODIFICAR'!J:K,2,0)</f>
        <v>D852</v>
      </c>
      <c r="E1197" s="102" t="s">
        <v>36</v>
      </c>
      <c r="F1197" s="25" t="str">
        <f>VLOOKUP(D1197,'NO MODIFICAR'!F:H,3,0)</f>
        <v>NORESTE</v>
      </c>
      <c r="G1197" s="28">
        <v>65046762</v>
      </c>
      <c r="H1197" s="28" t="s">
        <v>527</v>
      </c>
      <c r="I1197" s="28">
        <v>10038945</v>
      </c>
      <c r="J1197" s="4" t="str">
        <f>VLOOKUP(I1197,'Materiales,canteras'!C:D,2,0)</f>
        <v>Grava Triturada Caliza 20 mm -</v>
      </c>
      <c r="K1197" s="25">
        <f>VLOOKUP(I1197,'Materiales,canteras'!C:E,3,0)</f>
        <v>1.54</v>
      </c>
      <c r="L1197" s="82">
        <v>103</v>
      </c>
      <c r="M1197" s="28" t="s">
        <v>93</v>
      </c>
      <c r="N1197" s="193">
        <f t="shared" ca="1" si="295"/>
        <v>46267</v>
      </c>
      <c r="O1197" s="24" t="s">
        <v>725</v>
      </c>
      <c r="P1197" s="195"/>
      <c r="Q1197" s="195"/>
      <c r="S1197" s="4">
        <v>173</v>
      </c>
      <c r="T1197" s="303">
        <f t="shared" si="297"/>
        <v>-70</v>
      </c>
      <c r="U1197" s="88">
        <f t="shared" si="298"/>
        <v>103</v>
      </c>
      <c r="V1197" s="82">
        <v>0</v>
      </c>
      <c r="W1197" s="4">
        <v>2</v>
      </c>
      <c r="X1197" s="195">
        <f t="shared" si="299"/>
        <v>103</v>
      </c>
      <c r="Y1197" s="29" t="e">
        <f>IF(+VLOOKUP(I1197,P.Referencia!E:S,3,FALSE)&lt;=L1197,"Champion","Gerente")</f>
        <v>#N/A</v>
      </c>
      <c r="Z1197" s="30" t="e">
        <f>VLOOKUP(I1197,P.Referencia!E:S,3,0)</f>
        <v>#N/A</v>
      </c>
      <c r="AA1197" s="196" t="e">
        <f t="shared" si="303"/>
        <v>#N/A</v>
      </c>
      <c r="AB1197" s="197" t="e">
        <f t="shared" si="304"/>
        <v>#N/A</v>
      </c>
      <c r="AC1197" s="197" t="e">
        <f t="shared" si="305"/>
        <v>#N/A</v>
      </c>
    </row>
    <row r="1198" spans="1:29" s="4" customFormat="1" hidden="1" x14ac:dyDescent="0.25">
      <c r="A1198" s="24">
        <v>1197</v>
      </c>
      <c r="B1198" s="89" t="s">
        <v>1001</v>
      </c>
      <c r="C1198" s="4" t="str">
        <f t="shared" si="296"/>
        <v>LlaveD85265000375100386592</v>
      </c>
      <c r="D1198" s="25" t="str">
        <f>VLOOKUP(E1198,'NO MODIFICAR'!J:K,2,0)</f>
        <v>D852</v>
      </c>
      <c r="E1198" s="102" t="s">
        <v>36</v>
      </c>
      <c r="F1198" s="25" t="str">
        <f>VLOOKUP(D1198,'NO MODIFICAR'!F:H,3,0)</f>
        <v>NORESTE</v>
      </c>
      <c r="G1198" s="28">
        <v>65000375</v>
      </c>
      <c r="H1198" s="28" t="s">
        <v>988</v>
      </c>
      <c r="I1198" s="28">
        <v>10038659</v>
      </c>
      <c r="J1198" s="4" t="str">
        <f>VLOOKUP(I1198,'Materiales,canteras'!C:D,2,0)</f>
        <v>Grava Triturada Caliza 40 mm -</v>
      </c>
      <c r="K1198" s="25">
        <f>VLOOKUP(I1198,'Materiales,canteras'!C:E,3,0)</f>
        <v>1.56</v>
      </c>
      <c r="L1198" s="82">
        <v>110</v>
      </c>
      <c r="M1198" s="28" t="s">
        <v>93</v>
      </c>
      <c r="N1198" s="193">
        <f t="shared" ca="1" si="295"/>
        <v>46267</v>
      </c>
      <c r="O1198" s="24" t="s">
        <v>726</v>
      </c>
      <c r="P1198" s="195"/>
      <c r="Q1198" s="195"/>
      <c r="R1198" s="4">
        <v>6.44</v>
      </c>
      <c r="S1198" s="4">
        <v>161</v>
      </c>
      <c r="T1198" s="303">
        <f t="shared" si="297"/>
        <v>-44.56</v>
      </c>
      <c r="U1198" s="88">
        <f t="shared" si="298"/>
        <v>110</v>
      </c>
      <c r="V1198" s="82">
        <v>0</v>
      </c>
      <c r="W1198" s="4">
        <v>2</v>
      </c>
      <c r="X1198" s="195">
        <f t="shared" si="299"/>
        <v>110</v>
      </c>
      <c r="Y1198" s="29" t="e">
        <f>IF(+VLOOKUP(I1198,P.Referencia!E:S,3,FALSE)&lt;=L1198,"Champion","Gerente")</f>
        <v>#N/A</v>
      </c>
      <c r="Z1198" s="30" t="e">
        <f>VLOOKUP(I1198,P.Referencia!E:S,3,0)</f>
        <v>#N/A</v>
      </c>
      <c r="AA1198" s="196" t="e">
        <f t="shared" si="303"/>
        <v>#N/A</v>
      </c>
      <c r="AB1198" s="197" t="e">
        <f t="shared" si="304"/>
        <v>#N/A</v>
      </c>
      <c r="AC1198" s="197" t="e">
        <f t="shared" si="305"/>
        <v>#N/A</v>
      </c>
    </row>
    <row r="1199" spans="1:29" s="4" customFormat="1" hidden="1" x14ac:dyDescent="0.25">
      <c r="A1199" s="24">
        <v>1198</v>
      </c>
      <c r="B1199" s="89" t="s">
        <v>1001</v>
      </c>
      <c r="C1199" s="4" t="str">
        <f t="shared" si="296"/>
        <v>LlaveD85265000375100389452</v>
      </c>
      <c r="D1199" s="25" t="str">
        <f>VLOOKUP(E1199,'NO MODIFICAR'!J:K,2,0)</f>
        <v>D852</v>
      </c>
      <c r="E1199" s="102" t="s">
        <v>36</v>
      </c>
      <c r="F1199" s="25" t="str">
        <f>VLOOKUP(D1199,'NO MODIFICAR'!F:H,3,0)</f>
        <v>NORESTE</v>
      </c>
      <c r="G1199" s="28">
        <v>65000375</v>
      </c>
      <c r="H1199" s="28" t="s">
        <v>988</v>
      </c>
      <c r="I1199" s="28">
        <v>10038945</v>
      </c>
      <c r="J1199" s="4" t="str">
        <f>VLOOKUP(I1199,'Materiales,canteras'!C:D,2,0)</f>
        <v>Grava Triturada Caliza 20 mm -</v>
      </c>
      <c r="K1199" s="25">
        <f>VLOOKUP(I1199,'Materiales,canteras'!C:E,3,0)</f>
        <v>1.54</v>
      </c>
      <c r="L1199" s="82">
        <v>110</v>
      </c>
      <c r="M1199" s="28" t="s">
        <v>93</v>
      </c>
      <c r="N1199" s="193">
        <f t="shared" ca="1" si="295"/>
        <v>46267</v>
      </c>
      <c r="O1199" s="24" t="s">
        <v>727</v>
      </c>
      <c r="P1199" s="195"/>
      <c r="Q1199" s="195"/>
      <c r="R1199" s="4">
        <v>6.92</v>
      </c>
      <c r="S1199" s="4">
        <v>173</v>
      </c>
      <c r="T1199" s="303">
        <f t="shared" si="297"/>
        <v>-56.080000000000013</v>
      </c>
      <c r="U1199" s="88">
        <f t="shared" si="298"/>
        <v>110</v>
      </c>
      <c r="V1199" s="82">
        <v>0</v>
      </c>
      <c r="W1199" s="4">
        <v>2</v>
      </c>
      <c r="X1199" s="195">
        <f t="shared" si="299"/>
        <v>110</v>
      </c>
      <c r="Y1199" s="29" t="e">
        <f>IF(+VLOOKUP(I1199,P.Referencia!E:S,3,FALSE)&lt;=L1199,"Champion","Gerente")</f>
        <v>#N/A</v>
      </c>
      <c r="Z1199" s="30" t="e">
        <f>VLOOKUP(I1199,P.Referencia!E:S,3,0)</f>
        <v>#N/A</v>
      </c>
      <c r="AA1199" s="196" t="e">
        <f t="shared" si="303"/>
        <v>#N/A</v>
      </c>
      <c r="AB1199" s="197" t="e">
        <f t="shared" si="304"/>
        <v>#N/A</v>
      </c>
      <c r="AC1199" s="197" t="e">
        <f t="shared" si="305"/>
        <v>#N/A</v>
      </c>
    </row>
    <row r="1200" spans="1:29" s="4" customFormat="1" hidden="1" x14ac:dyDescent="0.25">
      <c r="A1200" s="24">
        <v>1199</v>
      </c>
      <c r="B1200" s="89" t="s">
        <v>1001</v>
      </c>
      <c r="C1200" s="4" t="str">
        <f t="shared" si="296"/>
        <v>LlaveD81667314807100011702</v>
      </c>
      <c r="D1200" s="25" t="str">
        <f>VLOOKUP(E1200,'NO MODIFICAR'!J:K,2,0)</f>
        <v>D816</v>
      </c>
      <c r="E1200" s="102" t="s">
        <v>15</v>
      </c>
      <c r="F1200" s="25" t="str">
        <f>VLOOKUP(D1200,'NO MODIFICAR'!F:H,3,0)</f>
        <v>NORESTE</v>
      </c>
      <c r="G1200" s="28">
        <v>67314807</v>
      </c>
      <c r="H1200" s="28" t="s">
        <v>1003</v>
      </c>
      <c r="I1200" s="28">
        <v>10001170</v>
      </c>
      <c r="J1200" s="4" t="str">
        <f>VLOOKUP(I1200,'Materiales,canteras'!C:D,2,0)</f>
        <v>Arena Triturada Caliza Block</v>
      </c>
      <c r="K1200" s="25">
        <f>VLOOKUP(I1200,'Materiales,canteras'!C:E,3,0)</f>
        <v>1.7709999999999999</v>
      </c>
      <c r="L1200" s="82">
        <v>245</v>
      </c>
      <c r="M1200" s="28" t="s">
        <v>93</v>
      </c>
      <c r="N1200" s="193">
        <f t="shared" ca="1" si="295"/>
        <v>46267</v>
      </c>
      <c r="O1200" s="24" t="s">
        <v>728</v>
      </c>
      <c r="P1200" s="195">
        <v>47.06</v>
      </c>
      <c r="Q1200" s="195">
        <v>25.34</v>
      </c>
      <c r="R1200" s="4">
        <v>11.58</v>
      </c>
      <c r="S1200" s="4">
        <v>362</v>
      </c>
      <c r="T1200" s="303">
        <f t="shared" si="297"/>
        <v>-33.020000000000039</v>
      </c>
      <c r="U1200" s="88">
        <f t="shared" si="298"/>
        <v>245</v>
      </c>
      <c r="V1200" s="82">
        <v>0</v>
      </c>
      <c r="W1200" s="4">
        <v>2</v>
      </c>
      <c r="X1200" s="195">
        <f t="shared" si="299"/>
        <v>245</v>
      </c>
      <c r="Y1200" s="29" t="e">
        <f>IF(+VLOOKUP(I1200,P.Referencia!E:S,3,FALSE)&lt;=L1200,"Champion","Gerente")</f>
        <v>#N/A</v>
      </c>
      <c r="Z1200" s="30" t="e">
        <f>VLOOKUP(I1200,P.Referencia!E:S,3,0)</f>
        <v>#N/A</v>
      </c>
      <c r="AA1200" s="196" t="e">
        <f t="shared" si="300"/>
        <v>#N/A</v>
      </c>
      <c r="AB1200" s="197" t="e">
        <f t="shared" si="301"/>
        <v>#N/A</v>
      </c>
      <c r="AC1200" s="197" t="e">
        <f t="shared" si="302"/>
        <v>#N/A</v>
      </c>
    </row>
    <row r="1201" spans="1:29" s="4" customFormat="1" hidden="1" x14ac:dyDescent="0.25">
      <c r="A1201" s="24">
        <v>1200</v>
      </c>
      <c r="B1201" s="89" t="s">
        <v>1001</v>
      </c>
      <c r="C1201" s="4" t="str">
        <f t="shared" si="296"/>
        <v>LlaveD81665004526100011702</v>
      </c>
      <c r="D1201" s="25" t="str">
        <f>VLOOKUP(E1201,'NO MODIFICAR'!J:K,2,0)</f>
        <v>D816</v>
      </c>
      <c r="E1201" s="102" t="s">
        <v>15</v>
      </c>
      <c r="F1201" s="25" t="str">
        <f>VLOOKUP(D1201,'NO MODIFICAR'!F:H,3,0)</f>
        <v>NORESTE</v>
      </c>
      <c r="G1201" s="28">
        <v>65004526</v>
      </c>
      <c r="H1201" s="28" t="s">
        <v>1004</v>
      </c>
      <c r="I1201" s="28">
        <v>10001170</v>
      </c>
      <c r="J1201" s="4" t="str">
        <f>VLOOKUP(I1201,'Materiales,canteras'!C:D,2,0)</f>
        <v>Arena Triturada Caliza Block</v>
      </c>
      <c r="K1201" s="25">
        <f>VLOOKUP(I1201,'Materiales,canteras'!C:E,3,0)</f>
        <v>1.7709999999999999</v>
      </c>
      <c r="L1201" s="82">
        <v>245</v>
      </c>
      <c r="M1201" s="28" t="s">
        <v>93</v>
      </c>
      <c r="N1201" s="193">
        <f t="shared" ca="1" si="295"/>
        <v>46267</v>
      </c>
      <c r="O1201" s="24" t="s">
        <v>729</v>
      </c>
      <c r="P1201" s="195"/>
      <c r="Q1201" s="195">
        <v>47.06</v>
      </c>
      <c r="R1201" s="4">
        <v>12.6</v>
      </c>
      <c r="S1201" s="4">
        <v>362</v>
      </c>
      <c r="T1201" s="303">
        <f t="shared" si="297"/>
        <v>-57.339999999999975</v>
      </c>
      <c r="U1201" s="88">
        <f t="shared" si="298"/>
        <v>245</v>
      </c>
      <c r="V1201" s="82">
        <v>0</v>
      </c>
      <c r="W1201" s="4">
        <v>2</v>
      </c>
      <c r="X1201" s="195">
        <f t="shared" si="299"/>
        <v>245</v>
      </c>
      <c r="Y1201" s="29" t="e">
        <f>IF(+VLOOKUP(I1201,P.Referencia!E:S,3,FALSE)&lt;=L1201,"Champion","Gerente")</f>
        <v>#N/A</v>
      </c>
      <c r="Z1201" s="30" t="e">
        <f>VLOOKUP(I1201,P.Referencia!E:S,3,0)</f>
        <v>#N/A</v>
      </c>
      <c r="AA1201" s="196" t="e">
        <f t="shared" si="300"/>
        <v>#N/A</v>
      </c>
      <c r="AB1201" s="197" t="e">
        <f t="shared" si="301"/>
        <v>#N/A</v>
      </c>
      <c r="AC1201" s="197" t="e">
        <f t="shared" si="302"/>
        <v>#N/A</v>
      </c>
    </row>
    <row r="1202" spans="1:29" s="4" customFormat="1" hidden="1" x14ac:dyDescent="0.25">
      <c r="A1202" s="24">
        <v>1201</v>
      </c>
      <c r="B1202" s="89" t="s">
        <v>1001</v>
      </c>
      <c r="C1202" s="4" t="str">
        <f t="shared" si="296"/>
        <v>LlaveD86367287274100389492</v>
      </c>
      <c r="D1202" s="25" t="str">
        <f>VLOOKUP(E1202,'NO MODIFICAR'!J:K,2,0)</f>
        <v>D863</v>
      </c>
      <c r="E1202" s="102" t="s">
        <v>53</v>
      </c>
      <c r="F1202" s="25" t="str">
        <f>VLOOKUP(D1202,'NO MODIFICAR'!F:H,3,0)</f>
        <v>NORESTE</v>
      </c>
      <c r="G1202" s="28">
        <v>67287274</v>
      </c>
      <c r="H1202" s="28" t="s">
        <v>1005</v>
      </c>
      <c r="I1202" s="28">
        <v>10038949</v>
      </c>
      <c r="J1202" s="4" t="str">
        <f>VLOOKUP(I1202,'Materiales,canteras'!C:D,2,0)</f>
        <v>Grava Triturada Caliza 10 mm -</v>
      </c>
      <c r="K1202" s="25">
        <f>VLOOKUP(I1202,'Materiales,canteras'!C:E,3,0)</f>
        <v>1.5</v>
      </c>
      <c r="L1202" s="82">
        <v>148</v>
      </c>
      <c r="M1202" s="28" t="s">
        <v>93</v>
      </c>
      <c r="N1202" s="193">
        <f t="shared" ca="1" si="295"/>
        <v>46267</v>
      </c>
      <c r="O1202" s="24" t="s">
        <v>730</v>
      </c>
      <c r="P1202" s="195"/>
      <c r="Q1202" s="195"/>
      <c r="R1202" s="4">
        <v>2.94</v>
      </c>
      <c r="S1202" s="4">
        <v>196</v>
      </c>
      <c r="T1202" s="303">
        <f t="shared" si="297"/>
        <v>-45.06</v>
      </c>
      <c r="U1202" s="88">
        <f t="shared" si="298"/>
        <v>148</v>
      </c>
      <c r="V1202" s="82">
        <v>0</v>
      </c>
      <c r="W1202" s="4">
        <v>2</v>
      </c>
      <c r="X1202" s="195">
        <f t="shared" si="299"/>
        <v>148</v>
      </c>
      <c r="Y1202" s="29" t="e">
        <f>IF(+VLOOKUP(I1202,P.Referencia!E:S,3,FALSE)&lt;=L1202,"Champion","Gerente")</f>
        <v>#N/A</v>
      </c>
      <c r="Z1202" s="30" t="e">
        <f>VLOOKUP(I1202,P.Referencia!E:S,3,0)</f>
        <v>#N/A</v>
      </c>
      <c r="AA1202" s="196" t="e">
        <f t="shared" si="300"/>
        <v>#N/A</v>
      </c>
      <c r="AB1202" s="197" t="e">
        <f t="shared" si="301"/>
        <v>#N/A</v>
      </c>
      <c r="AC1202" s="197" t="e">
        <f t="shared" si="302"/>
        <v>#N/A</v>
      </c>
    </row>
    <row r="1203" spans="1:29" s="4" customFormat="1" hidden="1" x14ac:dyDescent="0.25">
      <c r="A1203" s="24">
        <v>1202</v>
      </c>
      <c r="B1203" s="89" t="s">
        <v>1001</v>
      </c>
      <c r="C1203" s="4" t="str">
        <f t="shared" si="296"/>
        <v>LlaveD86367287274100389502</v>
      </c>
      <c r="D1203" s="25" t="str">
        <f>VLOOKUP(E1203,'NO MODIFICAR'!J:K,2,0)</f>
        <v>D863</v>
      </c>
      <c r="E1203" s="102" t="s">
        <v>53</v>
      </c>
      <c r="F1203" s="25" t="str">
        <f>VLOOKUP(D1203,'NO MODIFICAR'!F:H,3,0)</f>
        <v>NORESTE</v>
      </c>
      <c r="G1203" s="28">
        <v>67287274</v>
      </c>
      <c r="H1203" s="28" t="s">
        <v>1005</v>
      </c>
      <c r="I1203" s="28">
        <v>10038950</v>
      </c>
      <c r="J1203" s="4" t="str">
        <f>VLOOKUP(I1203,'Materiales,canteras'!C:D,2,0)</f>
        <v>Grava Triturada Caliza 20 mm -</v>
      </c>
      <c r="K1203" s="25">
        <f>VLOOKUP(I1203,'Materiales,canteras'!C:E,3,0)</f>
        <v>1.474</v>
      </c>
      <c r="L1203" s="82">
        <v>148</v>
      </c>
      <c r="M1203" s="28" t="s">
        <v>93</v>
      </c>
      <c r="N1203" s="193">
        <f t="shared" ca="1" si="295"/>
        <v>46267</v>
      </c>
      <c r="O1203" s="24" t="s">
        <v>731</v>
      </c>
      <c r="P1203" s="195"/>
      <c r="Q1203" s="195"/>
      <c r="R1203" s="4">
        <v>3.2</v>
      </c>
      <c r="S1203" s="4">
        <v>213</v>
      </c>
      <c r="T1203" s="303">
        <f t="shared" si="297"/>
        <v>-61.800000000000011</v>
      </c>
      <c r="U1203" s="88">
        <f t="shared" si="298"/>
        <v>148</v>
      </c>
      <c r="V1203" s="82">
        <v>0</v>
      </c>
      <c r="W1203" s="4">
        <v>2</v>
      </c>
      <c r="X1203" s="195">
        <f t="shared" si="299"/>
        <v>148</v>
      </c>
      <c r="Y1203" s="29" t="e">
        <f>IF(+VLOOKUP(I1203,P.Referencia!E:S,3,FALSE)&lt;=L1203,"Champion","Gerente")</f>
        <v>#N/A</v>
      </c>
      <c r="Z1203" s="30" t="e">
        <f>VLOOKUP(I1203,P.Referencia!E:S,3,0)</f>
        <v>#N/A</v>
      </c>
      <c r="AA1203" s="196" t="e">
        <f t="shared" si="300"/>
        <v>#N/A</v>
      </c>
      <c r="AB1203" s="197" t="e">
        <f t="shared" si="301"/>
        <v>#N/A</v>
      </c>
      <c r="AC1203" s="197" t="e">
        <f t="shared" si="302"/>
        <v>#N/A</v>
      </c>
    </row>
    <row r="1204" spans="1:29" s="4" customFormat="1" hidden="1" x14ac:dyDescent="0.25">
      <c r="A1204" s="24">
        <v>1203</v>
      </c>
      <c r="B1204" s="89" t="s">
        <v>1001</v>
      </c>
      <c r="C1204" s="4" t="str">
        <f t="shared" si="296"/>
        <v>LlaveD86367287274100389522</v>
      </c>
      <c r="D1204" s="25" t="str">
        <f>VLOOKUP(E1204,'NO MODIFICAR'!J:K,2,0)</f>
        <v>D863</v>
      </c>
      <c r="E1204" s="102" t="s">
        <v>53</v>
      </c>
      <c r="F1204" s="25" t="str">
        <f>VLOOKUP(D1204,'NO MODIFICAR'!F:H,3,0)</f>
        <v>NORESTE</v>
      </c>
      <c r="G1204" s="28">
        <v>67287274</v>
      </c>
      <c r="H1204" s="28" t="s">
        <v>1005</v>
      </c>
      <c r="I1204" s="28">
        <v>10038952</v>
      </c>
      <c r="J1204" s="4" t="str">
        <f>VLOOKUP(I1204,'Materiales,canteras'!C:D,2,0)</f>
        <v>Arena Triturada Caliza Malla 4</v>
      </c>
      <c r="K1204" s="25">
        <f>VLOOKUP(I1204,'Materiales,canteras'!C:E,3,0)</f>
        <v>1.6</v>
      </c>
      <c r="L1204" s="82">
        <v>148</v>
      </c>
      <c r="M1204" s="28" t="s">
        <v>93</v>
      </c>
      <c r="N1204" s="193">
        <f t="shared" ca="1" si="295"/>
        <v>46267</v>
      </c>
      <c r="O1204" s="24" t="s">
        <v>732</v>
      </c>
      <c r="P1204" s="195"/>
      <c r="Q1204" s="195"/>
      <c r="R1204" s="4">
        <v>2.94</v>
      </c>
      <c r="S1204" s="4">
        <v>196</v>
      </c>
      <c r="T1204" s="303">
        <f t="shared" si="297"/>
        <v>-45.06</v>
      </c>
      <c r="U1204" s="88">
        <f t="shared" si="298"/>
        <v>148</v>
      </c>
      <c r="V1204" s="82">
        <v>0</v>
      </c>
      <c r="W1204" s="4">
        <v>2</v>
      </c>
      <c r="X1204" s="195">
        <f t="shared" si="299"/>
        <v>148</v>
      </c>
      <c r="Y1204" s="29" t="e">
        <f>IF(+VLOOKUP(I1204,P.Referencia!E:S,3,FALSE)&lt;=L1204,"Champion","Gerente")</f>
        <v>#N/A</v>
      </c>
      <c r="Z1204" s="30" t="e">
        <f>VLOOKUP(I1204,P.Referencia!E:S,3,0)</f>
        <v>#N/A</v>
      </c>
      <c r="AA1204" s="196" t="e">
        <f t="shared" si="300"/>
        <v>#N/A</v>
      </c>
      <c r="AB1204" s="197" t="e">
        <f t="shared" si="301"/>
        <v>#N/A</v>
      </c>
      <c r="AC1204" s="197" t="e">
        <f t="shared" si="302"/>
        <v>#N/A</v>
      </c>
    </row>
    <row r="1205" spans="1:29" s="4" customFormat="1" hidden="1" x14ac:dyDescent="0.25">
      <c r="A1205" s="24">
        <v>1204</v>
      </c>
      <c r="B1205" s="89" t="s">
        <v>1001</v>
      </c>
      <c r="C1205" s="4" t="str">
        <f t="shared" si="296"/>
        <v>LlaveD86367287274100389572</v>
      </c>
      <c r="D1205" s="25" t="str">
        <f>VLOOKUP(E1205,'NO MODIFICAR'!J:K,2,0)</f>
        <v>D863</v>
      </c>
      <c r="E1205" s="102" t="s">
        <v>53</v>
      </c>
      <c r="F1205" s="25" t="str">
        <f>VLOOKUP(D1205,'NO MODIFICAR'!F:H,3,0)</f>
        <v>NORESTE</v>
      </c>
      <c r="G1205" s="28">
        <v>67287274</v>
      </c>
      <c r="H1205" s="28" t="s">
        <v>1005</v>
      </c>
      <c r="I1205" s="28">
        <v>10038957</v>
      </c>
      <c r="J1205" s="4" t="str">
        <f>VLOOKUP(I1205,'Materiales,canteras'!C:D,2,0)</f>
        <v>Arena Triturada Caliza Block</v>
      </c>
      <c r="K1205" s="25">
        <f>VLOOKUP(I1205,'Materiales,canteras'!C:E,3,0)</f>
        <v>1.6870000000000001</v>
      </c>
      <c r="L1205" s="82">
        <v>148</v>
      </c>
      <c r="M1205" s="28" t="s">
        <v>93</v>
      </c>
      <c r="N1205" s="193">
        <f t="shared" ca="1" si="295"/>
        <v>46267</v>
      </c>
      <c r="O1205" s="24" t="s">
        <v>733</v>
      </c>
      <c r="P1205" s="195"/>
      <c r="Q1205" s="195"/>
      <c r="R1205" s="4">
        <v>3.71</v>
      </c>
      <c r="S1205" s="4">
        <v>247</v>
      </c>
      <c r="T1205" s="303">
        <f t="shared" si="297"/>
        <v>-95.289999999999992</v>
      </c>
      <c r="U1205" s="88">
        <f t="shared" si="298"/>
        <v>148</v>
      </c>
      <c r="V1205" s="82">
        <v>0</v>
      </c>
      <c r="W1205" s="4">
        <v>2</v>
      </c>
      <c r="X1205" s="195">
        <f t="shared" si="299"/>
        <v>148</v>
      </c>
      <c r="Y1205" s="29" t="e">
        <f>IF(+VLOOKUP(I1205,P.Referencia!E:S,3,FALSE)&lt;=L1205,"Champion","Gerente")</f>
        <v>#N/A</v>
      </c>
      <c r="Z1205" s="30" t="e">
        <f>VLOOKUP(I1205,P.Referencia!E:S,3,0)</f>
        <v>#N/A</v>
      </c>
      <c r="AA1205" s="196" t="e">
        <f t="shared" si="300"/>
        <v>#N/A</v>
      </c>
      <c r="AB1205" s="197" t="e">
        <f t="shared" si="301"/>
        <v>#N/A</v>
      </c>
      <c r="AC1205" s="197" t="e">
        <f t="shared" si="302"/>
        <v>#N/A</v>
      </c>
    </row>
    <row r="1206" spans="1:29" s="4" customFormat="1" hidden="1" x14ac:dyDescent="0.25">
      <c r="A1206" s="24">
        <v>1205</v>
      </c>
      <c r="B1206" s="89" t="s">
        <v>1001</v>
      </c>
      <c r="C1206" s="4" t="str">
        <f t="shared" si="296"/>
        <v>LlaveD86367287274100496722</v>
      </c>
      <c r="D1206" s="25" t="str">
        <f>VLOOKUP(E1206,'NO MODIFICAR'!J:K,2,0)</f>
        <v>D863</v>
      </c>
      <c r="E1206" s="102" t="s">
        <v>53</v>
      </c>
      <c r="F1206" s="25" t="str">
        <f>VLOOKUP(D1206,'NO MODIFICAR'!F:H,3,0)</f>
        <v>NORESTE</v>
      </c>
      <c r="G1206" s="28">
        <v>67287274</v>
      </c>
      <c r="H1206" s="28" t="s">
        <v>1005</v>
      </c>
      <c r="I1206" s="28">
        <v>10049672</v>
      </c>
      <c r="J1206" s="4" t="str">
        <f>VLOOKUP(I1206,'Materiales,canteras'!C:D,2,0)</f>
        <v>Grava Triturada Caliza 40- 4mm</v>
      </c>
      <c r="K1206" s="25">
        <f>VLOOKUP(I1206,'Materiales,canteras'!C:E,3,0)</f>
        <v>1.625</v>
      </c>
      <c r="L1206" s="82">
        <v>148</v>
      </c>
      <c r="M1206" s="28" t="s">
        <v>93</v>
      </c>
      <c r="N1206" s="193">
        <f t="shared" ca="1" si="295"/>
        <v>46267</v>
      </c>
      <c r="O1206" s="24" t="s">
        <v>734</v>
      </c>
      <c r="P1206" s="195"/>
      <c r="Q1206" s="195"/>
      <c r="R1206" s="4">
        <v>2.76</v>
      </c>
      <c r="S1206" s="4">
        <v>184</v>
      </c>
      <c r="T1206" s="303">
        <f t="shared" si="297"/>
        <v>-33.240000000000009</v>
      </c>
      <c r="U1206" s="88">
        <f t="shared" si="298"/>
        <v>148</v>
      </c>
      <c r="V1206" s="82">
        <v>0</v>
      </c>
      <c r="W1206" s="4">
        <v>2</v>
      </c>
      <c r="X1206" s="195">
        <f t="shared" si="299"/>
        <v>148</v>
      </c>
      <c r="Y1206" s="29" t="e">
        <f>IF(+VLOOKUP(I1206,P.Referencia!E:S,3,FALSE)&lt;=L1206,"Champion","Gerente")</f>
        <v>#N/A</v>
      </c>
      <c r="Z1206" s="30" t="e">
        <f>VLOOKUP(I1206,P.Referencia!E:S,3,0)</f>
        <v>#N/A</v>
      </c>
      <c r="AA1206" s="196" t="e">
        <f t="shared" si="300"/>
        <v>#N/A</v>
      </c>
      <c r="AB1206" s="197" t="e">
        <f t="shared" si="301"/>
        <v>#N/A</v>
      </c>
      <c r="AC1206" s="197" t="e">
        <f t="shared" si="302"/>
        <v>#N/A</v>
      </c>
    </row>
    <row r="1207" spans="1:29" s="4" customFormat="1" hidden="1" x14ac:dyDescent="0.25">
      <c r="A1207" s="24">
        <v>1206</v>
      </c>
      <c r="B1207" s="89" t="s">
        <v>1001</v>
      </c>
      <c r="C1207" s="4" t="str">
        <f t="shared" si="296"/>
        <v>LlaveD86367086849100389492</v>
      </c>
      <c r="D1207" s="25" t="str">
        <f>VLOOKUP(E1207,'NO MODIFICAR'!J:K,2,0)</f>
        <v>D863</v>
      </c>
      <c r="E1207" s="102" t="s">
        <v>53</v>
      </c>
      <c r="F1207" s="25" t="str">
        <f>VLOOKUP(D1207,'NO MODIFICAR'!F:H,3,0)</f>
        <v>NORESTE</v>
      </c>
      <c r="G1207" s="28">
        <v>67086849</v>
      </c>
      <c r="H1207" s="28" t="s">
        <v>1006</v>
      </c>
      <c r="I1207" s="28">
        <v>10038949</v>
      </c>
      <c r="J1207" s="4" t="str">
        <f>VLOOKUP(I1207,'Materiales,canteras'!C:D,2,0)</f>
        <v>Grava Triturada Caliza 10 mm -</v>
      </c>
      <c r="K1207" s="25">
        <f>VLOOKUP(I1207,'Materiales,canteras'!C:E,3,0)</f>
        <v>1.5</v>
      </c>
      <c r="L1207" s="82">
        <v>148</v>
      </c>
      <c r="M1207" s="28" t="s">
        <v>93</v>
      </c>
      <c r="N1207" s="193">
        <f t="shared" ca="1" si="295"/>
        <v>46267</v>
      </c>
      <c r="O1207" s="24" t="s">
        <v>735</v>
      </c>
      <c r="P1207" s="195"/>
      <c r="Q1207" s="195"/>
      <c r="R1207" s="4">
        <v>2.94</v>
      </c>
      <c r="S1207" s="4">
        <v>196</v>
      </c>
      <c r="T1207" s="303">
        <f t="shared" si="297"/>
        <v>-45.06</v>
      </c>
      <c r="U1207" s="88">
        <f t="shared" si="298"/>
        <v>148</v>
      </c>
      <c r="V1207" s="82">
        <v>0</v>
      </c>
      <c r="W1207" s="4">
        <v>2</v>
      </c>
      <c r="X1207" s="195">
        <f t="shared" si="299"/>
        <v>148</v>
      </c>
      <c r="Y1207" s="29" t="e">
        <f>IF(+VLOOKUP(I1207,P.Referencia!E:S,3,FALSE)&lt;=L1207,"Champion","Gerente")</f>
        <v>#N/A</v>
      </c>
      <c r="Z1207" s="30" t="e">
        <f>VLOOKUP(I1207,P.Referencia!E:S,3,0)</f>
        <v>#N/A</v>
      </c>
      <c r="AA1207" s="196" t="e">
        <f t="shared" si="300"/>
        <v>#N/A</v>
      </c>
      <c r="AB1207" s="197" t="e">
        <f t="shared" si="301"/>
        <v>#N/A</v>
      </c>
      <c r="AC1207" s="197" t="e">
        <f t="shared" si="302"/>
        <v>#N/A</v>
      </c>
    </row>
    <row r="1208" spans="1:29" s="4" customFormat="1" hidden="1" x14ac:dyDescent="0.25">
      <c r="A1208" s="24">
        <v>1207</v>
      </c>
      <c r="B1208" s="89" t="s">
        <v>1001</v>
      </c>
      <c r="C1208" s="4" t="str">
        <f t="shared" si="296"/>
        <v>LlaveD86367086849100389502</v>
      </c>
      <c r="D1208" s="25" t="str">
        <f>VLOOKUP(E1208,'NO MODIFICAR'!J:K,2,0)</f>
        <v>D863</v>
      </c>
      <c r="E1208" s="102" t="s">
        <v>53</v>
      </c>
      <c r="F1208" s="25" t="str">
        <f>VLOOKUP(D1208,'NO MODIFICAR'!F:H,3,0)</f>
        <v>NORESTE</v>
      </c>
      <c r="G1208" s="28">
        <v>67086849</v>
      </c>
      <c r="H1208" s="28" t="s">
        <v>1006</v>
      </c>
      <c r="I1208" s="28">
        <v>10038950</v>
      </c>
      <c r="J1208" s="4" t="str">
        <f>VLOOKUP(I1208,'Materiales,canteras'!C:D,2,0)</f>
        <v>Grava Triturada Caliza 20 mm -</v>
      </c>
      <c r="K1208" s="25">
        <f>VLOOKUP(I1208,'Materiales,canteras'!C:E,3,0)</f>
        <v>1.474</v>
      </c>
      <c r="L1208" s="82">
        <v>148</v>
      </c>
      <c r="M1208" s="28" t="s">
        <v>93</v>
      </c>
      <c r="N1208" s="193">
        <f t="shared" ca="1" si="295"/>
        <v>46267</v>
      </c>
      <c r="O1208" s="24" t="s">
        <v>736</v>
      </c>
      <c r="P1208" s="195"/>
      <c r="Q1208" s="195"/>
      <c r="R1208" s="4">
        <v>3.2</v>
      </c>
      <c r="S1208" s="4">
        <v>213</v>
      </c>
      <c r="T1208" s="303">
        <f t="shared" si="297"/>
        <v>-61.800000000000011</v>
      </c>
      <c r="U1208" s="88">
        <f t="shared" si="298"/>
        <v>148</v>
      </c>
      <c r="V1208" s="82">
        <v>0</v>
      </c>
      <c r="W1208" s="4">
        <v>2</v>
      </c>
      <c r="X1208" s="195">
        <f t="shared" si="299"/>
        <v>148</v>
      </c>
      <c r="Y1208" s="29" t="e">
        <f>IF(+VLOOKUP(I1208,P.Referencia!E:S,3,FALSE)&lt;=L1208,"Champion","Gerente")</f>
        <v>#N/A</v>
      </c>
      <c r="Z1208" s="30" t="e">
        <f>VLOOKUP(I1208,P.Referencia!E:S,3,0)</f>
        <v>#N/A</v>
      </c>
      <c r="AA1208" s="196" t="e">
        <f t="shared" si="300"/>
        <v>#N/A</v>
      </c>
      <c r="AB1208" s="197" t="e">
        <f t="shared" si="301"/>
        <v>#N/A</v>
      </c>
      <c r="AC1208" s="197" t="e">
        <f t="shared" si="302"/>
        <v>#N/A</v>
      </c>
    </row>
    <row r="1209" spans="1:29" s="4" customFormat="1" hidden="1" x14ac:dyDescent="0.25">
      <c r="A1209" s="24">
        <v>1208</v>
      </c>
      <c r="B1209" s="89" t="s">
        <v>1001</v>
      </c>
      <c r="C1209" s="4" t="str">
        <f t="shared" si="296"/>
        <v>LlaveD86367086849100389522</v>
      </c>
      <c r="D1209" s="25" t="str">
        <f>VLOOKUP(E1209,'NO MODIFICAR'!J:K,2,0)</f>
        <v>D863</v>
      </c>
      <c r="E1209" s="102" t="s">
        <v>53</v>
      </c>
      <c r="F1209" s="25" t="str">
        <f>VLOOKUP(D1209,'NO MODIFICAR'!F:H,3,0)</f>
        <v>NORESTE</v>
      </c>
      <c r="G1209" s="28">
        <v>67086849</v>
      </c>
      <c r="H1209" s="28" t="s">
        <v>1006</v>
      </c>
      <c r="I1209" s="28">
        <v>10038952</v>
      </c>
      <c r="J1209" s="4" t="str">
        <f>VLOOKUP(I1209,'Materiales,canteras'!C:D,2,0)</f>
        <v>Arena Triturada Caliza Malla 4</v>
      </c>
      <c r="K1209" s="25">
        <f>VLOOKUP(I1209,'Materiales,canteras'!C:E,3,0)</f>
        <v>1.6</v>
      </c>
      <c r="L1209" s="82">
        <v>148</v>
      </c>
      <c r="M1209" s="28" t="s">
        <v>93</v>
      </c>
      <c r="N1209" s="193">
        <f t="shared" ca="1" si="295"/>
        <v>46267</v>
      </c>
      <c r="O1209" s="24" t="s">
        <v>737</v>
      </c>
      <c r="P1209" s="195"/>
      <c r="Q1209" s="195"/>
      <c r="R1209" s="4">
        <v>2.94</v>
      </c>
      <c r="S1209" s="4">
        <v>196</v>
      </c>
      <c r="T1209" s="303">
        <f t="shared" si="297"/>
        <v>-45.06</v>
      </c>
      <c r="U1209" s="88">
        <f t="shared" si="298"/>
        <v>148</v>
      </c>
      <c r="V1209" s="82">
        <v>0</v>
      </c>
      <c r="W1209" s="4">
        <v>2</v>
      </c>
      <c r="X1209" s="195">
        <f t="shared" si="299"/>
        <v>148</v>
      </c>
      <c r="Y1209" s="29" t="e">
        <f>IF(+VLOOKUP(I1209,P.Referencia!E:S,3,FALSE)&lt;=L1209,"Champion","Gerente")</f>
        <v>#N/A</v>
      </c>
      <c r="Z1209" s="30" t="e">
        <f>VLOOKUP(I1209,P.Referencia!E:S,3,0)</f>
        <v>#N/A</v>
      </c>
      <c r="AA1209" s="196" t="e">
        <f t="shared" si="300"/>
        <v>#N/A</v>
      </c>
      <c r="AB1209" s="197" t="e">
        <f t="shared" si="301"/>
        <v>#N/A</v>
      </c>
      <c r="AC1209" s="197" t="e">
        <f t="shared" si="302"/>
        <v>#N/A</v>
      </c>
    </row>
    <row r="1210" spans="1:29" s="4" customFormat="1" hidden="1" x14ac:dyDescent="0.25">
      <c r="A1210" s="24">
        <v>1209</v>
      </c>
      <c r="B1210" s="89" t="s">
        <v>1001</v>
      </c>
      <c r="C1210" s="4" t="str">
        <f t="shared" si="296"/>
        <v>LlaveD86367086849100389572</v>
      </c>
      <c r="D1210" s="25" t="str">
        <f>VLOOKUP(E1210,'NO MODIFICAR'!J:K,2,0)</f>
        <v>D863</v>
      </c>
      <c r="E1210" s="102" t="s">
        <v>53</v>
      </c>
      <c r="F1210" s="25" t="str">
        <f>VLOOKUP(D1210,'NO MODIFICAR'!F:H,3,0)</f>
        <v>NORESTE</v>
      </c>
      <c r="G1210" s="28">
        <v>67086849</v>
      </c>
      <c r="H1210" s="28" t="s">
        <v>1006</v>
      </c>
      <c r="I1210" s="28">
        <v>10038957</v>
      </c>
      <c r="J1210" s="4" t="str">
        <f>VLOOKUP(I1210,'Materiales,canteras'!C:D,2,0)</f>
        <v>Arena Triturada Caliza Block</v>
      </c>
      <c r="K1210" s="25">
        <f>VLOOKUP(I1210,'Materiales,canteras'!C:E,3,0)</f>
        <v>1.6870000000000001</v>
      </c>
      <c r="L1210" s="82">
        <v>148</v>
      </c>
      <c r="M1210" s="28" t="s">
        <v>93</v>
      </c>
      <c r="N1210" s="193">
        <f t="shared" ca="1" si="295"/>
        <v>46267</v>
      </c>
      <c r="O1210" s="24" t="s">
        <v>738</v>
      </c>
      <c r="P1210" s="195"/>
      <c r="Q1210" s="195"/>
      <c r="R1210" s="4">
        <v>3.71</v>
      </c>
      <c r="S1210" s="4">
        <v>247</v>
      </c>
      <c r="T1210" s="303">
        <f t="shared" si="297"/>
        <v>-95.289999999999992</v>
      </c>
      <c r="U1210" s="88">
        <f t="shared" si="298"/>
        <v>148</v>
      </c>
      <c r="V1210" s="82">
        <v>0</v>
      </c>
      <c r="W1210" s="4">
        <v>2</v>
      </c>
      <c r="X1210" s="195">
        <f t="shared" si="299"/>
        <v>148</v>
      </c>
      <c r="Y1210" s="29" t="e">
        <f>IF(+VLOOKUP(I1210,P.Referencia!E:S,3,FALSE)&lt;=L1210,"Champion","Gerente")</f>
        <v>#N/A</v>
      </c>
      <c r="Z1210" s="30" t="e">
        <f>VLOOKUP(I1210,P.Referencia!E:S,3,0)</f>
        <v>#N/A</v>
      </c>
      <c r="AA1210" s="196" t="e">
        <f t="shared" si="300"/>
        <v>#N/A</v>
      </c>
      <c r="AB1210" s="197" t="e">
        <f t="shared" si="301"/>
        <v>#N/A</v>
      </c>
      <c r="AC1210" s="197" t="e">
        <f t="shared" si="302"/>
        <v>#N/A</v>
      </c>
    </row>
    <row r="1211" spans="1:29" s="4" customFormat="1" hidden="1" x14ac:dyDescent="0.25">
      <c r="A1211" s="24">
        <v>1210</v>
      </c>
      <c r="B1211" s="89" t="s">
        <v>1001</v>
      </c>
      <c r="C1211" s="4" t="str">
        <f t="shared" si="296"/>
        <v>LlaveD86367086849100496722</v>
      </c>
      <c r="D1211" s="25" t="str">
        <f>VLOOKUP(E1211,'NO MODIFICAR'!J:K,2,0)</f>
        <v>D863</v>
      </c>
      <c r="E1211" s="102" t="s">
        <v>53</v>
      </c>
      <c r="F1211" s="25" t="str">
        <f>VLOOKUP(D1211,'NO MODIFICAR'!F:H,3,0)</f>
        <v>NORESTE</v>
      </c>
      <c r="G1211" s="28">
        <v>67086849</v>
      </c>
      <c r="H1211" s="28" t="s">
        <v>1006</v>
      </c>
      <c r="I1211" s="28">
        <v>10049672</v>
      </c>
      <c r="J1211" s="4" t="str">
        <f>VLOOKUP(I1211,'Materiales,canteras'!C:D,2,0)</f>
        <v>Grava Triturada Caliza 40- 4mm</v>
      </c>
      <c r="K1211" s="25">
        <f>VLOOKUP(I1211,'Materiales,canteras'!C:E,3,0)</f>
        <v>1.625</v>
      </c>
      <c r="L1211" s="82">
        <v>148</v>
      </c>
      <c r="M1211" s="28" t="s">
        <v>93</v>
      </c>
      <c r="N1211" s="193">
        <f t="shared" ca="1" si="295"/>
        <v>46267</v>
      </c>
      <c r="O1211" s="24" t="s">
        <v>739</v>
      </c>
      <c r="P1211" s="195"/>
      <c r="Q1211" s="195"/>
      <c r="R1211" s="4">
        <v>2.76</v>
      </c>
      <c r="S1211" s="4">
        <v>184</v>
      </c>
      <c r="T1211" s="303">
        <f t="shared" si="297"/>
        <v>-33.240000000000009</v>
      </c>
      <c r="U1211" s="88">
        <f t="shared" si="298"/>
        <v>148</v>
      </c>
      <c r="V1211" s="82">
        <v>0</v>
      </c>
      <c r="W1211" s="4">
        <v>2</v>
      </c>
      <c r="X1211" s="195">
        <f t="shared" si="299"/>
        <v>148</v>
      </c>
      <c r="Y1211" s="29" t="e">
        <f>IF(+VLOOKUP(I1211,P.Referencia!E:S,3,FALSE)&lt;=L1211,"Champion","Gerente")</f>
        <v>#N/A</v>
      </c>
      <c r="Z1211" s="30" t="e">
        <f>VLOOKUP(I1211,P.Referencia!E:S,3,0)</f>
        <v>#N/A</v>
      </c>
      <c r="AA1211" s="196" t="e">
        <f t="shared" si="300"/>
        <v>#N/A</v>
      </c>
      <c r="AB1211" s="197" t="e">
        <f t="shared" si="301"/>
        <v>#N/A</v>
      </c>
      <c r="AC1211" s="197" t="e">
        <f t="shared" si="302"/>
        <v>#N/A</v>
      </c>
    </row>
    <row r="1212" spans="1:29" s="4" customFormat="1" hidden="1" x14ac:dyDescent="0.25">
      <c r="A1212" s="24">
        <v>1211</v>
      </c>
      <c r="B1212" s="89" t="s">
        <v>1001</v>
      </c>
      <c r="C1212" s="4" t="str">
        <f t="shared" si="296"/>
        <v>LlaveD86467342232100010732</v>
      </c>
      <c r="D1212" s="25" t="str">
        <f>VLOOKUP(E1212,'NO MODIFICAR'!J:K,2,0)</f>
        <v>D864</v>
      </c>
      <c r="E1212" s="102" t="s">
        <v>55</v>
      </c>
      <c r="F1212" s="25" t="str">
        <f>VLOOKUP(D1212,'NO MODIFICAR'!F:H,3,0)</f>
        <v xml:space="preserve">CENTRO </v>
      </c>
      <c r="G1212" s="28">
        <v>67342232</v>
      </c>
      <c r="H1212" s="28" t="s">
        <v>1007</v>
      </c>
      <c r="I1212" s="28">
        <v>10001073</v>
      </c>
      <c r="J1212" s="4" t="str">
        <f>VLOOKUP(I1212,'Materiales,canteras'!C:D,2,0)</f>
        <v>Arena Triturada Caliza Malla 4</v>
      </c>
      <c r="K1212" s="25">
        <f>VLOOKUP(I1212,'Materiales,canteras'!C:E,3,0)</f>
        <v>1.56</v>
      </c>
      <c r="L1212" s="82">
        <v>105</v>
      </c>
      <c r="M1212" s="28" t="s">
        <v>93</v>
      </c>
      <c r="N1212" s="193">
        <f t="shared" ca="1" si="295"/>
        <v>46267</v>
      </c>
      <c r="O1212" s="24" t="s">
        <v>740</v>
      </c>
      <c r="P1212" s="195"/>
      <c r="Q1212" s="195"/>
      <c r="R1212" s="4">
        <v>2.37</v>
      </c>
      <c r="S1212" s="4">
        <v>158</v>
      </c>
      <c r="T1212" s="303">
        <f t="shared" si="297"/>
        <v>-50.629999999999995</v>
      </c>
      <c r="U1212" s="88">
        <f t="shared" si="298"/>
        <v>105</v>
      </c>
      <c r="V1212" s="82">
        <v>0</v>
      </c>
      <c r="W1212" s="4">
        <v>2</v>
      </c>
      <c r="X1212" s="195">
        <f t="shared" si="299"/>
        <v>105</v>
      </c>
      <c r="Y1212" s="29" t="e">
        <f>IF(+VLOOKUP(I1212,P.Referencia!E:S,3,FALSE)&lt;=L1212,"Champion","Gerente")</f>
        <v>#N/A</v>
      </c>
      <c r="Z1212" s="30" t="e">
        <f>VLOOKUP(I1212,P.Referencia!E:S,3,0)</f>
        <v>#N/A</v>
      </c>
      <c r="AA1212" s="196" t="e">
        <f t="shared" si="300"/>
        <v>#N/A</v>
      </c>
      <c r="AB1212" s="197" t="e">
        <f t="shared" si="301"/>
        <v>#N/A</v>
      </c>
      <c r="AC1212" s="197" t="e">
        <f t="shared" si="302"/>
        <v>#N/A</v>
      </c>
    </row>
    <row r="1213" spans="1:29" s="4" customFormat="1" hidden="1" x14ac:dyDescent="0.25">
      <c r="A1213" s="24">
        <v>1212</v>
      </c>
      <c r="B1213" s="89" t="s">
        <v>1001</v>
      </c>
      <c r="C1213" s="4" t="str">
        <f t="shared" si="296"/>
        <v>LlaveD86467342232100002362</v>
      </c>
      <c r="D1213" s="25" t="str">
        <f>VLOOKUP(E1213,'NO MODIFICAR'!J:K,2,0)</f>
        <v>D864</v>
      </c>
      <c r="E1213" s="102" t="s">
        <v>55</v>
      </c>
      <c r="F1213" s="25" t="str">
        <f>VLOOKUP(D1213,'NO MODIFICAR'!F:H,3,0)</f>
        <v xml:space="preserve">CENTRO </v>
      </c>
      <c r="G1213" s="28">
        <v>67342232</v>
      </c>
      <c r="H1213" s="28" t="s">
        <v>1007</v>
      </c>
      <c r="I1213" s="28">
        <v>10000236</v>
      </c>
      <c r="J1213" s="4" t="str">
        <f>VLOOKUP(I1213,'Materiales,canteras'!C:D,2,0)</f>
        <v>Grava Triturada Caliza 10 mm -</v>
      </c>
      <c r="K1213" s="25">
        <f>VLOOKUP(I1213,'Materiales,canteras'!C:E,3,0)</f>
        <v>1.41</v>
      </c>
      <c r="L1213" s="82">
        <v>135</v>
      </c>
      <c r="M1213" s="28" t="s">
        <v>93</v>
      </c>
      <c r="N1213" s="193">
        <f t="shared" ca="1" si="295"/>
        <v>46267</v>
      </c>
      <c r="O1213" s="24" t="s">
        <v>741</v>
      </c>
      <c r="P1213" s="195"/>
      <c r="Q1213" s="195"/>
      <c r="R1213" s="4">
        <v>3.78</v>
      </c>
      <c r="S1213" s="4">
        <v>252</v>
      </c>
      <c r="T1213" s="303">
        <f t="shared" si="297"/>
        <v>-113.22</v>
      </c>
      <c r="U1213" s="88">
        <f t="shared" si="298"/>
        <v>135</v>
      </c>
      <c r="V1213" s="82">
        <v>0</v>
      </c>
      <c r="W1213" s="4">
        <v>2</v>
      </c>
      <c r="X1213" s="195">
        <f t="shared" si="299"/>
        <v>135</v>
      </c>
      <c r="Y1213" s="29" t="e">
        <f>IF(+VLOOKUP(I1213,P.Referencia!E:S,3,FALSE)&lt;=L1213,"Champion","Gerente")</f>
        <v>#N/A</v>
      </c>
      <c r="Z1213" s="30" t="e">
        <f>VLOOKUP(I1213,P.Referencia!E:S,3,0)</f>
        <v>#N/A</v>
      </c>
      <c r="AA1213" s="196" t="e">
        <f t="shared" si="300"/>
        <v>#N/A</v>
      </c>
      <c r="AB1213" s="197" t="e">
        <f t="shared" si="301"/>
        <v>#N/A</v>
      </c>
      <c r="AC1213" s="197" t="e">
        <f t="shared" si="302"/>
        <v>#N/A</v>
      </c>
    </row>
    <row r="1214" spans="1:29" s="4" customFormat="1" hidden="1" x14ac:dyDescent="0.25">
      <c r="A1214" s="24">
        <v>1213</v>
      </c>
      <c r="B1214" s="89" t="s">
        <v>1001</v>
      </c>
      <c r="C1214" s="4" t="str">
        <f t="shared" si="296"/>
        <v>LlaveD86467342232100002402</v>
      </c>
      <c r="D1214" s="25" t="str">
        <f>VLOOKUP(E1214,'NO MODIFICAR'!J:K,2,0)</f>
        <v>D864</v>
      </c>
      <c r="E1214" s="102" t="s">
        <v>55</v>
      </c>
      <c r="F1214" s="25" t="str">
        <f>VLOOKUP(D1214,'NO MODIFICAR'!F:H,3,0)</f>
        <v xml:space="preserve">CENTRO </v>
      </c>
      <c r="G1214" s="28">
        <v>67342232</v>
      </c>
      <c r="H1214" s="28" t="s">
        <v>1007</v>
      </c>
      <c r="I1214" s="28">
        <v>10000240</v>
      </c>
      <c r="J1214" s="4" t="str">
        <f>VLOOKUP(I1214,'Materiales,canteras'!C:D,2,0)</f>
        <v>Grava Triturada Caliza 20 mm -</v>
      </c>
      <c r="K1214" s="25">
        <f>VLOOKUP(I1214,'Materiales,canteras'!C:E,3,0)</f>
        <v>1.462</v>
      </c>
      <c r="L1214" s="82">
        <v>145</v>
      </c>
      <c r="M1214" s="28" t="s">
        <v>93</v>
      </c>
      <c r="N1214" s="193">
        <f t="shared" ca="1" si="295"/>
        <v>46267</v>
      </c>
      <c r="O1214" s="24" t="s">
        <v>742</v>
      </c>
      <c r="P1214" s="195"/>
      <c r="Q1214" s="195"/>
      <c r="R1214" s="4">
        <v>4.41</v>
      </c>
      <c r="S1214" s="4">
        <v>294</v>
      </c>
      <c r="T1214" s="303">
        <f t="shared" si="297"/>
        <v>-144.58999999999997</v>
      </c>
      <c r="U1214" s="88">
        <f t="shared" si="298"/>
        <v>145</v>
      </c>
      <c r="V1214" s="82">
        <v>0</v>
      </c>
      <c r="W1214" s="4">
        <v>2</v>
      </c>
      <c r="X1214" s="195">
        <f t="shared" si="299"/>
        <v>145</v>
      </c>
      <c r="Y1214" s="29" t="e">
        <f>IF(+VLOOKUP(I1214,P.Referencia!E:S,3,FALSE)&lt;=L1214,"Champion","Gerente")</f>
        <v>#N/A</v>
      </c>
      <c r="Z1214" s="30" t="e">
        <f>VLOOKUP(I1214,P.Referencia!E:S,3,0)</f>
        <v>#N/A</v>
      </c>
      <c r="AA1214" s="196" t="e">
        <f t="shared" si="300"/>
        <v>#N/A</v>
      </c>
      <c r="AB1214" s="197" t="e">
        <f t="shared" si="301"/>
        <v>#N/A</v>
      </c>
      <c r="AC1214" s="197" t="e">
        <f t="shared" si="302"/>
        <v>#N/A</v>
      </c>
    </row>
    <row r="1215" spans="1:29" s="4" customFormat="1" hidden="1" x14ac:dyDescent="0.25">
      <c r="A1215" s="24">
        <v>1214</v>
      </c>
      <c r="B1215" s="89" t="s">
        <v>1001</v>
      </c>
      <c r="C1215" s="4" t="str">
        <f t="shared" si="296"/>
        <v>LlaveD86467342232100002692</v>
      </c>
      <c r="D1215" s="25" t="str">
        <f>VLOOKUP(E1215,'NO MODIFICAR'!J:K,2,0)</f>
        <v>D864</v>
      </c>
      <c r="E1215" s="102" t="s">
        <v>55</v>
      </c>
      <c r="F1215" s="25" t="str">
        <f>VLOOKUP(D1215,'NO MODIFICAR'!F:H,3,0)</f>
        <v xml:space="preserve">CENTRO </v>
      </c>
      <c r="G1215" s="28">
        <v>67342232</v>
      </c>
      <c r="H1215" s="28" t="s">
        <v>1007</v>
      </c>
      <c r="I1215" s="28">
        <v>10000269</v>
      </c>
      <c r="J1215" s="4" t="str">
        <f>VLOOKUP(I1215,'Materiales,canteras'!C:D,2,0)</f>
        <v>Grava Triturada Caliza 13 mm -</v>
      </c>
      <c r="K1215" s="25">
        <f>VLOOKUP(I1215,'Materiales,canteras'!C:E,3,0)</f>
        <v>1.423</v>
      </c>
      <c r="L1215" s="82">
        <v>165</v>
      </c>
      <c r="M1215" s="28" t="s">
        <v>93</v>
      </c>
      <c r="N1215" s="193">
        <f t="shared" ca="1" si="295"/>
        <v>46267</v>
      </c>
      <c r="O1215" s="24" t="s">
        <v>743</v>
      </c>
      <c r="P1215" s="195"/>
      <c r="Q1215" s="195"/>
      <c r="R1215" s="4">
        <v>3.95</v>
      </c>
      <c r="S1215" s="4">
        <v>263</v>
      </c>
      <c r="T1215" s="303">
        <f t="shared" si="297"/>
        <v>-94.050000000000011</v>
      </c>
      <c r="U1215" s="88">
        <f t="shared" si="298"/>
        <v>165</v>
      </c>
      <c r="V1215" s="82">
        <v>0</v>
      </c>
      <c r="W1215" s="4">
        <v>2</v>
      </c>
      <c r="X1215" s="195">
        <f t="shared" si="299"/>
        <v>165</v>
      </c>
      <c r="Y1215" s="29" t="e">
        <f>IF(+VLOOKUP(I1215,P.Referencia!E:S,3,FALSE)&lt;=L1215,"Champion","Gerente")</f>
        <v>#N/A</v>
      </c>
      <c r="Z1215" s="30" t="e">
        <f>VLOOKUP(I1215,P.Referencia!E:S,3,0)</f>
        <v>#N/A</v>
      </c>
      <c r="AA1215" s="196" t="e">
        <f t="shared" si="300"/>
        <v>#N/A</v>
      </c>
      <c r="AB1215" s="197" t="e">
        <f t="shared" si="301"/>
        <v>#N/A</v>
      </c>
      <c r="AC1215" s="197" t="e">
        <f t="shared" si="302"/>
        <v>#N/A</v>
      </c>
    </row>
    <row r="1216" spans="1:29" s="4" customFormat="1" hidden="1" x14ac:dyDescent="0.25">
      <c r="A1216" s="24">
        <v>1215</v>
      </c>
      <c r="B1216" s="89" t="s">
        <v>1001</v>
      </c>
      <c r="C1216" s="4" t="str">
        <f t="shared" si="296"/>
        <v>LlaveD86467342232100010742</v>
      </c>
      <c r="D1216" s="25" t="str">
        <f>VLOOKUP(E1216,'NO MODIFICAR'!J:K,2,0)</f>
        <v>D864</v>
      </c>
      <c r="E1216" s="102" t="s">
        <v>55</v>
      </c>
      <c r="F1216" s="25" t="str">
        <f>VLOOKUP(D1216,'NO MODIFICAR'!F:H,3,0)</f>
        <v xml:space="preserve">CENTRO </v>
      </c>
      <c r="G1216" s="28">
        <v>67342232</v>
      </c>
      <c r="H1216" s="28" t="s">
        <v>1007</v>
      </c>
      <c r="I1216" s="28">
        <v>10001074</v>
      </c>
      <c r="J1216" s="4" t="str">
        <f>VLOOKUP(I1216,'Materiales,canteras'!C:D,2,0)</f>
        <v>Grava Triturada Caliza 40 mm -</v>
      </c>
      <c r="K1216" s="25">
        <f>VLOOKUP(I1216,'Materiales,canteras'!C:E,3,0)</f>
        <v>1.4</v>
      </c>
      <c r="L1216" s="82">
        <v>155</v>
      </c>
      <c r="M1216" s="28" t="s">
        <v>93</v>
      </c>
      <c r="N1216" s="193">
        <f t="shared" ca="1" si="295"/>
        <v>46267</v>
      </c>
      <c r="O1216" s="24" t="s">
        <v>744</v>
      </c>
      <c r="P1216" s="195"/>
      <c r="Q1216" s="195"/>
      <c r="R1216" s="4">
        <v>3.47</v>
      </c>
      <c r="S1216" s="4">
        <v>231</v>
      </c>
      <c r="T1216" s="303">
        <f t="shared" si="297"/>
        <v>-72.53</v>
      </c>
      <c r="U1216" s="88">
        <f t="shared" si="298"/>
        <v>155</v>
      </c>
      <c r="V1216" s="82">
        <v>0</v>
      </c>
      <c r="W1216" s="4">
        <v>2</v>
      </c>
      <c r="X1216" s="195">
        <f t="shared" si="299"/>
        <v>155</v>
      </c>
      <c r="Y1216" s="29" t="e">
        <f>IF(+VLOOKUP(I1216,P.Referencia!E:S,3,FALSE)&lt;=L1216,"Champion","Gerente")</f>
        <v>#N/A</v>
      </c>
      <c r="Z1216" s="30" t="e">
        <f>VLOOKUP(I1216,P.Referencia!E:S,3,0)</f>
        <v>#N/A</v>
      </c>
      <c r="AA1216" s="196" t="e">
        <f t="shared" si="300"/>
        <v>#N/A</v>
      </c>
      <c r="AB1216" s="197" t="e">
        <f t="shared" si="301"/>
        <v>#N/A</v>
      </c>
      <c r="AC1216" s="197" t="e">
        <f t="shared" si="302"/>
        <v>#N/A</v>
      </c>
    </row>
    <row r="1217" spans="1:29" hidden="1" x14ac:dyDescent="0.25">
      <c r="A1217" s="24">
        <v>1216</v>
      </c>
      <c r="B1217" s="89" t="s">
        <v>1001</v>
      </c>
      <c r="C1217" s="4" t="str">
        <f t="shared" si="296"/>
        <v>LlaveDU0766896974100001152</v>
      </c>
      <c r="D1217" s="25" t="str">
        <f>VLOOKUP(E1217,'NO MODIFICAR'!J:K,2,0)</f>
        <v>DU07</v>
      </c>
      <c r="E1217" s="102" t="s">
        <v>87</v>
      </c>
      <c r="F1217" s="25" t="str">
        <f>VLOOKUP(D1217,'NO MODIFICAR'!F:H,3,0)</f>
        <v>SURESTE</v>
      </c>
      <c r="G1217" s="92">
        <v>66896974</v>
      </c>
      <c r="H1217" s="92" t="s">
        <v>1008</v>
      </c>
      <c r="I1217" s="94">
        <v>10000115</v>
      </c>
      <c r="J1217" s="4" t="str">
        <f>VLOOKUP(I1217,'Materiales,canteras'!C:D,2,0)</f>
        <v>Grava Triturada Caliza 10 mm -</v>
      </c>
      <c r="K1217" s="25">
        <f>VLOOKUP(I1217,'Materiales,canteras'!C:E,3,0)</f>
        <v>1.1559999999999999</v>
      </c>
      <c r="L1217" s="105">
        <f>300/K1217</f>
        <v>259.51557093425606</v>
      </c>
      <c r="M1217" s="28" t="s">
        <v>93</v>
      </c>
      <c r="N1217" s="193">
        <f t="shared" ca="1" si="295"/>
        <v>46267</v>
      </c>
      <c r="O1217" s="24" t="s">
        <v>745</v>
      </c>
      <c r="P1217" s="4"/>
      <c r="Q1217" s="4"/>
      <c r="R1217" s="4"/>
      <c r="S1217" s="4">
        <v>336</v>
      </c>
      <c r="T1217" s="303">
        <f t="shared" si="297"/>
        <v>-76.484429065743939</v>
      </c>
      <c r="U1217" s="88">
        <f t="shared" si="298"/>
        <v>259.51557093425606</v>
      </c>
      <c r="V1217" s="82">
        <v>0</v>
      </c>
      <c r="W1217" s="4">
        <v>2</v>
      </c>
      <c r="X1217" s="195">
        <f t="shared" si="299"/>
        <v>259.51557093425606</v>
      </c>
      <c r="Y1217" s="29" t="e">
        <f>IF(+VLOOKUP(I1217,P.Referencia!E:S,3,FALSE)&lt;=L1217,"Champion","Gerente")</f>
        <v>#N/A</v>
      </c>
      <c r="Z1217" s="30" t="e">
        <f>VLOOKUP(I1217,P.Referencia!E:S,3,0)</f>
        <v>#N/A</v>
      </c>
      <c r="AA1217" s="196" t="e">
        <f t="shared" si="300"/>
        <v>#N/A</v>
      </c>
      <c r="AB1217" s="197" t="e">
        <f t="shared" si="301"/>
        <v>#N/A</v>
      </c>
      <c r="AC1217" s="197" t="e">
        <f t="shared" si="302"/>
        <v>#N/A</v>
      </c>
    </row>
    <row r="1218" spans="1:29" hidden="1" x14ac:dyDescent="0.25">
      <c r="A1218" s="24">
        <v>1217</v>
      </c>
      <c r="B1218" s="89" t="s">
        <v>1001</v>
      </c>
      <c r="C1218" s="4" t="str">
        <f t="shared" si="296"/>
        <v>LlaveDU0766896974100001012</v>
      </c>
      <c r="D1218" s="25" t="str">
        <f>VLOOKUP(E1218,'NO MODIFICAR'!J:K,2,0)</f>
        <v>DU07</v>
      </c>
      <c r="E1218" s="102" t="s">
        <v>87</v>
      </c>
      <c r="F1218" s="25" t="str">
        <f>VLOOKUP(D1218,'NO MODIFICAR'!F:H,3,0)</f>
        <v>SURESTE</v>
      </c>
      <c r="G1218" s="92">
        <v>66896974</v>
      </c>
      <c r="H1218" s="92" t="s">
        <v>1009</v>
      </c>
      <c r="I1218" s="94">
        <v>10000101</v>
      </c>
      <c r="J1218" s="4" t="str">
        <f>VLOOKUP(I1218,'Materiales,canteras'!C:D,2,0)</f>
        <v>Arena Triturada Caliza Malla 4</v>
      </c>
      <c r="K1218" s="25">
        <f>VLOOKUP(I1218,'Materiales,canteras'!C:E,3,0)</f>
        <v>1.417</v>
      </c>
      <c r="L1218" s="82">
        <v>247.00070571630204</v>
      </c>
      <c r="M1218" s="28" t="s">
        <v>93</v>
      </c>
      <c r="N1218" s="193">
        <f t="shared" ca="1" si="295"/>
        <v>46267</v>
      </c>
      <c r="O1218" s="24" t="s">
        <v>746</v>
      </c>
      <c r="P1218" s="4"/>
      <c r="Q1218" s="4"/>
      <c r="R1218" s="4"/>
      <c r="S1218" s="4">
        <v>420</v>
      </c>
      <c r="T1218" s="303">
        <f t="shared" si="297"/>
        <v>-172.99929428369796</v>
      </c>
      <c r="U1218" s="88">
        <f t="shared" si="298"/>
        <v>247.00070571630204</v>
      </c>
      <c r="V1218" s="82">
        <v>0</v>
      </c>
      <c r="W1218" s="4">
        <v>2</v>
      </c>
      <c r="X1218" s="195">
        <f t="shared" si="299"/>
        <v>247.00070571630204</v>
      </c>
      <c r="Y1218" s="29" t="e">
        <f>IF(+VLOOKUP(I1218,P.Referencia!E:S,3,FALSE)&lt;=L1218,"Champion","Gerente")</f>
        <v>#N/A</v>
      </c>
      <c r="Z1218" s="30" t="e">
        <f>VLOOKUP(I1218,P.Referencia!E:S,3,0)</f>
        <v>#N/A</v>
      </c>
      <c r="AA1218" s="196" t="e">
        <f t="shared" si="300"/>
        <v>#N/A</v>
      </c>
      <c r="AB1218" s="197" t="e">
        <f t="shared" si="301"/>
        <v>#N/A</v>
      </c>
      <c r="AC1218" s="197" t="e">
        <f t="shared" si="302"/>
        <v>#N/A</v>
      </c>
    </row>
    <row r="1219" spans="1:29" hidden="1" x14ac:dyDescent="0.25">
      <c r="A1219" s="24">
        <v>1218</v>
      </c>
      <c r="B1219" s="89" t="s">
        <v>1001</v>
      </c>
      <c r="C1219" s="4" t="str">
        <f t="shared" si="296"/>
        <v>LlaveDU0766896974100001102</v>
      </c>
      <c r="D1219" s="25" t="str">
        <f>VLOOKUP(E1219,'NO MODIFICAR'!J:K,2,0)</f>
        <v>DU07</v>
      </c>
      <c r="E1219" s="102" t="s">
        <v>87</v>
      </c>
      <c r="F1219" s="25" t="str">
        <f>VLOOKUP(D1219,'NO MODIFICAR'!F:H,3,0)</f>
        <v>SURESTE</v>
      </c>
      <c r="G1219" s="92">
        <v>66896974</v>
      </c>
      <c r="H1219" s="92" t="s">
        <v>1009</v>
      </c>
      <c r="I1219" s="94">
        <v>10000110</v>
      </c>
      <c r="J1219" s="4" t="str">
        <f>VLOOKUP(I1219,'Materiales,canteras'!C:D,2,0)</f>
        <v>GRAVA TRITURADA CALIZA 20 MM “3/4"–INTEG</v>
      </c>
      <c r="K1219" s="25">
        <f>VLOOKUP(I1219,'Materiales,canteras'!C:E,3,0)</f>
        <v>1.2010000000000001</v>
      </c>
      <c r="L1219" s="82">
        <v>249.79184013322231</v>
      </c>
      <c r="M1219" s="28" t="s">
        <v>93</v>
      </c>
      <c r="N1219" s="193">
        <f t="shared" ca="1" si="295"/>
        <v>46267</v>
      </c>
      <c r="O1219" s="24" t="s">
        <v>747</v>
      </c>
      <c r="P1219" s="4"/>
      <c r="Q1219" s="4"/>
      <c r="R1219" s="4"/>
      <c r="S1219" s="4">
        <v>410</v>
      </c>
      <c r="T1219" s="303">
        <f t="shared" si="297"/>
        <v>-160.20815986677769</v>
      </c>
      <c r="U1219" s="88">
        <f t="shared" si="298"/>
        <v>249.79184013322231</v>
      </c>
      <c r="V1219" s="82">
        <v>0</v>
      </c>
      <c r="W1219" s="4">
        <v>2</v>
      </c>
      <c r="X1219" s="195">
        <f t="shared" si="299"/>
        <v>249.79184013322231</v>
      </c>
      <c r="Y1219" s="29" t="e">
        <f>IF(+VLOOKUP(I1219,P.Referencia!E:S,3,FALSE)&lt;=L1219,"Champion","Gerente")</f>
        <v>#N/A</v>
      </c>
      <c r="Z1219" s="30" t="e">
        <f>VLOOKUP(I1219,P.Referencia!E:S,3,0)</f>
        <v>#N/A</v>
      </c>
      <c r="AA1219" s="196" t="e">
        <f t="shared" si="300"/>
        <v>#N/A</v>
      </c>
      <c r="AB1219" s="197" t="e">
        <f t="shared" si="301"/>
        <v>#N/A</v>
      </c>
      <c r="AC1219" s="197" t="e">
        <f t="shared" si="302"/>
        <v>#N/A</v>
      </c>
    </row>
    <row r="1220" spans="1:29" hidden="1" x14ac:dyDescent="0.25">
      <c r="A1220" s="24">
        <v>1219</v>
      </c>
      <c r="B1220" s="89" t="s">
        <v>1001</v>
      </c>
      <c r="C1220" s="4" t="str">
        <f t="shared" si="296"/>
        <v>LlaveDU0766896974100001492</v>
      </c>
      <c r="D1220" s="25" t="str">
        <f>VLOOKUP(E1220,'NO MODIFICAR'!J:K,2,0)</f>
        <v>DU07</v>
      </c>
      <c r="E1220" s="102" t="s">
        <v>87</v>
      </c>
      <c r="F1220" s="25" t="str">
        <f>VLOOKUP(D1220,'NO MODIFICAR'!F:H,3,0)</f>
        <v>SURESTE</v>
      </c>
      <c r="G1220" s="92">
        <v>66896974</v>
      </c>
      <c r="H1220" s="92" t="s">
        <v>1009</v>
      </c>
      <c r="I1220" s="94">
        <v>10000149</v>
      </c>
      <c r="J1220" s="4" t="str">
        <f>VLOOKUP(I1220,'Materiales,canteras'!C:D,2,0)</f>
        <v>Grava Triturada Caliza 10 mm - 3/8"</v>
      </c>
      <c r="K1220" s="25">
        <f>VLOOKUP(I1220,'Materiales,canteras'!C:E,3,0)</f>
        <v>1.3320000000000001</v>
      </c>
      <c r="L1220" s="82">
        <v>259.51557093425606</v>
      </c>
      <c r="M1220" s="28" t="s">
        <v>93</v>
      </c>
      <c r="N1220" s="193">
        <f t="shared" ca="1" si="295"/>
        <v>46267</v>
      </c>
      <c r="O1220" s="24" t="s">
        <v>748</v>
      </c>
      <c r="P1220" s="4"/>
      <c r="Q1220" s="4"/>
      <c r="R1220" s="4"/>
      <c r="S1220" s="4">
        <v>260</v>
      </c>
      <c r="T1220" s="303">
        <f t="shared" si="297"/>
        <v>-0.48442906574393874</v>
      </c>
      <c r="U1220" s="88">
        <f t="shared" si="298"/>
        <v>259.51557093425606</v>
      </c>
      <c r="V1220" s="82">
        <v>0</v>
      </c>
      <c r="W1220" s="4">
        <v>2</v>
      </c>
      <c r="X1220" s="195">
        <f t="shared" si="299"/>
        <v>259.51557093425606</v>
      </c>
      <c r="Y1220" s="29" t="e">
        <f>IF(+VLOOKUP(I1220,P.Referencia!E:S,3,FALSE)&lt;=L1220,"Champion","Gerente")</f>
        <v>#N/A</v>
      </c>
      <c r="Z1220" s="30" t="e">
        <f>VLOOKUP(I1220,P.Referencia!E:S,3,0)</f>
        <v>#N/A</v>
      </c>
      <c r="AA1220" s="196" t="e">
        <f t="shared" si="300"/>
        <v>#N/A</v>
      </c>
      <c r="AB1220" s="197" t="e">
        <f t="shared" si="301"/>
        <v>#N/A</v>
      </c>
      <c r="AC1220" s="197" t="e">
        <f t="shared" si="302"/>
        <v>#N/A</v>
      </c>
    </row>
    <row r="1221" spans="1:29" hidden="1" x14ac:dyDescent="0.25">
      <c r="A1221" s="24">
        <v>1220</v>
      </c>
      <c r="B1221" s="89" t="s">
        <v>1001</v>
      </c>
      <c r="C1221" s="4" t="str">
        <f t="shared" si="296"/>
        <v>LlaveDU0766896974100005792</v>
      </c>
      <c r="D1221" s="25" t="str">
        <f>VLOOKUP(E1221,'NO MODIFICAR'!J:K,2,0)</f>
        <v>DU07</v>
      </c>
      <c r="E1221" s="102" t="s">
        <v>87</v>
      </c>
      <c r="F1221" s="25" t="str">
        <f>VLOOKUP(D1221,'NO MODIFICAR'!F:H,3,0)</f>
        <v>SURESTE</v>
      </c>
      <c r="G1221" s="92">
        <v>66896974</v>
      </c>
      <c r="H1221" s="92" t="s">
        <v>1009</v>
      </c>
      <c r="I1221" s="94">
        <v>10000579</v>
      </c>
      <c r="J1221" s="4" t="str">
        <f>VLOOKUP(I1221,'Materiales,canteras'!C:D,2,0)</f>
        <v>Grava Triturada Caliza 40 mm - 1 1/2"</v>
      </c>
      <c r="K1221" s="25">
        <f>VLOOKUP(I1221,'Materiales,canteras'!C:E,3,0)</f>
        <v>1.387</v>
      </c>
      <c r="L1221" s="82">
        <v>252.34318673395819</v>
      </c>
      <c r="M1221" s="28" t="s">
        <v>93</v>
      </c>
      <c r="N1221" s="193">
        <f t="shared" ca="1" si="295"/>
        <v>46267</v>
      </c>
      <c r="O1221" s="24" t="s">
        <v>749</v>
      </c>
      <c r="P1221" s="4"/>
      <c r="Q1221" s="4"/>
      <c r="R1221" s="4"/>
      <c r="S1221" s="4">
        <v>260</v>
      </c>
      <c r="T1221" s="303">
        <f t="shared" si="297"/>
        <v>-7.6568132660418087</v>
      </c>
      <c r="U1221" s="88">
        <f t="shared" si="298"/>
        <v>252.34318673395819</v>
      </c>
      <c r="V1221" s="82">
        <v>0</v>
      </c>
      <c r="W1221" s="4">
        <v>2</v>
      </c>
      <c r="X1221" s="195">
        <f t="shared" si="299"/>
        <v>252.34318673395819</v>
      </c>
      <c r="Y1221" s="29" t="e">
        <f>IF(+VLOOKUP(I1221,P.Referencia!E:S,3,FALSE)&lt;=L1221,"Champion","Gerente")</f>
        <v>#N/A</v>
      </c>
      <c r="Z1221" s="30" t="e">
        <f>VLOOKUP(I1221,P.Referencia!E:S,3,0)</f>
        <v>#N/A</v>
      </c>
      <c r="AA1221" s="196" t="e">
        <f t="shared" si="300"/>
        <v>#N/A</v>
      </c>
      <c r="AB1221" s="197" t="e">
        <f t="shared" si="301"/>
        <v>#N/A</v>
      </c>
      <c r="AC1221" s="197" t="e">
        <f t="shared" si="302"/>
        <v>#N/A</v>
      </c>
    </row>
    <row r="1222" spans="1:29" hidden="1" x14ac:dyDescent="0.25">
      <c r="A1222" s="24">
        <v>1221</v>
      </c>
      <c r="B1222" s="89" t="s">
        <v>1001</v>
      </c>
      <c r="C1222" s="4" t="str">
        <f t="shared" si="296"/>
        <v>LlaveD86166462485100002291</v>
      </c>
      <c r="D1222" s="25" t="str">
        <f>VLOOKUP(E1222,'NO MODIFICAR'!J:K,2,0)</f>
        <v>D861</v>
      </c>
      <c r="E1222" s="102" t="s">
        <v>44</v>
      </c>
      <c r="F1222" s="25" t="str">
        <f>VLOOKUP(D1222,'NO MODIFICAR'!F:H,3,0)</f>
        <v xml:space="preserve">CENTRO </v>
      </c>
      <c r="G1222" s="92">
        <v>66462485</v>
      </c>
      <c r="H1222" s="92" t="s">
        <v>519</v>
      </c>
      <c r="I1222" s="94">
        <v>10000229</v>
      </c>
      <c r="J1222" s="4" t="str">
        <f>VLOOKUP(I1222,'Materiales,canteras'!C:D,2,0)</f>
        <v>Grava Triturada Basalto  10 mm</v>
      </c>
      <c r="K1222" s="25">
        <f>VLOOKUP(I1222,'Materiales,canteras'!C:E,3,0)</f>
        <v>1.522</v>
      </c>
      <c r="L1222" s="82">
        <v>207.23</v>
      </c>
      <c r="M1222" s="28" t="s">
        <v>93</v>
      </c>
      <c r="N1222" s="193">
        <f t="shared" ca="1" si="295"/>
        <v>46267</v>
      </c>
      <c r="O1222" s="24" t="s">
        <v>750</v>
      </c>
      <c r="P1222" s="4"/>
      <c r="Q1222" s="4"/>
      <c r="R1222" s="4"/>
      <c r="T1222" s="303">
        <f t="shared" si="297"/>
        <v>207.23</v>
      </c>
      <c r="U1222" s="88">
        <f t="shared" si="298"/>
        <v>207.23</v>
      </c>
      <c r="V1222" s="82">
        <v>150</v>
      </c>
      <c r="W1222" s="4">
        <v>1</v>
      </c>
      <c r="X1222" s="195">
        <f t="shared" si="299"/>
        <v>357.23</v>
      </c>
      <c r="Y1222" s="29" t="e">
        <f>IF(+VLOOKUP(I1222,P.Referencia!E:S,3,FALSE)&lt;=L1222,"Champion","Gerente")</f>
        <v>#N/A</v>
      </c>
      <c r="Z1222" s="30" t="e">
        <f>VLOOKUP(I1222,P.Referencia!E:S,3,0)</f>
        <v>#N/A</v>
      </c>
      <c r="AA1222" s="196" t="e">
        <f t="shared" si="300"/>
        <v>#N/A</v>
      </c>
      <c r="AB1222" s="197" t="e">
        <f t="shared" si="301"/>
        <v>#N/A</v>
      </c>
      <c r="AC1222" s="197" t="e">
        <f t="shared" si="302"/>
        <v>#N/A</v>
      </c>
    </row>
    <row r="1223" spans="1:29" hidden="1" x14ac:dyDescent="0.25">
      <c r="A1223" s="24">
        <v>1222</v>
      </c>
      <c r="B1223" s="89" t="s">
        <v>1001</v>
      </c>
      <c r="C1223" s="4" t="str">
        <f t="shared" si="296"/>
        <v>LlaveD86166462485100002311</v>
      </c>
      <c r="D1223" s="25" t="str">
        <f>VLOOKUP(E1223,'NO MODIFICAR'!J:K,2,0)</f>
        <v>D861</v>
      </c>
      <c r="E1223" s="102" t="s">
        <v>44</v>
      </c>
      <c r="F1223" s="25" t="str">
        <f>VLOOKUP(D1223,'NO MODIFICAR'!F:H,3,0)</f>
        <v xml:space="preserve">CENTRO </v>
      </c>
      <c r="G1223" s="92">
        <v>66462485</v>
      </c>
      <c r="H1223" s="92" t="s">
        <v>519</v>
      </c>
      <c r="I1223" s="94">
        <v>10000231</v>
      </c>
      <c r="J1223" s="4" t="str">
        <f>VLOOKUP(I1223,'Materiales,canteras'!C:D,2,0)</f>
        <v>Grava Triturada Basalto 20 mm</v>
      </c>
      <c r="K1223" s="25">
        <f>VLOOKUP(I1223,'Materiales,canteras'!C:E,3,0)</f>
        <v>1.5649999999999999</v>
      </c>
      <c r="L1223" s="82">
        <v>196.91</v>
      </c>
      <c r="M1223" s="28" t="s">
        <v>93</v>
      </c>
      <c r="N1223" s="193">
        <f t="shared" ref="N1223:N1286" ca="1" si="306">TODAY()</f>
        <v>46267</v>
      </c>
      <c r="O1223" s="24" t="s">
        <v>751</v>
      </c>
      <c r="P1223" s="4"/>
      <c r="Q1223" s="4"/>
      <c r="R1223" s="4"/>
      <c r="T1223" s="303">
        <f t="shared" si="297"/>
        <v>196.91</v>
      </c>
      <c r="U1223" s="88">
        <f t="shared" si="298"/>
        <v>196.91</v>
      </c>
      <c r="V1223" s="82">
        <v>150</v>
      </c>
      <c r="W1223" s="4">
        <v>1</v>
      </c>
      <c r="X1223" s="195">
        <f t="shared" si="299"/>
        <v>346.90999999999997</v>
      </c>
      <c r="Y1223" s="29" t="e">
        <f>IF(+VLOOKUP(I1223,P.Referencia!E:S,3,FALSE)&lt;=L1223,"Champion","Gerente")</f>
        <v>#N/A</v>
      </c>
      <c r="Z1223" s="30" t="e">
        <f>VLOOKUP(I1223,P.Referencia!E:S,3,0)</f>
        <v>#N/A</v>
      </c>
      <c r="AA1223" s="196" t="e">
        <f t="shared" si="300"/>
        <v>#N/A</v>
      </c>
      <c r="AB1223" s="197" t="e">
        <f t="shared" si="301"/>
        <v>#N/A</v>
      </c>
      <c r="AC1223" s="197" t="e">
        <f t="shared" si="302"/>
        <v>#N/A</v>
      </c>
    </row>
    <row r="1224" spans="1:29" hidden="1" x14ac:dyDescent="0.25">
      <c r="A1224" s="24">
        <v>1223</v>
      </c>
      <c r="B1224" s="89" t="s">
        <v>1001</v>
      </c>
      <c r="C1224" s="4" t="str">
        <f t="shared" si="296"/>
        <v>LlaveD86166462485100003111</v>
      </c>
      <c r="D1224" s="25" t="str">
        <f>VLOOKUP(E1224,'NO MODIFICAR'!J:K,2,0)</f>
        <v>D861</v>
      </c>
      <c r="E1224" s="102" t="s">
        <v>44</v>
      </c>
      <c r="F1224" s="25" t="str">
        <f>VLOOKUP(D1224,'NO MODIFICAR'!F:H,3,0)</f>
        <v xml:space="preserve">CENTRO </v>
      </c>
      <c r="G1224" s="92">
        <v>66462485</v>
      </c>
      <c r="H1224" s="92" t="s">
        <v>519</v>
      </c>
      <c r="I1224" s="94">
        <v>10000311</v>
      </c>
      <c r="J1224" s="4" t="str">
        <f>VLOOKUP(I1224,'Materiales,canteras'!C:D,2,0)</f>
        <v>Arena Triturada Basalto  Malla</v>
      </c>
      <c r="K1224" s="25">
        <f>VLOOKUP(I1224,'Materiales,canteras'!C:E,3,0)</f>
        <v>1.651</v>
      </c>
      <c r="L1224" s="82">
        <v>176.78</v>
      </c>
      <c r="M1224" s="28" t="s">
        <v>93</v>
      </c>
      <c r="N1224" s="193">
        <f t="shared" ca="1" si="306"/>
        <v>46267</v>
      </c>
      <c r="O1224" s="24" t="s">
        <v>752</v>
      </c>
      <c r="P1224" s="4"/>
      <c r="Q1224" s="4"/>
      <c r="R1224" s="4"/>
      <c r="T1224" s="303">
        <f t="shared" si="297"/>
        <v>176.78</v>
      </c>
      <c r="U1224" s="88">
        <f t="shared" si="298"/>
        <v>176.78</v>
      </c>
      <c r="V1224" s="82">
        <v>150</v>
      </c>
      <c r="W1224" s="4">
        <v>1</v>
      </c>
      <c r="X1224" s="195">
        <f t="shared" si="299"/>
        <v>326.77999999999997</v>
      </c>
      <c r="Y1224" s="29" t="e">
        <f>IF(+VLOOKUP(I1224,P.Referencia!E:S,3,FALSE)&lt;=L1224,"Champion","Gerente")</f>
        <v>#N/A</v>
      </c>
      <c r="Z1224" s="30" t="e">
        <f>VLOOKUP(I1224,P.Referencia!E:S,3,0)</f>
        <v>#N/A</v>
      </c>
      <c r="AA1224" s="196" t="e">
        <f t="shared" si="300"/>
        <v>#N/A</v>
      </c>
      <c r="AB1224" s="197" t="e">
        <f t="shared" si="301"/>
        <v>#N/A</v>
      </c>
      <c r="AC1224" s="197" t="e">
        <f t="shared" si="302"/>
        <v>#N/A</v>
      </c>
    </row>
    <row r="1225" spans="1:29" hidden="1" x14ac:dyDescent="0.25">
      <c r="A1225" s="24">
        <v>1224</v>
      </c>
      <c r="B1225" s="89" t="s">
        <v>1001</v>
      </c>
      <c r="C1225" s="4" t="str">
        <f t="shared" si="296"/>
        <v>LlaveD86166462485100014501</v>
      </c>
      <c r="D1225" s="25" t="str">
        <f>VLOOKUP(E1225,'NO MODIFICAR'!J:K,2,0)</f>
        <v>D861</v>
      </c>
      <c r="E1225" s="102" t="s">
        <v>44</v>
      </c>
      <c r="F1225" s="25" t="str">
        <f>VLOOKUP(D1225,'NO MODIFICAR'!F:H,3,0)</f>
        <v xml:space="preserve">CENTRO </v>
      </c>
      <c r="G1225" s="92">
        <v>66462485</v>
      </c>
      <c r="H1225" s="92" t="s">
        <v>519</v>
      </c>
      <c r="I1225" s="94">
        <v>10001450</v>
      </c>
      <c r="J1225" s="4" t="str">
        <f>VLOOKUP(I1225,'Materiales,canteras'!C:D,2,0)</f>
        <v>Base Hidraúlica Basalto de 1 /1/2</v>
      </c>
      <c r="K1225" s="25">
        <f>VLOOKUP(I1225,'Materiales,canteras'!C:E,3,0)</f>
        <v>1.7490000000000001</v>
      </c>
      <c r="L1225" s="82">
        <v>192.77</v>
      </c>
      <c r="M1225" s="28" t="s">
        <v>93</v>
      </c>
      <c r="N1225" s="193">
        <f t="shared" ca="1" si="306"/>
        <v>46267</v>
      </c>
      <c r="O1225" s="24" t="s">
        <v>753</v>
      </c>
      <c r="P1225" s="4"/>
      <c r="Q1225" s="4"/>
      <c r="R1225" s="4"/>
      <c r="T1225" s="303">
        <f t="shared" si="297"/>
        <v>192.77</v>
      </c>
      <c r="U1225" s="88">
        <f t="shared" si="298"/>
        <v>192.77</v>
      </c>
      <c r="V1225" s="82">
        <v>150</v>
      </c>
      <c r="W1225" s="4">
        <v>1</v>
      </c>
      <c r="X1225" s="195">
        <f t="shared" si="299"/>
        <v>342.77</v>
      </c>
      <c r="Y1225" s="29" t="e">
        <f>IF(+VLOOKUP(I1225,P.Referencia!E:S,3,FALSE)&lt;=L1225,"Champion","Gerente")</f>
        <v>#N/A</v>
      </c>
      <c r="Z1225" s="30" t="e">
        <f>VLOOKUP(I1225,P.Referencia!E:S,3,0)</f>
        <v>#N/A</v>
      </c>
      <c r="AA1225" s="196" t="e">
        <f t="shared" si="300"/>
        <v>#N/A</v>
      </c>
      <c r="AB1225" s="197" t="e">
        <f t="shared" si="301"/>
        <v>#N/A</v>
      </c>
      <c r="AC1225" s="197" t="e">
        <f t="shared" si="302"/>
        <v>#N/A</v>
      </c>
    </row>
    <row r="1226" spans="1:29" hidden="1" x14ac:dyDescent="0.25">
      <c r="A1226" s="24">
        <v>1225</v>
      </c>
      <c r="B1226" s="89" t="s">
        <v>1001</v>
      </c>
      <c r="C1226" s="4" t="str">
        <f t="shared" si="296"/>
        <v>LlaveD86166494466100002291</v>
      </c>
      <c r="D1226" s="25" t="str">
        <f>VLOOKUP(E1226,'NO MODIFICAR'!J:K,2,0)</f>
        <v>D861</v>
      </c>
      <c r="E1226" s="102" t="s">
        <v>44</v>
      </c>
      <c r="F1226" s="25" t="str">
        <f>VLOOKUP(D1226,'NO MODIFICAR'!F:H,3,0)</f>
        <v xml:space="preserve">CENTRO </v>
      </c>
      <c r="G1226" s="92">
        <v>66494466</v>
      </c>
      <c r="H1226" s="92" t="s">
        <v>520</v>
      </c>
      <c r="I1226" s="94">
        <v>10000229</v>
      </c>
      <c r="J1226" s="4" t="str">
        <f>VLOOKUP(I1226,'Materiales,canteras'!C:D,2,0)</f>
        <v>Grava Triturada Basalto  10 mm</v>
      </c>
      <c r="K1226" s="25">
        <f>VLOOKUP(I1226,'Materiales,canteras'!C:E,3,0)</f>
        <v>1.522</v>
      </c>
      <c r="L1226" s="82">
        <v>207.23</v>
      </c>
      <c r="M1226" s="28" t="s">
        <v>93</v>
      </c>
      <c r="N1226" s="193">
        <f t="shared" ca="1" si="306"/>
        <v>46267</v>
      </c>
      <c r="O1226" s="24" t="s">
        <v>754</v>
      </c>
      <c r="P1226" s="4"/>
      <c r="Q1226" s="4"/>
      <c r="R1226" s="4"/>
      <c r="T1226" s="303">
        <f t="shared" si="297"/>
        <v>207.23</v>
      </c>
      <c r="U1226" s="88">
        <f t="shared" si="298"/>
        <v>207.23</v>
      </c>
      <c r="V1226" s="82">
        <v>116</v>
      </c>
      <c r="W1226" s="4">
        <v>1</v>
      </c>
      <c r="X1226" s="195">
        <f t="shared" si="299"/>
        <v>323.23</v>
      </c>
      <c r="Y1226" s="29" t="e">
        <f>IF(+VLOOKUP(I1226,P.Referencia!E:S,3,FALSE)&lt;=L1226,"Champion","Gerente")</f>
        <v>#N/A</v>
      </c>
      <c r="Z1226" s="30" t="e">
        <f>VLOOKUP(I1226,P.Referencia!E:S,3,0)</f>
        <v>#N/A</v>
      </c>
      <c r="AA1226" s="196" t="e">
        <f t="shared" si="300"/>
        <v>#N/A</v>
      </c>
      <c r="AB1226" s="197" t="e">
        <f t="shared" si="301"/>
        <v>#N/A</v>
      </c>
      <c r="AC1226" s="197" t="e">
        <f t="shared" si="302"/>
        <v>#N/A</v>
      </c>
    </row>
    <row r="1227" spans="1:29" hidden="1" x14ac:dyDescent="0.25">
      <c r="A1227" s="24">
        <v>1226</v>
      </c>
      <c r="B1227" s="89" t="s">
        <v>1001</v>
      </c>
      <c r="C1227" s="4" t="str">
        <f t="shared" si="296"/>
        <v>LlaveD86166494466100002311</v>
      </c>
      <c r="D1227" s="25" t="str">
        <f>VLOOKUP(E1227,'NO MODIFICAR'!J:K,2,0)</f>
        <v>D861</v>
      </c>
      <c r="E1227" s="102" t="s">
        <v>44</v>
      </c>
      <c r="F1227" s="25" t="str">
        <f>VLOOKUP(D1227,'NO MODIFICAR'!F:H,3,0)</f>
        <v xml:space="preserve">CENTRO </v>
      </c>
      <c r="G1227" s="92">
        <v>66494466</v>
      </c>
      <c r="H1227" s="92" t="s">
        <v>520</v>
      </c>
      <c r="I1227" s="94">
        <v>10000231</v>
      </c>
      <c r="J1227" s="4" t="str">
        <f>VLOOKUP(I1227,'Materiales,canteras'!C:D,2,0)</f>
        <v>Grava Triturada Basalto 20 mm</v>
      </c>
      <c r="K1227" s="25">
        <f>VLOOKUP(I1227,'Materiales,canteras'!C:E,3,0)</f>
        <v>1.5649999999999999</v>
      </c>
      <c r="L1227" s="82">
        <v>196.91</v>
      </c>
      <c r="M1227" s="28" t="s">
        <v>93</v>
      </c>
      <c r="N1227" s="193">
        <f t="shared" ca="1" si="306"/>
        <v>46267</v>
      </c>
      <c r="O1227" s="24" t="s">
        <v>755</v>
      </c>
      <c r="P1227" s="4"/>
      <c r="Q1227" s="4"/>
      <c r="R1227" s="4"/>
      <c r="T1227" s="303">
        <f t="shared" si="297"/>
        <v>196.91</v>
      </c>
      <c r="U1227" s="88">
        <f t="shared" si="298"/>
        <v>196.91</v>
      </c>
      <c r="V1227" s="82">
        <v>116</v>
      </c>
      <c r="W1227" s="4">
        <v>1</v>
      </c>
      <c r="X1227" s="195">
        <f t="shared" si="299"/>
        <v>312.90999999999997</v>
      </c>
      <c r="Y1227" s="29" t="e">
        <f>IF(+VLOOKUP(I1227,P.Referencia!E:S,3,FALSE)&lt;=L1227,"Champion","Gerente")</f>
        <v>#N/A</v>
      </c>
      <c r="Z1227" s="30" t="e">
        <f>VLOOKUP(I1227,P.Referencia!E:S,3,0)</f>
        <v>#N/A</v>
      </c>
      <c r="AA1227" s="196" t="e">
        <f t="shared" si="300"/>
        <v>#N/A</v>
      </c>
      <c r="AB1227" s="197" t="e">
        <f t="shared" si="301"/>
        <v>#N/A</v>
      </c>
      <c r="AC1227" s="197" t="e">
        <f t="shared" si="302"/>
        <v>#N/A</v>
      </c>
    </row>
    <row r="1228" spans="1:29" hidden="1" x14ac:dyDescent="0.25">
      <c r="A1228" s="24">
        <v>1227</v>
      </c>
      <c r="B1228" s="89" t="s">
        <v>1001</v>
      </c>
      <c r="C1228" s="4" t="str">
        <f t="shared" si="296"/>
        <v>LlaveD86166494466100003111</v>
      </c>
      <c r="D1228" s="25" t="str">
        <f>VLOOKUP(E1228,'NO MODIFICAR'!J:K,2,0)</f>
        <v>D861</v>
      </c>
      <c r="E1228" s="102" t="s">
        <v>44</v>
      </c>
      <c r="F1228" s="25" t="str">
        <f>VLOOKUP(D1228,'NO MODIFICAR'!F:H,3,0)</f>
        <v xml:space="preserve">CENTRO </v>
      </c>
      <c r="G1228" s="92">
        <v>66494466</v>
      </c>
      <c r="H1228" s="92" t="s">
        <v>520</v>
      </c>
      <c r="I1228" s="94">
        <v>10000311</v>
      </c>
      <c r="J1228" s="4" t="str">
        <f>VLOOKUP(I1228,'Materiales,canteras'!C:D,2,0)</f>
        <v>Arena Triturada Basalto  Malla</v>
      </c>
      <c r="K1228" s="25">
        <f>VLOOKUP(I1228,'Materiales,canteras'!C:E,3,0)</f>
        <v>1.651</v>
      </c>
      <c r="L1228" s="82">
        <v>176.78</v>
      </c>
      <c r="M1228" s="28" t="s">
        <v>93</v>
      </c>
      <c r="N1228" s="193">
        <f t="shared" ca="1" si="306"/>
        <v>46267</v>
      </c>
      <c r="O1228" s="24" t="s">
        <v>756</v>
      </c>
      <c r="P1228" s="4"/>
      <c r="Q1228" s="4"/>
      <c r="R1228" s="4"/>
      <c r="T1228" s="303">
        <f t="shared" si="297"/>
        <v>176.78</v>
      </c>
      <c r="U1228" s="88">
        <f t="shared" si="298"/>
        <v>176.78</v>
      </c>
      <c r="V1228" s="82">
        <v>116</v>
      </c>
      <c r="W1228" s="4">
        <v>1</v>
      </c>
      <c r="X1228" s="195">
        <f t="shared" si="299"/>
        <v>292.77999999999997</v>
      </c>
      <c r="Y1228" s="29" t="e">
        <f>IF(+VLOOKUP(I1228,P.Referencia!E:S,3,FALSE)&lt;=L1228,"Champion","Gerente")</f>
        <v>#N/A</v>
      </c>
      <c r="Z1228" s="30" t="e">
        <f>VLOOKUP(I1228,P.Referencia!E:S,3,0)</f>
        <v>#N/A</v>
      </c>
      <c r="AA1228" s="196" t="e">
        <f t="shared" si="300"/>
        <v>#N/A</v>
      </c>
      <c r="AB1228" s="197" t="e">
        <f t="shared" si="301"/>
        <v>#N/A</v>
      </c>
      <c r="AC1228" s="197" t="e">
        <f t="shared" si="302"/>
        <v>#N/A</v>
      </c>
    </row>
    <row r="1229" spans="1:29" hidden="1" x14ac:dyDescent="0.25">
      <c r="A1229" s="24">
        <v>1228</v>
      </c>
      <c r="B1229" s="89" t="s">
        <v>1001</v>
      </c>
      <c r="C1229" s="4" t="str">
        <f t="shared" si="296"/>
        <v>LlaveD86166494466100014501</v>
      </c>
      <c r="D1229" s="25" t="str">
        <f>VLOOKUP(E1229,'NO MODIFICAR'!J:K,2,0)</f>
        <v>D861</v>
      </c>
      <c r="E1229" s="102" t="s">
        <v>44</v>
      </c>
      <c r="F1229" s="25" t="str">
        <f>VLOOKUP(D1229,'NO MODIFICAR'!F:H,3,0)</f>
        <v xml:space="preserve">CENTRO </v>
      </c>
      <c r="G1229" s="92">
        <v>66494466</v>
      </c>
      <c r="H1229" s="92" t="s">
        <v>520</v>
      </c>
      <c r="I1229" s="94">
        <v>10001450</v>
      </c>
      <c r="J1229" s="4" t="str">
        <f>VLOOKUP(I1229,'Materiales,canteras'!C:D,2,0)</f>
        <v>Base Hidraúlica Basalto de 1 /1/2</v>
      </c>
      <c r="K1229" s="25">
        <f>VLOOKUP(I1229,'Materiales,canteras'!C:E,3,0)</f>
        <v>1.7490000000000001</v>
      </c>
      <c r="L1229" s="82">
        <v>192.77</v>
      </c>
      <c r="M1229" s="28" t="s">
        <v>93</v>
      </c>
      <c r="N1229" s="193">
        <f t="shared" ca="1" si="306"/>
        <v>46267</v>
      </c>
      <c r="O1229" s="24" t="s">
        <v>757</v>
      </c>
      <c r="P1229" s="4"/>
      <c r="Q1229" s="4"/>
      <c r="R1229" s="4"/>
      <c r="T1229" s="303">
        <f t="shared" si="297"/>
        <v>192.77</v>
      </c>
      <c r="U1229" s="88">
        <f t="shared" si="298"/>
        <v>192.77</v>
      </c>
      <c r="V1229" s="82">
        <v>116</v>
      </c>
      <c r="W1229" s="4">
        <v>1</v>
      </c>
      <c r="X1229" s="195">
        <f t="shared" si="299"/>
        <v>308.77</v>
      </c>
      <c r="Y1229" s="29" t="e">
        <f>IF(+VLOOKUP(I1229,P.Referencia!E:S,3,FALSE)&lt;=L1229,"Champion","Gerente")</f>
        <v>#N/A</v>
      </c>
      <c r="Z1229" s="30" t="e">
        <f>VLOOKUP(I1229,P.Referencia!E:S,3,0)</f>
        <v>#N/A</v>
      </c>
      <c r="AA1229" s="196" t="e">
        <f t="shared" si="300"/>
        <v>#N/A</v>
      </c>
      <c r="AB1229" s="197" t="e">
        <f t="shared" si="301"/>
        <v>#N/A</v>
      </c>
      <c r="AC1229" s="197" t="e">
        <f t="shared" si="302"/>
        <v>#N/A</v>
      </c>
    </row>
    <row r="1230" spans="1:29" hidden="1" x14ac:dyDescent="0.25">
      <c r="A1230" s="24">
        <v>1229</v>
      </c>
      <c r="B1230" s="89" t="s">
        <v>1001</v>
      </c>
      <c r="C1230" s="4" t="str">
        <f t="shared" si="296"/>
        <v>LlaveD86166494472100002291</v>
      </c>
      <c r="D1230" s="25" t="str">
        <f>VLOOKUP(E1230,'NO MODIFICAR'!J:K,2,0)</f>
        <v>D861</v>
      </c>
      <c r="E1230" s="102" t="s">
        <v>44</v>
      </c>
      <c r="F1230" s="25" t="str">
        <f>VLOOKUP(D1230,'NO MODIFICAR'!F:H,3,0)</f>
        <v xml:space="preserve">CENTRO </v>
      </c>
      <c r="G1230" s="92">
        <v>66494472</v>
      </c>
      <c r="H1230" s="92" t="s">
        <v>293</v>
      </c>
      <c r="I1230" s="94">
        <v>10000229</v>
      </c>
      <c r="J1230" s="4" t="str">
        <f>VLOOKUP(I1230,'Materiales,canteras'!C:D,2,0)</f>
        <v>Grava Triturada Basalto  10 mm</v>
      </c>
      <c r="K1230" s="25">
        <f>VLOOKUP(I1230,'Materiales,canteras'!C:E,3,0)</f>
        <v>1.522</v>
      </c>
      <c r="L1230" s="82">
        <v>207.23</v>
      </c>
      <c r="M1230" s="28" t="s">
        <v>93</v>
      </c>
      <c r="N1230" s="193">
        <f t="shared" ca="1" si="306"/>
        <v>46267</v>
      </c>
      <c r="O1230" s="24" t="s">
        <v>758</v>
      </c>
      <c r="P1230" s="4"/>
      <c r="Q1230" s="4"/>
      <c r="R1230" s="4"/>
      <c r="T1230" s="303">
        <f t="shared" si="297"/>
        <v>207.23</v>
      </c>
      <c r="U1230" s="88">
        <f t="shared" si="298"/>
        <v>207.23</v>
      </c>
      <c r="V1230" s="82">
        <v>60</v>
      </c>
      <c r="W1230" s="4">
        <v>1</v>
      </c>
      <c r="X1230" s="195">
        <f t="shared" si="299"/>
        <v>267.23</v>
      </c>
      <c r="Y1230" s="29" t="e">
        <f>IF(+VLOOKUP(I1230,P.Referencia!E:S,3,FALSE)&lt;=L1230,"Champion","Gerente")</f>
        <v>#N/A</v>
      </c>
      <c r="Z1230" s="30" t="e">
        <f>VLOOKUP(I1230,P.Referencia!E:S,3,0)</f>
        <v>#N/A</v>
      </c>
      <c r="AA1230" s="196" t="e">
        <f t="shared" si="300"/>
        <v>#N/A</v>
      </c>
      <c r="AB1230" s="197" t="e">
        <f t="shared" si="301"/>
        <v>#N/A</v>
      </c>
      <c r="AC1230" s="197" t="e">
        <f t="shared" si="302"/>
        <v>#N/A</v>
      </c>
    </row>
    <row r="1231" spans="1:29" hidden="1" x14ac:dyDescent="0.25">
      <c r="A1231" s="24">
        <v>1230</v>
      </c>
      <c r="B1231" s="89" t="s">
        <v>1001</v>
      </c>
      <c r="C1231" s="4" t="str">
        <f t="shared" si="296"/>
        <v>LlaveD86166494472100002311</v>
      </c>
      <c r="D1231" s="25" t="str">
        <f>VLOOKUP(E1231,'NO MODIFICAR'!J:K,2,0)</f>
        <v>D861</v>
      </c>
      <c r="E1231" s="102" t="s">
        <v>44</v>
      </c>
      <c r="F1231" s="25" t="str">
        <f>VLOOKUP(D1231,'NO MODIFICAR'!F:H,3,0)</f>
        <v xml:space="preserve">CENTRO </v>
      </c>
      <c r="G1231" s="92">
        <v>66494472</v>
      </c>
      <c r="H1231" s="92" t="s">
        <v>293</v>
      </c>
      <c r="I1231" s="94">
        <v>10000231</v>
      </c>
      <c r="J1231" s="4" t="str">
        <f>VLOOKUP(I1231,'Materiales,canteras'!C:D,2,0)</f>
        <v>Grava Triturada Basalto 20 mm</v>
      </c>
      <c r="K1231" s="25">
        <f>VLOOKUP(I1231,'Materiales,canteras'!C:E,3,0)</f>
        <v>1.5649999999999999</v>
      </c>
      <c r="L1231" s="82">
        <v>196.91</v>
      </c>
      <c r="M1231" s="28" t="s">
        <v>93</v>
      </c>
      <c r="N1231" s="193">
        <f t="shared" ca="1" si="306"/>
        <v>46267</v>
      </c>
      <c r="O1231" s="24" t="s">
        <v>759</v>
      </c>
      <c r="P1231" s="4"/>
      <c r="Q1231" s="4"/>
      <c r="R1231" s="4"/>
      <c r="T1231" s="303">
        <f t="shared" si="297"/>
        <v>196.91</v>
      </c>
      <c r="U1231" s="88">
        <f t="shared" si="298"/>
        <v>196.91</v>
      </c>
      <c r="V1231" s="82">
        <v>60</v>
      </c>
      <c r="W1231" s="4">
        <v>1</v>
      </c>
      <c r="X1231" s="195">
        <f t="shared" si="299"/>
        <v>256.90999999999997</v>
      </c>
      <c r="Y1231" s="29" t="e">
        <f>IF(+VLOOKUP(I1231,P.Referencia!E:S,3,FALSE)&lt;=L1231,"Champion","Gerente")</f>
        <v>#N/A</v>
      </c>
      <c r="Z1231" s="30" t="e">
        <f>VLOOKUP(I1231,P.Referencia!E:S,3,0)</f>
        <v>#N/A</v>
      </c>
      <c r="AA1231" s="196" t="e">
        <f t="shared" si="300"/>
        <v>#N/A</v>
      </c>
      <c r="AB1231" s="197" t="e">
        <f t="shared" si="301"/>
        <v>#N/A</v>
      </c>
      <c r="AC1231" s="197" t="e">
        <f t="shared" si="302"/>
        <v>#N/A</v>
      </c>
    </row>
    <row r="1232" spans="1:29" hidden="1" x14ac:dyDescent="0.25">
      <c r="A1232" s="24">
        <v>1231</v>
      </c>
      <c r="B1232" s="89" t="s">
        <v>1001</v>
      </c>
      <c r="C1232" s="4" t="str">
        <f t="shared" si="296"/>
        <v>LlaveD86166494472100003111</v>
      </c>
      <c r="D1232" s="25" t="str">
        <f>VLOOKUP(E1232,'NO MODIFICAR'!J:K,2,0)</f>
        <v>D861</v>
      </c>
      <c r="E1232" s="102" t="s">
        <v>44</v>
      </c>
      <c r="F1232" s="25" t="str">
        <f>VLOOKUP(D1232,'NO MODIFICAR'!F:H,3,0)</f>
        <v xml:space="preserve">CENTRO </v>
      </c>
      <c r="G1232" s="92">
        <v>66494472</v>
      </c>
      <c r="H1232" s="92" t="s">
        <v>293</v>
      </c>
      <c r="I1232" s="94">
        <v>10000311</v>
      </c>
      <c r="J1232" s="4" t="str">
        <f>VLOOKUP(I1232,'Materiales,canteras'!C:D,2,0)</f>
        <v>Arena Triturada Basalto  Malla</v>
      </c>
      <c r="K1232" s="25">
        <f>VLOOKUP(I1232,'Materiales,canteras'!C:E,3,0)</f>
        <v>1.651</v>
      </c>
      <c r="L1232" s="82">
        <v>176.78</v>
      </c>
      <c r="M1232" s="28" t="s">
        <v>93</v>
      </c>
      <c r="N1232" s="193">
        <f t="shared" ca="1" si="306"/>
        <v>46267</v>
      </c>
      <c r="O1232" s="24" t="s">
        <v>760</v>
      </c>
      <c r="P1232" s="4"/>
      <c r="Q1232" s="4"/>
      <c r="R1232" s="4"/>
      <c r="T1232" s="303">
        <f t="shared" si="297"/>
        <v>176.78</v>
      </c>
      <c r="U1232" s="88">
        <f t="shared" si="298"/>
        <v>176.78</v>
      </c>
      <c r="V1232" s="82">
        <v>60</v>
      </c>
      <c r="W1232" s="4">
        <v>1</v>
      </c>
      <c r="X1232" s="195">
        <f t="shared" si="299"/>
        <v>236.78</v>
      </c>
      <c r="Y1232" s="29" t="e">
        <f>IF(+VLOOKUP(I1232,P.Referencia!E:S,3,FALSE)&lt;=L1232,"Champion","Gerente")</f>
        <v>#N/A</v>
      </c>
      <c r="Z1232" s="30" t="e">
        <f>VLOOKUP(I1232,P.Referencia!E:S,3,0)</f>
        <v>#N/A</v>
      </c>
      <c r="AA1232" s="196" t="e">
        <f t="shared" si="300"/>
        <v>#N/A</v>
      </c>
      <c r="AB1232" s="197" t="e">
        <f t="shared" si="301"/>
        <v>#N/A</v>
      </c>
      <c r="AC1232" s="197" t="e">
        <f t="shared" si="302"/>
        <v>#N/A</v>
      </c>
    </row>
    <row r="1233" spans="1:29" hidden="1" x14ac:dyDescent="0.25">
      <c r="A1233" s="24">
        <v>1232</v>
      </c>
      <c r="B1233" s="89" t="s">
        <v>1001</v>
      </c>
      <c r="C1233" s="4" t="str">
        <f t="shared" si="296"/>
        <v>LlaveD86166494472100014501</v>
      </c>
      <c r="D1233" s="25" t="str">
        <f>VLOOKUP(E1233,'NO MODIFICAR'!J:K,2,0)</f>
        <v>D861</v>
      </c>
      <c r="E1233" s="102" t="s">
        <v>44</v>
      </c>
      <c r="F1233" s="25" t="str">
        <f>VLOOKUP(D1233,'NO MODIFICAR'!F:H,3,0)</f>
        <v xml:space="preserve">CENTRO </v>
      </c>
      <c r="G1233" s="92">
        <v>66494472</v>
      </c>
      <c r="H1233" s="92" t="s">
        <v>293</v>
      </c>
      <c r="I1233" s="94">
        <v>10001450</v>
      </c>
      <c r="J1233" s="4" t="str">
        <f>VLOOKUP(I1233,'Materiales,canteras'!C:D,2,0)</f>
        <v>Base Hidraúlica Basalto de 1 /1/2</v>
      </c>
      <c r="K1233" s="25">
        <f>VLOOKUP(I1233,'Materiales,canteras'!C:E,3,0)</f>
        <v>1.7490000000000001</v>
      </c>
      <c r="L1233" s="82">
        <v>192.77</v>
      </c>
      <c r="M1233" s="28" t="s">
        <v>93</v>
      </c>
      <c r="N1233" s="193">
        <f t="shared" ca="1" si="306"/>
        <v>46267</v>
      </c>
      <c r="O1233" s="24" t="s">
        <v>761</v>
      </c>
      <c r="P1233" s="4"/>
      <c r="Q1233" s="4"/>
      <c r="R1233" s="4"/>
      <c r="T1233" s="303">
        <f t="shared" si="297"/>
        <v>192.77</v>
      </c>
      <c r="U1233" s="88">
        <f t="shared" si="298"/>
        <v>192.77</v>
      </c>
      <c r="V1233" s="82">
        <v>60</v>
      </c>
      <c r="W1233" s="4">
        <v>1</v>
      </c>
      <c r="X1233" s="195">
        <f t="shared" si="299"/>
        <v>252.77</v>
      </c>
      <c r="Y1233" s="29" t="e">
        <f>IF(+VLOOKUP(I1233,P.Referencia!E:S,3,FALSE)&lt;=L1233,"Champion","Gerente")</f>
        <v>#N/A</v>
      </c>
      <c r="Z1233" s="30" t="e">
        <f>VLOOKUP(I1233,P.Referencia!E:S,3,0)</f>
        <v>#N/A</v>
      </c>
      <c r="AA1233" s="196" t="e">
        <f t="shared" si="300"/>
        <v>#N/A</v>
      </c>
      <c r="AB1233" s="197" t="e">
        <f t="shared" si="301"/>
        <v>#N/A</v>
      </c>
      <c r="AC1233" s="197" t="e">
        <f t="shared" si="302"/>
        <v>#N/A</v>
      </c>
    </row>
    <row r="1234" spans="1:29" hidden="1" x14ac:dyDescent="0.25">
      <c r="A1234" s="24">
        <v>1233</v>
      </c>
      <c r="B1234" s="89" t="s">
        <v>1001</v>
      </c>
      <c r="C1234" s="4" t="str">
        <f t="shared" si="296"/>
        <v>LlaveD86166808298100002292</v>
      </c>
      <c r="D1234" s="25" t="str">
        <f>VLOOKUP(E1234,'NO MODIFICAR'!J:K,2,0)</f>
        <v>D861</v>
      </c>
      <c r="E1234" s="102" t="s">
        <v>44</v>
      </c>
      <c r="F1234" s="25" t="str">
        <f>VLOOKUP(D1234,'NO MODIFICAR'!F:H,3,0)</f>
        <v xml:space="preserve">CENTRO </v>
      </c>
      <c r="G1234" s="92">
        <v>66808298</v>
      </c>
      <c r="H1234" s="92" t="s">
        <v>247</v>
      </c>
      <c r="I1234" s="94">
        <v>10000229</v>
      </c>
      <c r="J1234" s="4" t="str">
        <f>VLOOKUP(I1234,'Materiales,canteras'!C:D,2,0)</f>
        <v>Grava Triturada Basalto  10 mm</v>
      </c>
      <c r="K1234" s="25">
        <f>VLOOKUP(I1234,'Materiales,canteras'!C:E,3,0)</f>
        <v>1.522</v>
      </c>
      <c r="L1234" s="82">
        <v>207.23</v>
      </c>
      <c r="M1234" s="28" t="s">
        <v>93</v>
      </c>
      <c r="N1234" s="193">
        <f t="shared" ca="1" si="306"/>
        <v>46267</v>
      </c>
      <c r="O1234" s="24" t="s">
        <v>762</v>
      </c>
      <c r="P1234" s="4"/>
      <c r="Q1234" s="4"/>
      <c r="R1234" s="4"/>
      <c r="T1234" s="303">
        <f t="shared" si="297"/>
        <v>207.23</v>
      </c>
      <c r="U1234" s="88">
        <f t="shared" si="298"/>
        <v>207.23</v>
      </c>
      <c r="V1234" s="82">
        <v>0</v>
      </c>
      <c r="W1234" s="4">
        <v>2</v>
      </c>
      <c r="X1234" s="195">
        <f t="shared" si="299"/>
        <v>207.23</v>
      </c>
      <c r="Y1234" s="29" t="e">
        <f>IF(+VLOOKUP(I1234,P.Referencia!E:S,3,FALSE)&lt;=L1234,"Champion","Gerente")</f>
        <v>#N/A</v>
      </c>
      <c r="Z1234" s="30" t="e">
        <f>VLOOKUP(I1234,P.Referencia!E:S,3,0)</f>
        <v>#N/A</v>
      </c>
      <c r="AA1234" s="196" t="e">
        <f t="shared" si="300"/>
        <v>#N/A</v>
      </c>
      <c r="AB1234" s="197" t="e">
        <f t="shared" si="301"/>
        <v>#N/A</v>
      </c>
      <c r="AC1234" s="197" t="e">
        <f t="shared" si="302"/>
        <v>#N/A</v>
      </c>
    </row>
    <row r="1235" spans="1:29" hidden="1" x14ac:dyDescent="0.25">
      <c r="A1235" s="24">
        <v>1234</v>
      </c>
      <c r="B1235" s="89" t="s">
        <v>1001</v>
      </c>
      <c r="C1235" s="4" t="str">
        <f t="shared" si="296"/>
        <v>LlaveD86166808298100002312</v>
      </c>
      <c r="D1235" s="25" t="str">
        <f>VLOOKUP(E1235,'NO MODIFICAR'!J:K,2,0)</f>
        <v>D861</v>
      </c>
      <c r="E1235" s="102" t="s">
        <v>44</v>
      </c>
      <c r="F1235" s="25" t="str">
        <f>VLOOKUP(D1235,'NO MODIFICAR'!F:H,3,0)</f>
        <v xml:space="preserve">CENTRO </v>
      </c>
      <c r="G1235" s="92">
        <v>66808298</v>
      </c>
      <c r="H1235" s="92" t="s">
        <v>247</v>
      </c>
      <c r="I1235" s="94">
        <v>10000231</v>
      </c>
      <c r="J1235" s="4" t="str">
        <f>VLOOKUP(I1235,'Materiales,canteras'!C:D,2,0)</f>
        <v>Grava Triturada Basalto 20 mm</v>
      </c>
      <c r="K1235" s="25">
        <f>VLOOKUP(I1235,'Materiales,canteras'!C:E,3,0)</f>
        <v>1.5649999999999999</v>
      </c>
      <c r="L1235" s="82">
        <v>196.91</v>
      </c>
      <c r="M1235" s="28" t="s">
        <v>93</v>
      </c>
      <c r="N1235" s="193">
        <f t="shared" ca="1" si="306"/>
        <v>46267</v>
      </c>
      <c r="O1235" s="24" t="s">
        <v>763</v>
      </c>
      <c r="P1235" s="4"/>
      <c r="Q1235" s="4"/>
      <c r="R1235" s="4"/>
      <c r="T1235" s="303">
        <f t="shared" si="297"/>
        <v>196.91</v>
      </c>
      <c r="U1235" s="88">
        <f t="shared" si="298"/>
        <v>196.91</v>
      </c>
      <c r="V1235" s="82">
        <v>0</v>
      </c>
      <c r="W1235" s="4">
        <v>2</v>
      </c>
      <c r="X1235" s="195">
        <f t="shared" si="299"/>
        <v>196.91</v>
      </c>
      <c r="Y1235" s="29" t="e">
        <f>IF(+VLOOKUP(I1235,P.Referencia!E:S,3,FALSE)&lt;=L1235,"Champion","Gerente")</f>
        <v>#N/A</v>
      </c>
      <c r="Z1235" s="30" t="e">
        <f>VLOOKUP(I1235,P.Referencia!E:S,3,0)</f>
        <v>#N/A</v>
      </c>
      <c r="AA1235" s="196" t="e">
        <f t="shared" si="300"/>
        <v>#N/A</v>
      </c>
      <c r="AB1235" s="197" t="e">
        <f t="shared" si="301"/>
        <v>#N/A</v>
      </c>
      <c r="AC1235" s="197" t="e">
        <f t="shared" si="302"/>
        <v>#N/A</v>
      </c>
    </row>
    <row r="1236" spans="1:29" hidden="1" x14ac:dyDescent="0.25">
      <c r="A1236" s="24">
        <v>1235</v>
      </c>
      <c r="B1236" s="89" t="s">
        <v>1001</v>
      </c>
      <c r="C1236" s="4" t="str">
        <f t="shared" si="296"/>
        <v>LlaveD86166808298100003112</v>
      </c>
      <c r="D1236" s="25" t="str">
        <f>VLOOKUP(E1236,'NO MODIFICAR'!J:K,2,0)</f>
        <v>D861</v>
      </c>
      <c r="E1236" s="102" t="s">
        <v>44</v>
      </c>
      <c r="F1236" s="25" t="str">
        <f>VLOOKUP(D1236,'NO MODIFICAR'!F:H,3,0)</f>
        <v xml:space="preserve">CENTRO </v>
      </c>
      <c r="G1236" s="92">
        <v>66808298</v>
      </c>
      <c r="H1236" s="92" t="s">
        <v>247</v>
      </c>
      <c r="I1236" s="94">
        <v>10000311</v>
      </c>
      <c r="J1236" s="4" t="str">
        <f>VLOOKUP(I1236,'Materiales,canteras'!C:D,2,0)</f>
        <v>Arena Triturada Basalto  Malla</v>
      </c>
      <c r="K1236" s="25">
        <f>VLOOKUP(I1236,'Materiales,canteras'!C:E,3,0)</f>
        <v>1.651</v>
      </c>
      <c r="L1236" s="82">
        <v>176.78</v>
      </c>
      <c r="M1236" s="28" t="s">
        <v>93</v>
      </c>
      <c r="N1236" s="193">
        <f t="shared" ca="1" si="306"/>
        <v>46267</v>
      </c>
      <c r="O1236" s="24" t="s">
        <v>764</v>
      </c>
      <c r="P1236" s="4"/>
      <c r="Q1236" s="4"/>
      <c r="R1236" s="4"/>
      <c r="T1236" s="303">
        <f t="shared" si="297"/>
        <v>176.78</v>
      </c>
      <c r="U1236" s="88">
        <f t="shared" si="298"/>
        <v>176.78</v>
      </c>
      <c r="V1236" s="82">
        <v>0</v>
      </c>
      <c r="W1236" s="4">
        <v>2</v>
      </c>
      <c r="X1236" s="195">
        <f t="shared" si="299"/>
        <v>176.78</v>
      </c>
      <c r="Y1236" s="29" t="e">
        <f>IF(+VLOOKUP(I1236,P.Referencia!E:S,3,FALSE)&lt;=L1236,"Champion","Gerente")</f>
        <v>#N/A</v>
      </c>
      <c r="Z1236" s="30" t="e">
        <f>VLOOKUP(I1236,P.Referencia!E:S,3,0)</f>
        <v>#N/A</v>
      </c>
      <c r="AA1236" s="196" t="e">
        <f t="shared" si="300"/>
        <v>#N/A</v>
      </c>
      <c r="AB1236" s="197" t="e">
        <f t="shared" si="301"/>
        <v>#N/A</v>
      </c>
      <c r="AC1236" s="197" t="e">
        <f t="shared" si="302"/>
        <v>#N/A</v>
      </c>
    </row>
    <row r="1237" spans="1:29" hidden="1" x14ac:dyDescent="0.25">
      <c r="A1237" s="24">
        <v>1236</v>
      </c>
      <c r="B1237" s="89" t="s">
        <v>1001</v>
      </c>
      <c r="C1237" s="4" t="str">
        <f t="shared" si="296"/>
        <v>LlaveD86166808298100014502</v>
      </c>
      <c r="D1237" s="25" t="str">
        <f>VLOOKUP(E1237,'NO MODIFICAR'!J:K,2,0)</f>
        <v>D861</v>
      </c>
      <c r="E1237" s="102" t="s">
        <v>44</v>
      </c>
      <c r="F1237" s="25" t="str">
        <f>VLOOKUP(D1237,'NO MODIFICAR'!F:H,3,0)</f>
        <v xml:space="preserve">CENTRO </v>
      </c>
      <c r="G1237" s="92">
        <v>66808298</v>
      </c>
      <c r="H1237" s="92" t="s">
        <v>247</v>
      </c>
      <c r="I1237" s="94">
        <v>10001450</v>
      </c>
      <c r="J1237" s="4" t="str">
        <f>VLOOKUP(I1237,'Materiales,canteras'!C:D,2,0)</f>
        <v>Base Hidraúlica Basalto de 1 /1/2</v>
      </c>
      <c r="K1237" s="25">
        <f>VLOOKUP(I1237,'Materiales,canteras'!C:E,3,0)</f>
        <v>1.7490000000000001</v>
      </c>
      <c r="L1237" s="82">
        <v>192.77</v>
      </c>
      <c r="M1237" s="28" t="s">
        <v>93</v>
      </c>
      <c r="N1237" s="193">
        <f t="shared" ca="1" si="306"/>
        <v>46267</v>
      </c>
      <c r="O1237" s="24" t="s">
        <v>765</v>
      </c>
      <c r="P1237" s="4"/>
      <c r="Q1237" s="4"/>
      <c r="R1237" s="4"/>
      <c r="T1237" s="303">
        <f t="shared" si="297"/>
        <v>192.77</v>
      </c>
      <c r="U1237" s="88">
        <f t="shared" si="298"/>
        <v>192.77</v>
      </c>
      <c r="V1237" s="82">
        <v>0</v>
      </c>
      <c r="W1237" s="4">
        <v>2</v>
      </c>
      <c r="X1237" s="195">
        <f t="shared" si="299"/>
        <v>192.77</v>
      </c>
      <c r="Y1237" s="29" t="e">
        <f>IF(+VLOOKUP(I1237,P.Referencia!E:S,3,FALSE)&lt;=L1237,"Champion","Gerente")</f>
        <v>#N/A</v>
      </c>
      <c r="Z1237" s="30" t="e">
        <f>VLOOKUP(I1237,P.Referencia!E:S,3,0)</f>
        <v>#N/A</v>
      </c>
      <c r="AA1237" s="196" t="e">
        <f t="shared" si="300"/>
        <v>#N/A</v>
      </c>
      <c r="AB1237" s="197" t="e">
        <f t="shared" si="301"/>
        <v>#N/A</v>
      </c>
      <c r="AC1237" s="197" t="e">
        <f t="shared" si="302"/>
        <v>#N/A</v>
      </c>
    </row>
    <row r="1238" spans="1:29" hidden="1" x14ac:dyDescent="0.25">
      <c r="A1238" s="24">
        <v>1237</v>
      </c>
      <c r="B1238" s="89" t="s">
        <v>1001</v>
      </c>
      <c r="C1238" s="4" t="str">
        <f t="shared" si="296"/>
        <v>LlaveD81667241103101488241</v>
      </c>
      <c r="D1238" s="25" t="str">
        <f>VLOOKUP(E1238,'NO MODIFICAR'!J:K,2,0)</f>
        <v>D816</v>
      </c>
      <c r="E1238" s="102" t="s">
        <v>15</v>
      </c>
      <c r="F1238" s="25" t="str">
        <f>VLOOKUP(D1238,'NO MODIFICAR'!F:H,3,0)</f>
        <v>NORESTE</v>
      </c>
      <c r="G1238" s="92">
        <v>67241103</v>
      </c>
      <c r="H1238" s="92" t="s">
        <v>547</v>
      </c>
      <c r="I1238" s="94">
        <v>10148824</v>
      </c>
      <c r="J1238" s="4" t="str">
        <f>VLOOKUP(I1238,'Materiales,canteras'!C:D,2,0)</f>
        <v>BALASTO PIEDRA CALIZA 4"-6"</v>
      </c>
      <c r="K1238" s="25">
        <f>VLOOKUP(I1238,'Materiales,canteras'!C:E,3,0)</f>
        <v>1.5</v>
      </c>
      <c r="L1238" s="82">
        <v>310</v>
      </c>
      <c r="M1238" s="28" t="s">
        <v>93</v>
      </c>
      <c r="N1238" s="193">
        <f t="shared" ca="1" si="306"/>
        <v>46267</v>
      </c>
      <c r="O1238" s="24" t="s">
        <v>766</v>
      </c>
      <c r="P1238" s="4"/>
      <c r="Q1238" s="4">
        <v>16.100000000000001</v>
      </c>
      <c r="R1238" s="4">
        <v>4.59</v>
      </c>
      <c r="S1238" s="4">
        <v>322</v>
      </c>
      <c r="T1238" s="303">
        <f t="shared" si="297"/>
        <v>8.6899999999999977</v>
      </c>
      <c r="U1238" s="88">
        <f t="shared" si="298"/>
        <v>310</v>
      </c>
      <c r="V1238" s="82">
        <v>100.76</v>
      </c>
      <c r="W1238" s="4">
        <v>1</v>
      </c>
      <c r="X1238" s="195">
        <f t="shared" si="299"/>
        <v>410.76</v>
      </c>
      <c r="Y1238" s="29" t="e">
        <f>IF(+VLOOKUP(I1238,P.Referencia!E:S,3,FALSE)&lt;=L1238,"Champion","Gerente")</f>
        <v>#N/A</v>
      </c>
      <c r="Z1238" s="30" t="e">
        <f>VLOOKUP(I1238,P.Referencia!E:S,3,0)</f>
        <v>#N/A</v>
      </c>
      <c r="AA1238" s="196" t="e">
        <f t="shared" si="300"/>
        <v>#N/A</v>
      </c>
      <c r="AB1238" s="197" t="e">
        <f t="shared" si="301"/>
        <v>#N/A</v>
      </c>
      <c r="AC1238" s="197" t="e">
        <f t="shared" si="302"/>
        <v>#N/A</v>
      </c>
    </row>
    <row r="1239" spans="1:29" hidden="1" x14ac:dyDescent="0.25">
      <c r="A1239" s="24">
        <v>1238</v>
      </c>
      <c r="B1239" s="89" t="s">
        <v>1001</v>
      </c>
      <c r="C1239" s="4" t="str">
        <f t="shared" si="296"/>
        <v>LlaveD81667241103101488251</v>
      </c>
      <c r="D1239" s="25" t="str">
        <f>VLOOKUP(E1239,'NO MODIFICAR'!J:K,2,0)</f>
        <v>D816</v>
      </c>
      <c r="E1239" s="102" t="s">
        <v>15</v>
      </c>
      <c r="F1239" s="25" t="str">
        <f>VLOOKUP(D1239,'NO MODIFICAR'!F:H,3,0)</f>
        <v>NORESTE</v>
      </c>
      <c r="G1239" s="92">
        <v>67241103</v>
      </c>
      <c r="H1239" s="92" t="s">
        <v>547</v>
      </c>
      <c r="I1239" s="94">
        <v>10148825</v>
      </c>
      <c r="J1239" s="4" t="str">
        <f>VLOOKUP(I1239,'Materiales,canteras'!C:D,2,0)</f>
        <v>BALASTO PIEDRA CALIZA 2"-4"</v>
      </c>
      <c r="K1239" s="25">
        <f>VLOOKUP(I1239,'Materiales,canteras'!C:E,3,0)</f>
        <v>1.5</v>
      </c>
      <c r="L1239" s="82">
        <v>300</v>
      </c>
      <c r="M1239" s="28" t="s">
        <v>93</v>
      </c>
      <c r="N1239" s="193">
        <f t="shared" ca="1" si="306"/>
        <v>46267</v>
      </c>
      <c r="O1239" s="24" t="s">
        <v>767</v>
      </c>
      <c r="P1239" s="4"/>
      <c r="Q1239" s="4">
        <v>18.399999999999999</v>
      </c>
      <c r="R1239" s="4">
        <v>5.24</v>
      </c>
      <c r="S1239" s="4">
        <v>368</v>
      </c>
      <c r="T1239" s="303">
        <f t="shared" si="297"/>
        <v>-44.360000000000014</v>
      </c>
      <c r="U1239" s="88">
        <f t="shared" si="298"/>
        <v>300</v>
      </c>
      <c r="V1239" s="82">
        <v>100.76</v>
      </c>
      <c r="W1239" s="4">
        <v>1</v>
      </c>
      <c r="X1239" s="195">
        <f t="shared" si="299"/>
        <v>400.76</v>
      </c>
      <c r="Y1239" s="29" t="e">
        <f>IF(+VLOOKUP(I1239,P.Referencia!E:S,3,FALSE)&lt;=L1239,"Champion","Gerente")</f>
        <v>#N/A</v>
      </c>
      <c r="Z1239" s="30" t="e">
        <f>VLOOKUP(I1239,P.Referencia!E:S,3,0)</f>
        <v>#N/A</v>
      </c>
      <c r="AA1239" s="196" t="e">
        <f t="shared" si="300"/>
        <v>#N/A</v>
      </c>
      <c r="AB1239" s="197" t="e">
        <f t="shared" si="301"/>
        <v>#N/A</v>
      </c>
      <c r="AC1239" s="197" t="e">
        <f t="shared" si="302"/>
        <v>#N/A</v>
      </c>
    </row>
    <row r="1240" spans="1:29" hidden="1" x14ac:dyDescent="0.25">
      <c r="A1240" s="24">
        <v>1239</v>
      </c>
      <c r="B1240" s="89" t="s">
        <v>1001</v>
      </c>
      <c r="C1240" s="4" t="str">
        <f t="shared" si="296"/>
        <v>LlaveD86467367103100002402</v>
      </c>
      <c r="D1240" s="25" t="str">
        <f>VLOOKUP(E1240,'NO MODIFICAR'!J:K,2,0)</f>
        <v>D864</v>
      </c>
      <c r="E1240" s="102" t="s">
        <v>55</v>
      </c>
      <c r="F1240" s="25" t="str">
        <f>VLOOKUP(D1240,'NO MODIFICAR'!F:H,3,0)</f>
        <v xml:space="preserve">CENTRO </v>
      </c>
      <c r="G1240" s="92">
        <v>67367103</v>
      </c>
      <c r="H1240" s="92" t="s">
        <v>1002</v>
      </c>
      <c r="I1240" s="94">
        <v>10000240</v>
      </c>
      <c r="J1240" s="4" t="str">
        <f>VLOOKUP(I1240,'Materiales,canteras'!C:D,2,0)</f>
        <v>Grava Triturada Caliza 20 mm -</v>
      </c>
      <c r="K1240" s="25">
        <f>VLOOKUP(I1240,'Materiales,canteras'!C:E,3,0)</f>
        <v>1.462</v>
      </c>
      <c r="L1240" s="82">
        <v>132</v>
      </c>
      <c r="M1240" s="28" t="s">
        <v>93</v>
      </c>
      <c r="N1240" s="193">
        <f t="shared" ca="1" si="306"/>
        <v>46267</v>
      </c>
      <c r="O1240" s="24" t="s">
        <v>768</v>
      </c>
      <c r="P1240" s="4"/>
      <c r="Q1240" s="4"/>
      <c r="R1240" s="4">
        <v>4.41</v>
      </c>
      <c r="S1240" s="4">
        <v>294</v>
      </c>
      <c r="T1240" s="303">
        <f t="shared" si="297"/>
        <v>-157.58999999999997</v>
      </c>
      <c r="U1240" s="88">
        <f t="shared" si="298"/>
        <v>132</v>
      </c>
      <c r="V1240" s="82">
        <v>0</v>
      </c>
      <c r="W1240" s="4">
        <v>2</v>
      </c>
      <c r="X1240" s="195">
        <f t="shared" si="299"/>
        <v>132</v>
      </c>
      <c r="Y1240" s="29" t="e">
        <f>IF(+VLOOKUP(I1240,P.Referencia!E:S,3,FALSE)&lt;=L1240,"Champion","Gerente")</f>
        <v>#N/A</v>
      </c>
      <c r="Z1240" s="30" t="e">
        <f>VLOOKUP(I1240,P.Referencia!E:S,3,0)</f>
        <v>#N/A</v>
      </c>
      <c r="AA1240" s="196" t="e">
        <f t="shared" si="300"/>
        <v>#N/A</v>
      </c>
      <c r="AB1240" s="197" t="e">
        <f t="shared" si="301"/>
        <v>#N/A</v>
      </c>
      <c r="AC1240" s="197" t="e">
        <f t="shared" si="302"/>
        <v>#N/A</v>
      </c>
    </row>
    <row r="1241" spans="1:29" hidden="1" x14ac:dyDescent="0.25">
      <c r="A1241" s="24">
        <v>1240</v>
      </c>
      <c r="B1241" s="89" t="s">
        <v>1001</v>
      </c>
      <c r="C1241" s="4" t="str">
        <f t="shared" si="296"/>
        <v>LlaveD86467367103100010732</v>
      </c>
      <c r="D1241" s="25" t="str">
        <f>VLOOKUP(E1241,'NO MODIFICAR'!J:K,2,0)</f>
        <v>D864</v>
      </c>
      <c r="E1241" s="102" t="s">
        <v>55</v>
      </c>
      <c r="F1241" s="25" t="str">
        <f>VLOOKUP(D1241,'NO MODIFICAR'!F:H,3,0)</f>
        <v xml:space="preserve">CENTRO </v>
      </c>
      <c r="G1241" s="92">
        <v>67367103</v>
      </c>
      <c r="H1241" s="92" t="s">
        <v>1002</v>
      </c>
      <c r="I1241" s="94">
        <v>10001073</v>
      </c>
      <c r="J1241" s="4" t="str">
        <f>VLOOKUP(I1241,'Materiales,canteras'!C:D,2,0)</f>
        <v>Arena Triturada Caliza Malla 4</v>
      </c>
      <c r="K1241" s="25">
        <f>VLOOKUP(I1241,'Materiales,canteras'!C:E,3,0)</f>
        <v>1.56</v>
      </c>
      <c r="L1241" s="82">
        <v>91</v>
      </c>
      <c r="M1241" s="28" t="s">
        <v>93</v>
      </c>
      <c r="N1241" s="193">
        <f t="shared" ca="1" si="306"/>
        <v>46267</v>
      </c>
      <c r="O1241" s="24" t="s">
        <v>769</v>
      </c>
      <c r="P1241" s="4"/>
      <c r="Q1241" s="4"/>
      <c r="R1241" s="4">
        <v>2.37</v>
      </c>
      <c r="S1241" s="4">
        <v>158</v>
      </c>
      <c r="T1241" s="303">
        <f t="shared" si="297"/>
        <v>-64.63</v>
      </c>
      <c r="U1241" s="88">
        <f t="shared" si="298"/>
        <v>91</v>
      </c>
      <c r="V1241" s="82">
        <v>0</v>
      </c>
      <c r="W1241" s="4">
        <v>2</v>
      </c>
      <c r="X1241" s="195">
        <f t="shared" si="299"/>
        <v>91</v>
      </c>
      <c r="Y1241" s="29" t="e">
        <f>IF(+VLOOKUP(I1241,P.Referencia!E:S,3,FALSE)&lt;=L1241,"Champion","Gerente")</f>
        <v>#N/A</v>
      </c>
      <c r="Z1241" s="30" t="e">
        <f>VLOOKUP(I1241,P.Referencia!E:S,3,0)</f>
        <v>#N/A</v>
      </c>
      <c r="AA1241" s="196" t="e">
        <f t="shared" si="300"/>
        <v>#N/A</v>
      </c>
      <c r="AB1241" s="197" t="e">
        <f t="shared" si="301"/>
        <v>#N/A</v>
      </c>
      <c r="AC1241" s="197" t="e">
        <f t="shared" si="302"/>
        <v>#N/A</v>
      </c>
    </row>
    <row r="1242" spans="1:29" hidden="1" x14ac:dyDescent="0.25">
      <c r="A1242" s="24">
        <v>1241</v>
      </c>
      <c r="B1242" s="89" t="s">
        <v>1001</v>
      </c>
      <c r="C1242" s="4" t="str">
        <f t="shared" si="296"/>
        <v>LlaveD81666784478100001242</v>
      </c>
      <c r="D1242" s="25" t="str">
        <f>VLOOKUP(E1242,'NO MODIFICAR'!J:K,2,0)</f>
        <v>D816</v>
      </c>
      <c r="E1242" s="102" t="s">
        <v>15</v>
      </c>
      <c r="F1242" s="25" t="str">
        <f>VLOOKUP(D1242,'NO MODIFICAR'!F:H,3,0)</f>
        <v>NORESTE</v>
      </c>
      <c r="G1242" s="92">
        <v>66784478</v>
      </c>
      <c r="H1242" s="92" t="s">
        <v>1010</v>
      </c>
      <c r="I1242" s="94">
        <v>10000124</v>
      </c>
      <c r="J1242" s="4" t="str">
        <f>VLOOKUP(I1242,'Materiales,canteras'!C:D,2,0)</f>
        <v>Arena Triturada Caliza Malla 4</v>
      </c>
      <c r="K1242" s="25">
        <f>VLOOKUP(I1242,'Materiales,canteras'!C:E,3,0)</f>
        <v>1.7390000000000001</v>
      </c>
      <c r="L1242" s="82">
        <v>275</v>
      </c>
      <c r="M1242" s="28" t="s">
        <v>93</v>
      </c>
      <c r="N1242" s="193">
        <f t="shared" ca="1" si="306"/>
        <v>46267</v>
      </c>
      <c r="O1242" s="24" t="s">
        <v>770</v>
      </c>
      <c r="P1242" s="4"/>
      <c r="Q1242" s="4"/>
      <c r="R1242" s="4">
        <v>7.43</v>
      </c>
      <c r="S1242" s="4">
        <v>495</v>
      </c>
      <c r="T1242" s="303">
        <f t="shared" si="297"/>
        <v>-212.57</v>
      </c>
      <c r="U1242" s="88">
        <f t="shared" si="298"/>
        <v>275</v>
      </c>
      <c r="V1242" s="82">
        <v>0</v>
      </c>
      <c r="W1242" s="4">
        <v>2</v>
      </c>
      <c r="X1242" s="195">
        <f t="shared" si="299"/>
        <v>275</v>
      </c>
      <c r="Y1242" s="29" t="e">
        <f>IF(+VLOOKUP(I1242,P.Referencia!E:S,3,FALSE)&lt;=L1242,"Champion","Gerente")</f>
        <v>#N/A</v>
      </c>
      <c r="Z1242" s="30" t="e">
        <f>VLOOKUP(I1242,P.Referencia!E:S,3,0)</f>
        <v>#N/A</v>
      </c>
      <c r="AA1242" s="196" t="e">
        <f t="shared" si="300"/>
        <v>#N/A</v>
      </c>
      <c r="AB1242" s="197" t="e">
        <f t="shared" si="301"/>
        <v>#N/A</v>
      </c>
      <c r="AC1242" s="197" t="e">
        <f t="shared" si="302"/>
        <v>#N/A</v>
      </c>
    </row>
    <row r="1243" spans="1:29" hidden="1" x14ac:dyDescent="0.25">
      <c r="A1243" s="24">
        <v>1242</v>
      </c>
      <c r="B1243" s="89" t="s">
        <v>1001</v>
      </c>
      <c r="C1243" s="4" t="str">
        <f t="shared" si="296"/>
        <v>LlaveD81666784478100002372</v>
      </c>
      <c r="D1243" s="25" t="str">
        <f>VLOOKUP(E1243,'NO MODIFICAR'!J:K,2,0)</f>
        <v>D816</v>
      </c>
      <c r="E1243" s="102" t="s">
        <v>15</v>
      </c>
      <c r="F1243" s="25" t="str">
        <f>VLOOKUP(D1243,'NO MODIFICAR'!F:H,3,0)</f>
        <v>NORESTE</v>
      </c>
      <c r="G1243" s="92">
        <v>66784478</v>
      </c>
      <c r="H1243" s="92" t="s">
        <v>1010</v>
      </c>
      <c r="I1243" s="94">
        <v>10000237</v>
      </c>
      <c r="J1243" s="4" t="str">
        <f>VLOOKUP(I1243,'Materiales,canteras'!C:D,2,0)</f>
        <v>Grava Triturada Caliza 10 mm -</v>
      </c>
      <c r="K1243" s="25">
        <f>VLOOKUP(I1243,'Materiales,canteras'!C:E,3,0)</f>
        <v>1.5620000000000001</v>
      </c>
      <c r="L1243" s="82">
        <v>330</v>
      </c>
      <c r="M1243" s="28" t="s">
        <v>93</v>
      </c>
      <c r="N1243" s="193">
        <f t="shared" ca="1" si="306"/>
        <v>46267</v>
      </c>
      <c r="O1243" s="24" t="s">
        <v>771</v>
      </c>
      <c r="P1243" s="4"/>
      <c r="Q1243" s="4"/>
      <c r="R1243" s="4">
        <v>6.21</v>
      </c>
      <c r="S1243" s="4">
        <v>414</v>
      </c>
      <c r="T1243" s="303">
        <f t="shared" si="297"/>
        <v>-77.79000000000002</v>
      </c>
      <c r="U1243" s="88">
        <f t="shared" si="298"/>
        <v>330</v>
      </c>
      <c r="V1243" s="82">
        <v>0</v>
      </c>
      <c r="W1243" s="4">
        <v>2</v>
      </c>
      <c r="X1243" s="195">
        <f t="shared" si="299"/>
        <v>330</v>
      </c>
      <c r="Y1243" s="29" t="e">
        <f>IF(+VLOOKUP(I1243,P.Referencia!E:S,3,FALSE)&lt;=L1243,"Champion","Gerente")</f>
        <v>#N/A</v>
      </c>
      <c r="Z1243" s="30" t="e">
        <f>VLOOKUP(I1243,P.Referencia!E:S,3,0)</f>
        <v>#N/A</v>
      </c>
      <c r="AA1243" s="196" t="e">
        <f t="shared" si="300"/>
        <v>#N/A</v>
      </c>
      <c r="AB1243" s="197" t="e">
        <f t="shared" si="301"/>
        <v>#N/A</v>
      </c>
      <c r="AC1243" s="197" t="e">
        <f t="shared" si="302"/>
        <v>#N/A</v>
      </c>
    </row>
    <row r="1244" spans="1:29" hidden="1" x14ac:dyDescent="0.25">
      <c r="A1244" s="24">
        <v>1243</v>
      </c>
      <c r="B1244" s="89" t="s">
        <v>1001</v>
      </c>
      <c r="C1244" s="4" t="str">
        <f t="shared" si="296"/>
        <v>LlaveD81666784478100002412</v>
      </c>
      <c r="D1244" s="25" t="str">
        <f>VLOOKUP(E1244,'NO MODIFICAR'!J:K,2,0)</f>
        <v>D816</v>
      </c>
      <c r="E1244" s="102" t="s">
        <v>15</v>
      </c>
      <c r="F1244" s="25" t="str">
        <f>VLOOKUP(D1244,'NO MODIFICAR'!F:H,3,0)</f>
        <v>NORESTE</v>
      </c>
      <c r="G1244" s="92">
        <v>66784478</v>
      </c>
      <c r="H1244" s="92" t="s">
        <v>1010</v>
      </c>
      <c r="I1244" s="94">
        <v>10000241</v>
      </c>
      <c r="J1244" s="4" t="str">
        <f>VLOOKUP(I1244,'Materiales,canteras'!C:D,2,0)</f>
        <v>Grava Triturada Caliza 20 mm -</v>
      </c>
      <c r="K1244" s="25">
        <f>VLOOKUP(I1244,'Materiales,canteras'!C:E,3,0)</f>
        <v>1.43</v>
      </c>
      <c r="L1244" s="82">
        <v>275</v>
      </c>
      <c r="M1244" s="28" t="s">
        <v>93</v>
      </c>
      <c r="N1244" s="193">
        <f t="shared" ca="1" si="306"/>
        <v>46267</v>
      </c>
      <c r="O1244" s="24" t="s">
        <v>772</v>
      </c>
      <c r="P1244" s="4"/>
      <c r="Q1244" s="4"/>
      <c r="R1244" s="4">
        <v>6.21</v>
      </c>
      <c r="S1244" s="4">
        <v>414</v>
      </c>
      <c r="T1244" s="303">
        <f t="shared" si="297"/>
        <v>-132.79000000000002</v>
      </c>
      <c r="U1244" s="88">
        <f t="shared" si="298"/>
        <v>275</v>
      </c>
      <c r="V1244" s="82">
        <v>0</v>
      </c>
      <c r="W1244" s="4">
        <v>2</v>
      </c>
      <c r="X1244" s="195">
        <f t="shared" si="299"/>
        <v>275</v>
      </c>
      <c r="Y1244" s="29" t="e">
        <f>IF(+VLOOKUP(I1244,P.Referencia!E:S,3,FALSE)&lt;=L1244,"Champion","Gerente")</f>
        <v>#N/A</v>
      </c>
      <c r="Z1244" s="30" t="e">
        <f>VLOOKUP(I1244,P.Referencia!E:S,3,0)</f>
        <v>#N/A</v>
      </c>
      <c r="AA1244" s="196" t="e">
        <f t="shared" si="300"/>
        <v>#N/A</v>
      </c>
      <c r="AB1244" s="197" t="e">
        <f t="shared" si="301"/>
        <v>#N/A</v>
      </c>
      <c r="AC1244" s="197" t="e">
        <f t="shared" si="302"/>
        <v>#N/A</v>
      </c>
    </row>
    <row r="1245" spans="1:29" hidden="1" x14ac:dyDescent="0.25">
      <c r="A1245" s="24">
        <v>1244</v>
      </c>
      <c r="B1245" s="89" t="s">
        <v>1001</v>
      </c>
      <c r="C1245" s="4" t="str">
        <f t="shared" ref="C1245:C1308" si="307">_xlfn.CONCAT($C$1,D1245,G1245,I1245,W1245)</f>
        <v>LlaveD81666784478100002602</v>
      </c>
      <c r="D1245" s="25" t="str">
        <f>VLOOKUP(E1245,'NO MODIFICAR'!J:K,2,0)</f>
        <v>D816</v>
      </c>
      <c r="E1245" s="102" t="s">
        <v>15</v>
      </c>
      <c r="F1245" s="25" t="str">
        <f>VLOOKUP(D1245,'NO MODIFICAR'!F:H,3,0)</f>
        <v>NORESTE</v>
      </c>
      <c r="G1245" s="92">
        <v>66784478</v>
      </c>
      <c r="H1245" s="92" t="s">
        <v>1010</v>
      </c>
      <c r="I1245" s="94">
        <v>10000260</v>
      </c>
      <c r="J1245" s="4" t="str">
        <f>VLOOKUP(I1245,'Materiales,canteras'!C:D,2,0)</f>
        <v>Arena Triturada Caliza Malla 5</v>
      </c>
      <c r="K1245" s="25">
        <f>VLOOKUP(I1245,'Materiales,canteras'!C:E,3,0)</f>
        <v>1.72</v>
      </c>
      <c r="L1245" s="82">
        <v>370</v>
      </c>
      <c r="M1245" s="28" t="s">
        <v>93</v>
      </c>
      <c r="N1245" s="193">
        <f t="shared" ca="1" si="306"/>
        <v>46267</v>
      </c>
      <c r="O1245" s="24" t="s">
        <v>773</v>
      </c>
      <c r="P1245" s="4"/>
      <c r="Q1245" s="4"/>
      <c r="R1245" s="4">
        <v>7.43</v>
      </c>
      <c r="S1245" s="4">
        <v>495</v>
      </c>
      <c r="T1245" s="303">
        <f t="shared" ref="T1245:T1308" si="308">L1245-((S1245-P1245)-(Q1245)-(R1245))</f>
        <v>-117.57</v>
      </c>
      <c r="U1245" s="88">
        <f t="shared" ref="U1245:U1308" si="309">L1245</f>
        <v>370</v>
      </c>
      <c r="V1245" s="82">
        <v>0</v>
      </c>
      <c r="W1245" s="4">
        <v>2</v>
      </c>
      <c r="X1245" s="195">
        <f t="shared" ref="X1245:X1308" si="310">U1245+V1245</f>
        <v>370</v>
      </c>
      <c r="Y1245" s="29" t="e">
        <f>IF(+VLOOKUP(I1245,P.Referencia!E:S,3,FALSE)&lt;=L1245,"Champion","Gerente")</f>
        <v>#N/A</v>
      </c>
      <c r="Z1245" s="30" t="e">
        <f>VLOOKUP(I1245,P.Referencia!E:S,3,0)</f>
        <v>#N/A</v>
      </c>
      <c r="AA1245" s="196" t="e">
        <f t="shared" ref="AA1245:AA1308" si="311">(Z1245-U1245)/U1245</f>
        <v>#N/A</v>
      </c>
      <c r="AB1245" s="197" t="e">
        <f t="shared" ref="AB1245:AB1308" si="312">U1245*AA1245</f>
        <v>#N/A</v>
      </c>
      <c r="AC1245" s="197" t="e">
        <f t="shared" ref="AC1245:AC1308" si="313">U1245+AB1245</f>
        <v>#N/A</v>
      </c>
    </row>
    <row r="1246" spans="1:29" hidden="1" x14ac:dyDescent="0.25">
      <c r="A1246" s="24">
        <v>1245</v>
      </c>
      <c r="B1246" s="89" t="s">
        <v>1001</v>
      </c>
      <c r="C1246" s="4" t="str">
        <f t="shared" si="307"/>
        <v>LlaveD81666784478100002482</v>
      </c>
      <c r="D1246" s="25" t="str">
        <f>VLOOKUP(E1246,'NO MODIFICAR'!J:K,2,0)</f>
        <v>D816</v>
      </c>
      <c r="E1246" s="102" t="s">
        <v>15</v>
      </c>
      <c r="F1246" s="25" t="str">
        <f>VLOOKUP(D1246,'NO MODIFICAR'!F:H,3,0)</f>
        <v>NORESTE</v>
      </c>
      <c r="G1246" s="92">
        <v>66784478</v>
      </c>
      <c r="H1246" s="92" t="s">
        <v>1010</v>
      </c>
      <c r="I1246" s="94">
        <v>10000248</v>
      </c>
      <c r="J1246" s="4" t="str">
        <f>VLOOKUP(I1246,'Materiales,canteras'!C:D,2,0)</f>
        <v>Sub-base Triturado Caliza 1 1/2" a Finos</v>
      </c>
      <c r="K1246" s="25">
        <f>VLOOKUP(I1246,'Materiales,canteras'!C:E,3,0)</f>
        <v>1.821</v>
      </c>
      <c r="L1246" s="82">
        <v>273</v>
      </c>
      <c r="M1246" s="28" t="s">
        <v>93</v>
      </c>
      <c r="N1246" s="193">
        <f t="shared" ca="1" si="306"/>
        <v>46267</v>
      </c>
      <c r="O1246" s="24" t="s">
        <v>774</v>
      </c>
      <c r="P1246" s="4"/>
      <c r="Q1246" s="4"/>
      <c r="R1246" s="4">
        <v>4.83</v>
      </c>
      <c r="S1246" s="4">
        <v>322</v>
      </c>
      <c r="T1246" s="303">
        <f t="shared" si="308"/>
        <v>-44.170000000000016</v>
      </c>
      <c r="U1246" s="88">
        <f t="shared" si="309"/>
        <v>273</v>
      </c>
      <c r="V1246" s="82">
        <v>0</v>
      </c>
      <c r="W1246" s="4">
        <v>2</v>
      </c>
      <c r="X1246" s="195">
        <f t="shared" si="310"/>
        <v>273</v>
      </c>
      <c r="Y1246" s="29" t="e">
        <f>IF(+VLOOKUP(I1246,P.Referencia!E:S,3,FALSE)&lt;=L1246,"Champion","Gerente")</f>
        <v>#N/A</v>
      </c>
      <c r="Z1246" s="30" t="e">
        <f>VLOOKUP(I1246,P.Referencia!E:S,3,0)</f>
        <v>#N/A</v>
      </c>
      <c r="AA1246" s="196" t="e">
        <f t="shared" si="311"/>
        <v>#N/A</v>
      </c>
      <c r="AB1246" s="197" t="e">
        <f t="shared" si="312"/>
        <v>#N/A</v>
      </c>
      <c r="AC1246" s="197" t="e">
        <f t="shared" si="313"/>
        <v>#N/A</v>
      </c>
    </row>
    <row r="1247" spans="1:29" hidden="1" x14ac:dyDescent="0.25">
      <c r="A1247" s="24">
        <v>1246</v>
      </c>
      <c r="B1247" s="89" t="s">
        <v>1001</v>
      </c>
      <c r="C1247" s="4" t="str">
        <f t="shared" si="307"/>
        <v>LlaveD81666784478100002622</v>
      </c>
      <c r="D1247" s="25" t="str">
        <f>VLOOKUP(E1247,'NO MODIFICAR'!J:K,2,0)</f>
        <v>D816</v>
      </c>
      <c r="E1247" s="102" t="s">
        <v>15</v>
      </c>
      <c r="F1247" s="25" t="str">
        <f>VLOOKUP(D1247,'NO MODIFICAR'!F:H,3,0)</f>
        <v>NORESTE</v>
      </c>
      <c r="G1247" s="92">
        <v>66784478</v>
      </c>
      <c r="H1247" s="92" t="s">
        <v>1010</v>
      </c>
      <c r="I1247" s="94">
        <v>10000262</v>
      </c>
      <c r="J1247" s="4" t="str">
        <f>VLOOKUP(I1247,'Materiales,canteras'!C:D,2,0)</f>
        <v>Base H Triturada Caliza 1 1/2"</v>
      </c>
      <c r="K1247" s="25">
        <f>VLOOKUP(I1247,'Materiales,canteras'!C:E,3,0)</f>
        <v>1.821</v>
      </c>
      <c r="L1247" s="82">
        <v>275</v>
      </c>
      <c r="M1247" s="28" t="s">
        <v>93</v>
      </c>
      <c r="N1247" s="193">
        <f t="shared" ca="1" si="306"/>
        <v>46267</v>
      </c>
      <c r="O1247" s="24" t="s">
        <v>775</v>
      </c>
      <c r="P1247" s="4"/>
      <c r="Q1247" s="4"/>
      <c r="R1247" s="4">
        <v>5.36</v>
      </c>
      <c r="S1247" s="4">
        <v>357</v>
      </c>
      <c r="T1247" s="303">
        <f t="shared" si="308"/>
        <v>-76.639999999999986</v>
      </c>
      <c r="U1247" s="88">
        <f t="shared" si="309"/>
        <v>275</v>
      </c>
      <c r="V1247" s="82">
        <v>0</v>
      </c>
      <c r="W1247" s="4">
        <v>2</v>
      </c>
      <c r="X1247" s="195">
        <f t="shared" si="310"/>
        <v>275</v>
      </c>
      <c r="Y1247" s="29" t="e">
        <f>IF(+VLOOKUP(I1247,P.Referencia!E:S,3,FALSE)&lt;=L1247,"Champion","Gerente")</f>
        <v>#N/A</v>
      </c>
      <c r="Z1247" s="30" t="e">
        <f>VLOOKUP(I1247,P.Referencia!E:S,3,0)</f>
        <v>#N/A</v>
      </c>
      <c r="AA1247" s="196" t="e">
        <f t="shared" si="311"/>
        <v>#N/A</v>
      </c>
      <c r="AB1247" s="197" t="e">
        <f t="shared" si="312"/>
        <v>#N/A</v>
      </c>
      <c r="AC1247" s="197" t="e">
        <f t="shared" si="313"/>
        <v>#N/A</v>
      </c>
    </row>
    <row r="1248" spans="1:29" hidden="1" x14ac:dyDescent="0.25">
      <c r="A1248" s="24">
        <v>1247</v>
      </c>
      <c r="B1248" s="89" t="s">
        <v>1001</v>
      </c>
      <c r="C1248" s="4" t="str">
        <f t="shared" si="307"/>
        <v>LlaveD81666784478100364882</v>
      </c>
      <c r="D1248" s="25" t="str">
        <f>VLOOKUP(E1248,'NO MODIFICAR'!J:K,2,0)</f>
        <v>D816</v>
      </c>
      <c r="E1248" s="102" t="s">
        <v>15</v>
      </c>
      <c r="F1248" s="25" t="str">
        <f>VLOOKUP(D1248,'NO MODIFICAR'!F:H,3,0)</f>
        <v>NORESTE</v>
      </c>
      <c r="G1248" s="92">
        <v>66784478</v>
      </c>
      <c r="H1248" s="92" t="s">
        <v>1010</v>
      </c>
      <c r="I1248" s="94">
        <v>10036488</v>
      </c>
      <c r="J1248" s="4" t="str">
        <f>VLOOKUP(I1248,'Materiales,canteras'!C:D,2,0)</f>
        <v>Base H Trit Caliza 3/4" a Fino</v>
      </c>
      <c r="K1248" s="25">
        <f>VLOOKUP(I1248,'Materiales,canteras'!C:E,3,0)</f>
        <v>1.78</v>
      </c>
      <c r="L1248" s="82">
        <v>275</v>
      </c>
      <c r="M1248" s="28" t="s">
        <v>93</v>
      </c>
      <c r="N1248" s="193">
        <f t="shared" ca="1" si="306"/>
        <v>46267</v>
      </c>
      <c r="O1248" s="24" t="s">
        <v>776</v>
      </c>
      <c r="P1248" s="4"/>
      <c r="Q1248" s="4"/>
      <c r="R1248" s="4">
        <v>5.36</v>
      </c>
      <c r="S1248" s="4">
        <v>357</v>
      </c>
      <c r="T1248" s="303">
        <f t="shared" si="308"/>
        <v>-76.639999999999986</v>
      </c>
      <c r="U1248" s="88">
        <f t="shared" si="309"/>
        <v>275</v>
      </c>
      <c r="V1248" s="82">
        <v>0</v>
      </c>
      <c r="W1248" s="4">
        <v>2</v>
      </c>
      <c r="X1248" s="195">
        <f t="shared" si="310"/>
        <v>275</v>
      </c>
      <c r="Y1248" s="29" t="e">
        <f>IF(+VLOOKUP(I1248,P.Referencia!E:S,3,FALSE)&lt;=L1248,"Champion","Gerente")</f>
        <v>#N/A</v>
      </c>
      <c r="Z1248" s="30" t="e">
        <f>VLOOKUP(I1248,P.Referencia!E:S,3,0)</f>
        <v>#N/A</v>
      </c>
      <c r="AA1248" s="196" t="e">
        <f t="shared" si="311"/>
        <v>#N/A</v>
      </c>
      <c r="AB1248" s="197" t="e">
        <f t="shared" si="312"/>
        <v>#N/A</v>
      </c>
      <c r="AC1248" s="197" t="e">
        <f t="shared" si="313"/>
        <v>#N/A</v>
      </c>
    </row>
    <row r="1249" spans="1:29" hidden="1" x14ac:dyDescent="0.25">
      <c r="A1249" s="24">
        <v>1248</v>
      </c>
      <c r="B1249" s="89" t="s">
        <v>1001</v>
      </c>
      <c r="C1249" s="4" t="str">
        <f t="shared" si="307"/>
        <v>LlaveD81666784478100012012</v>
      </c>
      <c r="D1249" s="25" t="str">
        <f>VLOOKUP(E1249,'NO MODIFICAR'!J:K,2,0)</f>
        <v>D816</v>
      </c>
      <c r="E1249" s="102" t="s">
        <v>15</v>
      </c>
      <c r="F1249" s="25" t="str">
        <f>VLOOKUP(D1249,'NO MODIFICAR'!F:H,3,0)</f>
        <v>NORESTE</v>
      </c>
      <c r="G1249" s="92">
        <v>66784478</v>
      </c>
      <c r="H1249" s="92" t="s">
        <v>1010</v>
      </c>
      <c r="I1249" s="94">
        <v>10001201</v>
      </c>
      <c r="J1249" s="4" t="str">
        <f>VLOOKUP(I1249,'Materiales,canteras'!C:D,2,0)</f>
        <v>No Clasificado Triturado Caliz</v>
      </c>
      <c r="K1249" s="25">
        <f>VLOOKUP(I1249,'Materiales,canteras'!C:E,3,0)</f>
        <v>1.698</v>
      </c>
      <c r="L1249" s="82">
        <v>245</v>
      </c>
      <c r="M1249" s="28" t="s">
        <v>93</v>
      </c>
      <c r="N1249" s="193">
        <f t="shared" ca="1" si="306"/>
        <v>46267</v>
      </c>
      <c r="O1249" s="24" t="s">
        <v>777</v>
      </c>
      <c r="P1249" s="4"/>
      <c r="Q1249" s="4"/>
      <c r="R1249" s="4">
        <v>5.27</v>
      </c>
      <c r="S1249" s="4">
        <v>351</v>
      </c>
      <c r="T1249" s="303">
        <f t="shared" si="308"/>
        <v>-100.73000000000002</v>
      </c>
      <c r="U1249" s="88">
        <f t="shared" si="309"/>
        <v>245</v>
      </c>
      <c r="V1249" s="82">
        <v>0</v>
      </c>
      <c r="W1249" s="4">
        <v>2</v>
      </c>
      <c r="X1249" s="195">
        <f t="shared" si="310"/>
        <v>245</v>
      </c>
      <c r="Y1249" s="29" t="e">
        <f>IF(+VLOOKUP(I1249,P.Referencia!E:S,3,FALSE)&lt;=L1249,"Champion","Gerente")</f>
        <v>#N/A</v>
      </c>
      <c r="Z1249" s="30" t="e">
        <f>VLOOKUP(I1249,P.Referencia!E:S,3,0)</f>
        <v>#N/A</v>
      </c>
      <c r="AA1249" s="196" t="e">
        <f t="shared" si="311"/>
        <v>#N/A</v>
      </c>
      <c r="AB1249" s="197" t="e">
        <f t="shared" si="312"/>
        <v>#N/A</v>
      </c>
      <c r="AC1249" s="197" t="e">
        <f t="shared" si="313"/>
        <v>#N/A</v>
      </c>
    </row>
    <row r="1250" spans="1:29" hidden="1" x14ac:dyDescent="0.25">
      <c r="A1250" s="24">
        <v>1249</v>
      </c>
      <c r="B1250" s="89" t="s">
        <v>1001</v>
      </c>
      <c r="C1250" s="4" t="str">
        <f t="shared" si="307"/>
        <v>LlaveD81666784478100012222</v>
      </c>
      <c r="D1250" s="25" t="str">
        <f>VLOOKUP(E1250,'NO MODIFICAR'!J:K,2,0)</f>
        <v>D816</v>
      </c>
      <c r="E1250" s="102" t="s">
        <v>15</v>
      </c>
      <c r="F1250" s="25" t="str">
        <f>VLOOKUP(D1250,'NO MODIFICAR'!F:H,3,0)</f>
        <v>NORESTE</v>
      </c>
      <c r="G1250" s="92">
        <v>66784478</v>
      </c>
      <c r="H1250" s="92" t="s">
        <v>1010</v>
      </c>
      <c r="I1250" s="94">
        <v>10001222</v>
      </c>
      <c r="J1250" s="4" t="str">
        <f>VLOOKUP(I1250,'Materiales,canteras'!C:D,2,0)</f>
        <v>Mixto Grava 3/4 - Arena 4</v>
      </c>
      <c r="K1250" s="25">
        <f>VLOOKUP(I1250,'Materiales,canteras'!C:E,3,0)</f>
        <v>1.613</v>
      </c>
      <c r="L1250" s="82">
        <v>275</v>
      </c>
      <c r="M1250" s="28" t="s">
        <v>93</v>
      </c>
      <c r="N1250" s="193">
        <f t="shared" ca="1" si="306"/>
        <v>46267</v>
      </c>
      <c r="O1250" s="24" t="s">
        <v>778</v>
      </c>
      <c r="P1250" s="4"/>
      <c r="Q1250" s="4">
        <v>26.6</v>
      </c>
      <c r="R1250" s="4">
        <v>5.3</v>
      </c>
      <c r="S1250" s="4">
        <v>380</v>
      </c>
      <c r="T1250" s="303">
        <f t="shared" si="308"/>
        <v>-73.099999999999966</v>
      </c>
      <c r="U1250" s="88">
        <f t="shared" si="309"/>
        <v>275</v>
      </c>
      <c r="V1250" s="82">
        <v>0</v>
      </c>
      <c r="W1250" s="4">
        <v>2</v>
      </c>
      <c r="X1250" s="195">
        <f t="shared" si="310"/>
        <v>275</v>
      </c>
      <c r="Y1250" s="29" t="e">
        <f>IF(+VLOOKUP(I1250,P.Referencia!E:S,3,FALSE)&lt;=L1250,"Champion","Gerente")</f>
        <v>#N/A</v>
      </c>
      <c r="Z1250" s="30" t="e">
        <f>VLOOKUP(I1250,P.Referencia!E:S,3,0)</f>
        <v>#N/A</v>
      </c>
      <c r="AA1250" s="196" t="e">
        <f t="shared" si="311"/>
        <v>#N/A</v>
      </c>
      <c r="AB1250" s="197" t="e">
        <f t="shared" si="312"/>
        <v>#N/A</v>
      </c>
      <c r="AC1250" s="197" t="e">
        <f t="shared" si="313"/>
        <v>#N/A</v>
      </c>
    </row>
    <row r="1251" spans="1:29" hidden="1" x14ac:dyDescent="0.25">
      <c r="A1251" s="24">
        <v>1250</v>
      </c>
      <c r="B1251" s="89" t="s">
        <v>1001</v>
      </c>
      <c r="C1251" s="4" t="str">
        <f t="shared" si="307"/>
        <v>LlaveD81667077207100011702</v>
      </c>
      <c r="D1251" s="25" t="str">
        <f>VLOOKUP(E1251,'NO MODIFICAR'!J:K,2,0)</f>
        <v>D816</v>
      </c>
      <c r="E1251" s="102" t="s">
        <v>15</v>
      </c>
      <c r="F1251" s="25" t="str">
        <f>VLOOKUP(D1251,'NO MODIFICAR'!F:H,3,0)</f>
        <v>NORESTE</v>
      </c>
      <c r="G1251" s="92">
        <v>67077207</v>
      </c>
      <c r="H1251" s="92" t="s">
        <v>1011</v>
      </c>
      <c r="I1251" s="94">
        <v>10001170</v>
      </c>
      <c r="J1251" s="4" t="str">
        <f>VLOOKUP(I1251,'Materiales,canteras'!C:D,2,0)</f>
        <v>Arena Triturada Caliza Block</v>
      </c>
      <c r="K1251" s="25">
        <f>VLOOKUP(I1251,'Materiales,canteras'!C:E,3,0)</f>
        <v>1.7709999999999999</v>
      </c>
      <c r="L1251" s="82">
        <v>245</v>
      </c>
      <c r="M1251" s="28" t="s">
        <v>93</v>
      </c>
      <c r="N1251" s="193">
        <f t="shared" ca="1" si="306"/>
        <v>46267</v>
      </c>
      <c r="O1251" s="24" t="s">
        <v>779</v>
      </c>
      <c r="P1251" s="4">
        <v>11.58</v>
      </c>
      <c r="Q1251" s="4">
        <v>25.34</v>
      </c>
      <c r="R1251" s="4">
        <v>47.6</v>
      </c>
      <c r="S1251" s="4">
        <v>362</v>
      </c>
      <c r="T1251" s="303">
        <f t="shared" si="308"/>
        <v>-32.480000000000018</v>
      </c>
      <c r="U1251" s="88">
        <f t="shared" si="309"/>
        <v>245</v>
      </c>
      <c r="V1251" s="82">
        <v>0</v>
      </c>
      <c r="W1251" s="4">
        <v>2</v>
      </c>
      <c r="X1251" s="195">
        <f t="shared" si="310"/>
        <v>245</v>
      </c>
      <c r="Y1251" s="29" t="e">
        <f>IF(+VLOOKUP(I1251,P.Referencia!E:S,3,FALSE)&lt;=L1251,"Champion","Gerente")</f>
        <v>#N/A</v>
      </c>
      <c r="Z1251" s="30" t="e">
        <f>VLOOKUP(I1251,P.Referencia!E:S,3,0)</f>
        <v>#N/A</v>
      </c>
      <c r="AA1251" s="196" t="e">
        <f t="shared" si="311"/>
        <v>#N/A</v>
      </c>
      <c r="AB1251" s="197" t="e">
        <f t="shared" si="312"/>
        <v>#N/A</v>
      </c>
      <c r="AC1251" s="197" t="e">
        <f t="shared" si="313"/>
        <v>#N/A</v>
      </c>
    </row>
    <row r="1252" spans="1:29" hidden="1" x14ac:dyDescent="0.25">
      <c r="A1252" s="24">
        <v>1251</v>
      </c>
      <c r="B1252" s="89" t="s">
        <v>1001</v>
      </c>
      <c r="C1252" s="4" t="str">
        <f t="shared" si="307"/>
        <v>LlaveD81666996648100002482</v>
      </c>
      <c r="D1252" s="25" t="str">
        <f>VLOOKUP(E1252,'NO MODIFICAR'!J:K,2,0)</f>
        <v>D816</v>
      </c>
      <c r="E1252" s="102" t="s">
        <v>15</v>
      </c>
      <c r="F1252" s="25" t="str">
        <f>VLOOKUP(D1252,'NO MODIFICAR'!F:H,3,0)</f>
        <v>NORESTE</v>
      </c>
      <c r="G1252" s="92" t="s">
        <v>1012</v>
      </c>
      <c r="H1252" s="92" t="s">
        <v>1013</v>
      </c>
      <c r="I1252" s="94">
        <v>10000248</v>
      </c>
      <c r="J1252" s="4" t="str">
        <f>VLOOKUP(I1252,'Materiales,canteras'!C:D,2,0)</f>
        <v>Sub-base Triturado Caliza 1 1/2" a Finos</v>
      </c>
      <c r="K1252" s="25">
        <f>VLOOKUP(I1252,'Materiales,canteras'!C:E,3,0)</f>
        <v>1.821</v>
      </c>
      <c r="L1252" s="82">
        <v>235</v>
      </c>
      <c r="M1252" s="28" t="s">
        <v>93</v>
      </c>
      <c r="N1252" s="193">
        <f t="shared" ca="1" si="306"/>
        <v>46267</v>
      </c>
      <c r="O1252" s="24" t="s">
        <v>780</v>
      </c>
      <c r="P1252" s="4"/>
      <c r="Q1252" s="4"/>
      <c r="R1252" s="4">
        <v>22.54</v>
      </c>
      <c r="S1252" s="4">
        <v>322</v>
      </c>
      <c r="T1252" s="303">
        <f t="shared" si="308"/>
        <v>-64.45999999999998</v>
      </c>
      <c r="U1252" s="88">
        <f t="shared" si="309"/>
        <v>235</v>
      </c>
      <c r="V1252" s="82">
        <v>0</v>
      </c>
      <c r="W1252" s="4">
        <v>2</v>
      </c>
      <c r="X1252" s="195">
        <f t="shared" si="310"/>
        <v>235</v>
      </c>
      <c r="Y1252" s="29" t="e">
        <f>IF(+VLOOKUP(I1252,P.Referencia!E:S,3,FALSE)&lt;=L1252,"Champion","Gerente")</f>
        <v>#N/A</v>
      </c>
      <c r="Z1252" s="30" t="e">
        <f>VLOOKUP(I1252,P.Referencia!E:S,3,0)</f>
        <v>#N/A</v>
      </c>
      <c r="AA1252" s="196" t="e">
        <f t="shared" si="311"/>
        <v>#N/A</v>
      </c>
      <c r="AB1252" s="197" t="e">
        <f t="shared" si="312"/>
        <v>#N/A</v>
      </c>
      <c r="AC1252" s="197" t="e">
        <f t="shared" si="313"/>
        <v>#N/A</v>
      </c>
    </row>
    <row r="1253" spans="1:29" hidden="1" x14ac:dyDescent="0.25">
      <c r="A1253" s="24">
        <v>1252</v>
      </c>
      <c r="B1253" s="89" t="s">
        <v>1001</v>
      </c>
      <c r="C1253" s="4" t="str">
        <f t="shared" si="307"/>
        <v>LlaveD81666996648100002622</v>
      </c>
      <c r="D1253" s="25" t="str">
        <f>VLOOKUP(E1253,'NO MODIFICAR'!J:K,2,0)</f>
        <v>D816</v>
      </c>
      <c r="E1253" s="102" t="s">
        <v>15</v>
      </c>
      <c r="F1253" s="25" t="str">
        <f>VLOOKUP(D1253,'NO MODIFICAR'!F:H,3,0)</f>
        <v>NORESTE</v>
      </c>
      <c r="G1253" s="92" t="s">
        <v>1012</v>
      </c>
      <c r="H1253" s="92" t="s">
        <v>1013</v>
      </c>
      <c r="I1253" s="94">
        <v>10000262</v>
      </c>
      <c r="J1253" s="4" t="str">
        <f>VLOOKUP(I1253,'Materiales,canteras'!C:D,2,0)</f>
        <v>Base H Triturada Caliza 1 1/2"</v>
      </c>
      <c r="K1253" s="25">
        <f>VLOOKUP(I1253,'Materiales,canteras'!C:E,3,0)</f>
        <v>1.821</v>
      </c>
      <c r="L1253" s="82">
        <v>235</v>
      </c>
      <c r="M1253" s="28" t="s">
        <v>93</v>
      </c>
      <c r="N1253" s="193">
        <f t="shared" ca="1" si="306"/>
        <v>46267</v>
      </c>
      <c r="O1253" s="24" t="s">
        <v>781</v>
      </c>
      <c r="P1253" s="4"/>
      <c r="Q1253" s="4"/>
      <c r="R1253" s="4">
        <v>24.99</v>
      </c>
      <c r="S1253" s="4">
        <v>357</v>
      </c>
      <c r="T1253" s="303">
        <f t="shared" si="308"/>
        <v>-97.009999999999991</v>
      </c>
      <c r="U1253" s="88">
        <f t="shared" si="309"/>
        <v>235</v>
      </c>
      <c r="V1253" s="82">
        <v>0</v>
      </c>
      <c r="W1253" s="4">
        <v>2</v>
      </c>
      <c r="X1253" s="195">
        <f t="shared" si="310"/>
        <v>235</v>
      </c>
      <c r="Y1253" s="29" t="e">
        <f>IF(+VLOOKUP(I1253,P.Referencia!E:S,3,FALSE)&lt;=L1253,"Champion","Gerente")</f>
        <v>#N/A</v>
      </c>
      <c r="Z1253" s="30" t="e">
        <f>VLOOKUP(I1253,P.Referencia!E:S,3,0)</f>
        <v>#N/A</v>
      </c>
      <c r="AA1253" s="196" t="e">
        <f t="shared" si="311"/>
        <v>#N/A</v>
      </c>
      <c r="AB1253" s="197" t="e">
        <f t="shared" si="312"/>
        <v>#N/A</v>
      </c>
      <c r="AC1253" s="197" t="e">
        <f t="shared" si="313"/>
        <v>#N/A</v>
      </c>
    </row>
    <row r="1254" spans="1:29" hidden="1" x14ac:dyDescent="0.25">
      <c r="A1254" s="24">
        <v>1253</v>
      </c>
      <c r="B1254" s="89" t="s">
        <v>1001</v>
      </c>
      <c r="C1254" s="4" t="str">
        <f t="shared" si="307"/>
        <v>LlaveD81666996648100364882</v>
      </c>
      <c r="D1254" s="25" t="str">
        <f>VLOOKUP(E1254,'NO MODIFICAR'!J:K,2,0)</f>
        <v>D816</v>
      </c>
      <c r="E1254" s="102" t="s">
        <v>15</v>
      </c>
      <c r="F1254" s="25" t="str">
        <f>VLOOKUP(D1254,'NO MODIFICAR'!F:H,3,0)</f>
        <v>NORESTE</v>
      </c>
      <c r="G1254" s="92" t="s">
        <v>1012</v>
      </c>
      <c r="H1254" s="92" t="s">
        <v>1013</v>
      </c>
      <c r="I1254" s="94">
        <v>10036488</v>
      </c>
      <c r="J1254" s="4" t="str">
        <f>VLOOKUP(I1254,'Materiales,canteras'!C:D,2,0)</f>
        <v>Base H Trit Caliza 3/4" a Fino</v>
      </c>
      <c r="K1254" s="25">
        <f>VLOOKUP(I1254,'Materiales,canteras'!C:E,3,0)</f>
        <v>1.78</v>
      </c>
      <c r="L1254" s="82">
        <v>235</v>
      </c>
      <c r="M1254" s="28" t="s">
        <v>93</v>
      </c>
      <c r="N1254" s="193">
        <f t="shared" ca="1" si="306"/>
        <v>46267</v>
      </c>
      <c r="O1254" s="24" t="s">
        <v>782</v>
      </c>
      <c r="P1254" s="4"/>
      <c r="Q1254" s="4"/>
      <c r="R1254" s="4">
        <v>24.99</v>
      </c>
      <c r="S1254" s="4">
        <v>357</v>
      </c>
      <c r="T1254" s="303">
        <f t="shared" si="308"/>
        <v>-97.009999999999991</v>
      </c>
      <c r="U1254" s="88">
        <f t="shared" si="309"/>
        <v>235</v>
      </c>
      <c r="V1254" s="82">
        <v>0</v>
      </c>
      <c r="W1254" s="4">
        <v>2</v>
      </c>
      <c r="X1254" s="195">
        <f t="shared" si="310"/>
        <v>235</v>
      </c>
      <c r="Y1254" s="29" t="e">
        <f>IF(+VLOOKUP(I1254,P.Referencia!E:S,3,FALSE)&lt;=L1254,"Champion","Gerente")</f>
        <v>#N/A</v>
      </c>
      <c r="Z1254" s="30" t="e">
        <f>VLOOKUP(I1254,P.Referencia!E:S,3,0)</f>
        <v>#N/A</v>
      </c>
      <c r="AA1254" s="196" t="e">
        <f t="shared" si="311"/>
        <v>#N/A</v>
      </c>
      <c r="AB1254" s="197" t="e">
        <f t="shared" si="312"/>
        <v>#N/A</v>
      </c>
      <c r="AC1254" s="197" t="e">
        <f t="shared" si="313"/>
        <v>#N/A</v>
      </c>
    </row>
    <row r="1255" spans="1:29" hidden="1" x14ac:dyDescent="0.25">
      <c r="A1255" s="24">
        <v>1254</v>
      </c>
      <c r="B1255" s="89" t="s">
        <v>1001</v>
      </c>
      <c r="C1255" s="4" t="str">
        <f t="shared" si="307"/>
        <v>LlaveD81666996648100012012</v>
      </c>
      <c r="D1255" s="25" t="str">
        <f>VLOOKUP(E1255,'NO MODIFICAR'!J:K,2,0)</f>
        <v>D816</v>
      </c>
      <c r="E1255" s="102" t="s">
        <v>15</v>
      </c>
      <c r="F1255" s="25" t="str">
        <f>VLOOKUP(D1255,'NO MODIFICAR'!F:H,3,0)</f>
        <v>NORESTE</v>
      </c>
      <c r="G1255" s="92" t="s">
        <v>1012</v>
      </c>
      <c r="H1255" s="92" t="s">
        <v>1013</v>
      </c>
      <c r="I1255" s="94">
        <v>10001201</v>
      </c>
      <c r="J1255" s="4" t="str">
        <f>VLOOKUP(I1255,'Materiales,canteras'!C:D,2,0)</f>
        <v>No Clasificado Triturado Caliz</v>
      </c>
      <c r="K1255" s="25">
        <f>VLOOKUP(I1255,'Materiales,canteras'!C:E,3,0)</f>
        <v>1.698</v>
      </c>
      <c r="L1255" s="82">
        <v>232</v>
      </c>
      <c r="M1255" s="28" t="s">
        <v>93</v>
      </c>
      <c r="N1255" s="193">
        <f t="shared" ca="1" si="306"/>
        <v>46267</v>
      </c>
      <c r="O1255" s="24" t="s">
        <v>783</v>
      </c>
      <c r="P1255" s="4"/>
      <c r="Q1255" s="4"/>
      <c r="R1255" s="4">
        <v>24.57</v>
      </c>
      <c r="S1255" s="4">
        <v>351</v>
      </c>
      <c r="T1255" s="303">
        <f t="shared" si="308"/>
        <v>-94.43</v>
      </c>
      <c r="U1255" s="88">
        <f t="shared" si="309"/>
        <v>232</v>
      </c>
      <c r="V1255" s="82">
        <v>0</v>
      </c>
      <c r="W1255" s="4">
        <v>2</v>
      </c>
      <c r="X1255" s="195">
        <f t="shared" si="310"/>
        <v>232</v>
      </c>
      <c r="Y1255" s="29" t="e">
        <f>IF(+VLOOKUP(I1255,P.Referencia!E:S,3,FALSE)&lt;=L1255,"Champion","Gerente")</f>
        <v>#N/A</v>
      </c>
      <c r="Z1255" s="30" t="e">
        <f>VLOOKUP(I1255,P.Referencia!E:S,3,0)</f>
        <v>#N/A</v>
      </c>
      <c r="AA1255" s="196" t="e">
        <f t="shared" si="311"/>
        <v>#N/A</v>
      </c>
      <c r="AB1255" s="197" t="e">
        <f t="shared" si="312"/>
        <v>#N/A</v>
      </c>
      <c r="AC1255" s="197" t="e">
        <f t="shared" si="313"/>
        <v>#N/A</v>
      </c>
    </row>
    <row r="1256" spans="1:29" hidden="1" x14ac:dyDescent="0.25">
      <c r="A1256" s="24">
        <v>1255</v>
      </c>
      <c r="B1256" s="89" t="s">
        <v>1001</v>
      </c>
      <c r="C1256" s="4" t="str">
        <f t="shared" si="307"/>
        <v>LlaveD8526734662210038945</v>
      </c>
      <c r="D1256" s="25" t="str">
        <f>VLOOKUP(E1256,'NO MODIFICAR'!J:K,2,0)</f>
        <v>D852</v>
      </c>
      <c r="E1256" s="102" t="s">
        <v>36</v>
      </c>
      <c r="F1256" s="25" t="str">
        <f>VLOOKUP(D1256,'NO MODIFICAR'!F:H,3,0)</f>
        <v>NORESTE</v>
      </c>
      <c r="G1256" s="92">
        <v>67346622</v>
      </c>
      <c r="H1256" s="92" t="s">
        <v>533</v>
      </c>
      <c r="I1256" s="94">
        <v>10038945</v>
      </c>
      <c r="J1256" s="4" t="str">
        <f>VLOOKUP(I1256,'Materiales,canteras'!C:D,2,0)</f>
        <v>Grava Triturada Caliza 20 mm -</v>
      </c>
      <c r="K1256" s="25">
        <f>VLOOKUP(I1256,'Materiales,canteras'!C:E,3,0)</f>
        <v>1.54</v>
      </c>
      <c r="L1256" s="82">
        <v>115</v>
      </c>
      <c r="M1256" s="28" t="s">
        <v>93</v>
      </c>
      <c r="N1256" s="193">
        <f t="shared" ca="1" si="306"/>
        <v>46267</v>
      </c>
      <c r="O1256" s="24" t="s">
        <v>784</v>
      </c>
      <c r="P1256" s="4"/>
      <c r="Q1256" s="4"/>
      <c r="R1256" s="4">
        <v>2.6</v>
      </c>
      <c r="S1256" s="4">
        <v>173</v>
      </c>
      <c r="T1256" s="303">
        <f t="shared" si="308"/>
        <v>-55.400000000000006</v>
      </c>
      <c r="U1256" s="88">
        <f t="shared" si="309"/>
        <v>115</v>
      </c>
      <c r="V1256" s="82">
        <v>0</v>
      </c>
      <c r="X1256" s="195">
        <f t="shared" si="310"/>
        <v>115</v>
      </c>
      <c r="Y1256" s="29" t="e">
        <f>IF(+VLOOKUP(I1256,P.Referencia!E:S,3,FALSE)&lt;=L1256,"Champion","Gerente")</f>
        <v>#N/A</v>
      </c>
      <c r="Z1256" s="30" t="e">
        <f>VLOOKUP(I1256,P.Referencia!E:S,3,0)</f>
        <v>#N/A</v>
      </c>
      <c r="AA1256" s="196" t="e">
        <f t="shared" si="311"/>
        <v>#N/A</v>
      </c>
      <c r="AB1256" s="197" t="e">
        <f t="shared" si="312"/>
        <v>#N/A</v>
      </c>
      <c r="AC1256" s="197" t="e">
        <f t="shared" si="313"/>
        <v>#N/A</v>
      </c>
    </row>
    <row r="1257" spans="1:29" hidden="1" x14ac:dyDescent="0.25">
      <c r="A1257" s="24">
        <v>1256</v>
      </c>
      <c r="B1257" s="89" t="s">
        <v>1001</v>
      </c>
      <c r="C1257" s="4" t="str">
        <f t="shared" si="307"/>
        <v>LlaveD86166891467100002291</v>
      </c>
      <c r="D1257" s="25" t="str">
        <f>VLOOKUP(E1257,'NO MODIFICAR'!J:K,2,0)</f>
        <v>D861</v>
      </c>
      <c r="E1257" s="102" t="s">
        <v>44</v>
      </c>
      <c r="F1257" s="25" t="str">
        <f>VLOOKUP(D1257,'NO MODIFICAR'!F:H,3,0)</f>
        <v xml:space="preserve">CENTRO </v>
      </c>
      <c r="G1257" s="92" t="s">
        <v>543</v>
      </c>
      <c r="H1257" s="92" t="s">
        <v>544</v>
      </c>
      <c r="I1257" s="94">
        <v>10000229</v>
      </c>
      <c r="J1257" s="4" t="str">
        <f>VLOOKUP(I1257,'Materiales,canteras'!C:D,2,0)</f>
        <v>Grava Triturada Basalto  10 mm</v>
      </c>
      <c r="K1257" s="25">
        <f>VLOOKUP(I1257,'Materiales,canteras'!C:E,3,0)</f>
        <v>1.522</v>
      </c>
      <c r="L1257" s="82">
        <v>181.78</v>
      </c>
      <c r="M1257" s="28" t="s">
        <v>93</v>
      </c>
      <c r="N1257" s="193">
        <f t="shared" ca="1" si="306"/>
        <v>46267</v>
      </c>
      <c r="O1257" s="24" t="s">
        <v>785</v>
      </c>
      <c r="P1257" s="4"/>
      <c r="Q1257" s="4"/>
      <c r="R1257" s="4">
        <v>5.28</v>
      </c>
      <c r="S1257" s="4">
        <v>352</v>
      </c>
      <c r="T1257" s="303">
        <f t="shared" si="308"/>
        <v>-164.94000000000003</v>
      </c>
      <c r="U1257" s="88">
        <f t="shared" si="309"/>
        <v>181.78</v>
      </c>
      <c r="V1257" s="82">
        <v>76.44</v>
      </c>
      <c r="W1257" s="4">
        <v>1</v>
      </c>
      <c r="X1257" s="195">
        <f t="shared" si="310"/>
        <v>258.22000000000003</v>
      </c>
      <c r="Y1257" s="29" t="e">
        <f>IF(+VLOOKUP(I1257,P.Referencia!E:S,3,FALSE)&lt;=L1257,"Champion","Gerente")</f>
        <v>#N/A</v>
      </c>
      <c r="Z1257" s="30" t="e">
        <f>VLOOKUP(I1257,P.Referencia!E:S,3,0)</f>
        <v>#N/A</v>
      </c>
      <c r="AA1257" s="196" t="e">
        <f t="shared" si="311"/>
        <v>#N/A</v>
      </c>
      <c r="AB1257" s="197" t="e">
        <f t="shared" si="312"/>
        <v>#N/A</v>
      </c>
      <c r="AC1257" s="197" t="e">
        <f t="shared" si="313"/>
        <v>#N/A</v>
      </c>
    </row>
    <row r="1258" spans="1:29" hidden="1" x14ac:dyDescent="0.25">
      <c r="A1258" s="24">
        <v>1257</v>
      </c>
      <c r="B1258" s="89" t="s">
        <v>1001</v>
      </c>
      <c r="C1258" s="4" t="str">
        <f t="shared" si="307"/>
        <v>LlaveD86166891467100002311</v>
      </c>
      <c r="D1258" s="25" t="str">
        <f>VLOOKUP(E1258,'NO MODIFICAR'!J:K,2,0)</f>
        <v>D861</v>
      </c>
      <c r="E1258" s="102" t="s">
        <v>44</v>
      </c>
      <c r="F1258" s="25" t="str">
        <f>VLOOKUP(D1258,'NO MODIFICAR'!F:H,3,0)</f>
        <v xml:space="preserve">CENTRO </v>
      </c>
      <c r="G1258" s="92" t="s">
        <v>543</v>
      </c>
      <c r="H1258" s="92" t="s">
        <v>544</v>
      </c>
      <c r="I1258" s="94">
        <v>10000231</v>
      </c>
      <c r="J1258" s="4" t="str">
        <f>VLOOKUP(I1258,'Materiales,canteras'!C:D,2,0)</f>
        <v>Grava Triturada Basalto 20 mm</v>
      </c>
      <c r="K1258" s="25">
        <f>VLOOKUP(I1258,'Materiales,canteras'!C:E,3,0)</f>
        <v>1.5649999999999999</v>
      </c>
      <c r="L1258" s="82">
        <v>181.78</v>
      </c>
      <c r="M1258" s="28" t="s">
        <v>93</v>
      </c>
      <c r="N1258" s="193">
        <f t="shared" ca="1" si="306"/>
        <v>46267</v>
      </c>
      <c r="O1258" s="24" t="s">
        <v>786</v>
      </c>
      <c r="P1258" s="4"/>
      <c r="Q1258" s="4"/>
      <c r="R1258" s="4">
        <v>4.62</v>
      </c>
      <c r="S1258" s="4">
        <v>308</v>
      </c>
      <c r="T1258" s="303">
        <f t="shared" si="308"/>
        <v>-121.6</v>
      </c>
      <c r="U1258" s="88">
        <f t="shared" si="309"/>
        <v>181.78</v>
      </c>
      <c r="V1258" s="82">
        <v>76.44</v>
      </c>
      <c r="W1258" s="4">
        <v>1</v>
      </c>
      <c r="X1258" s="195">
        <f t="shared" si="310"/>
        <v>258.22000000000003</v>
      </c>
      <c r="Y1258" s="29" t="e">
        <f>IF(+VLOOKUP(I1258,P.Referencia!E:S,3,FALSE)&lt;=L1258,"Champion","Gerente")</f>
        <v>#N/A</v>
      </c>
      <c r="Z1258" s="30" t="e">
        <f>VLOOKUP(I1258,P.Referencia!E:S,3,0)</f>
        <v>#N/A</v>
      </c>
      <c r="AA1258" s="196" t="e">
        <f t="shared" si="311"/>
        <v>#N/A</v>
      </c>
      <c r="AB1258" s="197" t="e">
        <f t="shared" si="312"/>
        <v>#N/A</v>
      </c>
      <c r="AC1258" s="197" t="e">
        <f t="shared" si="313"/>
        <v>#N/A</v>
      </c>
    </row>
    <row r="1259" spans="1:29" hidden="1" x14ac:dyDescent="0.25">
      <c r="A1259" s="24">
        <v>1258</v>
      </c>
      <c r="B1259" s="89" t="s">
        <v>1001</v>
      </c>
      <c r="C1259" s="4" t="str">
        <f t="shared" si="307"/>
        <v>LlaveD86166891467100003111</v>
      </c>
      <c r="D1259" s="25" t="str">
        <f>VLOOKUP(E1259,'NO MODIFICAR'!J:K,2,0)</f>
        <v>D861</v>
      </c>
      <c r="E1259" s="102" t="s">
        <v>44</v>
      </c>
      <c r="F1259" s="25" t="str">
        <f>VLOOKUP(D1259,'NO MODIFICAR'!F:H,3,0)</f>
        <v xml:space="preserve">CENTRO </v>
      </c>
      <c r="G1259" s="92" t="s">
        <v>543</v>
      </c>
      <c r="H1259" s="92" t="s">
        <v>544</v>
      </c>
      <c r="I1259" s="94">
        <v>10000311</v>
      </c>
      <c r="J1259" s="4" t="str">
        <f>VLOOKUP(I1259,'Materiales,canteras'!C:D,2,0)</f>
        <v>Arena Triturada Basalto  Malla</v>
      </c>
      <c r="K1259" s="25">
        <f>VLOOKUP(I1259,'Materiales,canteras'!C:E,3,0)</f>
        <v>1.651</v>
      </c>
      <c r="L1259" s="82">
        <v>181.78</v>
      </c>
      <c r="M1259" s="28" t="s">
        <v>93</v>
      </c>
      <c r="N1259" s="193">
        <f t="shared" ca="1" si="306"/>
        <v>46267</v>
      </c>
      <c r="O1259" s="24" t="s">
        <v>787</v>
      </c>
      <c r="P1259" s="4"/>
      <c r="Q1259" s="4"/>
      <c r="R1259" s="4">
        <v>4.29</v>
      </c>
      <c r="S1259" s="4">
        <v>286</v>
      </c>
      <c r="T1259" s="303">
        <f t="shared" si="308"/>
        <v>-99.929999999999978</v>
      </c>
      <c r="U1259" s="88">
        <f t="shared" si="309"/>
        <v>181.78</v>
      </c>
      <c r="V1259" s="82">
        <v>76.44</v>
      </c>
      <c r="W1259" s="4">
        <v>1</v>
      </c>
      <c r="X1259" s="195">
        <f t="shared" si="310"/>
        <v>258.22000000000003</v>
      </c>
      <c r="Y1259" s="29" t="e">
        <f>IF(+VLOOKUP(I1259,P.Referencia!E:S,3,FALSE)&lt;=L1259,"Champion","Gerente")</f>
        <v>#N/A</v>
      </c>
      <c r="Z1259" s="30" t="e">
        <f>VLOOKUP(I1259,P.Referencia!E:S,3,0)</f>
        <v>#N/A</v>
      </c>
      <c r="AA1259" s="196" t="e">
        <f t="shared" si="311"/>
        <v>#N/A</v>
      </c>
      <c r="AB1259" s="197" t="e">
        <f t="shared" si="312"/>
        <v>#N/A</v>
      </c>
      <c r="AC1259" s="197" t="e">
        <f t="shared" si="313"/>
        <v>#N/A</v>
      </c>
    </row>
    <row r="1260" spans="1:29" hidden="1" x14ac:dyDescent="0.25">
      <c r="A1260" s="24">
        <v>1259</v>
      </c>
      <c r="B1260" s="89" t="s">
        <v>1001</v>
      </c>
      <c r="C1260" s="4" t="str">
        <f t="shared" si="307"/>
        <v>LlaveD86166891467100014501</v>
      </c>
      <c r="D1260" s="25" t="str">
        <f>VLOOKUP(E1260,'NO MODIFICAR'!J:K,2,0)</f>
        <v>D861</v>
      </c>
      <c r="E1260" s="102" t="s">
        <v>44</v>
      </c>
      <c r="F1260" s="25" t="str">
        <f>VLOOKUP(D1260,'NO MODIFICAR'!F:H,3,0)</f>
        <v xml:space="preserve">CENTRO </v>
      </c>
      <c r="G1260" s="92" t="s">
        <v>543</v>
      </c>
      <c r="H1260" s="92" t="s">
        <v>544</v>
      </c>
      <c r="I1260" s="94">
        <v>10001450</v>
      </c>
      <c r="J1260" s="4" t="str">
        <f>VLOOKUP(I1260,'Materiales,canteras'!C:D,2,0)</f>
        <v>Base Hidraúlica Basalto de 1 /1/2</v>
      </c>
      <c r="K1260" s="25">
        <f>VLOOKUP(I1260,'Materiales,canteras'!C:E,3,0)</f>
        <v>1.7490000000000001</v>
      </c>
      <c r="L1260" s="82">
        <v>180.67</v>
      </c>
      <c r="M1260" s="28" t="s">
        <v>93</v>
      </c>
      <c r="N1260" s="193">
        <f t="shared" ca="1" si="306"/>
        <v>46267</v>
      </c>
      <c r="O1260" s="24" t="s">
        <v>788</v>
      </c>
      <c r="P1260" s="4"/>
      <c r="Q1260" s="4"/>
      <c r="R1260" s="4">
        <v>4.29</v>
      </c>
      <c r="S1260" s="4">
        <v>286</v>
      </c>
      <c r="T1260" s="303">
        <f t="shared" si="308"/>
        <v>-101.03999999999999</v>
      </c>
      <c r="U1260" s="88">
        <f t="shared" si="309"/>
        <v>180.67</v>
      </c>
      <c r="V1260" s="82">
        <v>76.44</v>
      </c>
      <c r="W1260" s="4">
        <v>1</v>
      </c>
      <c r="X1260" s="195">
        <f t="shared" si="310"/>
        <v>257.11</v>
      </c>
      <c r="Y1260" s="29" t="e">
        <f>IF(+VLOOKUP(I1260,P.Referencia!E:S,3,FALSE)&lt;=L1260,"Champion","Gerente")</f>
        <v>#N/A</v>
      </c>
      <c r="Z1260" s="30" t="e">
        <f>VLOOKUP(I1260,P.Referencia!E:S,3,0)</f>
        <v>#N/A</v>
      </c>
      <c r="AA1260" s="196" t="e">
        <f t="shared" si="311"/>
        <v>#N/A</v>
      </c>
      <c r="AB1260" s="197" t="e">
        <f t="shared" si="312"/>
        <v>#N/A</v>
      </c>
      <c r="AC1260" s="197" t="e">
        <f t="shared" si="313"/>
        <v>#N/A</v>
      </c>
    </row>
    <row r="1261" spans="1:29" hidden="1" x14ac:dyDescent="0.25">
      <c r="A1261" s="24">
        <v>1260</v>
      </c>
      <c r="B1261" s="89" t="s">
        <v>1001</v>
      </c>
      <c r="C1261" s="4" t="str">
        <f t="shared" si="307"/>
        <v>LlaveD85267378910100389432</v>
      </c>
      <c r="D1261" s="25" t="str">
        <f>VLOOKUP(E1261,'NO MODIFICAR'!J:K,2,0)</f>
        <v>D852</v>
      </c>
      <c r="E1261" s="102" t="s">
        <v>36</v>
      </c>
      <c r="F1261" s="25" t="str">
        <f>VLOOKUP(D1261,'NO MODIFICAR'!F:H,3,0)</f>
        <v>NORESTE</v>
      </c>
      <c r="G1261" s="92">
        <v>67378910</v>
      </c>
      <c r="H1261" s="92" t="s">
        <v>1014</v>
      </c>
      <c r="I1261" s="94">
        <v>10038943</v>
      </c>
      <c r="J1261" s="4" t="str">
        <f>VLOOKUP(I1261,'Materiales,canteras'!C:D,2,0)</f>
        <v>Arena Triturada Caliza Malla 4</v>
      </c>
      <c r="K1261" s="25">
        <f>VLOOKUP(I1261,'Materiales,canteras'!C:E,3,0)</f>
        <v>1.61</v>
      </c>
      <c r="L1261" s="82">
        <v>125</v>
      </c>
      <c r="M1261" s="28" t="s">
        <v>93</v>
      </c>
      <c r="N1261" s="193">
        <f t="shared" ca="1" si="306"/>
        <v>46267</v>
      </c>
      <c r="O1261" s="24" t="s">
        <v>789</v>
      </c>
      <c r="P1261" s="4"/>
      <c r="Q1261" s="4"/>
      <c r="R1261" s="4">
        <v>2.6</v>
      </c>
      <c r="S1261" s="4">
        <v>173</v>
      </c>
      <c r="T1261" s="303">
        <f t="shared" si="308"/>
        <v>-45.400000000000006</v>
      </c>
      <c r="U1261" s="88">
        <f t="shared" si="309"/>
        <v>125</v>
      </c>
      <c r="V1261" s="82">
        <v>0</v>
      </c>
      <c r="W1261" s="4">
        <v>2</v>
      </c>
      <c r="X1261" s="195">
        <f t="shared" si="310"/>
        <v>125</v>
      </c>
      <c r="Y1261" s="29" t="e">
        <f>IF(+VLOOKUP(I1261,P.Referencia!E:S,3,FALSE)&lt;=L1261,"Champion","Gerente")</f>
        <v>#N/A</v>
      </c>
      <c r="Z1261" s="30" t="e">
        <f>VLOOKUP(I1261,P.Referencia!E:S,3,0)</f>
        <v>#N/A</v>
      </c>
      <c r="AA1261" s="196" t="e">
        <f t="shared" si="311"/>
        <v>#N/A</v>
      </c>
      <c r="AB1261" s="197" t="e">
        <f t="shared" si="312"/>
        <v>#N/A</v>
      </c>
      <c r="AC1261" s="197" t="e">
        <f t="shared" si="313"/>
        <v>#N/A</v>
      </c>
    </row>
    <row r="1262" spans="1:29" hidden="1" x14ac:dyDescent="0.25">
      <c r="A1262" s="24">
        <v>1261</v>
      </c>
      <c r="B1262" s="89" t="s">
        <v>1001</v>
      </c>
      <c r="C1262" s="4" t="str">
        <f t="shared" si="307"/>
        <v>LlaveD85267378884100389432</v>
      </c>
      <c r="D1262" s="25" t="str">
        <f>VLOOKUP(E1262,'NO MODIFICAR'!J:K,2,0)</f>
        <v>D852</v>
      </c>
      <c r="E1262" s="102" t="s">
        <v>36</v>
      </c>
      <c r="F1262" s="25" t="str">
        <f>VLOOKUP(D1262,'NO MODIFICAR'!F:H,3,0)</f>
        <v>NORESTE</v>
      </c>
      <c r="G1262" s="92">
        <v>67378884</v>
      </c>
      <c r="H1262" s="92" t="s">
        <v>1015</v>
      </c>
      <c r="I1262" s="94">
        <v>10038943</v>
      </c>
      <c r="J1262" s="4" t="str">
        <f>VLOOKUP(I1262,'Materiales,canteras'!C:D,2,0)</f>
        <v>Arena Triturada Caliza Malla 4</v>
      </c>
      <c r="K1262" s="25">
        <f>VLOOKUP(I1262,'Materiales,canteras'!C:E,3,0)</f>
        <v>1.61</v>
      </c>
      <c r="L1262" s="82">
        <v>130</v>
      </c>
      <c r="M1262" s="28" t="s">
        <v>93</v>
      </c>
      <c r="N1262" s="193">
        <f t="shared" ca="1" si="306"/>
        <v>46267</v>
      </c>
      <c r="O1262" s="24" t="s">
        <v>790</v>
      </c>
      <c r="P1262" s="4"/>
      <c r="Q1262" s="4"/>
      <c r="R1262" s="4">
        <v>2.6</v>
      </c>
      <c r="S1262" s="4">
        <v>173</v>
      </c>
      <c r="T1262" s="303">
        <f t="shared" si="308"/>
        <v>-40.400000000000006</v>
      </c>
      <c r="U1262" s="88">
        <f t="shared" si="309"/>
        <v>130</v>
      </c>
      <c r="V1262" s="82">
        <v>0</v>
      </c>
      <c r="W1262" s="4">
        <v>2</v>
      </c>
      <c r="X1262" s="195">
        <f t="shared" si="310"/>
        <v>130</v>
      </c>
      <c r="Y1262" s="29" t="e">
        <f>IF(+VLOOKUP(I1262,P.Referencia!E:S,3,FALSE)&lt;=L1262,"Champion","Gerente")</f>
        <v>#N/A</v>
      </c>
      <c r="Z1262" s="30" t="e">
        <f>VLOOKUP(I1262,P.Referencia!E:S,3,0)</f>
        <v>#N/A</v>
      </c>
      <c r="AA1262" s="196" t="e">
        <f t="shared" si="311"/>
        <v>#N/A</v>
      </c>
      <c r="AB1262" s="197" t="e">
        <f t="shared" si="312"/>
        <v>#N/A</v>
      </c>
      <c r="AC1262" s="197" t="e">
        <f t="shared" si="313"/>
        <v>#N/A</v>
      </c>
    </row>
    <row r="1263" spans="1:29" hidden="1" x14ac:dyDescent="0.25">
      <c r="A1263" s="24">
        <v>1262</v>
      </c>
      <c r="B1263" s="89" t="s">
        <v>1001</v>
      </c>
      <c r="C1263" s="4" t="str">
        <f t="shared" si="307"/>
        <v>LlaveD86466827157100010732</v>
      </c>
      <c r="D1263" s="25" t="str">
        <f>VLOOKUP(E1263,'NO MODIFICAR'!J:K,2,0)</f>
        <v>D864</v>
      </c>
      <c r="E1263" s="102" t="s">
        <v>55</v>
      </c>
      <c r="F1263" s="25" t="str">
        <f>VLOOKUP(D1263,'NO MODIFICAR'!F:H,3,0)</f>
        <v xml:space="preserve">CENTRO </v>
      </c>
      <c r="G1263" s="92">
        <v>66827157</v>
      </c>
      <c r="H1263" s="92" t="s">
        <v>1016</v>
      </c>
      <c r="I1263" s="94">
        <v>10001073</v>
      </c>
      <c r="J1263" s="4" t="str">
        <f>VLOOKUP(I1263,'Materiales,canteras'!C:D,2,0)</f>
        <v>Arena Triturada Caliza Malla 4</v>
      </c>
      <c r="K1263" s="25">
        <f>VLOOKUP(I1263,'Materiales,canteras'!C:E,3,0)</f>
        <v>1.56</v>
      </c>
      <c r="L1263" s="82">
        <v>95</v>
      </c>
      <c r="M1263" s="28" t="s">
        <v>93</v>
      </c>
      <c r="N1263" s="193">
        <f t="shared" ca="1" si="306"/>
        <v>46267</v>
      </c>
      <c r="O1263" s="24" t="s">
        <v>791</v>
      </c>
      <c r="P1263" s="4"/>
      <c r="Q1263" s="4"/>
      <c r="R1263" s="4"/>
      <c r="S1263" s="4">
        <v>158</v>
      </c>
      <c r="T1263" s="303">
        <f t="shared" si="308"/>
        <v>-63</v>
      </c>
      <c r="U1263" s="88">
        <f t="shared" si="309"/>
        <v>95</v>
      </c>
      <c r="V1263" s="82">
        <v>0</v>
      </c>
      <c r="W1263" s="4">
        <v>2</v>
      </c>
      <c r="X1263" s="195">
        <f t="shared" si="310"/>
        <v>95</v>
      </c>
      <c r="Y1263" s="29" t="e">
        <f>IF(+VLOOKUP(I1263,P.Referencia!E:S,3,FALSE)&lt;=L1263,"Champion","Gerente")</f>
        <v>#N/A</v>
      </c>
      <c r="Z1263" s="30" t="e">
        <f>VLOOKUP(I1263,P.Referencia!E:S,3,0)</f>
        <v>#N/A</v>
      </c>
      <c r="AA1263" s="196" t="e">
        <f t="shared" si="311"/>
        <v>#N/A</v>
      </c>
      <c r="AB1263" s="197" t="e">
        <f t="shared" si="312"/>
        <v>#N/A</v>
      </c>
      <c r="AC1263" s="197" t="e">
        <f t="shared" si="313"/>
        <v>#N/A</v>
      </c>
    </row>
    <row r="1264" spans="1:29" hidden="1" x14ac:dyDescent="0.25">
      <c r="A1264" s="24">
        <v>1263</v>
      </c>
      <c r="B1264" s="89" t="s">
        <v>1001</v>
      </c>
      <c r="C1264" s="4" t="str">
        <f t="shared" si="307"/>
        <v>LlaveD81667295625100364881</v>
      </c>
      <c r="D1264" s="25" t="str">
        <f>VLOOKUP(E1264,'NO MODIFICAR'!J:K,2,0)</f>
        <v>D816</v>
      </c>
      <c r="E1264" s="102" t="s">
        <v>15</v>
      </c>
      <c r="F1264" s="25" t="str">
        <f>VLOOKUP(D1264,'NO MODIFICAR'!F:H,3,0)</f>
        <v>NORESTE</v>
      </c>
      <c r="G1264" s="92">
        <v>67295625</v>
      </c>
      <c r="H1264" s="92" t="s">
        <v>1017</v>
      </c>
      <c r="I1264" s="94">
        <v>10036488</v>
      </c>
      <c r="J1264" s="4" t="str">
        <f>VLOOKUP(I1264,'Materiales,canteras'!C:D,2,0)</f>
        <v>Base H Trit Caliza 3/4" a Fino</v>
      </c>
      <c r="K1264" s="25">
        <f>VLOOKUP(I1264,'Materiales,canteras'!C:E,3,0)</f>
        <v>1.78</v>
      </c>
      <c r="L1264" s="82">
        <v>290.48</v>
      </c>
      <c r="M1264" s="28" t="s">
        <v>93</v>
      </c>
      <c r="N1264" s="193">
        <f t="shared" ca="1" si="306"/>
        <v>46267</v>
      </c>
      <c r="O1264" s="24" t="s">
        <v>792</v>
      </c>
      <c r="P1264" s="4"/>
      <c r="Q1264" s="4"/>
      <c r="R1264" s="4">
        <v>14.28</v>
      </c>
      <c r="S1264" s="4">
        <v>357</v>
      </c>
      <c r="T1264" s="303">
        <f t="shared" si="308"/>
        <v>-52.240000000000009</v>
      </c>
      <c r="U1264" s="88">
        <f t="shared" si="309"/>
        <v>290.48</v>
      </c>
      <c r="V1264" s="82">
        <v>93</v>
      </c>
      <c r="W1264" s="4">
        <v>1</v>
      </c>
      <c r="X1264" s="195">
        <f t="shared" si="310"/>
        <v>383.48</v>
      </c>
      <c r="Y1264" s="29" t="e">
        <f>IF(+VLOOKUP(I1264,P.Referencia!E:S,3,FALSE)&lt;=L1264,"Champion","Gerente")</f>
        <v>#N/A</v>
      </c>
      <c r="Z1264" s="30" t="e">
        <f>VLOOKUP(I1264,P.Referencia!E:S,3,0)</f>
        <v>#N/A</v>
      </c>
      <c r="AA1264" s="196" t="e">
        <f t="shared" si="311"/>
        <v>#N/A</v>
      </c>
      <c r="AB1264" s="197" t="e">
        <f t="shared" si="312"/>
        <v>#N/A</v>
      </c>
      <c r="AC1264" s="197" t="e">
        <f t="shared" si="313"/>
        <v>#N/A</v>
      </c>
    </row>
    <row r="1265" spans="1:29" hidden="1" x14ac:dyDescent="0.25">
      <c r="A1265" s="24">
        <v>1264</v>
      </c>
      <c r="B1265" s="89" t="s">
        <v>1001</v>
      </c>
      <c r="C1265" s="4" t="str">
        <f t="shared" si="307"/>
        <v>LlaveDU076737921310000101</v>
      </c>
      <c r="D1265" s="25" t="str">
        <f>VLOOKUP(E1265,'NO MODIFICAR'!J:K,2,0)</f>
        <v>DU07</v>
      </c>
      <c r="E1265" s="102" t="s">
        <v>87</v>
      </c>
      <c r="F1265" s="25" t="str">
        <f>VLOOKUP(D1265,'NO MODIFICAR'!F:H,3,0)</f>
        <v>SURESTE</v>
      </c>
      <c r="G1265" s="92">
        <v>67379213</v>
      </c>
      <c r="H1265" s="92" t="s">
        <v>1018</v>
      </c>
      <c r="I1265" s="94">
        <v>10000101</v>
      </c>
      <c r="J1265" s="4" t="str">
        <f>VLOOKUP(I1265,'Materiales,canteras'!C:D,2,0)</f>
        <v>Arena Triturada Caliza Malla 4</v>
      </c>
      <c r="K1265" s="25">
        <f>VLOOKUP(I1265,'Materiales,canteras'!C:E,3,0)</f>
        <v>1.417</v>
      </c>
      <c r="L1265" s="82">
        <v>247.00070571630204</v>
      </c>
      <c r="M1265" s="28" t="s">
        <v>93</v>
      </c>
      <c r="N1265" s="193">
        <f t="shared" ca="1" si="306"/>
        <v>46267</v>
      </c>
      <c r="O1265" s="24" t="s">
        <v>793</v>
      </c>
      <c r="P1265" s="4"/>
      <c r="Q1265" s="4"/>
      <c r="R1265" s="4"/>
      <c r="S1265" s="4">
        <v>420</v>
      </c>
      <c r="T1265" s="303">
        <f t="shared" si="308"/>
        <v>-172.99929428369796</v>
      </c>
      <c r="U1265" s="88">
        <f t="shared" si="309"/>
        <v>247.00070571630204</v>
      </c>
      <c r="V1265" s="82"/>
      <c r="X1265" s="195">
        <f t="shared" si="310"/>
        <v>247.00070571630204</v>
      </c>
      <c r="Y1265" s="29" t="e">
        <f>IF(+VLOOKUP(I1265,P.Referencia!E:S,3,FALSE)&lt;=L1265,"Champion","Gerente")</f>
        <v>#N/A</v>
      </c>
      <c r="Z1265" s="30" t="e">
        <f>VLOOKUP(I1265,P.Referencia!E:S,3,0)</f>
        <v>#N/A</v>
      </c>
      <c r="AA1265" s="196" t="e">
        <f t="shared" si="311"/>
        <v>#N/A</v>
      </c>
      <c r="AB1265" s="197" t="e">
        <f t="shared" si="312"/>
        <v>#N/A</v>
      </c>
      <c r="AC1265" s="197" t="e">
        <f t="shared" si="313"/>
        <v>#N/A</v>
      </c>
    </row>
    <row r="1266" spans="1:29" hidden="1" x14ac:dyDescent="0.25">
      <c r="A1266" s="24">
        <v>1265</v>
      </c>
      <c r="B1266" s="89" t="s">
        <v>1001</v>
      </c>
      <c r="C1266" s="4" t="str">
        <f t="shared" si="307"/>
        <v>LlaveDU076737921310000110</v>
      </c>
      <c r="D1266" s="25" t="str">
        <f>VLOOKUP(E1266,'NO MODIFICAR'!J:K,2,0)</f>
        <v>DU07</v>
      </c>
      <c r="E1266" s="102" t="s">
        <v>87</v>
      </c>
      <c r="F1266" s="25" t="str">
        <f>VLOOKUP(D1266,'NO MODIFICAR'!F:H,3,0)</f>
        <v>SURESTE</v>
      </c>
      <c r="G1266" s="92">
        <v>67379213</v>
      </c>
      <c r="H1266" s="92" t="s">
        <v>1018</v>
      </c>
      <c r="I1266" s="94">
        <v>10000110</v>
      </c>
      <c r="J1266" s="4" t="str">
        <f>VLOOKUP(I1266,'Materiales,canteras'!C:D,2,0)</f>
        <v>GRAVA TRITURADA CALIZA 20 MM “3/4"–INTEG</v>
      </c>
      <c r="K1266" s="25">
        <f>VLOOKUP(I1266,'Materiales,canteras'!C:E,3,0)</f>
        <v>1.2010000000000001</v>
      </c>
      <c r="L1266" s="82">
        <v>249.79184013322231</v>
      </c>
      <c r="M1266" s="28" t="s">
        <v>93</v>
      </c>
      <c r="N1266" s="193">
        <f t="shared" ca="1" si="306"/>
        <v>46267</v>
      </c>
      <c r="O1266" s="24" t="s">
        <v>794</v>
      </c>
      <c r="P1266" s="4"/>
      <c r="Q1266" s="4"/>
      <c r="R1266" s="4"/>
      <c r="S1266" s="4">
        <v>410</v>
      </c>
      <c r="T1266" s="303">
        <f t="shared" si="308"/>
        <v>-160.20815986677769</v>
      </c>
      <c r="U1266" s="88">
        <f t="shared" si="309"/>
        <v>249.79184013322231</v>
      </c>
      <c r="V1266" s="82"/>
      <c r="X1266" s="195">
        <f t="shared" si="310"/>
        <v>249.79184013322231</v>
      </c>
      <c r="Y1266" s="29" t="e">
        <f>IF(+VLOOKUP(I1266,P.Referencia!E:S,3,FALSE)&lt;=L1266,"Champion","Gerente")</f>
        <v>#N/A</v>
      </c>
      <c r="Z1266" s="30" t="e">
        <f>VLOOKUP(I1266,P.Referencia!E:S,3,0)</f>
        <v>#N/A</v>
      </c>
      <c r="AA1266" s="196" t="e">
        <f t="shared" si="311"/>
        <v>#N/A</v>
      </c>
      <c r="AB1266" s="197" t="e">
        <f t="shared" si="312"/>
        <v>#N/A</v>
      </c>
      <c r="AC1266" s="197" t="e">
        <f t="shared" si="313"/>
        <v>#N/A</v>
      </c>
    </row>
    <row r="1267" spans="1:29" hidden="1" x14ac:dyDescent="0.25">
      <c r="A1267" s="24">
        <v>1266</v>
      </c>
      <c r="B1267" s="89" t="s">
        <v>1001</v>
      </c>
      <c r="C1267" s="4" t="str">
        <f t="shared" si="307"/>
        <v>LlaveDU076737921310000149</v>
      </c>
      <c r="D1267" s="25" t="str">
        <f>VLOOKUP(E1267,'NO MODIFICAR'!J:K,2,0)</f>
        <v>DU07</v>
      </c>
      <c r="E1267" s="102" t="s">
        <v>87</v>
      </c>
      <c r="F1267" s="25" t="str">
        <f>VLOOKUP(D1267,'NO MODIFICAR'!F:H,3,0)</f>
        <v>SURESTE</v>
      </c>
      <c r="G1267" s="92">
        <v>67379213</v>
      </c>
      <c r="H1267" s="92" t="s">
        <v>1018</v>
      </c>
      <c r="I1267" s="94">
        <v>10000149</v>
      </c>
      <c r="J1267" s="4" t="str">
        <f>VLOOKUP(I1267,'Materiales,canteras'!C:D,2,0)</f>
        <v>Grava Triturada Caliza 10 mm - 3/8"</v>
      </c>
      <c r="K1267" s="25">
        <f>VLOOKUP(I1267,'Materiales,canteras'!C:E,3,0)</f>
        <v>1.3320000000000001</v>
      </c>
      <c r="L1267" s="82">
        <v>225.22499999999999</v>
      </c>
      <c r="M1267" s="28" t="s">
        <v>93</v>
      </c>
      <c r="N1267" s="193">
        <f t="shared" ca="1" si="306"/>
        <v>46267</v>
      </c>
      <c r="O1267" s="24" t="s">
        <v>795</v>
      </c>
      <c r="P1267" s="4"/>
      <c r="Q1267" s="4"/>
      <c r="R1267" s="4"/>
      <c r="S1267" s="4">
        <v>260</v>
      </c>
      <c r="T1267" s="303">
        <f t="shared" si="308"/>
        <v>-34.775000000000006</v>
      </c>
      <c r="U1267" s="88">
        <f t="shared" si="309"/>
        <v>225.22499999999999</v>
      </c>
      <c r="V1267" s="82"/>
      <c r="X1267" s="195">
        <f t="shared" si="310"/>
        <v>225.22499999999999</v>
      </c>
      <c r="Y1267" s="29" t="e">
        <f>IF(+VLOOKUP(I1267,P.Referencia!E:S,3,FALSE)&lt;=L1267,"Champion","Gerente")</f>
        <v>#N/A</v>
      </c>
      <c r="Z1267" s="30" t="e">
        <f>VLOOKUP(I1267,P.Referencia!E:S,3,0)</f>
        <v>#N/A</v>
      </c>
      <c r="AA1267" s="196" t="e">
        <f t="shared" si="311"/>
        <v>#N/A</v>
      </c>
      <c r="AB1267" s="197" t="e">
        <f t="shared" si="312"/>
        <v>#N/A</v>
      </c>
      <c r="AC1267" s="197" t="e">
        <f t="shared" si="313"/>
        <v>#N/A</v>
      </c>
    </row>
    <row r="1268" spans="1:29" hidden="1" x14ac:dyDescent="0.25">
      <c r="A1268" s="24">
        <v>1267</v>
      </c>
      <c r="B1268" s="89" t="s">
        <v>1001</v>
      </c>
      <c r="C1268" s="4" t="str">
        <f t="shared" si="307"/>
        <v>LlaveDU076737921310000579</v>
      </c>
      <c r="D1268" s="25" t="str">
        <f>VLOOKUP(E1268,'NO MODIFICAR'!J:K,2,0)</f>
        <v>DU07</v>
      </c>
      <c r="E1268" s="102" t="s">
        <v>87</v>
      </c>
      <c r="F1268" s="25" t="str">
        <f>VLOOKUP(D1268,'NO MODIFICAR'!F:H,3,0)</f>
        <v>SURESTE</v>
      </c>
      <c r="G1268" s="92">
        <v>67379213</v>
      </c>
      <c r="H1268" s="92" t="s">
        <v>1018</v>
      </c>
      <c r="I1268" s="94">
        <v>10000579</v>
      </c>
      <c r="J1268" s="4" t="str">
        <f>VLOOKUP(I1268,'Materiales,canteras'!C:D,2,0)</f>
        <v>Grava Triturada Caliza 40 mm - 1 1/2"</v>
      </c>
      <c r="K1268" s="25">
        <f>VLOOKUP(I1268,'Materiales,canteras'!C:E,3,0)</f>
        <v>1.387</v>
      </c>
      <c r="L1268" s="82">
        <v>252.34318673395819</v>
      </c>
      <c r="M1268" s="28" t="s">
        <v>93</v>
      </c>
      <c r="N1268" s="193">
        <f t="shared" ca="1" si="306"/>
        <v>46267</v>
      </c>
      <c r="O1268" s="24" t="s">
        <v>796</v>
      </c>
      <c r="P1268" s="4"/>
      <c r="Q1268" s="4"/>
      <c r="R1268" s="4"/>
      <c r="S1268" s="4">
        <v>260</v>
      </c>
      <c r="T1268" s="303">
        <f t="shared" si="308"/>
        <v>-7.6568132660418087</v>
      </c>
      <c r="U1268" s="88">
        <f t="shared" si="309"/>
        <v>252.34318673395819</v>
      </c>
      <c r="V1268" s="82"/>
      <c r="X1268" s="195">
        <f t="shared" si="310"/>
        <v>252.34318673395819</v>
      </c>
      <c r="Y1268" s="29" t="e">
        <f>IF(+VLOOKUP(I1268,P.Referencia!E:S,3,FALSE)&lt;=L1268,"Champion","Gerente")</f>
        <v>#N/A</v>
      </c>
      <c r="Z1268" s="30" t="e">
        <f>VLOOKUP(I1268,P.Referencia!E:S,3,0)</f>
        <v>#N/A</v>
      </c>
      <c r="AA1268" s="196" t="e">
        <f t="shared" si="311"/>
        <v>#N/A</v>
      </c>
      <c r="AB1268" s="197" t="e">
        <f t="shared" si="312"/>
        <v>#N/A</v>
      </c>
      <c r="AC1268" s="197" t="e">
        <f t="shared" si="313"/>
        <v>#N/A</v>
      </c>
    </row>
    <row r="1269" spans="1:29" hidden="1" x14ac:dyDescent="0.25">
      <c r="A1269" s="24">
        <v>1268</v>
      </c>
      <c r="B1269" s="89" t="s">
        <v>1001</v>
      </c>
      <c r="C1269" s="4" t="str">
        <f t="shared" si="307"/>
        <v>LlaveDU076737921310000103</v>
      </c>
      <c r="D1269" s="25" t="str">
        <f>VLOOKUP(E1269,'NO MODIFICAR'!J:K,2,0)</f>
        <v>DU07</v>
      </c>
      <c r="E1269" s="102" t="s">
        <v>87</v>
      </c>
      <c r="F1269" s="25" t="str">
        <f>VLOOKUP(D1269,'NO MODIFICAR'!F:H,3,0)</f>
        <v>SURESTE</v>
      </c>
      <c r="G1269" s="92">
        <v>67379213</v>
      </c>
      <c r="H1269" s="92" t="s">
        <v>1018</v>
      </c>
      <c r="I1269" s="94">
        <v>10000103</v>
      </c>
      <c r="J1269" s="4" t="str">
        <f>VLOOKUP(I1269,'Materiales,canteras'!C:D,2,0)</f>
        <v>Base H Triturada Caliza 1 1/2" a Finos</v>
      </c>
      <c r="K1269" s="25">
        <f>VLOOKUP(I1269,'Materiales,canteras'!C:E,3,0)</f>
        <v>1.462</v>
      </c>
      <c r="L1269" s="82">
        <v>82.079343365253081</v>
      </c>
      <c r="M1269" s="28" t="s">
        <v>93</v>
      </c>
      <c r="N1269" s="193">
        <f t="shared" ca="1" si="306"/>
        <v>46267</v>
      </c>
      <c r="O1269" s="24" t="s">
        <v>797</v>
      </c>
      <c r="P1269" s="4"/>
      <c r="Q1269" s="4"/>
      <c r="R1269" s="4"/>
      <c r="S1269" s="4">
        <v>158</v>
      </c>
      <c r="T1269" s="303">
        <f t="shared" si="308"/>
        <v>-75.920656634746919</v>
      </c>
      <c r="U1269" s="88">
        <f t="shared" si="309"/>
        <v>82.079343365253081</v>
      </c>
      <c r="V1269" s="82"/>
      <c r="X1269" s="195">
        <f t="shared" si="310"/>
        <v>82.079343365253081</v>
      </c>
      <c r="Y1269" s="29" t="e">
        <f>IF(+VLOOKUP(I1269,P.Referencia!E:S,3,FALSE)&lt;=L1269,"Champion","Gerente")</f>
        <v>#N/A</v>
      </c>
      <c r="Z1269" s="30" t="e">
        <f>VLOOKUP(I1269,P.Referencia!E:S,3,0)</f>
        <v>#N/A</v>
      </c>
      <c r="AA1269" s="196" t="e">
        <f t="shared" si="311"/>
        <v>#N/A</v>
      </c>
      <c r="AB1269" s="197" t="e">
        <f t="shared" si="312"/>
        <v>#N/A</v>
      </c>
      <c r="AC1269" s="197" t="e">
        <f t="shared" si="313"/>
        <v>#N/A</v>
      </c>
    </row>
    <row r="1270" spans="1:29" hidden="1" x14ac:dyDescent="0.25">
      <c r="A1270" s="24">
        <v>1269</v>
      </c>
      <c r="B1270" s="89" t="s">
        <v>1001</v>
      </c>
      <c r="C1270" s="4" t="str">
        <f t="shared" si="307"/>
        <v>LlaveDU076737921310000106</v>
      </c>
      <c r="D1270" s="25" t="str">
        <f>VLOOKUP(E1270,'NO MODIFICAR'!J:K,2,0)</f>
        <v>DU07</v>
      </c>
      <c r="E1270" s="102" t="s">
        <v>87</v>
      </c>
      <c r="F1270" s="25" t="str">
        <f>VLOOKUP(D1270,'NO MODIFICAR'!F:H,3,0)</f>
        <v>SURESTE</v>
      </c>
      <c r="G1270" s="92">
        <v>67379213</v>
      </c>
      <c r="H1270" s="92" t="s">
        <v>1018</v>
      </c>
      <c r="I1270" s="94">
        <v>10000106</v>
      </c>
      <c r="J1270" s="4" t="str">
        <f>VLOOKUP(I1270,'Materiales,canteras'!C:D,2,0)</f>
        <v>Crudo Caliza</v>
      </c>
      <c r="K1270" s="25">
        <f>VLOOKUP(I1270,'Materiales,canteras'!C:E,3,0)</f>
        <v>1.3</v>
      </c>
      <c r="L1270" s="82">
        <v>88.461538461538453</v>
      </c>
      <c r="M1270" s="28" t="s">
        <v>93</v>
      </c>
      <c r="N1270" s="193">
        <f t="shared" ca="1" si="306"/>
        <v>46267</v>
      </c>
      <c r="O1270" s="24" t="s">
        <v>798</v>
      </c>
      <c r="P1270" s="4"/>
      <c r="Q1270" s="4"/>
      <c r="R1270" s="4"/>
      <c r="S1270" s="4">
        <v>95</v>
      </c>
      <c r="T1270" s="303">
        <f t="shared" si="308"/>
        <v>-6.5384615384615472</v>
      </c>
      <c r="U1270" s="88">
        <f t="shared" si="309"/>
        <v>88.461538461538453</v>
      </c>
      <c r="V1270" s="82"/>
      <c r="X1270" s="195">
        <f t="shared" si="310"/>
        <v>88.461538461538453</v>
      </c>
      <c r="Y1270" s="29" t="e">
        <f>IF(+VLOOKUP(I1270,P.Referencia!E:S,3,FALSE)&lt;=L1270,"Champion","Gerente")</f>
        <v>#N/A</v>
      </c>
      <c r="Z1270" s="30" t="e">
        <f>VLOOKUP(I1270,P.Referencia!E:S,3,0)</f>
        <v>#N/A</v>
      </c>
      <c r="AA1270" s="196" t="e">
        <f t="shared" si="311"/>
        <v>#N/A</v>
      </c>
      <c r="AB1270" s="197" t="e">
        <f t="shared" si="312"/>
        <v>#N/A</v>
      </c>
      <c r="AC1270" s="197" t="e">
        <f t="shared" si="313"/>
        <v>#N/A</v>
      </c>
    </row>
    <row r="1271" spans="1:29" hidden="1" x14ac:dyDescent="0.25">
      <c r="A1271" s="24">
        <v>1270</v>
      </c>
      <c r="B1271" s="89" t="s">
        <v>1001</v>
      </c>
      <c r="C1271" s="4" t="str">
        <f t="shared" si="307"/>
        <v>LlaveDU076689697410000106</v>
      </c>
      <c r="D1271" s="25" t="str">
        <f>VLOOKUP(E1271,'NO MODIFICAR'!J:K,2,0)</f>
        <v>DU07</v>
      </c>
      <c r="E1271" s="102" t="s">
        <v>87</v>
      </c>
      <c r="F1271" s="25" t="str">
        <f>VLOOKUP(D1271,'NO MODIFICAR'!F:H,3,0)</f>
        <v>SURESTE</v>
      </c>
      <c r="G1271" s="92">
        <v>66896974</v>
      </c>
      <c r="H1271" s="92" t="s">
        <v>1009</v>
      </c>
      <c r="I1271" s="94">
        <v>10000106</v>
      </c>
      <c r="J1271" s="4" t="str">
        <f>VLOOKUP(I1271,'Materiales,canteras'!C:D,2,0)</f>
        <v>Crudo Caliza</v>
      </c>
      <c r="K1271" s="25">
        <f>VLOOKUP(I1271,'Materiales,canteras'!C:E,3,0)</f>
        <v>1.3</v>
      </c>
      <c r="L1271" s="82">
        <v>88.46</v>
      </c>
      <c r="M1271" s="28" t="s">
        <v>93</v>
      </c>
      <c r="N1271" s="193">
        <f t="shared" ca="1" si="306"/>
        <v>46267</v>
      </c>
      <c r="O1271" s="24" t="s">
        <v>799</v>
      </c>
      <c r="P1271" s="4"/>
      <c r="Q1271" s="4"/>
      <c r="R1271" s="4"/>
      <c r="S1271" s="4">
        <v>95</v>
      </c>
      <c r="T1271" s="303">
        <f t="shared" si="308"/>
        <v>-6.5400000000000063</v>
      </c>
      <c r="U1271" s="88">
        <f t="shared" si="309"/>
        <v>88.46</v>
      </c>
      <c r="V1271" s="82"/>
      <c r="X1271" s="195">
        <f t="shared" si="310"/>
        <v>88.46</v>
      </c>
      <c r="Y1271" s="29" t="e">
        <f>IF(+VLOOKUP(I1271,P.Referencia!E:S,3,FALSE)&lt;=L1271,"Champion","Gerente")</f>
        <v>#N/A</v>
      </c>
      <c r="Z1271" s="30" t="e">
        <f>VLOOKUP(I1271,P.Referencia!E:S,3,0)</f>
        <v>#N/A</v>
      </c>
      <c r="AA1271" s="196" t="e">
        <f t="shared" si="311"/>
        <v>#N/A</v>
      </c>
      <c r="AB1271" s="197" t="e">
        <f t="shared" si="312"/>
        <v>#N/A</v>
      </c>
      <c r="AC1271" s="197" t="e">
        <f t="shared" si="313"/>
        <v>#N/A</v>
      </c>
    </row>
    <row r="1272" spans="1:29" hidden="1" x14ac:dyDescent="0.25">
      <c r="A1272" s="24">
        <v>1271</v>
      </c>
      <c r="B1272" s="89" t="s">
        <v>1001</v>
      </c>
      <c r="C1272" s="4" t="str">
        <f t="shared" si="307"/>
        <v>LlaveD81667367102100001242</v>
      </c>
      <c r="D1272" s="25" t="str">
        <f>VLOOKUP(E1272,'NO MODIFICAR'!J:K,2,0)</f>
        <v>D816</v>
      </c>
      <c r="E1272" s="102" t="s">
        <v>15</v>
      </c>
      <c r="F1272" s="25" t="str">
        <f>VLOOKUP(D1272,'NO MODIFICAR'!F:H,3,0)</f>
        <v>NORESTE</v>
      </c>
      <c r="G1272" s="92">
        <v>67367102</v>
      </c>
      <c r="H1272" s="92" t="s">
        <v>1019</v>
      </c>
      <c r="I1272" s="94">
        <v>10000124</v>
      </c>
      <c r="J1272" s="4" t="str">
        <f>VLOOKUP(I1272,'Materiales,canteras'!C:D,2,0)</f>
        <v>Arena Triturada Caliza Malla 4</v>
      </c>
      <c r="K1272" s="25">
        <f>VLOOKUP(I1272,'Materiales,canteras'!C:E,3,0)</f>
        <v>1.7390000000000001</v>
      </c>
      <c r="L1272" s="82">
        <v>305</v>
      </c>
      <c r="M1272" s="28" t="s">
        <v>93</v>
      </c>
      <c r="N1272" s="193">
        <f t="shared" ca="1" si="306"/>
        <v>46267</v>
      </c>
      <c r="O1272" s="24" t="s">
        <v>800</v>
      </c>
      <c r="P1272" s="4"/>
      <c r="Q1272" s="4"/>
      <c r="R1272" s="4">
        <v>7.94</v>
      </c>
      <c r="S1272" s="4">
        <f>495+34.65</f>
        <v>529.65</v>
      </c>
      <c r="T1272" s="303">
        <f t="shared" si="308"/>
        <v>-216.70999999999992</v>
      </c>
      <c r="U1272" s="88">
        <f t="shared" si="309"/>
        <v>305</v>
      </c>
      <c r="V1272" s="82">
        <v>0</v>
      </c>
      <c r="W1272" s="4">
        <v>2</v>
      </c>
      <c r="X1272" s="195">
        <f t="shared" si="310"/>
        <v>305</v>
      </c>
      <c r="Y1272" s="29" t="e">
        <f>IF(+VLOOKUP(I1272,P.Referencia!E:S,3,FALSE)&lt;=L1272,"Champion","Gerente")</f>
        <v>#N/A</v>
      </c>
      <c r="Z1272" s="30" t="e">
        <f>VLOOKUP(I1272,P.Referencia!E:S,3,0)</f>
        <v>#N/A</v>
      </c>
      <c r="AA1272" s="196" t="e">
        <f t="shared" si="311"/>
        <v>#N/A</v>
      </c>
      <c r="AB1272" s="197" t="e">
        <f t="shared" si="312"/>
        <v>#N/A</v>
      </c>
      <c r="AC1272" s="197" t="e">
        <f t="shared" si="313"/>
        <v>#N/A</v>
      </c>
    </row>
    <row r="1273" spans="1:29" hidden="1" x14ac:dyDescent="0.25">
      <c r="A1273" s="24">
        <v>1272</v>
      </c>
      <c r="B1273" s="89" t="s">
        <v>1001</v>
      </c>
      <c r="C1273" s="4" t="str">
        <f t="shared" si="307"/>
        <v>LlaveD86467379656100010732</v>
      </c>
      <c r="D1273" s="25" t="str">
        <f>VLOOKUP(E1273,'NO MODIFICAR'!J:K,2,0)</f>
        <v>D864</v>
      </c>
      <c r="E1273" s="102" t="s">
        <v>55</v>
      </c>
      <c r="F1273" s="25" t="str">
        <f>VLOOKUP(D1273,'NO MODIFICAR'!F:H,3,0)</f>
        <v xml:space="preserve">CENTRO </v>
      </c>
      <c r="G1273" s="92" t="s">
        <v>1020</v>
      </c>
      <c r="H1273" s="92" t="s">
        <v>1021</v>
      </c>
      <c r="I1273" s="94">
        <v>10001073</v>
      </c>
      <c r="J1273" s="4" t="str">
        <f>VLOOKUP(I1273,'Materiales,canteras'!C:D,2,0)</f>
        <v>Arena Triturada Caliza Malla 4</v>
      </c>
      <c r="K1273" s="25">
        <f>VLOOKUP(I1273,'Materiales,canteras'!C:E,3,0)</f>
        <v>1.56</v>
      </c>
      <c r="L1273" s="82">
        <v>98</v>
      </c>
      <c r="M1273" s="28" t="s">
        <v>93</v>
      </c>
      <c r="N1273" s="193">
        <f t="shared" ca="1" si="306"/>
        <v>46267</v>
      </c>
      <c r="O1273" s="24" t="s">
        <v>801</v>
      </c>
      <c r="P1273" s="4"/>
      <c r="Q1273" s="4"/>
      <c r="R1273" s="4">
        <v>2.37</v>
      </c>
      <c r="S1273" s="4">
        <v>158</v>
      </c>
      <c r="T1273" s="303">
        <f t="shared" si="308"/>
        <v>-57.629999999999995</v>
      </c>
      <c r="U1273" s="88">
        <f t="shared" si="309"/>
        <v>98</v>
      </c>
      <c r="V1273" s="82">
        <v>0</v>
      </c>
      <c r="W1273" s="4">
        <v>2</v>
      </c>
      <c r="X1273" s="195">
        <f t="shared" si="310"/>
        <v>98</v>
      </c>
      <c r="Y1273" s="29" t="e">
        <f>IF(+VLOOKUP(I1273,P.Referencia!E:S,3,FALSE)&lt;=L1273,"Champion","Gerente")</f>
        <v>#N/A</v>
      </c>
      <c r="Z1273" s="30" t="e">
        <f>VLOOKUP(I1273,P.Referencia!E:S,3,0)</f>
        <v>#N/A</v>
      </c>
      <c r="AA1273" s="196" t="e">
        <f t="shared" si="311"/>
        <v>#N/A</v>
      </c>
      <c r="AB1273" s="197" t="e">
        <f t="shared" si="312"/>
        <v>#N/A</v>
      </c>
      <c r="AC1273" s="197" t="e">
        <f t="shared" si="313"/>
        <v>#N/A</v>
      </c>
    </row>
    <row r="1274" spans="1:29" hidden="1" x14ac:dyDescent="0.25">
      <c r="A1274" s="24">
        <v>1273</v>
      </c>
      <c r="B1274" s="89" t="s">
        <v>1001</v>
      </c>
      <c r="C1274" s="4" t="str">
        <f t="shared" si="307"/>
        <v>LlaveD86467379656100002402</v>
      </c>
      <c r="D1274" s="25" t="str">
        <f>VLOOKUP(E1274,'NO MODIFICAR'!J:K,2,0)</f>
        <v>D864</v>
      </c>
      <c r="E1274" s="102" t="s">
        <v>55</v>
      </c>
      <c r="F1274" s="25" t="str">
        <f>VLOOKUP(D1274,'NO MODIFICAR'!F:H,3,0)</f>
        <v xml:space="preserve">CENTRO </v>
      </c>
      <c r="G1274" s="92" t="s">
        <v>1020</v>
      </c>
      <c r="H1274" s="92" t="s">
        <v>1021</v>
      </c>
      <c r="I1274" s="94">
        <v>10000240</v>
      </c>
      <c r="J1274" s="4" t="str">
        <f>VLOOKUP(I1274,'Materiales,canteras'!C:D,2,0)</f>
        <v>Grava Triturada Caliza 20 mm -</v>
      </c>
      <c r="K1274" s="25">
        <f>VLOOKUP(I1274,'Materiales,canteras'!C:E,3,0)</f>
        <v>1.462</v>
      </c>
      <c r="L1274" s="82">
        <v>136</v>
      </c>
      <c r="M1274" s="28" t="s">
        <v>93</v>
      </c>
      <c r="N1274" s="193">
        <f t="shared" ca="1" si="306"/>
        <v>46267</v>
      </c>
      <c r="O1274" s="24" t="s">
        <v>802</v>
      </c>
      <c r="P1274" s="4"/>
      <c r="Q1274" s="4"/>
      <c r="R1274" s="4">
        <v>4.41</v>
      </c>
      <c r="S1274" s="4">
        <v>294</v>
      </c>
      <c r="T1274" s="303">
        <f t="shared" si="308"/>
        <v>-153.58999999999997</v>
      </c>
      <c r="U1274" s="88">
        <f t="shared" si="309"/>
        <v>136</v>
      </c>
      <c r="V1274" s="82">
        <v>0</v>
      </c>
      <c r="W1274" s="4">
        <v>2</v>
      </c>
      <c r="X1274" s="195">
        <f t="shared" si="310"/>
        <v>136</v>
      </c>
      <c r="Y1274" s="29" t="e">
        <f>IF(+VLOOKUP(I1274,P.Referencia!E:S,3,FALSE)&lt;=L1274,"Champion","Gerente")</f>
        <v>#N/A</v>
      </c>
      <c r="Z1274" s="30" t="e">
        <f>VLOOKUP(I1274,P.Referencia!E:S,3,0)</f>
        <v>#N/A</v>
      </c>
      <c r="AA1274" s="196" t="e">
        <f t="shared" si="311"/>
        <v>#N/A</v>
      </c>
      <c r="AB1274" s="197" t="e">
        <f t="shared" si="312"/>
        <v>#N/A</v>
      </c>
      <c r="AC1274" s="197" t="e">
        <f t="shared" si="313"/>
        <v>#N/A</v>
      </c>
    </row>
    <row r="1275" spans="1:29" hidden="1" x14ac:dyDescent="0.25">
      <c r="A1275" s="24">
        <v>1274</v>
      </c>
      <c r="B1275" s="89" t="s">
        <v>1001</v>
      </c>
      <c r="C1275" s="4" t="str">
        <f t="shared" si="307"/>
        <v>LlaveD86467379656100002362</v>
      </c>
      <c r="D1275" s="25" t="str">
        <f>VLOOKUP(E1275,'NO MODIFICAR'!J:K,2,0)</f>
        <v>D864</v>
      </c>
      <c r="E1275" s="102" t="s">
        <v>55</v>
      </c>
      <c r="F1275" s="25" t="str">
        <f>VLOOKUP(D1275,'NO MODIFICAR'!F:H,3,0)</f>
        <v xml:space="preserve">CENTRO </v>
      </c>
      <c r="G1275" s="92" t="s">
        <v>1020</v>
      </c>
      <c r="H1275" s="92" t="s">
        <v>1021</v>
      </c>
      <c r="I1275" s="94">
        <v>10000236</v>
      </c>
      <c r="J1275" s="4" t="str">
        <f>VLOOKUP(I1275,'Materiales,canteras'!C:D,2,0)</f>
        <v>Grava Triturada Caliza 10 mm -</v>
      </c>
      <c r="K1275" s="25">
        <f>VLOOKUP(I1275,'Materiales,canteras'!C:E,3,0)</f>
        <v>1.41</v>
      </c>
      <c r="L1275" s="82">
        <v>129</v>
      </c>
      <c r="M1275" s="28" t="s">
        <v>93</v>
      </c>
      <c r="N1275" s="193">
        <f t="shared" ca="1" si="306"/>
        <v>46267</v>
      </c>
      <c r="O1275" s="24" t="s">
        <v>803</v>
      </c>
      <c r="P1275" s="4"/>
      <c r="Q1275" s="4"/>
      <c r="R1275" s="4">
        <v>3.78</v>
      </c>
      <c r="S1275" s="4">
        <v>252</v>
      </c>
      <c r="T1275" s="303">
        <f t="shared" si="308"/>
        <v>-119.22</v>
      </c>
      <c r="U1275" s="88">
        <f t="shared" si="309"/>
        <v>129</v>
      </c>
      <c r="V1275" s="82">
        <v>0</v>
      </c>
      <c r="W1275" s="4">
        <v>2</v>
      </c>
      <c r="X1275" s="195">
        <f t="shared" si="310"/>
        <v>129</v>
      </c>
      <c r="Y1275" s="29" t="e">
        <f>IF(+VLOOKUP(I1275,P.Referencia!E:S,3,FALSE)&lt;=L1275,"Champion","Gerente")</f>
        <v>#N/A</v>
      </c>
      <c r="Z1275" s="30" t="e">
        <f>VLOOKUP(I1275,P.Referencia!E:S,3,0)</f>
        <v>#N/A</v>
      </c>
      <c r="AA1275" s="196" t="e">
        <f t="shared" si="311"/>
        <v>#N/A</v>
      </c>
      <c r="AB1275" s="197" t="e">
        <f t="shared" si="312"/>
        <v>#N/A</v>
      </c>
      <c r="AC1275" s="197" t="e">
        <f t="shared" si="313"/>
        <v>#N/A</v>
      </c>
    </row>
    <row r="1276" spans="1:29" hidden="1" x14ac:dyDescent="0.25">
      <c r="A1276" s="24">
        <v>1275</v>
      </c>
      <c r="B1276" s="89" t="s">
        <v>1001</v>
      </c>
      <c r="C1276" s="4" t="str">
        <f t="shared" si="307"/>
        <v>LlaveD861D059100002291</v>
      </c>
      <c r="D1276" s="25" t="str">
        <f>VLOOKUP(E1276,'NO MODIFICAR'!J:K,2,0)</f>
        <v>D861</v>
      </c>
      <c r="E1276" s="102" t="s">
        <v>44</v>
      </c>
      <c r="F1276" s="25" t="str">
        <f>VLOOKUP(D1276,'NO MODIFICAR'!F:H,3,0)</f>
        <v xml:space="preserve">CENTRO </v>
      </c>
      <c r="G1276" s="92" t="s">
        <v>1022</v>
      </c>
      <c r="H1276" s="92" t="s">
        <v>1023</v>
      </c>
      <c r="I1276" s="94">
        <v>10000229</v>
      </c>
      <c r="J1276" s="4" t="str">
        <f>VLOOKUP(I1276,'Materiales,canteras'!C:D,2,0)</f>
        <v>Grava Triturada Basalto  10 mm</v>
      </c>
      <c r="K1276" s="25">
        <f>VLOOKUP(I1276,'Materiales,canteras'!C:E,3,0)</f>
        <v>1.522</v>
      </c>
      <c r="L1276" s="82">
        <v>249.39</v>
      </c>
      <c r="M1276" s="28" t="s">
        <v>93</v>
      </c>
      <c r="N1276" s="193">
        <f t="shared" ca="1" si="306"/>
        <v>46267</v>
      </c>
      <c r="O1276" s="24" t="s">
        <v>804</v>
      </c>
      <c r="P1276" s="4"/>
      <c r="Q1276" s="4"/>
      <c r="R1276" s="4"/>
      <c r="T1276" s="303">
        <f t="shared" si="308"/>
        <v>249.39</v>
      </c>
      <c r="U1276" s="88">
        <f t="shared" si="309"/>
        <v>249.39</v>
      </c>
      <c r="V1276" s="82">
        <v>210</v>
      </c>
      <c r="W1276" s="4">
        <v>1</v>
      </c>
      <c r="X1276" s="195">
        <f t="shared" si="310"/>
        <v>459.39</v>
      </c>
      <c r="Y1276" s="29" t="e">
        <f>IF(+VLOOKUP(I1276,P.Referencia!E:S,3,FALSE)&lt;=L1276,"Champion","Gerente")</f>
        <v>#N/A</v>
      </c>
      <c r="Z1276" s="30" t="e">
        <f>VLOOKUP(I1276,P.Referencia!E:S,3,0)</f>
        <v>#N/A</v>
      </c>
      <c r="AA1276" s="196" t="e">
        <f t="shared" si="311"/>
        <v>#N/A</v>
      </c>
      <c r="AB1276" s="197" t="e">
        <f t="shared" si="312"/>
        <v>#N/A</v>
      </c>
      <c r="AC1276" s="197" t="e">
        <f t="shared" si="313"/>
        <v>#N/A</v>
      </c>
    </row>
    <row r="1277" spans="1:29" hidden="1" x14ac:dyDescent="0.25">
      <c r="A1277" s="24">
        <v>1276</v>
      </c>
      <c r="B1277" s="89" t="s">
        <v>1001</v>
      </c>
      <c r="C1277" s="4" t="str">
        <f t="shared" si="307"/>
        <v>LlaveD89367134135100512952</v>
      </c>
      <c r="D1277" s="25" t="str">
        <f>VLOOKUP(E1277,'NO MODIFICAR'!J:K,2,0)</f>
        <v>D893</v>
      </c>
      <c r="E1277" s="102" t="s">
        <v>253</v>
      </c>
      <c r="F1277" s="25" t="str">
        <f>VLOOKUP(D1277,'NO MODIFICAR'!F:H,3,0)</f>
        <v>NORESTE</v>
      </c>
      <c r="G1277" s="92" t="s">
        <v>1024</v>
      </c>
      <c r="H1277" s="92" t="s">
        <v>1025</v>
      </c>
      <c r="I1277" s="94">
        <v>10051295</v>
      </c>
      <c r="J1277" s="4" t="str">
        <f>VLOOKUP(I1277,'Materiales,canteras'!C:D,2,0)</f>
        <v>Grava Triturada Basalto 10 mm</v>
      </c>
      <c r="K1277" s="25">
        <f>VLOOKUP(I1277,'Materiales,canteras'!C:E,3,0)</f>
        <v>1.2529999999999999</v>
      </c>
      <c r="L1277" s="82">
        <v>290</v>
      </c>
      <c r="M1277" s="28" t="s">
        <v>93</v>
      </c>
      <c r="N1277" s="193">
        <f t="shared" ca="1" si="306"/>
        <v>46267</v>
      </c>
      <c r="O1277" s="24" t="s">
        <v>805</v>
      </c>
      <c r="P1277" s="4"/>
      <c r="Q1277" s="4"/>
      <c r="R1277" s="4">
        <v>11.85</v>
      </c>
      <c r="S1277" s="4">
        <v>395</v>
      </c>
      <c r="T1277" s="303">
        <f t="shared" si="308"/>
        <v>-93.149999999999977</v>
      </c>
      <c r="U1277" s="88">
        <f t="shared" si="309"/>
        <v>290</v>
      </c>
      <c r="V1277" s="82">
        <v>0</v>
      </c>
      <c r="W1277" s="4">
        <v>2</v>
      </c>
      <c r="X1277" s="195">
        <f t="shared" si="310"/>
        <v>290</v>
      </c>
      <c r="Y1277" s="29" t="e">
        <f>IF(+VLOOKUP(I1277,P.Referencia!E:S,3,FALSE)&lt;=L1277,"Champion","Gerente")</f>
        <v>#N/A</v>
      </c>
      <c r="Z1277" s="30" t="e">
        <f>VLOOKUP(I1277,P.Referencia!E:S,3,0)</f>
        <v>#N/A</v>
      </c>
      <c r="AA1277" s="196" t="e">
        <f t="shared" si="311"/>
        <v>#N/A</v>
      </c>
      <c r="AB1277" s="197" t="e">
        <f t="shared" si="312"/>
        <v>#N/A</v>
      </c>
      <c r="AC1277" s="197" t="e">
        <f t="shared" si="313"/>
        <v>#N/A</v>
      </c>
    </row>
    <row r="1278" spans="1:29" hidden="1" x14ac:dyDescent="0.25">
      <c r="A1278" s="24">
        <v>1277</v>
      </c>
      <c r="B1278" s="89" t="s">
        <v>1001</v>
      </c>
      <c r="C1278" s="4" t="str">
        <f t="shared" si="307"/>
        <v>LlaveD89367347643100512952</v>
      </c>
      <c r="D1278" s="25" t="str">
        <f>VLOOKUP(E1278,'NO MODIFICAR'!J:K,2,0)</f>
        <v>D893</v>
      </c>
      <c r="E1278" s="102" t="s">
        <v>253</v>
      </c>
      <c r="F1278" s="25" t="str">
        <f>VLOOKUP(D1278,'NO MODIFICAR'!F:H,3,0)</f>
        <v>NORESTE</v>
      </c>
      <c r="G1278" s="92" t="s">
        <v>1026</v>
      </c>
      <c r="H1278" s="92" t="s">
        <v>1027</v>
      </c>
      <c r="I1278" s="94">
        <v>10051295</v>
      </c>
      <c r="J1278" s="4" t="str">
        <f>VLOOKUP(I1278,'Materiales,canteras'!C:D,2,0)</f>
        <v>Grava Triturada Basalto 10 mm</v>
      </c>
      <c r="K1278" s="25">
        <f>VLOOKUP(I1278,'Materiales,canteras'!C:E,3,0)</f>
        <v>1.2529999999999999</v>
      </c>
      <c r="L1278" s="82">
        <v>260</v>
      </c>
      <c r="M1278" s="28" t="s">
        <v>93</v>
      </c>
      <c r="N1278" s="193">
        <f t="shared" ca="1" si="306"/>
        <v>46267</v>
      </c>
      <c r="O1278" s="24" t="s">
        <v>806</v>
      </c>
      <c r="P1278" s="4"/>
      <c r="Q1278" s="4"/>
      <c r="R1278" s="4">
        <v>5.93</v>
      </c>
      <c r="S1278" s="4">
        <v>395</v>
      </c>
      <c r="T1278" s="303">
        <f t="shared" si="308"/>
        <v>-129.07</v>
      </c>
      <c r="U1278" s="88">
        <f t="shared" si="309"/>
        <v>260</v>
      </c>
      <c r="V1278" s="82">
        <v>0</v>
      </c>
      <c r="W1278" s="4">
        <v>2</v>
      </c>
      <c r="X1278" s="195">
        <f t="shared" si="310"/>
        <v>260</v>
      </c>
      <c r="Y1278" s="29" t="e">
        <f>IF(+VLOOKUP(I1278,P.Referencia!E:S,3,FALSE)&lt;=L1278,"Champion","Gerente")</f>
        <v>#N/A</v>
      </c>
      <c r="Z1278" s="30" t="e">
        <f>VLOOKUP(I1278,P.Referencia!E:S,3,0)</f>
        <v>#N/A</v>
      </c>
      <c r="AA1278" s="196" t="e">
        <f t="shared" si="311"/>
        <v>#N/A</v>
      </c>
      <c r="AB1278" s="197" t="e">
        <f t="shared" si="312"/>
        <v>#N/A</v>
      </c>
      <c r="AC1278" s="197" t="e">
        <f t="shared" si="313"/>
        <v>#N/A</v>
      </c>
    </row>
    <row r="1279" spans="1:29" hidden="1" x14ac:dyDescent="0.25">
      <c r="A1279" s="24">
        <v>1278</v>
      </c>
      <c r="B1279" s="89" t="s">
        <v>1001</v>
      </c>
      <c r="C1279" s="4" t="str">
        <f t="shared" si="307"/>
        <v>LlaveD89367022779100512952</v>
      </c>
      <c r="D1279" s="25" t="str">
        <f>VLOOKUP(E1279,'NO MODIFICAR'!J:K,2,0)</f>
        <v>D893</v>
      </c>
      <c r="E1279" s="102" t="s">
        <v>253</v>
      </c>
      <c r="F1279" s="25" t="str">
        <f>VLOOKUP(D1279,'NO MODIFICAR'!F:H,3,0)</f>
        <v>NORESTE</v>
      </c>
      <c r="G1279" s="92" t="s">
        <v>1028</v>
      </c>
      <c r="H1279" s="92" t="s">
        <v>1029</v>
      </c>
      <c r="I1279" s="94">
        <v>10051295</v>
      </c>
      <c r="J1279" s="4" t="str">
        <f>VLOOKUP(I1279,'Materiales,canteras'!C:D,2,0)</f>
        <v>Grava Triturada Basalto 10 mm</v>
      </c>
      <c r="K1279" s="25">
        <f>VLOOKUP(I1279,'Materiales,canteras'!C:E,3,0)</f>
        <v>1.2529999999999999</v>
      </c>
      <c r="L1279" s="82">
        <v>280</v>
      </c>
      <c r="M1279" s="28" t="s">
        <v>93</v>
      </c>
      <c r="N1279" s="193">
        <f t="shared" ca="1" si="306"/>
        <v>46267</v>
      </c>
      <c r="O1279" s="24" t="s">
        <v>807</v>
      </c>
      <c r="P1279" s="4"/>
      <c r="Q1279" s="4"/>
      <c r="R1279" s="4"/>
      <c r="S1279" s="4">
        <v>395</v>
      </c>
      <c r="T1279" s="303">
        <f t="shared" si="308"/>
        <v>-115</v>
      </c>
      <c r="U1279" s="88">
        <f t="shared" si="309"/>
        <v>280</v>
      </c>
      <c r="V1279" s="82">
        <v>0</v>
      </c>
      <c r="W1279" s="4">
        <v>2</v>
      </c>
      <c r="X1279" s="195">
        <f t="shared" si="310"/>
        <v>280</v>
      </c>
      <c r="Y1279" s="29" t="e">
        <f>IF(+VLOOKUP(I1279,P.Referencia!E:S,3,FALSE)&lt;=L1279,"Champion","Gerente")</f>
        <v>#N/A</v>
      </c>
      <c r="Z1279" s="30" t="e">
        <f>VLOOKUP(I1279,P.Referencia!E:S,3,0)</f>
        <v>#N/A</v>
      </c>
      <c r="AA1279" s="196" t="e">
        <f t="shared" si="311"/>
        <v>#N/A</v>
      </c>
      <c r="AB1279" s="197" t="e">
        <f t="shared" si="312"/>
        <v>#N/A</v>
      </c>
      <c r="AC1279" s="197" t="e">
        <f t="shared" si="313"/>
        <v>#N/A</v>
      </c>
    </row>
    <row r="1280" spans="1:29" hidden="1" x14ac:dyDescent="0.25">
      <c r="A1280" s="24">
        <v>1279</v>
      </c>
      <c r="B1280" s="89" t="s">
        <v>1001</v>
      </c>
      <c r="C1280" s="4" t="str">
        <f t="shared" si="307"/>
        <v>LlaveD89367246784100512952</v>
      </c>
      <c r="D1280" s="25" t="str">
        <f>VLOOKUP(E1280,'NO MODIFICAR'!J:K,2,0)</f>
        <v>D893</v>
      </c>
      <c r="E1280" s="102" t="s">
        <v>253</v>
      </c>
      <c r="F1280" s="25" t="str">
        <f>VLOOKUP(D1280,'NO MODIFICAR'!F:H,3,0)</f>
        <v>NORESTE</v>
      </c>
      <c r="G1280" s="92" t="s">
        <v>1030</v>
      </c>
      <c r="H1280" s="92" t="s">
        <v>980</v>
      </c>
      <c r="I1280" s="94">
        <v>10051295</v>
      </c>
      <c r="J1280" s="4" t="str">
        <f>VLOOKUP(I1280,'Materiales,canteras'!C:D,2,0)</f>
        <v>Grava Triturada Basalto 10 mm</v>
      </c>
      <c r="K1280" s="25">
        <f>VLOOKUP(I1280,'Materiales,canteras'!C:E,3,0)</f>
        <v>1.2529999999999999</v>
      </c>
      <c r="L1280" s="82">
        <v>260</v>
      </c>
      <c r="M1280" s="28" t="s">
        <v>93</v>
      </c>
      <c r="N1280" s="193">
        <f t="shared" ca="1" si="306"/>
        <v>46267</v>
      </c>
      <c r="O1280" s="24" t="s">
        <v>808</v>
      </c>
      <c r="P1280" s="4"/>
      <c r="Q1280" s="4"/>
      <c r="R1280" s="4"/>
      <c r="S1280" s="4">
        <v>395</v>
      </c>
      <c r="T1280" s="303">
        <f t="shared" si="308"/>
        <v>-135</v>
      </c>
      <c r="U1280" s="88">
        <f t="shared" si="309"/>
        <v>260</v>
      </c>
      <c r="V1280" s="82">
        <v>0</v>
      </c>
      <c r="W1280" s="4">
        <v>2</v>
      </c>
      <c r="X1280" s="195">
        <f t="shared" si="310"/>
        <v>260</v>
      </c>
      <c r="Y1280" s="29" t="e">
        <f>IF(+VLOOKUP(I1280,P.Referencia!E:S,3,FALSE)&lt;=L1280,"Champion","Gerente")</f>
        <v>#N/A</v>
      </c>
      <c r="Z1280" s="30" t="e">
        <f>VLOOKUP(I1280,P.Referencia!E:S,3,0)</f>
        <v>#N/A</v>
      </c>
      <c r="AA1280" s="196" t="e">
        <f t="shared" si="311"/>
        <v>#N/A</v>
      </c>
      <c r="AB1280" s="197" t="e">
        <f t="shared" si="312"/>
        <v>#N/A</v>
      </c>
      <c r="AC1280" s="197" t="e">
        <f t="shared" si="313"/>
        <v>#N/A</v>
      </c>
    </row>
    <row r="1281" spans="1:29" hidden="1" x14ac:dyDescent="0.25">
      <c r="A1281" s="24">
        <v>1280</v>
      </c>
      <c r="B1281" s="89" t="s">
        <v>1001</v>
      </c>
      <c r="C1281" s="4" t="str">
        <f t="shared" si="307"/>
        <v>LlaveD89367229808100512952</v>
      </c>
      <c r="D1281" s="25" t="str">
        <f>VLOOKUP(E1281,'NO MODIFICAR'!J:K,2,0)</f>
        <v>D893</v>
      </c>
      <c r="E1281" s="102" t="s">
        <v>253</v>
      </c>
      <c r="F1281" s="25" t="str">
        <f>VLOOKUP(D1281,'NO MODIFICAR'!F:H,3,0)</f>
        <v>NORESTE</v>
      </c>
      <c r="G1281" s="92" t="s">
        <v>1031</v>
      </c>
      <c r="H1281" s="92" t="s">
        <v>1032</v>
      </c>
      <c r="I1281" s="94">
        <v>10051295</v>
      </c>
      <c r="J1281" s="4" t="str">
        <f>VLOOKUP(I1281,'Materiales,canteras'!C:D,2,0)</f>
        <v>Grava Triturada Basalto 10 mm</v>
      </c>
      <c r="K1281" s="25">
        <f>VLOOKUP(I1281,'Materiales,canteras'!C:E,3,0)</f>
        <v>1.2529999999999999</v>
      </c>
      <c r="L1281" s="82">
        <v>260</v>
      </c>
      <c r="M1281" s="28" t="s">
        <v>93</v>
      </c>
      <c r="N1281" s="193">
        <f t="shared" ca="1" si="306"/>
        <v>46267</v>
      </c>
      <c r="O1281" s="24" t="s">
        <v>809</v>
      </c>
      <c r="P1281" s="4"/>
      <c r="Q1281" s="4"/>
      <c r="R1281" s="4"/>
      <c r="S1281" s="4">
        <v>395</v>
      </c>
      <c r="T1281" s="303">
        <f t="shared" si="308"/>
        <v>-135</v>
      </c>
      <c r="U1281" s="88">
        <f t="shared" si="309"/>
        <v>260</v>
      </c>
      <c r="V1281" s="82">
        <v>0</v>
      </c>
      <c r="W1281" s="4">
        <v>2</v>
      </c>
      <c r="X1281" s="195">
        <f t="shared" si="310"/>
        <v>260</v>
      </c>
      <c r="Y1281" s="29" t="e">
        <f>IF(+VLOOKUP(I1281,P.Referencia!E:S,3,FALSE)&lt;=L1281,"Champion","Gerente")</f>
        <v>#N/A</v>
      </c>
      <c r="Z1281" s="30" t="e">
        <f>VLOOKUP(I1281,P.Referencia!E:S,3,0)</f>
        <v>#N/A</v>
      </c>
      <c r="AA1281" s="196" t="e">
        <f t="shared" si="311"/>
        <v>#N/A</v>
      </c>
      <c r="AB1281" s="197" t="e">
        <f t="shared" si="312"/>
        <v>#N/A</v>
      </c>
      <c r="AC1281" s="197" t="e">
        <f t="shared" si="313"/>
        <v>#N/A</v>
      </c>
    </row>
    <row r="1282" spans="1:29" hidden="1" x14ac:dyDescent="0.25">
      <c r="A1282" s="24">
        <v>1281</v>
      </c>
      <c r="B1282" s="89" t="s">
        <v>1001</v>
      </c>
      <c r="C1282" s="4" t="str">
        <f t="shared" si="307"/>
        <v>LlaveD85267379109100389432</v>
      </c>
      <c r="D1282" s="25" t="str">
        <f>VLOOKUP(E1282,'NO MODIFICAR'!J:K,2,0)</f>
        <v>D852</v>
      </c>
      <c r="E1282" s="102" t="s">
        <v>36</v>
      </c>
      <c r="F1282" s="25" t="str">
        <f>VLOOKUP(D1282,'NO MODIFICAR'!F:H,3,0)</f>
        <v>NORESTE</v>
      </c>
      <c r="G1282" s="92">
        <v>67379109</v>
      </c>
      <c r="H1282" s="92" t="s">
        <v>1033</v>
      </c>
      <c r="I1282" s="94">
        <v>10038943</v>
      </c>
      <c r="J1282" s="4" t="str">
        <f>VLOOKUP(I1282,'Materiales,canteras'!C:D,2,0)</f>
        <v>Arena Triturada Caliza Malla 4</v>
      </c>
      <c r="K1282" s="25">
        <f>VLOOKUP(I1282,'Materiales,canteras'!C:E,3,0)</f>
        <v>1.61</v>
      </c>
      <c r="L1282" s="82">
        <v>140</v>
      </c>
      <c r="M1282" s="28" t="s">
        <v>93</v>
      </c>
      <c r="N1282" s="193">
        <f t="shared" ca="1" si="306"/>
        <v>46267</v>
      </c>
      <c r="O1282" s="24" t="s">
        <v>810</v>
      </c>
      <c r="P1282" s="4"/>
      <c r="Q1282" s="4"/>
      <c r="R1282" s="4">
        <v>2.6</v>
      </c>
      <c r="S1282" s="4">
        <v>173</v>
      </c>
      <c r="T1282" s="303">
        <f t="shared" si="308"/>
        <v>-30.400000000000006</v>
      </c>
      <c r="U1282" s="88">
        <f t="shared" si="309"/>
        <v>140</v>
      </c>
      <c r="V1282" s="82">
        <v>0</v>
      </c>
      <c r="W1282" s="4">
        <v>2</v>
      </c>
      <c r="X1282" s="195">
        <f t="shared" si="310"/>
        <v>140</v>
      </c>
      <c r="Y1282" s="29" t="e">
        <f>IF(+VLOOKUP(I1282,P.Referencia!E:S,3,FALSE)&lt;=L1282,"Champion","Gerente")</f>
        <v>#N/A</v>
      </c>
      <c r="Z1282" s="30" t="e">
        <f>VLOOKUP(I1282,P.Referencia!E:S,3,0)</f>
        <v>#N/A</v>
      </c>
      <c r="AA1282" s="196" t="e">
        <f t="shared" si="311"/>
        <v>#N/A</v>
      </c>
      <c r="AB1282" s="197" t="e">
        <f t="shared" si="312"/>
        <v>#N/A</v>
      </c>
      <c r="AC1282" s="197" t="e">
        <f t="shared" si="313"/>
        <v>#N/A</v>
      </c>
    </row>
    <row r="1283" spans="1:29" hidden="1" x14ac:dyDescent="0.25">
      <c r="A1283" s="24">
        <v>1282</v>
      </c>
      <c r="B1283" s="89" t="s">
        <v>1001</v>
      </c>
      <c r="C1283" s="4" t="str">
        <f t="shared" si="307"/>
        <v>LlaveD81666455997101641691</v>
      </c>
      <c r="D1283" s="25" t="str">
        <f>VLOOKUP(E1283,'NO MODIFICAR'!J:K,2,0)</f>
        <v>D816</v>
      </c>
      <c r="E1283" s="102" t="s">
        <v>15</v>
      </c>
      <c r="F1283" s="25" t="str">
        <f>VLOOKUP(D1283,'NO MODIFICAR'!F:H,3,0)</f>
        <v>NORESTE</v>
      </c>
      <c r="G1283" s="92">
        <v>66455997</v>
      </c>
      <c r="H1283" s="92" t="s">
        <v>1034</v>
      </c>
      <c r="I1283" s="94">
        <v>10164169</v>
      </c>
      <c r="J1283" s="4" t="str">
        <f>VLOOKUP(I1283,'Materiales,canteras'!C:D,2,0)</f>
        <v>ARENA TRITURADA CALIZA MALLA 4</v>
      </c>
      <c r="K1283" s="25">
        <f>VLOOKUP(I1283,'Materiales,canteras'!C:E,3,0)</f>
        <v>1.7390000000000001</v>
      </c>
      <c r="L1283" s="82">
        <v>299.60000000000002</v>
      </c>
      <c r="M1283" s="28" t="s">
        <v>93</v>
      </c>
      <c r="N1283" s="193">
        <f t="shared" ca="1" si="306"/>
        <v>46267</v>
      </c>
      <c r="O1283" s="24" t="s">
        <v>811</v>
      </c>
      <c r="P1283" s="4"/>
      <c r="Q1283" s="4"/>
      <c r="R1283" s="4"/>
      <c r="S1283" s="4">
        <v>201</v>
      </c>
      <c r="T1283" s="303">
        <f t="shared" si="308"/>
        <v>98.600000000000023</v>
      </c>
      <c r="U1283" s="88">
        <f t="shared" si="309"/>
        <v>299.60000000000002</v>
      </c>
      <c r="V1283" s="82">
        <v>78.62</v>
      </c>
      <c r="W1283" s="4">
        <v>1</v>
      </c>
      <c r="X1283" s="195">
        <f t="shared" si="310"/>
        <v>378.22</v>
      </c>
      <c r="Y1283" s="29" t="e">
        <f>IF(+VLOOKUP(I1283,P.Referencia!E:S,3,FALSE)&lt;=L1283,"Champion","Gerente")</f>
        <v>#N/A</v>
      </c>
      <c r="Z1283" s="30" t="e">
        <f>VLOOKUP(I1283,P.Referencia!E:S,3,0)</f>
        <v>#N/A</v>
      </c>
      <c r="AA1283" s="196" t="e">
        <f t="shared" si="311"/>
        <v>#N/A</v>
      </c>
      <c r="AB1283" s="197" t="e">
        <f t="shared" si="312"/>
        <v>#N/A</v>
      </c>
      <c r="AC1283" s="197" t="e">
        <f t="shared" si="313"/>
        <v>#N/A</v>
      </c>
    </row>
    <row r="1284" spans="1:29" hidden="1" x14ac:dyDescent="0.25">
      <c r="A1284" s="24">
        <v>1283</v>
      </c>
      <c r="B1284" s="89" t="s">
        <v>1001</v>
      </c>
      <c r="C1284" s="4" t="str">
        <f t="shared" si="307"/>
        <v>LlaveD86466857228100002361</v>
      </c>
      <c r="D1284" s="25" t="str">
        <f>VLOOKUP(E1284,'NO MODIFICAR'!J:K,2,0)</f>
        <v>D864</v>
      </c>
      <c r="E1284" s="102" t="s">
        <v>55</v>
      </c>
      <c r="F1284" s="25" t="str">
        <f>VLOOKUP(D1284,'NO MODIFICAR'!F:H,3,0)</f>
        <v xml:space="preserve">CENTRO </v>
      </c>
      <c r="G1284" s="92">
        <v>66857228</v>
      </c>
      <c r="H1284" s="92" t="s">
        <v>1035</v>
      </c>
      <c r="I1284" s="94">
        <v>10000236</v>
      </c>
      <c r="J1284" s="4" t="str">
        <f>VLOOKUP(I1284,'Materiales,canteras'!C:D,2,0)</f>
        <v>Grava Triturada Caliza 10 mm -</v>
      </c>
      <c r="K1284" s="25">
        <f>VLOOKUP(I1284,'Materiales,canteras'!C:E,3,0)</f>
        <v>1.41</v>
      </c>
      <c r="L1284" s="82">
        <v>170</v>
      </c>
      <c r="M1284" s="28" t="s">
        <v>93</v>
      </c>
      <c r="N1284" s="193">
        <f t="shared" ca="1" si="306"/>
        <v>46267</v>
      </c>
      <c r="O1284" s="24" t="s">
        <v>812</v>
      </c>
      <c r="P1284" s="4"/>
      <c r="Q1284" s="4"/>
      <c r="R1284" s="4"/>
      <c r="S1284" s="4">
        <v>252</v>
      </c>
      <c r="T1284" s="303">
        <f t="shared" si="308"/>
        <v>-82</v>
      </c>
      <c r="U1284" s="88">
        <f t="shared" si="309"/>
        <v>170</v>
      </c>
      <c r="V1284" s="82">
        <v>0</v>
      </c>
      <c r="W1284" s="4">
        <v>1</v>
      </c>
      <c r="X1284" s="195">
        <f t="shared" si="310"/>
        <v>170</v>
      </c>
      <c r="Y1284" s="29" t="e">
        <f>IF(+VLOOKUP(I1284,P.Referencia!E:S,3,FALSE)&lt;=L1284,"Champion","Gerente")</f>
        <v>#N/A</v>
      </c>
      <c r="Z1284" s="30" t="e">
        <f>VLOOKUP(I1284,P.Referencia!E:S,3,0)</f>
        <v>#N/A</v>
      </c>
      <c r="AA1284" s="196" t="e">
        <f t="shared" si="311"/>
        <v>#N/A</v>
      </c>
      <c r="AB1284" s="197" t="e">
        <f t="shared" si="312"/>
        <v>#N/A</v>
      </c>
      <c r="AC1284" s="197" t="e">
        <f t="shared" si="313"/>
        <v>#N/A</v>
      </c>
    </row>
    <row r="1285" spans="1:29" hidden="1" x14ac:dyDescent="0.25">
      <c r="A1285" s="24">
        <v>1284</v>
      </c>
      <c r="B1285" s="89" t="s">
        <v>1001</v>
      </c>
      <c r="C1285" s="4" t="str">
        <f t="shared" si="307"/>
        <v>LlaveD86467328835100002361</v>
      </c>
      <c r="D1285" s="25" t="str">
        <f>VLOOKUP(E1285,'NO MODIFICAR'!J:K,2,0)</f>
        <v>D864</v>
      </c>
      <c r="E1285" s="102" t="s">
        <v>55</v>
      </c>
      <c r="F1285" s="25" t="str">
        <f>VLOOKUP(D1285,'NO MODIFICAR'!F:H,3,0)</f>
        <v xml:space="preserve">CENTRO </v>
      </c>
      <c r="G1285" s="92">
        <v>67328835</v>
      </c>
      <c r="H1285" s="92" t="s">
        <v>502</v>
      </c>
      <c r="I1285" s="94">
        <v>10000236</v>
      </c>
      <c r="J1285" s="4" t="str">
        <f>VLOOKUP(I1285,'Materiales,canteras'!C:D,2,0)</f>
        <v>Grava Triturada Caliza 10 mm -</v>
      </c>
      <c r="K1285" s="25">
        <f>VLOOKUP(I1285,'Materiales,canteras'!C:E,3,0)</f>
        <v>1.41</v>
      </c>
      <c r="L1285" s="82">
        <v>170</v>
      </c>
      <c r="M1285" s="28" t="s">
        <v>93</v>
      </c>
      <c r="N1285" s="193">
        <f t="shared" ca="1" si="306"/>
        <v>46267</v>
      </c>
      <c r="O1285" s="24" t="s">
        <v>813</v>
      </c>
      <c r="P1285" s="4"/>
      <c r="Q1285" s="4"/>
      <c r="R1285" s="4"/>
      <c r="S1285" s="4">
        <v>252</v>
      </c>
      <c r="T1285" s="303">
        <f t="shared" si="308"/>
        <v>-82</v>
      </c>
      <c r="U1285" s="88">
        <f t="shared" si="309"/>
        <v>170</v>
      </c>
      <c r="V1285" s="82">
        <v>0</v>
      </c>
      <c r="W1285" s="4">
        <v>1</v>
      </c>
      <c r="X1285" s="195">
        <f t="shared" si="310"/>
        <v>170</v>
      </c>
      <c r="Y1285" s="29" t="e">
        <f>IF(+VLOOKUP(I1285,P.Referencia!E:S,3,FALSE)&lt;=L1285,"Champion","Gerente")</f>
        <v>#N/A</v>
      </c>
      <c r="Z1285" s="30" t="e">
        <f>VLOOKUP(I1285,P.Referencia!E:S,3,0)</f>
        <v>#N/A</v>
      </c>
      <c r="AA1285" s="196" t="e">
        <f t="shared" si="311"/>
        <v>#N/A</v>
      </c>
      <c r="AB1285" s="197" t="e">
        <f t="shared" si="312"/>
        <v>#N/A</v>
      </c>
      <c r="AC1285" s="197" t="e">
        <f t="shared" si="313"/>
        <v>#N/A</v>
      </c>
    </row>
    <row r="1286" spans="1:29" hidden="1" x14ac:dyDescent="0.25">
      <c r="A1286" s="24">
        <v>1285</v>
      </c>
      <c r="B1286" s="89" t="s">
        <v>1001</v>
      </c>
      <c r="C1286" s="4" t="str">
        <f t="shared" si="307"/>
        <v>LlaveD86166924027100002902</v>
      </c>
      <c r="D1286" s="25" t="str">
        <f>VLOOKUP(E1286,'NO MODIFICAR'!J:K,2,0)</f>
        <v>D861</v>
      </c>
      <c r="E1286" s="102" t="s">
        <v>44</v>
      </c>
      <c r="F1286" s="25" t="str">
        <f>VLOOKUP(D1286,'NO MODIFICAR'!F:H,3,0)</f>
        <v xml:space="preserve">CENTRO </v>
      </c>
      <c r="G1286" s="92">
        <v>66924027</v>
      </c>
      <c r="H1286" s="92" t="s">
        <v>601</v>
      </c>
      <c r="I1286" s="94">
        <v>10000290</v>
      </c>
      <c r="J1286" s="4" t="str">
        <f>VLOOKUP(I1286,'Materiales,canteras'!C:D,2,0)</f>
        <v>Polvos Triturado Basalto 3/4"</v>
      </c>
      <c r="K1286" s="25">
        <f>VLOOKUP(I1286,'Materiales,canteras'!C:E,3,0)</f>
        <v>1.3720000000000001</v>
      </c>
      <c r="L1286" s="82">
        <v>18</v>
      </c>
      <c r="M1286" s="28" t="s">
        <v>93</v>
      </c>
      <c r="N1286" s="193">
        <f t="shared" ca="1" si="306"/>
        <v>46267</v>
      </c>
      <c r="O1286" s="24" t="s">
        <v>814</v>
      </c>
      <c r="P1286" s="4"/>
      <c r="Q1286" s="4"/>
      <c r="R1286" s="4"/>
      <c r="S1286" s="4">
        <v>28</v>
      </c>
      <c r="T1286" s="303">
        <f t="shared" si="308"/>
        <v>-10</v>
      </c>
      <c r="U1286" s="88">
        <f t="shared" si="309"/>
        <v>18</v>
      </c>
      <c r="V1286" s="82">
        <v>0</v>
      </c>
      <c r="W1286" s="4">
        <v>2</v>
      </c>
      <c r="X1286" s="195">
        <f t="shared" si="310"/>
        <v>18</v>
      </c>
      <c r="Y1286" s="29" t="e">
        <f>IF(+VLOOKUP(I1286,P.Referencia!E:S,3,FALSE)&lt;=L1286,"Champion","Gerente")</f>
        <v>#N/A</v>
      </c>
      <c r="Z1286" s="30" t="e">
        <f>VLOOKUP(I1286,P.Referencia!E:S,3,0)</f>
        <v>#N/A</v>
      </c>
      <c r="AA1286" s="196" t="e">
        <f t="shared" si="311"/>
        <v>#N/A</v>
      </c>
      <c r="AB1286" s="197" t="e">
        <f t="shared" si="312"/>
        <v>#N/A</v>
      </c>
      <c r="AC1286" s="197" t="e">
        <f t="shared" si="313"/>
        <v>#N/A</v>
      </c>
    </row>
    <row r="1287" spans="1:29" hidden="1" x14ac:dyDescent="0.25">
      <c r="A1287" s="24">
        <v>1286</v>
      </c>
      <c r="B1287" s="89" t="s">
        <v>1001</v>
      </c>
      <c r="C1287" s="4" t="str">
        <f t="shared" si="307"/>
        <v>LlaveD86166924027100003112</v>
      </c>
      <c r="D1287" s="25" t="str">
        <f>VLOOKUP(E1287,'NO MODIFICAR'!J:K,2,0)</f>
        <v>D861</v>
      </c>
      <c r="E1287" s="102" t="s">
        <v>44</v>
      </c>
      <c r="F1287" s="25" t="str">
        <f>VLOOKUP(D1287,'NO MODIFICAR'!F:H,3,0)</f>
        <v xml:space="preserve">CENTRO </v>
      </c>
      <c r="G1287" s="92">
        <v>66924027</v>
      </c>
      <c r="H1287" s="92" t="s">
        <v>601</v>
      </c>
      <c r="I1287" s="94">
        <v>10000311</v>
      </c>
      <c r="J1287" s="4" t="str">
        <f>VLOOKUP(I1287,'Materiales,canteras'!C:D,2,0)</f>
        <v>Arena Triturada Basalto  Malla</v>
      </c>
      <c r="K1287" s="25">
        <f>VLOOKUP(I1287,'Materiales,canteras'!C:E,3,0)</f>
        <v>1.651</v>
      </c>
      <c r="L1287" s="82">
        <v>215</v>
      </c>
      <c r="M1287" s="28" t="s">
        <v>93</v>
      </c>
      <c r="N1287" s="193">
        <f t="shared" ref="N1287:N1350" ca="1" si="314">TODAY()</f>
        <v>46267</v>
      </c>
      <c r="O1287" s="24" t="s">
        <v>815</v>
      </c>
      <c r="P1287" s="4"/>
      <c r="Q1287" s="4"/>
      <c r="R1287" s="4"/>
      <c r="T1287" s="303">
        <f t="shared" si="308"/>
        <v>215</v>
      </c>
      <c r="U1287" s="88">
        <f t="shared" si="309"/>
        <v>215</v>
      </c>
      <c r="V1287" s="82">
        <v>0</v>
      </c>
      <c r="W1287" s="4">
        <v>2</v>
      </c>
      <c r="X1287" s="195">
        <f t="shared" si="310"/>
        <v>215</v>
      </c>
      <c r="Y1287" s="29" t="e">
        <f>IF(+VLOOKUP(I1287,P.Referencia!E:S,3,FALSE)&lt;=L1287,"Champion","Gerente")</f>
        <v>#N/A</v>
      </c>
      <c r="Z1287" s="30" t="e">
        <f>VLOOKUP(I1287,P.Referencia!E:S,3,0)</f>
        <v>#N/A</v>
      </c>
      <c r="AA1287" s="196" t="e">
        <f t="shared" si="311"/>
        <v>#N/A</v>
      </c>
      <c r="AB1287" s="197" t="e">
        <f t="shared" si="312"/>
        <v>#N/A</v>
      </c>
      <c r="AC1287" s="197" t="e">
        <f t="shared" si="313"/>
        <v>#N/A</v>
      </c>
    </row>
    <row r="1288" spans="1:29" hidden="1" x14ac:dyDescent="0.25">
      <c r="A1288" s="24">
        <v>1287</v>
      </c>
      <c r="B1288" s="89" t="s">
        <v>1001</v>
      </c>
      <c r="C1288" s="4" t="str">
        <f t="shared" si="307"/>
        <v>LlaveD86166924027100002312</v>
      </c>
      <c r="D1288" s="25" t="str">
        <f>VLOOKUP(E1288,'NO MODIFICAR'!J:K,2,0)</f>
        <v>D861</v>
      </c>
      <c r="E1288" s="102" t="s">
        <v>44</v>
      </c>
      <c r="F1288" s="25" t="str">
        <f>VLOOKUP(D1288,'NO MODIFICAR'!F:H,3,0)</f>
        <v xml:space="preserve">CENTRO </v>
      </c>
      <c r="G1288" s="92">
        <v>66924027</v>
      </c>
      <c r="H1288" s="92" t="s">
        <v>601</v>
      </c>
      <c r="I1288" s="94">
        <v>10000231</v>
      </c>
      <c r="J1288" s="4" t="str">
        <f>VLOOKUP(I1288,'Materiales,canteras'!C:D,2,0)</f>
        <v>Grava Triturada Basalto 20 mm</v>
      </c>
      <c r="K1288" s="25">
        <f>VLOOKUP(I1288,'Materiales,canteras'!C:E,3,0)</f>
        <v>1.5649999999999999</v>
      </c>
      <c r="L1288" s="82">
        <v>230</v>
      </c>
      <c r="M1288" s="28" t="s">
        <v>93</v>
      </c>
      <c r="N1288" s="193">
        <f t="shared" ca="1" si="314"/>
        <v>46267</v>
      </c>
      <c r="O1288" s="24" t="s">
        <v>816</v>
      </c>
      <c r="P1288" s="4"/>
      <c r="Q1288" s="4"/>
      <c r="R1288" s="4"/>
      <c r="T1288" s="303">
        <f t="shared" si="308"/>
        <v>230</v>
      </c>
      <c r="U1288" s="88">
        <f t="shared" si="309"/>
        <v>230</v>
      </c>
      <c r="V1288" s="82">
        <v>0</v>
      </c>
      <c r="W1288" s="4">
        <v>2</v>
      </c>
      <c r="X1288" s="195">
        <f t="shared" si="310"/>
        <v>230</v>
      </c>
      <c r="Y1288" s="29" t="e">
        <f>IF(+VLOOKUP(I1288,P.Referencia!E:S,3,FALSE)&lt;=L1288,"Champion","Gerente")</f>
        <v>#N/A</v>
      </c>
      <c r="Z1288" s="30" t="e">
        <f>VLOOKUP(I1288,P.Referencia!E:S,3,0)</f>
        <v>#N/A</v>
      </c>
      <c r="AA1288" s="196" t="e">
        <f t="shared" si="311"/>
        <v>#N/A</v>
      </c>
      <c r="AB1288" s="197" t="e">
        <f t="shared" si="312"/>
        <v>#N/A</v>
      </c>
      <c r="AC1288" s="197" t="e">
        <f t="shared" si="313"/>
        <v>#N/A</v>
      </c>
    </row>
    <row r="1289" spans="1:29" hidden="1" x14ac:dyDescent="0.25">
      <c r="A1289" s="24">
        <v>1288</v>
      </c>
      <c r="B1289" s="89" t="s">
        <v>1001</v>
      </c>
      <c r="C1289" s="4" t="str">
        <f t="shared" si="307"/>
        <v>LlaveD86166924027100014502</v>
      </c>
      <c r="D1289" s="25" t="str">
        <f>VLOOKUP(E1289,'NO MODIFICAR'!J:K,2,0)</f>
        <v>D861</v>
      </c>
      <c r="E1289" s="102" t="s">
        <v>44</v>
      </c>
      <c r="F1289" s="25" t="str">
        <f>VLOOKUP(D1289,'NO MODIFICAR'!F:H,3,0)</f>
        <v xml:space="preserve">CENTRO </v>
      </c>
      <c r="G1289" s="92">
        <v>66924027</v>
      </c>
      <c r="H1289" s="92" t="s">
        <v>601</v>
      </c>
      <c r="I1289" s="94">
        <v>10001450</v>
      </c>
      <c r="J1289" s="4" t="str">
        <f>VLOOKUP(I1289,'Materiales,canteras'!C:D,2,0)</f>
        <v>Base Hidraúlica Basalto de 1 /1/2</v>
      </c>
      <c r="K1289" s="25">
        <f>VLOOKUP(I1289,'Materiales,canteras'!C:E,3,0)</f>
        <v>1.7490000000000001</v>
      </c>
      <c r="L1289" s="82">
        <v>215</v>
      </c>
      <c r="M1289" s="28" t="s">
        <v>93</v>
      </c>
      <c r="N1289" s="193">
        <f t="shared" ca="1" si="314"/>
        <v>46267</v>
      </c>
      <c r="O1289" s="24" t="s">
        <v>817</v>
      </c>
      <c r="P1289" s="4"/>
      <c r="Q1289" s="4"/>
      <c r="R1289" s="4">
        <v>4.29</v>
      </c>
      <c r="S1289" s="4">
        <v>286</v>
      </c>
      <c r="T1289" s="303">
        <f t="shared" si="308"/>
        <v>-66.70999999999998</v>
      </c>
      <c r="U1289" s="88">
        <f t="shared" si="309"/>
        <v>215</v>
      </c>
      <c r="V1289" s="82">
        <v>0</v>
      </c>
      <c r="W1289" s="4">
        <v>2</v>
      </c>
      <c r="X1289" s="195">
        <f t="shared" si="310"/>
        <v>215</v>
      </c>
      <c r="Y1289" s="29" t="e">
        <f>IF(+VLOOKUP(I1289,P.Referencia!E:S,3,FALSE)&lt;=L1289,"Champion","Gerente")</f>
        <v>#N/A</v>
      </c>
      <c r="Z1289" s="30" t="e">
        <f>VLOOKUP(I1289,P.Referencia!E:S,3,0)</f>
        <v>#N/A</v>
      </c>
      <c r="AA1289" s="196" t="e">
        <f t="shared" si="311"/>
        <v>#N/A</v>
      </c>
      <c r="AB1289" s="197" t="e">
        <f t="shared" si="312"/>
        <v>#N/A</v>
      </c>
      <c r="AC1289" s="197" t="e">
        <f t="shared" si="313"/>
        <v>#N/A</v>
      </c>
    </row>
    <row r="1290" spans="1:29" hidden="1" x14ac:dyDescent="0.25">
      <c r="A1290" s="24">
        <v>1289</v>
      </c>
      <c r="B1290" s="89" t="s">
        <v>1001</v>
      </c>
      <c r="C1290" s="4" t="str">
        <f t="shared" si="307"/>
        <v>LlaveD81667357762100002481</v>
      </c>
      <c r="D1290" s="25" t="str">
        <f>VLOOKUP(E1290,'NO MODIFICAR'!J:K,2,0)</f>
        <v>D816</v>
      </c>
      <c r="E1290" s="102" t="s">
        <v>15</v>
      </c>
      <c r="F1290" s="25" t="str">
        <f>VLOOKUP(D1290,'NO MODIFICAR'!F:H,3,0)</f>
        <v>NORESTE</v>
      </c>
      <c r="G1290" s="92">
        <v>67357762</v>
      </c>
      <c r="H1290" s="92" t="s">
        <v>409</v>
      </c>
      <c r="I1290" s="94">
        <v>10000248</v>
      </c>
      <c r="J1290" s="4" t="str">
        <f>VLOOKUP(I1290,'Materiales,canteras'!C:D,2,0)</f>
        <v>Sub-base Triturado Caliza 1 1/2" a Finos</v>
      </c>
      <c r="K1290" s="25">
        <f>VLOOKUP(I1290,'Materiales,canteras'!C:E,3,0)</f>
        <v>1.821</v>
      </c>
      <c r="L1290" s="82">
        <v>280</v>
      </c>
      <c r="M1290" s="28" t="s">
        <v>93</v>
      </c>
      <c r="N1290" s="193">
        <f t="shared" ca="1" si="314"/>
        <v>46267</v>
      </c>
      <c r="O1290" s="24" t="s">
        <v>818</v>
      </c>
      <c r="P1290" s="4"/>
      <c r="Q1290" s="4"/>
      <c r="R1290" s="4">
        <v>12.86</v>
      </c>
      <c r="S1290" s="4">
        <v>322</v>
      </c>
      <c r="T1290" s="303">
        <f t="shared" si="308"/>
        <v>-29.139999999999986</v>
      </c>
      <c r="U1290" s="88">
        <f t="shared" si="309"/>
        <v>280</v>
      </c>
      <c r="V1290" s="82">
        <v>89.52</v>
      </c>
      <c r="W1290" s="4">
        <v>1</v>
      </c>
      <c r="X1290" s="195">
        <f t="shared" si="310"/>
        <v>369.52</v>
      </c>
      <c r="Y1290" s="29" t="e">
        <f>IF(+VLOOKUP(I1290,P.Referencia!E:S,3,FALSE)&lt;=L1290,"Champion","Gerente")</f>
        <v>#N/A</v>
      </c>
      <c r="Z1290" s="30" t="e">
        <f>VLOOKUP(I1290,P.Referencia!E:S,3,0)</f>
        <v>#N/A</v>
      </c>
      <c r="AA1290" s="196" t="e">
        <f t="shared" si="311"/>
        <v>#N/A</v>
      </c>
      <c r="AB1290" s="197" t="e">
        <f t="shared" si="312"/>
        <v>#N/A</v>
      </c>
      <c r="AC1290" s="197" t="e">
        <f t="shared" si="313"/>
        <v>#N/A</v>
      </c>
    </row>
    <row r="1291" spans="1:29" hidden="1" x14ac:dyDescent="0.25">
      <c r="A1291" s="24">
        <v>1290</v>
      </c>
      <c r="B1291" s="89" t="s">
        <v>373</v>
      </c>
      <c r="C1291" s="4" t="str">
        <f t="shared" si="307"/>
        <v>LlaveD86466857228100002362</v>
      </c>
      <c r="D1291" s="25" t="str">
        <f>VLOOKUP(E1291,'NO MODIFICAR'!J:K,2,0)</f>
        <v>D864</v>
      </c>
      <c r="E1291" s="102" t="s">
        <v>55</v>
      </c>
      <c r="F1291" s="25" t="str">
        <f>VLOOKUP(D1291,'NO MODIFICAR'!F:H,3,0)</f>
        <v xml:space="preserve">CENTRO </v>
      </c>
      <c r="G1291" s="92">
        <v>66857228</v>
      </c>
      <c r="H1291" s="92" t="s">
        <v>1035</v>
      </c>
      <c r="I1291" s="94">
        <v>10000236</v>
      </c>
      <c r="J1291" s="4" t="str">
        <f>VLOOKUP(I1291,'Materiales,canteras'!C:D,2,0)</f>
        <v>Grava Triturada Caliza 10 mm -</v>
      </c>
      <c r="K1291" s="25">
        <f>VLOOKUP(I1291,'Materiales,canteras'!C:E,3,0)</f>
        <v>1.41</v>
      </c>
      <c r="L1291" s="82">
        <v>137</v>
      </c>
      <c r="M1291" s="28" t="s">
        <v>93</v>
      </c>
      <c r="N1291" s="193">
        <f t="shared" ca="1" si="314"/>
        <v>46267</v>
      </c>
      <c r="O1291" s="24" t="s">
        <v>819</v>
      </c>
      <c r="P1291" s="4"/>
      <c r="Q1291" s="4"/>
      <c r="R1291" s="4"/>
      <c r="S1291" s="4">
        <v>252</v>
      </c>
      <c r="T1291" s="303">
        <f t="shared" si="308"/>
        <v>-115</v>
      </c>
      <c r="U1291" s="88">
        <f t="shared" si="309"/>
        <v>137</v>
      </c>
      <c r="V1291" s="82">
        <v>0</v>
      </c>
      <c r="W1291" s="4">
        <v>2</v>
      </c>
      <c r="X1291" s="195">
        <f t="shared" si="310"/>
        <v>137</v>
      </c>
      <c r="Y1291" s="29" t="e">
        <f>IF(+VLOOKUP(I1291,P.Referencia!E:S,3,FALSE)&lt;=L1291,"Champion","Gerente")</f>
        <v>#N/A</v>
      </c>
      <c r="Z1291" s="30" t="e">
        <f>VLOOKUP(I1291,P.Referencia!E:S,3,0)</f>
        <v>#N/A</v>
      </c>
      <c r="AA1291" s="196" t="e">
        <f t="shared" si="311"/>
        <v>#N/A</v>
      </c>
      <c r="AB1291" s="197" t="e">
        <f t="shared" si="312"/>
        <v>#N/A</v>
      </c>
      <c r="AC1291" s="197" t="e">
        <f t="shared" si="313"/>
        <v>#N/A</v>
      </c>
    </row>
    <row r="1292" spans="1:29" hidden="1" x14ac:dyDescent="0.25">
      <c r="A1292" s="24">
        <v>1291</v>
      </c>
      <c r="B1292" s="89" t="s">
        <v>373</v>
      </c>
      <c r="C1292" s="4" t="str">
        <f t="shared" si="307"/>
        <v>LlaveD86467328835100002362</v>
      </c>
      <c r="D1292" s="25" t="str">
        <f>VLOOKUP(E1292,'NO MODIFICAR'!J:K,2,0)</f>
        <v>D864</v>
      </c>
      <c r="E1292" s="102" t="s">
        <v>55</v>
      </c>
      <c r="F1292" s="25" t="str">
        <f>VLOOKUP(D1292,'NO MODIFICAR'!F:H,3,0)</f>
        <v xml:space="preserve">CENTRO </v>
      </c>
      <c r="G1292" s="92">
        <v>67328835</v>
      </c>
      <c r="H1292" s="92" t="s">
        <v>502</v>
      </c>
      <c r="I1292" s="94">
        <v>10000236</v>
      </c>
      <c r="J1292" s="4" t="str">
        <f>VLOOKUP(I1292,'Materiales,canteras'!C:D,2,0)</f>
        <v>Grava Triturada Caliza 10 mm -</v>
      </c>
      <c r="K1292" s="25">
        <f>VLOOKUP(I1292,'Materiales,canteras'!C:E,3,0)</f>
        <v>1.41</v>
      </c>
      <c r="L1292" s="82">
        <v>137</v>
      </c>
      <c r="M1292" s="28" t="s">
        <v>93</v>
      </c>
      <c r="N1292" s="193">
        <f t="shared" ca="1" si="314"/>
        <v>46267</v>
      </c>
      <c r="O1292" s="24" t="s">
        <v>820</v>
      </c>
      <c r="P1292" s="4"/>
      <c r="Q1292" s="4"/>
      <c r="R1292" s="4"/>
      <c r="S1292" s="4">
        <v>252</v>
      </c>
      <c r="T1292" s="303">
        <f t="shared" si="308"/>
        <v>-115</v>
      </c>
      <c r="U1292" s="88">
        <f t="shared" si="309"/>
        <v>137</v>
      </c>
      <c r="V1292" s="82">
        <v>0</v>
      </c>
      <c r="W1292" s="4">
        <v>2</v>
      </c>
      <c r="X1292" s="195">
        <f t="shared" si="310"/>
        <v>137</v>
      </c>
      <c r="Y1292" s="29" t="e">
        <f>IF(+VLOOKUP(I1292,P.Referencia!E:S,3,FALSE)&lt;=L1292,"Champion","Gerente")</f>
        <v>#N/A</v>
      </c>
      <c r="Z1292" s="30" t="e">
        <f>VLOOKUP(I1292,P.Referencia!E:S,3,0)</f>
        <v>#N/A</v>
      </c>
      <c r="AA1292" s="196" t="e">
        <f t="shared" si="311"/>
        <v>#N/A</v>
      </c>
      <c r="AB1292" s="197" t="e">
        <f t="shared" si="312"/>
        <v>#N/A</v>
      </c>
      <c r="AC1292" s="197" t="e">
        <f t="shared" si="313"/>
        <v>#N/A</v>
      </c>
    </row>
    <row r="1293" spans="1:29" hidden="1" x14ac:dyDescent="0.25">
      <c r="A1293" s="24">
        <v>1292</v>
      </c>
      <c r="B1293" s="89" t="s">
        <v>373</v>
      </c>
      <c r="C1293" s="4" t="str">
        <f t="shared" si="307"/>
        <v>LlaveD86167198586100014502</v>
      </c>
      <c r="D1293" s="25" t="str">
        <f>VLOOKUP(E1293,'NO MODIFICAR'!J:K,2,0)</f>
        <v>D861</v>
      </c>
      <c r="E1293" s="102" t="s">
        <v>44</v>
      </c>
      <c r="F1293" s="25" t="str">
        <f>VLOOKUP(D1293,'NO MODIFICAR'!F:H,3,0)</f>
        <v xml:space="preserve">CENTRO </v>
      </c>
      <c r="G1293" s="92">
        <v>67198586</v>
      </c>
      <c r="H1293" s="92" t="s">
        <v>158</v>
      </c>
      <c r="I1293" s="94">
        <v>10001450</v>
      </c>
      <c r="J1293" s="4" t="str">
        <f>VLOOKUP(I1293,'Materiales,canteras'!C:D,2,0)</f>
        <v>Base Hidraúlica Basalto de 1 /1/2</v>
      </c>
      <c r="K1293" s="25">
        <f>VLOOKUP(I1293,'Materiales,canteras'!C:E,3,0)</f>
        <v>1.7490000000000001</v>
      </c>
      <c r="L1293" s="82">
        <v>208</v>
      </c>
      <c r="M1293" s="28" t="s">
        <v>93</v>
      </c>
      <c r="N1293" s="193">
        <f t="shared" ca="1" si="314"/>
        <v>46267</v>
      </c>
      <c r="O1293" s="24" t="s">
        <v>821</v>
      </c>
      <c r="P1293" s="4"/>
      <c r="Q1293" s="4">
        <v>3.99</v>
      </c>
      <c r="R1293" s="4">
        <v>20.02</v>
      </c>
      <c r="S1293" s="4">
        <v>286</v>
      </c>
      <c r="T1293" s="303">
        <f t="shared" si="308"/>
        <v>-53.990000000000009</v>
      </c>
      <c r="U1293" s="88">
        <f t="shared" si="309"/>
        <v>208</v>
      </c>
      <c r="V1293" s="82">
        <v>0</v>
      </c>
      <c r="W1293" s="4">
        <v>2</v>
      </c>
      <c r="X1293" s="195">
        <f t="shared" si="310"/>
        <v>208</v>
      </c>
      <c r="Y1293" s="29" t="e">
        <f>IF(+VLOOKUP(I1293,P.Referencia!E:S,3,FALSE)&lt;=L1293,"Champion","Gerente")</f>
        <v>#N/A</v>
      </c>
      <c r="Z1293" s="30" t="e">
        <f>VLOOKUP(I1293,P.Referencia!E:S,3,0)</f>
        <v>#N/A</v>
      </c>
      <c r="AA1293" s="196" t="e">
        <f t="shared" si="311"/>
        <v>#N/A</v>
      </c>
      <c r="AB1293" s="197" t="e">
        <f t="shared" si="312"/>
        <v>#N/A</v>
      </c>
      <c r="AC1293" s="197" t="e">
        <f t="shared" si="313"/>
        <v>#N/A</v>
      </c>
    </row>
    <row r="1294" spans="1:29" hidden="1" x14ac:dyDescent="0.25">
      <c r="A1294" s="24">
        <v>1293</v>
      </c>
      <c r="B1294" s="89" t="s">
        <v>373</v>
      </c>
      <c r="C1294" s="4" t="str">
        <f t="shared" si="307"/>
        <v>LlaveD86365040658100389571</v>
      </c>
      <c r="D1294" s="25" t="str">
        <f>VLOOKUP(E1294,'NO MODIFICAR'!J:K,2,0)</f>
        <v>D863</v>
      </c>
      <c r="E1294" s="102" t="s">
        <v>53</v>
      </c>
      <c r="F1294" s="25" t="str">
        <f>VLOOKUP(D1294,'NO MODIFICAR'!F:H,3,0)</f>
        <v>NORESTE</v>
      </c>
      <c r="G1294" s="92">
        <v>65040658</v>
      </c>
      <c r="H1294" s="92" t="s">
        <v>1036</v>
      </c>
      <c r="I1294" s="94">
        <v>10038957</v>
      </c>
      <c r="J1294" s="4" t="str">
        <f>VLOOKUP(I1294,'Materiales,canteras'!C:D,2,0)</f>
        <v>Arena Triturada Caliza Block</v>
      </c>
      <c r="K1294" s="25">
        <f>VLOOKUP(I1294,'Materiales,canteras'!C:E,3,0)</f>
        <v>1.6870000000000001</v>
      </c>
      <c r="L1294" s="88">
        <v>165.37</v>
      </c>
      <c r="M1294" s="28" t="s">
        <v>93</v>
      </c>
      <c r="N1294" s="193">
        <f t="shared" ca="1" si="314"/>
        <v>46267</v>
      </c>
      <c r="O1294" s="24" t="s">
        <v>822</v>
      </c>
      <c r="P1294" s="4"/>
      <c r="Q1294" s="4"/>
      <c r="R1294" s="4">
        <v>12.35</v>
      </c>
      <c r="S1294" s="4">
        <v>247</v>
      </c>
      <c r="T1294" s="303">
        <f t="shared" si="308"/>
        <v>-69.28</v>
      </c>
      <c r="U1294" s="88">
        <f t="shared" si="309"/>
        <v>165.37</v>
      </c>
      <c r="V1294" s="82">
        <v>207.5</v>
      </c>
      <c r="W1294" s="4">
        <v>1</v>
      </c>
      <c r="X1294" s="195">
        <f t="shared" si="310"/>
        <v>372.87</v>
      </c>
      <c r="Y1294" s="29" t="e">
        <f>IF(+VLOOKUP(I1294,P.Referencia!E:S,3,FALSE)&lt;=L1294,"Champion","Gerente")</f>
        <v>#N/A</v>
      </c>
      <c r="Z1294" s="30" t="e">
        <f>VLOOKUP(I1294,P.Referencia!E:S,3,0)</f>
        <v>#N/A</v>
      </c>
      <c r="AA1294" s="196" t="e">
        <f t="shared" si="311"/>
        <v>#N/A</v>
      </c>
      <c r="AB1294" s="197" t="e">
        <f t="shared" si="312"/>
        <v>#N/A</v>
      </c>
      <c r="AC1294" s="197" t="e">
        <f t="shared" si="313"/>
        <v>#N/A</v>
      </c>
    </row>
    <row r="1295" spans="1:29" hidden="1" x14ac:dyDescent="0.25">
      <c r="A1295" s="24">
        <v>1294</v>
      </c>
      <c r="B1295" s="89" t="s">
        <v>374</v>
      </c>
      <c r="C1295" s="4" t="str">
        <f t="shared" si="307"/>
        <v>LlaveD86467345008100002362</v>
      </c>
      <c r="D1295" s="25" t="str">
        <f>VLOOKUP(E1295,'NO MODIFICAR'!J:K,2,0)</f>
        <v>D864</v>
      </c>
      <c r="E1295" s="102" t="s">
        <v>55</v>
      </c>
      <c r="F1295" s="25" t="str">
        <f>VLOOKUP(D1295,'NO MODIFICAR'!F:H,3,0)</f>
        <v xml:space="preserve">CENTRO </v>
      </c>
      <c r="G1295" s="92">
        <v>67345008</v>
      </c>
      <c r="H1295" s="92" t="s">
        <v>338</v>
      </c>
      <c r="I1295" s="94">
        <v>10000236</v>
      </c>
      <c r="J1295" s="4" t="str">
        <f>VLOOKUP(I1295,'Materiales,canteras'!C:D,2,0)</f>
        <v>Grava Triturada Caliza 10 mm -</v>
      </c>
      <c r="K1295" s="25">
        <f>VLOOKUP(I1295,'Materiales,canteras'!C:E,3,0)</f>
        <v>1.41</v>
      </c>
      <c r="L1295" s="88">
        <v>136</v>
      </c>
      <c r="M1295" s="28" t="s">
        <v>93</v>
      </c>
      <c r="N1295" s="193">
        <f t="shared" ca="1" si="314"/>
        <v>46267</v>
      </c>
      <c r="O1295" s="24" t="s">
        <v>823</v>
      </c>
      <c r="P1295" s="4"/>
      <c r="Q1295" s="4"/>
      <c r="R1295" s="4">
        <v>3.78</v>
      </c>
      <c r="S1295" s="4">
        <v>252</v>
      </c>
      <c r="T1295" s="303">
        <f t="shared" si="308"/>
        <v>-112.22</v>
      </c>
      <c r="U1295" s="88">
        <f t="shared" si="309"/>
        <v>136</v>
      </c>
      <c r="V1295" s="82">
        <v>0</v>
      </c>
      <c r="W1295" s="4">
        <v>2</v>
      </c>
      <c r="X1295" s="195">
        <f t="shared" si="310"/>
        <v>136</v>
      </c>
      <c r="Y1295" s="29" t="e">
        <f>IF(+VLOOKUP(I1295,P.Referencia!E:S,3,FALSE)&lt;=L1295,"Champion","Gerente")</f>
        <v>#N/A</v>
      </c>
      <c r="Z1295" s="30" t="e">
        <f>VLOOKUP(I1295,P.Referencia!E:S,3,0)</f>
        <v>#N/A</v>
      </c>
      <c r="AA1295" s="196" t="e">
        <f t="shared" si="311"/>
        <v>#N/A</v>
      </c>
      <c r="AB1295" s="197" t="e">
        <f t="shared" si="312"/>
        <v>#N/A</v>
      </c>
      <c r="AC1295" s="197" t="e">
        <f t="shared" si="313"/>
        <v>#N/A</v>
      </c>
    </row>
    <row r="1296" spans="1:29" hidden="1" x14ac:dyDescent="0.25">
      <c r="A1296" s="24">
        <v>1295</v>
      </c>
      <c r="B1296" s="89" t="s">
        <v>374</v>
      </c>
      <c r="C1296" s="4" t="str">
        <f t="shared" si="307"/>
        <v>LlaveD85265003271100389432</v>
      </c>
      <c r="D1296" s="25" t="str">
        <f>VLOOKUP(E1296,'NO MODIFICAR'!J:K,2,0)</f>
        <v>D852</v>
      </c>
      <c r="E1296" s="102" t="s">
        <v>36</v>
      </c>
      <c r="F1296" s="25" t="str">
        <f>VLOOKUP(D1296,'NO MODIFICAR'!F:H,3,0)</f>
        <v>NORESTE</v>
      </c>
      <c r="G1296" s="92">
        <v>65003271</v>
      </c>
      <c r="H1296" s="92" t="s">
        <v>1037</v>
      </c>
      <c r="I1296" s="94">
        <v>10038943</v>
      </c>
      <c r="J1296" s="4" t="str">
        <f>VLOOKUP(I1296,'Materiales,canteras'!C:D,2,0)</f>
        <v>Arena Triturada Caliza Malla 4</v>
      </c>
      <c r="K1296" s="25">
        <f>VLOOKUP(I1296,'Materiales,canteras'!C:E,3,0)</f>
        <v>1.61</v>
      </c>
      <c r="L1296" s="88">
        <v>131</v>
      </c>
      <c r="M1296" s="28" t="s">
        <v>93</v>
      </c>
      <c r="N1296" s="193">
        <f t="shared" ca="1" si="314"/>
        <v>46267</v>
      </c>
      <c r="O1296" s="24" t="s">
        <v>824</v>
      </c>
      <c r="P1296" s="4"/>
      <c r="Q1296" s="4"/>
      <c r="R1296" s="4"/>
      <c r="S1296" s="4">
        <v>173</v>
      </c>
      <c r="T1296" s="303">
        <f t="shared" si="308"/>
        <v>-42</v>
      </c>
      <c r="U1296" s="88">
        <f t="shared" si="309"/>
        <v>131</v>
      </c>
      <c r="V1296" s="82">
        <v>0</v>
      </c>
      <c r="W1296" s="4">
        <v>2</v>
      </c>
      <c r="X1296" s="195">
        <f t="shared" ref="X1296:X1299" si="315">U1296+V1296</f>
        <v>131</v>
      </c>
      <c r="Y1296" s="29" t="e">
        <f>IF(+VLOOKUP(I1296,P.Referencia!E:S,3,FALSE)&lt;=L1296,"Champion","Gerente")</f>
        <v>#N/A</v>
      </c>
      <c r="Z1296" s="30" t="e">
        <f>VLOOKUP(I1296,P.Referencia!E:S,3,0)</f>
        <v>#N/A</v>
      </c>
      <c r="AA1296" s="196" t="e">
        <f t="shared" ref="AA1296:AA1299" si="316">(Z1296-U1296)/U1296</f>
        <v>#N/A</v>
      </c>
      <c r="AB1296" s="197" t="e">
        <f t="shared" ref="AB1296:AB1299" si="317">U1296*AA1296</f>
        <v>#N/A</v>
      </c>
      <c r="AC1296" s="197" t="e">
        <f t="shared" ref="AC1296:AC1299" si="318">U1296+AB1296</f>
        <v>#N/A</v>
      </c>
    </row>
    <row r="1297" spans="1:29" hidden="1" x14ac:dyDescent="0.25">
      <c r="A1297" s="24">
        <v>1296</v>
      </c>
      <c r="B1297" s="89" t="s">
        <v>374</v>
      </c>
      <c r="C1297" s="4" t="str">
        <f t="shared" si="307"/>
        <v>LlaveD85265003271100389422</v>
      </c>
      <c r="D1297" s="25" t="str">
        <f>VLOOKUP(E1297,'NO MODIFICAR'!J:K,2,0)</f>
        <v>D852</v>
      </c>
      <c r="E1297" s="102" t="s">
        <v>36</v>
      </c>
      <c r="F1297" s="25" t="str">
        <f>VLOOKUP(D1297,'NO MODIFICAR'!F:H,3,0)</f>
        <v>NORESTE</v>
      </c>
      <c r="G1297" s="92">
        <v>65003271</v>
      </c>
      <c r="H1297" s="92" t="s">
        <v>1037</v>
      </c>
      <c r="I1297" s="94">
        <v>10038942</v>
      </c>
      <c r="J1297" s="4" t="str">
        <f>VLOOKUP(I1297,'Materiales,canteras'!C:D,2,0)</f>
        <v>Arena Triturada Caliza Malla 8</v>
      </c>
      <c r="K1297" s="25">
        <f>VLOOKUP(I1297,'Materiales,canteras'!C:E,3,0)</f>
        <v>1.629</v>
      </c>
      <c r="L1297" s="88">
        <v>131</v>
      </c>
      <c r="M1297" s="28" t="s">
        <v>93</v>
      </c>
      <c r="N1297" s="193">
        <f t="shared" ca="1" si="314"/>
        <v>46267</v>
      </c>
      <c r="O1297" s="24" t="s">
        <v>825</v>
      </c>
      <c r="P1297" s="4"/>
      <c r="Q1297" s="4"/>
      <c r="R1297" s="4"/>
      <c r="S1297" s="4">
        <v>167</v>
      </c>
      <c r="T1297" s="303">
        <f t="shared" si="308"/>
        <v>-36</v>
      </c>
      <c r="U1297" s="88">
        <f t="shared" si="309"/>
        <v>131</v>
      </c>
      <c r="V1297" s="82">
        <v>0</v>
      </c>
      <c r="W1297" s="4">
        <v>2</v>
      </c>
      <c r="X1297" s="195">
        <f t="shared" si="315"/>
        <v>131</v>
      </c>
      <c r="Y1297" s="29" t="e">
        <f>IF(+VLOOKUP(I1297,P.Referencia!E:S,3,FALSE)&lt;=L1297,"Champion","Gerente")</f>
        <v>#N/A</v>
      </c>
      <c r="Z1297" s="30" t="e">
        <f>VLOOKUP(I1297,P.Referencia!E:S,3,0)</f>
        <v>#N/A</v>
      </c>
      <c r="AA1297" s="196" t="e">
        <f t="shared" si="316"/>
        <v>#N/A</v>
      </c>
      <c r="AB1297" s="197" t="e">
        <f t="shared" si="317"/>
        <v>#N/A</v>
      </c>
      <c r="AC1297" s="197" t="e">
        <f t="shared" si="318"/>
        <v>#N/A</v>
      </c>
    </row>
    <row r="1298" spans="1:29" hidden="1" x14ac:dyDescent="0.25">
      <c r="A1298" s="24">
        <v>1297</v>
      </c>
      <c r="B1298" s="89" t="s">
        <v>374</v>
      </c>
      <c r="C1298" s="4" t="str">
        <f t="shared" si="307"/>
        <v>LlaveD85265003271100389452</v>
      </c>
      <c r="D1298" s="25" t="str">
        <f>VLOOKUP(E1298,'NO MODIFICAR'!J:K,2,0)</f>
        <v>D852</v>
      </c>
      <c r="E1298" s="102" t="s">
        <v>36</v>
      </c>
      <c r="F1298" s="25" t="str">
        <f>VLOOKUP(D1298,'NO MODIFICAR'!F:H,3,0)</f>
        <v>NORESTE</v>
      </c>
      <c r="G1298" s="92">
        <v>65003271</v>
      </c>
      <c r="H1298" s="92" t="s">
        <v>1037</v>
      </c>
      <c r="I1298" s="94">
        <v>10038945</v>
      </c>
      <c r="J1298" s="4" t="str">
        <f>VLOOKUP(I1298,'Materiales,canteras'!C:D,2,0)</f>
        <v>Grava Triturada Caliza 20 mm -</v>
      </c>
      <c r="K1298" s="25">
        <f>VLOOKUP(I1298,'Materiales,canteras'!C:E,3,0)</f>
        <v>1.54</v>
      </c>
      <c r="L1298" s="88">
        <v>125</v>
      </c>
      <c r="M1298" s="28" t="s">
        <v>93</v>
      </c>
      <c r="N1298" s="193">
        <f t="shared" ca="1" si="314"/>
        <v>46267</v>
      </c>
      <c r="O1298" s="24" t="s">
        <v>826</v>
      </c>
      <c r="P1298" s="4"/>
      <c r="Q1298" s="4"/>
      <c r="R1298" s="4"/>
      <c r="S1298" s="4">
        <v>173</v>
      </c>
      <c r="T1298" s="303">
        <f t="shared" si="308"/>
        <v>-48</v>
      </c>
      <c r="U1298" s="88">
        <f t="shared" si="309"/>
        <v>125</v>
      </c>
      <c r="V1298" s="82">
        <v>0</v>
      </c>
      <c r="W1298" s="4">
        <v>2</v>
      </c>
      <c r="X1298" s="195">
        <f t="shared" si="315"/>
        <v>125</v>
      </c>
      <c r="Y1298" s="29" t="e">
        <f>IF(+VLOOKUP(I1298,P.Referencia!E:S,3,FALSE)&lt;=L1298,"Champion","Gerente")</f>
        <v>#N/A</v>
      </c>
      <c r="Z1298" s="30" t="e">
        <f>VLOOKUP(I1298,P.Referencia!E:S,3,0)</f>
        <v>#N/A</v>
      </c>
      <c r="AA1298" s="196" t="e">
        <f t="shared" si="316"/>
        <v>#N/A</v>
      </c>
      <c r="AB1298" s="197" t="e">
        <f t="shared" si="317"/>
        <v>#N/A</v>
      </c>
      <c r="AC1298" s="197" t="e">
        <f t="shared" si="318"/>
        <v>#N/A</v>
      </c>
    </row>
    <row r="1299" spans="1:29" hidden="1" x14ac:dyDescent="0.25">
      <c r="A1299" s="24">
        <v>1298</v>
      </c>
      <c r="B1299" s="89" t="s">
        <v>374</v>
      </c>
      <c r="C1299" s="4" t="str">
        <f t="shared" si="307"/>
        <v>LlaveD86167198586100002292</v>
      </c>
      <c r="D1299" s="25" t="str">
        <f>VLOOKUP(E1299,'NO MODIFICAR'!J:K,2,0)</f>
        <v>D861</v>
      </c>
      <c r="E1299" s="102" t="s">
        <v>44</v>
      </c>
      <c r="F1299" s="25" t="str">
        <f>VLOOKUP(D1299,'NO MODIFICAR'!F:H,3,0)</f>
        <v xml:space="preserve">CENTRO </v>
      </c>
      <c r="G1299" s="92">
        <v>67198586</v>
      </c>
      <c r="H1299" s="92" t="s">
        <v>1038</v>
      </c>
      <c r="I1299" s="94">
        <v>10000229</v>
      </c>
      <c r="J1299" s="4" t="str">
        <f>VLOOKUP(I1299,'Materiales,canteras'!C:D,2,0)</f>
        <v>Grava Triturada Basalto  10 mm</v>
      </c>
      <c r="K1299" s="25">
        <f>VLOOKUP(I1299,'Materiales,canteras'!C:E,3,0)</f>
        <v>1.522</v>
      </c>
      <c r="L1299" s="88">
        <v>215</v>
      </c>
      <c r="M1299" s="28" t="s">
        <v>93</v>
      </c>
      <c r="N1299" s="193">
        <f t="shared" ca="1" si="314"/>
        <v>46267</v>
      </c>
      <c r="O1299" s="24" t="s">
        <v>827</v>
      </c>
      <c r="P1299" s="4"/>
      <c r="Q1299" s="4">
        <v>4.91</v>
      </c>
      <c r="R1299" s="4">
        <v>24.64</v>
      </c>
      <c r="S1299" s="4">
        <v>352</v>
      </c>
      <c r="T1299" s="303">
        <f t="shared" si="308"/>
        <v>-107.44999999999999</v>
      </c>
      <c r="U1299" s="88">
        <f t="shared" si="309"/>
        <v>215</v>
      </c>
      <c r="V1299" s="82">
        <v>0</v>
      </c>
      <c r="W1299" s="4">
        <v>2</v>
      </c>
      <c r="X1299" s="195">
        <f t="shared" si="315"/>
        <v>215</v>
      </c>
      <c r="Y1299" s="29" t="e">
        <f>IF(+VLOOKUP(I1299,P.Referencia!E:S,3,FALSE)&lt;=L1299,"Champion","Gerente")</f>
        <v>#N/A</v>
      </c>
      <c r="Z1299" s="30" t="e">
        <f>VLOOKUP(I1299,P.Referencia!E:S,3,0)</f>
        <v>#N/A</v>
      </c>
      <c r="AA1299" s="196" t="e">
        <f t="shared" si="316"/>
        <v>#N/A</v>
      </c>
      <c r="AB1299" s="197" t="e">
        <f t="shared" si="317"/>
        <v>#N/A</v>
      </c>
      <c r="AC1299" s="197" t="e">
        <f t="shared" si="318"/>
        <v>#N/A</v>
      </c>
    </row>
    <row r="1300" spans="1:29" hidden="1" x14ac:dyDescent="0.25">
      <c r="A1300" s="24">
        <v>1299</v>
      </c>
      <c r="B1300" s="89" t="s">
        <v>374</v>
      </c>
      <c r="C1300" s="4" t="str">
        <f t="shared" si="307"/>
        <v>LlaveD86167198586100002312</v>
      </c>
      <c r="D1300" s="25" t="str">
        <f>VLOOKUP(E1300,'NO MODIFICAR'!J:K,2,0)</f>
        <v>D861</v>
      </c>
      <c r="E1300" s="102" t="s">
        <v>44</v>
      </c>
      <c r="F1300" s="25" t="str">
        <f>VLOOKUP(D1300,'NO MODIFICAR'!F:H,3,0)</f>
        <v xml:space="preserve">CENTRO </v>
      </c>
      <c r="G1300" s="92">
        <v>67198586</v>
      </c>
      <c r="H1300" s="92" t="s">
        <v>1038</v>
      </c>
      <c r="I1300" s="94">
        <v>10000231</v>
      </c>
      <c r="J1300" s="4" t="str">
        <f>VLOOKUP(I1300,'Materiales,canteras'!C:D,2,0)</f>
        <v>Grava Triturada Basalto 20 mm</v>
      </c>
      <c r="K1300" s="25">
        <f>VLOOKUP(I1300,'Materiales,canteras'!C:E,3,0)</f>
        <v>1.5649999999999999</v>
      </c>
      <c r="L1300" s="88">
        <v>210</v>
      </c>
      <c r="M1300" s="28" t="s">
        <v>93</v>
      </c>
      <c r="N1300" s="193">
        <f t="shared" ca="1" si="314"/>
        <v>46267</v>
      </c>
      <c r="O1300" s="24" t="s">
        <v>828</v>
      </c>
      <c r="P1300" s="4"/>
      <c r="Q1300" s="4">
        <v>4.3</v>
      </c>
      <c r="R1300" s="4">
        <v>21.56</v>
      </c>
      <c r="S1300" s="4">
        <v>308</v>
      </c>
      <c r="T1300" s="303">
        <f t="shared" si="308"/>
        <v>-72.139999999999986</v>
      </c>
      <c r="U1300" s="88">
        <f t="shared" si="309"/>
        <v>210</v>
      </c>
      <c r="V1300" s="82">
        <v>0</v>
      </c>
      <c r="W1300" s="4">
        <v>2</v>
      </c>
      <c r="X1300" s="195">
        <f t="shared" si="310"/>
        <v>210</v>
      </c>
      <c r="Y1300" s="29" t="e">
        <f>IF(+VLOOKUP(I1300,P.Referencia!E:S,3,FALSE)&lt;=L1300,"Champion","Gerente")</f>
        <v>#N/A</v>
      </c>
      <c r="Z1300" s="30" t="e">
        <f>VLOOKUP(I1300,P.Referencia!E:S,3,0)</f>
        <v>#N/A</v>
      </c>
      <c r="AA1300" s="196" t="e">
        <f t="shared" si="311"/>
        <v>#N/A</v>
      </c>
      <c r="AB1300" s="197" t="e">
        <f t="shared" si="312"/>
        <v>#N/A</v>
      </c>
      <c r="AC1300" s="197" t="e">
        <f t="shared" si="313"/>
        <v>#N/A</v>
      </c>
    </row>
    <row r="1301" spans="1:29" hidden="1" x14ac:dyDescent="0.25">
      <c r="A1301" s="24">
        <v>1300</v>
      </c>
      <c r="B1301" s="89" t="s">
        <v>374</v>
      </c>
      <c r="C1301" s="4" t="str">
        <f t="shared" si="307"/>
        <v>LlaveD86167198586100003112</v>
      </c>
      <c r="D1301" s="25" t="str">
        <f>VLOOKUP(E1301,'NO MODIFICAR'!J:K,2,0)</f>
        <v>D861</v>
      </c>
      <c r="E1301" s="102" t="s">
        <v>44</v>
      </c>
      <c r="F1301" s="25" t="str">
        <f>VLOOKUP(D1301,'NO MODIFICAR'!F:H,3,0)</f>
        <v xml:space="preserve">CENTRO </v>
      </c>
      <c r="G1301" s="92">
        <v>67198586</v>
      </c>
      <c r="H1301" s="92" t="s">
        <v>1038</v>
      </c>
      <c r="I1301" s="94">
        <v>10000311</v>
      </c>
      <c r="J1301" s="4" t="str">
        <f>VLOOKUP(I1301,'Materiales,canteras'!C:D,2,0)</f>
        <v>Arena Triturada Basalto  Malla</v>
      </c>
      <c r="K1301" s="25">
        <f>VLOOKUP(I1301,'Materiales,canteras'!C:E,3,0)</f>
        <v>1.651</v>
      </c>
      <c r="L1301" s="88">
        <v>208</v>
      </c>
      <c r="M1301" s="28" t="s">
        <v>93</v>
      </c>
      <c r="N1301" s="193">
        <f t="shared" ca="1" si="314"/>
        <v>46267</v>
      </c>
      <c r="O1301" s="24" t="s">
        <v>829</v>
      </c>
      <c r="P1301" s="4"/>
      <c r="Q1301" s="4">
        <v>3.99</v>
      </c>
      <c r="R1301" s="4">
        <v>20.02</v>
      </c>
      <c r="S1301" s="4">
        <v>286</v>
      </c>
      <c r="T1301" s="303">
        <f t="shared" si="308"/>
        <v>-53.990000000000009</v>
      </c>
      <c r="U1301" s="88">
        <f t="shared" si="309"/>
        <v>208</v>
      </c>
      <c r="V1301" s="82">
        <v>0</v>
      </c>
      <c r="W1301" s="4">
        <v>2</v>
      </c>
      <c r="X1301" s="195">
        <f t="shared" si="310"/>
        <v>208</v>
      </c>
      <c r="Y1301" s="29" t="e">
        <f>IF(+VLOOKUP(I1301,P.Referencia!E:S,3,FALSE)&lt;=L1301,"Champion","Gerente")</f>
        <v>#N/A</v>
      </c>
      <c r="Z1301" s="30" t="e">
        <f>VLOOKUP(I1301,P.Referencia!E:S,3,0)</f>
        <v>#N/A</v>
      </c>
      <c r="AA1301" s="196" t="e">
        <f t="shared" si="311"/>
        <v>#N/A</v>
      </c>
      <c r="AB1301" s="197" t="e">
        <f t="shared" si="312"/>
        <v>#N/A</v>
      </c>
      <c r="AC1301" s="197" t="e">
        <f t="shared" si="313"/>
        <v>#N/A</v>
      </c>
    </row>
    <row r="1302" spans="1:29" hidden="1" x14ac:dyDescent="0.25">
      <c r="A1302" s="24">
        <v>1301</v>
      </c>
      <c r="B1302" s="89" t="s">
        <v>374</v>
      </c>
      <c r="C1302" s="4" t="str">
        <f t="shared" si="307"/>
        <v>LlaveD86167198586100031532</v>
      </c>
      <c r="D1302" s="25" t="str">
        <f>VLOOKUP(E1302,'NO MODIFICAR'!J:K,2,0)</f>
        <v>D861</v>
      </c>
      <c r="E1302" s="102" t="s">
        <v>44</v>
      </c>
      <c r="F1302" s="25" t="str">
        <f>VLOOKUP(D1302,'NO MODIFICAR'!F:H,3,0)</f>
        <v xml:space="preserve">CENTRO </v>
      </c>
      <c r="G1302" s="92">
        <v>67198586</v>
      </c>
      <c r="H1302" s="92" t="s">
        <v>1038</v>
      </c>
      <c r="I1302" s="94">
        <v>10003153</v>
      </c>
      <c r="J1302" s="4" t="str">
        <f>VLOOKUP(I1302,'Materiales,canteras'!C:D,2,0)</f>
        <v>Grava Triturada Basalto 13 mm</v>
      </c>
      <c r="K1302" s="25">
        <f>VLOOKUP(I1302,'Materiales,canteras'!C:E,3,0)</f>
        <v>1.546</v>
      </c>
      <c r="L1302" s="88">
        <v>215</v>
      </c>
      <c r="M1302" s="28" t="s">
        <v>93</v>
      </c>
      <c r="N1302" s="193">
        <f t="shared" ca="1" si="314"/>
        <v>46267</v>
      </c>
      <c r="O1302" s="24" t="s">
        <v>830</v>
      </c>
      <c r="P1302" s="4"/>
      <c r="Q1302" s="4">
        <v>4.1399999999999997</v>
      </c>
      <c r="R1302" s="4">
        <v>20.79</v>
      </c>
      <c r="S1302" s="4">
        <v>297</v>
      </c>
      <c r="T1302" s="303">
        <f t="shared" si="308"/>
        <v>-57.069999999999993</v>
      </c>
      <c r="U1302" s="88">
        <f t="shared" si="309"/>
        <v>215</v>
      </c>
      <c r="V1302" s="82">
        <v>0</v>
      </c>
      <c r="W1302" s="4">
        <v>2</v>
      </c>
      <c r="X1302" s="195">
        <f t="shared" si="310"/>
        <v>215</v>
      </c>
      <c r="Y1302" s="29" t="e">
        <f>IF(+VLOOKUP(I1302,P.Referencia!E:S,3,FALSE)&lt;=L1302,"Champion","Gerente")</f>
        <v>#N/A</v>
      </c>
      <c r="Z1302" s="30" t="e">
        <f>VLOOKUP(I1302,P.Referencia!E:S,3,0)</f>
        <v>#N/A</v>
      </c>
      <c r="AA1302" s="196" t="e">
        <f t="shared" si="311"/>
        <v>#N/A</v>
      </c>
      <c r="AB1302" s="197" t="e">
        <f t="shared" si="312"/>
        <v>#N/A</v>
      </c>
      <c r="AC1302" s="197" t="e">
        <f t="shared" si="313"/>
        <v>#N/A</v>
      </c>
    </row>
    <row r="1303" spans="1:29" hidden="1" x14ac:dyDescent="0.25">
      <c r="A1303" s="24">
        <v>1302</v>
      </c>
      <c r="B1303" s="89" t="s">
        <v>374</v>
      </c>
      <c r="C1303" s="4" t="str">
        <f t="shared" si="307"/>
        <v>LlaveD86167198586100002332</v>
      </c>
      <c r="D1303" s="25" t="str">
        <f>VLOOKUP(E1303,'NO MODIFICAR'!J:K,2,0)</f>
        <v>D861</v>
      </c>
      <c r="E1303" s="102" t="s">
        <v>44</v>
      </c>
      <c r="F1303" s="25" t="str">
        <f>VLOOKUP(D1303,'NO MODIFICAR'!F:H,3,0)</f>
        <v xml:space="preserve">CENTRO </v>
      </c>
      <c r="G1303" s="92">
        <v>67198586</v>
      </c>
      <c r="H1303" s="92" t="s">
        <v>1038</v>
      </c>
      <c r="I1303" s="94">
        <v>10000233</v>
      </c>
      <c r="J1303" s="4" t="str">
        <f>VLOOKUP(I1303,'Materiales,canteras'!C:D,2,0)</f>
        <v>Grava Triturada Basalto  40 mm</v>
      </c>
      <c r="K1303" s="25">
        <f>VLOOKUP(I1303,'Materiales,canteras'!C:E,3,0)</f>
        <v>1.456</v>
      </c>
      <c r="L1303" s="88">
        <v>210</v>
      </c>
      <c r="M1303" s="28" t="s">
        <v>93</v>
      </c>
      <c r="N1303" s="193">
        <f t="shared" ca="1" si="314"/>
        <v>46267</v>
      </c>
      <c r="O1303" s="24" t="s">
        <v>831</v>
      </c>
      <c r="P1303" s="4"/>
      <c r="Q1303" s="4">
        <v>4.32</v>
      </c>
      <c r="R1303" s="4">
        <v>21.7</v>
      </c>
      <c r="S1303" s="4">
        <v>310</v>
      </c>
      <c r="T1303" s="303">
        <f t="shared" si="308"/>
        <v>-73.980000000000018</v>
      </c>
      <c r="U1303" s="88">
        <f t="shared" si="309"/>
        <v>210</v>
      </c>
      <c r="V1303" s="82">
        <v>0</v>
      </c>
      <c r="W1303" s="4">
        <v>2</v>
      </c>
      <c r="X1303" s="195">
        <f t="shared" si="310"/>
        <v>210</v>
      </c>
      <c r="Y1303" s="29" t="e">
        <f>IF(+VLOOKUP(I1303,P.Referencia!E:S,3,FALSE)&lt;=L1303,"Champion","Gerente")</f>
        <v>#N/A</v>
      </c>
      <c r="Z1303" s="30" t="e">
        <f>VLOOKUP(I1303,P.Referencia!E:S,3,0)</f>
        <v>#N/A</v>
      </c>
      <c r="AA1303" s="196" t="e">
        <f t="shared" si="311"/>
        <v>#N/A</v>
      </c>
      <c r="AB1303" s="197" t="e">
        <f t="shared" si="312"/>
        <v>#N/A</v>
      </c>
      <c r="AC1303" s="197" t="e">
        <f t="shared" si="313"/>
        <v>#N/A</v>
      </c>
    </row>
    <row r="1304" spans="1:29" hidden="1" x14ac:dyDescent="0.25">
      <c r="A1304" s="24">
        <v>1303</v>
      </c>
      <c r="B1304" s="89" t="s">
        <v>374</v>
      </c>
      <c r="C1304" s="4" t="str">
        <f t="shared" si="307"/>
        <v>LlaveD86167381122100002292</v>
      </c>
      <c r="D1304" s="25" t="str">
        <f>VLOOKUP(E1304,'NO MODIFICAR'!J:K,2,0)</f>
        <v>D861</v>
      </c>
      <c r="E1304" s="102" t="s">
        <v>44</v>
      </c>
      <c r="F1304" s="25" t="str">
        <f>VLOOKUP(D1304,'NO MODIFICAR'!F:H,3,0)</f>
        <v xml:space="preserve">CENTRO </v>
      </c>
      <c r="G1304" s="92">
        <v>67381122</v>
      </c>
      <c r="H1304" s="92" t="s">
        <v>1039</v>
      </c>
      <c r="I1304" s="94">
        <v>10000229</v>
      </c>
      <c r="J1304" s="4" t="str">
        <f>VLOOKUP(I1304,'Materiales,canteras'!C:D,2,0)</f>
        <v>Grava Triturada Basalto  10 mm</v>
      </c>
      <c r="K1304" s="25">
        <f>VLOOKUP(I1304,'Materiales,canteras'!C:E,3,0)</f>
        <v>1.522</v>
      </c>
      <c r="L1304" s="88">
        <v>215</v>
      </c>
      <c r="M1304" s="28" t="s">
        <v>93</v>
      </c>
      <c r="N1304" s="193">
        <f t="shared" ca="1" si="314"/>
        <v>46267</v>
      </c>
      <c r="O1304" s="24" t="s">
        <v>832</v>
      </c>
      <c r="P1304" s="4"/>
      <c r="Q1304" s="4"/>
      <c r="R1304" s="4">
        <v>5.28</v>
      </c>
      <c r="S1304" s="4">
        <v>352</v>
      </c>
      <c r="T1304" s="303">
        <f t="shared" si="308"/>
        <v>-131.72000000000003</v>
      </c>
      <c r="U1304" s="88">
        <f t="shared" si="309"/>
        <v>215</v>
      </c>
      <c r="V1304" s="82">
        <v>0</v>
      </c>
      <c r="W1304" s="4">
        <v>2</v>
      </c>
      <c r="X1304" s="195">
        <f t="shared" si="310"/>
        <v>215</v>
      </c>
      <c r="Y1304" s="29" t="e">
        <f>IF(+VLOOKUP(I1304,P.Referencia!E:S,3,FALSE)&lt;=L1304,"Champion","Gerente")</f>
        <v>#N/A</v>
      </c>
      <c r="Z1304" s="30" t="e">
        <f>VLOOKUP(I1304,P.Referencia!E:S,3,0)</f>
        <v>#N/A</v>
      </c>
      <c r="AA1304" s="196" t="e">
        <f t="shared" si="311"/>
        <v>#N/A</v>
      </c>
      <c r="AB1304" s="197" t="e">
        <f t="shared" si="312"/>
        <v>#N/A</v>
      </c>
      <c r="AC1304" s="197" t="e">
        <f t="shared" si="313"/>
        <v>#N/A</v>
      </c>
    </row>
    <row r="1305" spans="1:29" hidden="1" x14ac:dyDescent="0.25">
      <c r="A1305" s="24">
        <v>1304</v>
      </c>
      <c r="B1305" s="89" t="s">
        <v>374</v>
      </c>
      <c r="C1305" s="4" t="str">
        <f t="shared" si="307"/>
        <v>LlaveD86167381122100002312</v>
      </c>
      <c r="D1305" s="25" t="str">
        <f>VLOOKUP(E1305,'NO MODIFICAR'!J:K,2,0)</f>
        <v>D861</v>
      </c>
      <c r="E1305" s="102" t="s">
        <v>44</v>
      </c>
      <c r="F1305" s="25" t="str">
        <f>VLOOKUP(D1305,'NO MODIFICAR'!F:H,3,0)</f>
        <v xml:space="preserve">CENTRO </v>
      </c>
      <c r="G1305" s="92">
        <v>67381122</v>
      </c>
      <c r="H1305" s="92" t="s">
        <v>1039</v>
      </c>
      <c r="I1305" s="94">
        <v>10000231</v>
      </c>
      <c r="J1305" s="4" t="str">
        <f>VLOOKUP(I1305,'Materiales,canteras'!C:D,2,0)</f>
        <v>Grava Triturada Basalto 20 mm</v>
      </c>
      <c r="K1305" s="25">
        <f>VLOOKUP(I1305,'Materiales,canteras'!C:E,3,0)</f>
        <v>1.5649999999999999</v>
      </c>
      <c r="L1305" s="88">
        <v>210</v>
      </c>
      <c r="M1305" s="28" t="s">
        <v>93</v>
      </c>
      <c r="N1305" s="193">
        <f t="shared" ca="1" si="314"/>
        <v>46267</v>
      </c>
      <c r="O1305" s="24" t="s">
        <v>833</v>
      </c>
      <c r="P1305" s="4"/>
      <c r="Q1305" s="4"/>
      <c r="R1305" s="4">
        <v>4.62</v>
      </c>
      <c r="S1305" s="4">
        <v>308</v>
      </c>
      <c r="T1305" s="303">
        <f t="shared" si="308"/>
        <v>-93.38</v>
      </c>
      <c r="U1305" s="88">
        <f t="shared" si="309"/>
        <v>210</v>
      </c>
      <c r="V1305" s="82">
        <v>0</v>
      </c>
      <c r="W1305" s="4">
        <v>2</v>
      </c>
      <c r="X1305" s="195">
        <f t="shared" si="310"/>
        <v>210</v>
      </c>
      <c r="Y1305" s="29" t="e">
        <f>IF(+VLOOKUP(I1305,P.Referencia!E:S,3,FALSE)&lt;=L1305,"Champion","Gerente")</f>
        <v>#N/A</v>
      </c>
      <c r="Z1305" s="30" t="e">
        <f>VLOOKUP(I1305,P.Referencia!E:S,3,0)</f>
        <v>#N/A</v>
      </c>
      <c r="AA1305" s="196" t="e">
        <f t="shared" si="311"/>
        <v>#N/A</v>
      </c>
      <c r="AB1305" s="197" t="e">
        <f t="shared" si="312"/>
        <v>#N/A</v>
      </c>
      <c r="AC1305" s="197" t="e">
        <f t="shared" si="313"/>
        <v>#N/A</v>
      </c>
    </row>
    <row r="1306" spans="1:29" hidden="1" x14ac:dyDescent="0.25">
      <c r="A1306" s="24">
        <v>1305</v>
      </c>
      <c r="B1306" s="89" t="s">
        <v>374</v>
      </c>
      <c r="C1306" s="4" t="str">
        <f t="shared" si="307"/>
        <v>LlaveD86167381122100003112</v>
      </c>
      <c r="D1306" s="25" t="str">
        <f>VLOOKUP(E1306,'NO MODIFICAR'!J:K,2,0)</f>
        <v>D861</v>
      </c>
      <c r="E1306" s="102" t="s">
        <v>44</v>
      </c>
      <c r="F1306" s="25" t="str">
        <f>VLOOKUP(D1306,'NO MODIFICAR'!F:H,3,0)</f>
        <v xml:space="preserve">CENTRO </v>
      </c>
      <c r="G1306" s="92">
        <v>67381122</v>
      </c>
      <c r="H1306" s="92" t="s">
        <v>1039</v>
      </c>
      <c r="I1306" s="94">
        <v>10000311</v>
      </c>
      <c r="J1306" s="4" t="str">
        <f>VLOOKUP(I1306,'Materiales,canteras'!C:D,2,0)</f>
        <v>Arena Triturada Basalto  Malla</v>
      </c>
      <c r="K1306" s="25">
        <f>VLOOKUP(I1306,'Materiales,canteras'!C:E,3,0)</f>
        <v>1.651</v>
      </c>
      <c r="L1306" s="88">
        <v>208</v>
      </c>
      <c r="M1306" s="28" t="s">
        <v>93</v>
      </c>
      <c r="N1306" s="193">
        <f t="shared" ca="1" si="314"/>
        <v>46267</v>
      </c>
      <c r="O1306" s="24" t="s">
        <v>834</v>
      </c>
      <c r="P1306" s="4"/>
      <c r="Q1306" s="4"/>
      <c r="R1306" s="4">
        <v>4.29</v>
      </c>
      <c r="S1306" s="4">
        <v>286</v>
      </c>
      <c r="T1306" s="303">
        <f t="shared" si="308"/>
        <v>-73.70999999999998</v>
      </c>
      <c r="U1306" s="88">
        <f t="shared" si="309"/>
        <v>208</v>
      </c>
      <c r="V1306" s="82">
        <v>0</v>
      </c>
      <c r="W1306" s="4">
        <v>2</v>
      </c>
      <c r="X1306" s="195">
        <f t="shared" si="310"/>
        <v>208</v>
      </c>
      <c r="Y1306" s="29" t="e">
        <f>IF(+VLOOKUP(I1306,P.Referencia!E:S,3,FALSE)&lt;=L1306,"Champion","Gerente")</f>
        <v>#N/A</v>
      </c>
      <c r="Z1306" s="30" t="e">
        <f>VLOOKUP(I1306,P.Referencia!E:S,3,0)</f>
        <v>#N/A</v>
      </c>
      <c r="AA1306" s="196" t="e">
        <f t="shared" si="311"/>
        <v>#N/A</v>
      </c>
      <c r="AB1306" s="197" t="e">
        <f t="shared" si="312"/>
        <v>#N/A</v>
      </c>
      <c r="AC1306" s="197" t="e">
        <f t="shared" si="313"/>
        <v>#N/A</v>
      </c>
    </row>
    <row r="1307" spans="1:29" hidden="1" x14ac:dyDescent="0.25">
      <c r="A1307" s="24">
        <v>1306</v>
      </c>
      <c r="B1307" s="89" t="s">
        <v>374</v>
      </c>
      <c r="C1307" s="4" t="str">
        <f t="shared" si="307"/>
        <v>LlaveD86167381122100031532</v>
      </c>
      <c r="D1307" s="25" t="str">
        <f>VLOOKUP(E1307,'NO MODIFICAR'!J:K,2,0)</f>
        <v>D861</v>
      </c>
      <c r="E1307" s="102" t="s">
        <v>44</v>
      </c>
      <c r="F1307" s="25" t="str">
        <f>VLOOKUP(D1307,'NO MODIFICAR'!F:H,3,0)</f>
        <v xml:space="preserve">CENTRO </v>
      </c>
      <c r="G1307" s="92">
        <v>67381122</v>
      </c>
      <c r="H1307" s="92" t="s">
        <v>1039</v>
      </c>
      <c r="I1307" s="94">
        <v>10003153</v>
      </c>
      <c r="J1307" s="4" t="str">
        <f>VLOOKUP(I1307,'Materiales,canteras'!C:D,2,0)</f>
        <v>Grava Triturada Basalto 13 mm</v>
      </c>
      <c r="K1307" s="25">
        <f>VLOOKUP(I1307,'Materiales,canteras'!C:E,3,0)</f>
        <v>1.546</v>
      </c>
      <c r="L1307" s="88">
        <v>215</v>
      </c>
      <c r="M1307" s="28" t="s">
        <v>93</v>
      </c>
      <c r="N1307" s="193">
        <f t="shared" ca="1" si="314"/>
        <v>46267</v>
      </c>
      <c r="O1307" s="24" t="s">
        <v>835</v>
      </c>
      <c r="P1307" s="4"/>
      <c r="Q1307" s="4"/>
      <c r="R1307" s="4">
        <v>4.46</v>
      </c>
      <c r="S1307" s="4">
        <v>297</v>
      </c>
      <c r="T1307" s="303">
        <f t="shared" si="308"/>
        <v>-77.54000000000002</v>
      </c>
      <c r="U1307" s="88">
        <f t="shared" si="309"/>
        <v>215</v>
      </c>
      <c r="V1307" s="82">
        <v>0</v>
      </c>
      <c r="W1307" s="4">
        <v>2</v>
      </c>
      <c r="X1307" s="195">
        <f t="shared" si="310"/>
        <v>215</v>
      </c>
      <c r="Y1307" s="29" t="e">
        <f>IF(+VLOOKUP(I1307,P.Referencia!E:S,3,FALSE)&lt;=L1307,"Champion","Gerente")</f>
        <v>#N/A</v>
      </c>
      <c r="Z1307" s="30" t="e">
        <f>VLOOKUP(I1307,P.Referencia!E:S,3,0)</f>
        <v>#N/A</v>
      </c>
      <c r="AA1307" s="196" t="e">
        <f t="shared" si="311"/>
        <v>#N/A</v>
      </c>
      <c r="AB1307" s="197" t="e">
        <f t="shared" si="312"/>
        <v>#N/A</v>
      </c>
      <c r="AC1307" s="197" t="e">
        <f t="shared" si="313"/>
        <v>#N/A</v>
      </c>
    </row>
    <row r="1308" spans="1:29" hidden="1" x14ac:dyDescent="0.25">
      <c r="A1308" s="24">
        <v>1307</v>
      </c>
      <c r="B1308" s="89" t="s">
        <v>374</v>
      </c>
      <c r="C1308" s="4" t="str">
        <f t="shared" si="307"/>
        <v>LlaveD86167381122100002332</v>
      </c>
      <c r="D1308" s="25" t="str">
        <f>VLOOKUP(E1308,'NO MODIFICAR'!J:K,2,0)</f>
        <v>D861</v>
      </c>
      <c r="E1308" s="102" t="s">
        <v>44</v>
      </c>
      <c r="F1308" s="25" t="str">
        <f>VLOOKUP(D1308,'NO MODIFICAR'!F:H,3,0)</f>
        <v xml:space="preserve">CENTRO </v>
      </c>
      <c r="G1308" s="92">
        <v>67381122</v>
      </c>
      <c r="H1308" s="92" t="s">
        <v>1039</v>
      </c>
      <c r="I1308" s="94">
        <v>10000233</v>
      </c>
      <c r="J1308" s="4" t="str">
        <f>VLOOKUP(I1308,'Materiales,canteras'!C:D,2,0)</f>
        <v>Grava Triturada Basalto  40 mm</v>
      </c>
      <c r="K1308" s="25">
        <f>VLOOKUP(I1308,'Materiales,canteras'!C:E,3,0)</f>
        <v>1.456</v>
      </c>
      <c r="L1308" s="88">
        <v>210</v>
      </c>
      <c r="M1308" s="28" t="s">
        <v>93</v>
      </c>
      <c r="N1308" s="193">
        <f t="shared" ca="1" si="314"/>
        <v>46267</v>
      </c>
      <c r="O1308" s="24" t="s">
        <v>836</v>
      </c>
      <c r="P1308" s="4"/>
      <c r="Q1308" s="4"/>
      <c r="R1308" s="4">
        <v>4.6500000000000004</v>
      </c>
      <c r="S1308" s="4">
        <v>310</v>
      </c>
      <c r="T1308" s="303">
        <f t="shared" si="308"/>
        <v>-95.350000000000023</v>
      </c>
      <c r="U1308" s="88">
        <f t="shared" si="309"/>
        <v>210</v>
      </c>
      <c r="V1308" s="82">
        <v>0</v>
      </c>
      <c r="W1308" s="4">
        <v>2</v>
      </c>
      <c r="X1308" s="195">
        <f t="shared" si="310"/>
        <v>210</v>
      </c>
      <c r="Y1308" s="29" t="e">
        <f>IF(+VLOOKUP(I1308,P.Referencia!E:S,3,FALSE)&lt;=L1308,"Champion","Gerente")</f>
        <v>#N/A</v>
      </c>
      <c r="Z1308" s="30" t="e">
        <f>VLOOKUP(I1308,P.Referencia!E:S,3,0)</f>
        <v>#N/A</v>
      </c>
      <c r="AA1308" s="196" t="e">
        <f t="shared" si="311"/>
        <v>#N/A</v>
      </c>
      <c r="AB1308" s="197" t="e">
        <f t="shared" si="312"/>
        <v>#N/A</v>
      </c>
      <c r="AC1308" s="197" t="e">
        <f t="shared" si="313"/>
        <v>#N/A</v>
      </c>
    </row>
    <row r="1309" spans="1:29" hidden="1" x14ac:dyDescent="0.25">
      <c r="A1309" s="24">
        <v>1308</v>
      </c>
      <c r="B1309" s="89" t="s">
        <v>374</v>
      </c>
      <c r="C1309" s="4" t="str">
        <f t="shared" ref="C1309:C1372" si="319">_xlfn.CONCAT($C$1,D1309,G1309,I1309,W1309)</f>
        <v>LlaveD86167381122100014502</v>
      </c>
      <c r="D1309" s="25" t="str">
        <f>VLOOKUP(E1309,'NO MODIFICAR'!J:K,2,0)</f>
        <v>D861</v>
      </c>
      <c r="E1309" s="102" t="s">
        <v>44</v>
      </c>
      <c r="F1309" s="25" t="str">
        <f>VLOOKUP(D1309,'NO MODIFICAR'!F:H,3,0)</f>
        <v xml:space="preserve">CENTRO </v>
      </c>
      <c r="G1309" s="92">
        <v>67381122</v>
      </c>
      <c r="H1309" s="92" t="s">
        <v>1039</v>
      </c>
      <c r="I1309" s="94">
        <v>10001450</v>
      </c>
      <c r="J1309" s="4" t="str">
        <f>VLOOKUP(I1309,'Materiales,canteras'!C:D,2,0)</f>
        <v>Base Hidraúlica Basalto de 1 /1/2</v>
      </c>
      <c r="K1309" s="25">
        <f>VLOOKUP(I1309,'Materiales,canteras'!C:E,3,0)</f>
        <v>1.7490000000000001</v>
      </c>
      <c r="L1309" s="88">
        <v>208</v>
      </c>
      <c r="M1309" s="28" t="s">
        <v>93</v>
      </c>
      <c r="N1309" s="193">
        <f t="shared" ca="1" si="314"/>
        <v>46267</v>
      </c>
      <c r="O1309" s="24" t="s">
        <v>837</v>
      </c>
      <c r="P1309" s="4"/>
      <c r="Q1309" s="4"/>
      <c r="R1309" s="4">
        <v>4.29</v>
      </c>
      <c r="S1309" s="4">
        <v>286</v>
      </c>
      <c r="T1309" s="303">
        <f t="shared" ref="T1309:T1372" si="320">L1309-((S1309-P1309)-(Q1309)-(R1309))</f>
        <v>-73.70999999999998</v>
      </c>
      <c r="U1309" s="88">
        <f t="shared" ref="U1309:U1372" si="321">L1309</f>
        <v>208</v>
      </c>
      <c r="V1309" s="82">
        <v>0</v>
      </c>
      <c r="W1309" s="4">
        <v>2</v>
      </c>
      <c r="X1309" s="195">
        <f t="shared" ref="X1309:X1372" si="322">U1309+V1309</f>
        <v>208</v>
      </c>
      <c r="Y1309" s="29" t="e">
        <f>IF(+VLOOKUP(I1309,P.Referencia!E:S,3,FALSE)&lt;=L1309,"Champion","Gerente")</f>
        <v>#N/A</v>
      </c>
      <c r="Z1309" s="30" t="e">
        <f>VLOOKUP(I1309,P.Referencia!E:S,3,0)</f>
        <v>#N/A</v>
      </c>
      <c r="AA1309" s="196" t="e">
        <f t="shared" ref="AA1309:AA1372" si="323">(Z1309-U1309)/U1309</f>
        <v>#N/A</v>
      </c>
      <c r="AB1309" s="197" t="e">
        <f t="shared" ref="AB1309:AB1372" si="324">U1309*AA1309</f>
        <v>#N/A</v>
      </c>
      <c r="AC1309" s="197" t="e">
        <f t="shared" ref="AC1309:AC1372" si="325">U1309+AB1309</f>
        <v>#N/A</v>
      </c>
    </row>
    <row r="1310" spans="1:29" hidden="1" x14ac:dyDescent="0.25">
      <c r="A1310" s="24">
        <v>1309</v>
      </c>
      <c r="B1310" s="89" t="s">
        <v>374</v>
      </c>
      <c r="C1310" s="4" t="str">
        <f t="shared" si="319"/>
        <v>LlaveD86166936788100002292</v>
      </c>
      <c r="D1310" s="25" t="str">
        <f>VLOOKUP(E1310,'NO MODIFICAR'!J:K,2,0)</f>
        <v>D861</v>
      </c>
      <c r="E1310" s="102" t="s">
        <v>44</v>
      </c>
      <c r="F1310" s="25" t="str">
        <f>VLOOKUP(D1310,'NO MODIFICAR'!F:H,3,0)</f>
        <v xml:space="preserve">CENTRO </v>
      </c>
      <c r="G1310" s="92">
        <v>66936788</v>
      </c>
      <c r="H1310" s="92" t="s">
        <v>303</v>
      </c>
      <c r="I1310" s="94">
        <v>10000229</v>
      </c>
      <c r="J1310" s="4" t="str">
        <f>VLOOKUP(I1310,'Materiales,canteras'!C:D,2,0)</f>
        <v>Grava Triturada Basalto  10 mm</v>
      </c>
      <c r="K1310" s="25">
        <f>VLOOKUP(I1310,'Materiales,canteras'!C:E,3,0)</f>
        <v>1.522</v>
      </c>
      <c r="L1310" s="88">
        <v>190</v>
      </c>
      <c r="M1310" s="28" t="s">
        <v>93</v>
      </c>
      <c r="N1310" s="193">
        <f t="shared" ca="1" si="314"/>
        <v>46267</v>
      </c>
      <c r="O1310" s="24" t="s">
        <v>838</v>
      </c>
      <c r="P1310" s="4"/>
      <c r="Q1310" s="4"/>
      <c r="R1310" s="4"/>
      <c r="S1310" s="4">
        <v>352</v>
      </c>
      <c r="T1310" s="303">
        <f t="shared" si="320"/>
        <v>-162</v>
      </c>
      <c r="U1310" s="88">
        <f t="shared" si="321"/>
        <v>190</v>
      </c>
      <c r="V1310" s="82">
        <v>0</v>
      </c>
      <c r="W1310" s="4">
        <v>2</v>
      </c>
      <c r="X1310" s="195">
        <f t="shared" si="322"/>
        <v>190</v>
      </c>
      <c r="Y1310" s="29" t="e">
        <f>IF(+VLOOKUP(I1310,P.Referencia!E:S,3,FALSE)&lt;=L1310,"Champion","Gerente")</f>
        <v>#N/A</v>
      </c>
      <c r="Z1310" s="30" t="e">
        <f>VLOOKUP(I1310,P.Referencia!E:S,3,0)</f>
        <v>#N/A</v>
      </c>
      <c r="AA1310" s="196" t="e">
        <f t="shared" si="323"/>
        <v>#N/A</v>
      </c>
      <c r="AB1310" s="197" t="e">
        <f t="shared" si="324"/>
        <v>#N/A</v>
      </c>
      <c r="AC1310" s="197" t="e">
        <f t="shared" si="325"/>
        <v>#N/A</v>
      </c>
    </row>
    <row r="1311" spans="1:29" hidden="1" x14ac:dyDescent="0.25">
      <c r="A1311" s="24">
        <v>1310</v>
      </c>
      <c r="B1311" s="89" t="s">
        <v>374</v>
      </c>
      <c r="C1311" s="4" t="str">
        <f t="shared" si="319"/>
        <v>LlaveD86166936788100002312</v>
      </c>
      <c r="D1311" s="25" t="str">
        <f>VLOOKUP(E1311,'NO MODIFICAR'!J:K,2,0)</f>
        <v>D861</v>
      </c>
      <c r="E1311" s="102" t="s">
        <v>44</v>
      </c>
      <c r="F1311" s="25" t="str">
        <f>VLOOKUP(D1311,'NO MODIFICAR'!F:H,3,0)</f>
        <v xml:space="preserve">CENTRO </v>
      </c>
      <c r="G1311" s="92">
        <v>66936788</v>
      </c>
      <c r="H1311" s="92" t="s">
        <v>303</v>
      </c>
      <c r="I1311" s="94">
        <v>10000231</v>
      </c>
      <c r="J1311" s="4" t="str">
        <f>VLOOKUP(I1311,'Materiales,canteras'!C:D,2,0)</f>
        <v>Grava Triturada Basalto 20 mm</v>
      </c>
      <c r="K1311" s="25">
        <f>VLOOKUP(I1311,'Materiales,canteras'!C:E,3,0)</f>
        <v>1.5649999999999999</v>
      </c>
      <c r="L1311" s="88">
        <v>190</v>
      </c>
      <c r="M1311" s="28" t="s">
        <v>93</v>
      </c>
      <c r="N1311" s="193">
        <f t="shared" ca="1" si="314"/>
        <v>46267</v>
      </c>
      <c r="O1311" s="24" t="s">
        <v>839</v>
      </c>
      <c r="P1311" s="4"/>
      <c r="Q1311" s="4"/>
      <c r="R1311" s="4"/>
      <c r="S1311" s="4">
        <v>308</v>
      </c>
      <c r="T1311" s="303">
        <f t="shared" si="320"/>
        <v>-118</v>
      </c>
      <c r="U1311" s="88">
        <f t="shared" si="321"/>
        <v>190</v>
      </c>
      <c r="V1311" s="82">
        <v>0</v>
      </c>
      <c r="W1311" s="4">
        <v>2</v>
      </c>
      <c r="X1311" s="195">
        <f t="shared" si="322"/>
        <v>190</v>
      </c>
      <c r="Y1311" s="29" t="e">
        <f>IF(+VLOOKUP(I1311,P.Referencia!E:S,3,FALSE)&lt;=L1311,"Champion","Gerente")</f>
        <v>#N/A</v>
      </c>
      <c r="Z1311" s="30" t="e">
        <f>VLOOKUP(I1311,P.Referencia!E:S,3,0)</f>
        <v>#N/A</v>
      </c>
      <c r="AA1311" s="196" t="e">
        <f t="shared" si="323"/>
        <v>#N/A</v>
      </c>
      <c r="AB1311" s="197" t="e">
        <f t="shared" si="324"/>
        <v>#N/A</v>
      </c>
      <c r="AC1311" s="197" t="e">
        <f t="shared" si="325"/>
        <v>#N/A</v>
      </c>
    </row>
    <row r="1312" spans="1:29" hidden="1" x14ac:dyDescent="0.25">
      <c r="A1312" s="24">
        <v>1311</v>
      </c>
      <c r="B1312" s="89" t="s">
        <v>374</v>
      </c>
      <c r="C1312" s="4" t="str">
        <f t="shared" si="319"/>
        <v>LlaveD86166936788100002332</v>
      </c>
      <c r="D1312" s="25" t="str">
        <f>VLOOKUP(E1312,'NO MODIFICAR'!J:K,2,0)</f>
        <v>D861</v>
      </c>
      <c r="E1312" s="102" t="s">
        <v>44</v>
      </c>
      <c r="F1312" s="25" t="str">
        <f>VLOOKUP(D1312,'NO MODIFICAR'!F:H,3,0)</f>
        <v xml:space="preserve">CENTRO </v>
      </c>
      <c r="G1312" s="92">
        <v>66936788</v>
      </c>
      <c r="H1312" s="92" t="s">
        <v>303</v>
      </c>
      <c r="I1312" s="94">
        <v>10000233</v>
      </c>
      <c r="J1312" s="4" t="str">
        <f>VLOOKUP(I1312,'Materiales,canteras'!C:D,2,0)</f>
        <v>Grava Triturada Basalto  40 mm</v>
      </c>
      <c r="K1312" s="25">
        <f>VLOOKUP(I1312,'Materiales,canteras'!C:E,3,0)</f>
        <v>1.456</v>
      </c>
      <c r="L1312" s="88">
        <v>190</v>
      </c>
      <c r="M1312" s="28" t="s">
        <v>93</v>
      </c>
      <c r="N1312" s="193">
        <f t="shared" ca="1" si="314"/>
        <v>46267</v>
      </c>
      <c r="O1312" s="24" t="s">
        <v>840</v>
      </c>
      <c r="P1312" s="4"/>
      <c r="Q1312" s="4"/>
      <c r="R1312" s="4"/>
      <c r="S1312" s="4">
        <v>310</v>
      </c>
      <c r="T1312" s="303">
        <f t="shared" si="320"/>
        <v>-120</v>
      </c>
      <c r="U1312" s="88">
        <f t="shared" si="321"/>
        <v>190</v>
      </c>
      <c r="V1312" s="82">
        <v>0</v>
      </c>
      <c r="W1312" s="4">
        <v>2</v>
      </c>
      <c r="X1312" s="195">
        <f t="shared" si="322"/>
        <v>190</v>
      </c>
      <c r="Y1312" s="29" t="e">
        <f>IF(+VLOOKUP(I1312,P.Referencia!E:S,3,FALSE)&lt;=L1312,"Champion","Gerente")</f>
        <v>#N/A</v>
      </c>
      <c r="Z1312" s="30" t="e">
        <f>VLOOKUP(I1312,P.Referencia!E:S,3,0)</f>
        <v>#N/A</v>
      </c>
      <c r="AA1312" s="196" t="e">
        <f t="shared" si="323"/>
        <v>#N/A</v>
      </c>
      <c r="AB1312" s="197" t="e">
        <f t="shared" si="324"/>
        <v>#N/A</v>
      </c>
      <c r="AC1312" s="197" t="e">
        <f t="shared" si="325"/>
        <v>#N/A</v>
      </c>
    </row>
    <row r="1313" spans="1:29" hidden="1" x14ac:dyDescent="0.25">
      <c r="A1313" s="24">
        <v>1312</v>
      </c>
      <c r="B1313" s="89" t="s">
        <v>374</v>
      </c>
      <c r="C1313" s="4" t="str">
        <f t="shared" si="319"/>
        <v>LlaveD86166913897100002292</v>
      </c>
      <c r="D1313" s="25" t="str">
        <f>VLOOKUP(E1313,'NO MODIFICAR'!J:K,2,0)</f>
        <v>D861</v>
      </c>
      <c r="E1313" s="102" t="s">
        <v>44</v>
      </c>
      <c r="F1313" s="25" t="str">
        <f>VLOOKUP(D1313,'NO MODIFICAR'!F:H,3,0)</f>
        <v xml:space="preserve">CENTRO </v>
      </c>
      <c r="G1313" s="92">
        <v>66913897</v>
      </c>
      <c r="H1313" s="92" t="s">
        <v>304</v>
      </c>
      <c r="I1313" s="94">
        <v>10000229</v>
      </c>
      <c r="J1313" s="4" t="str">
        <f>VLOOKUP(I1313,'Materiales,canteras'!C:D,2,0)</f>
        <v>Grava Triturada Basalto  10 mm</v>
      </c>
      <c r="K1313" s="25">
        <f>VLOOKUP(I1313,'Materiales,canteras'!C:E,3,0)</f>
        <v>1.522</v>
      </c>
      <c r="L1313" s="88">
        <v>190</v>
      </c>
      <c r="M1313" s="28" t="s">
        <v>93</v>
      </c>
      <c r="N1313" s="193">
        <f t="shared" ca="1" si="314"/>
        <v>46267</v>
      </c>
      <c r="O1313" s="24" t="s">
        <v>841</v>
      </c>
      <c r="P1313" s="4"/>
      <c r="Q1313" s="4"/>
      <c r="R1313" s="4"/>
      <c r="S1313" s="4">
        <v>352</v>
      </c>
      <c r="T1313" s="303">
        <f t="shared" si="320"/>
        <v>-162</v>
      </c>
      <c r="U1313" s="88">
        <f t="shared" si="321"/>
        <v>190</v>
      </c>
      <c r="V1313" s="82">
        <v>0</v>
      </c>
      <c r="W1313" s="4">
        <v>2</v>
      </c>
      <c r="X1313" s="195">
        <f t="shared" si="322"/>
        <v>190</v>
      </c>
      <c r="Y1313" s="29" t="e">
        <f>IF(+VLOOKUP(I1313,P.Referencia!E:S,3,FALSE)&lt;=L1313,"Champion","Gerente")</f>
        <v>#N/A</v>
      </c>
      <c r="Z1313" s="30" t="e">
        <f>VLOOKUP(I1313,P.Referencia!E:S,3,0)</f>
        <v>#N/A</v>
      </c>
      <c r="AA1313" s="196" t="e">
        <f t="shared" si="323"/>
        <v>#N/A</v>
      </c>
      <c r="AB1313" s="197" t="e">
        <f t="shared" si="324"/>
        <v>#N/A</v>
      </c>
      <c r="AC1313" s="197" t="e">
        <f t="shared" si="325"/>
        <v>#N/A</v>
      </c>
    </row>
    <row r="1314" spans="1:29" hidden="1" x14ac:dyDescent="0.25">
      <c r="A1314" s="24">
        <v>1313</v>
      </c>
      <c r="B1314" s="89" t="s">
        <v>374</v>
      </c>
      <c r="C1314" s="4" t="str">
        <f t="shared" si="319"/>
        <v>LlaveD86166913897100002312</v>
      </c>
      <c r="D1314" s="25" t="str">
        <f>VLOOKUP(E1314,'NO MODIFICAR'!J:K,2,0)</f>
        <v>D861</v>
      </c>
      <c r="E1314" s="102" t="s">
        <v>44</v>
      </c>
      <c r="F1314" s="25" t="str">
        <f>VLOOKUP(D1314,'NO MODIFICAR'!F:H,3,0)</f>
        <v xml:space="preserve">CENTRO </v>
      </c>
      <c r="G1314" s="92">
        <v>66913897</v>
      </c>
      <c r="H1314" s="92" t="s">
        <v>304</v>
      </c>
      <c r="I1314" s="94">
        <v>10000231</v>
      </c>
      <c r="J1314" s="4" t="str">
        <f>VLOOKUP(I1314,'Materiales,canteras'!C:D,2,0)</f>
        <v>Grava Triturada Basalto 20 mm</v>
      </c>
      <c r="K1314" s="25">
        <f>VLOOKUP(I1314,'Materiales,canteras'!C:E,3,0)</f>
        <v>1.5649999999999999</v>
      </c>
      <c r="L1314" s="88">
        <v>190</v>
      </c>
      <c r="M1314" s="28" t="s">
        <v>93</v>
      </c>
      <c r="N1314" s="193">
        <f t="shared" ca="1" si="314"/>
        <v>46267</v>
      </c>
      <c r="O1314" s="24" t="s">
        <v>842</v>
      </c>
      <c r="P1314" s="4"/>
      <c r="Q1314" s="4"/>
      <c r="R1314" s="4"/>
      <c r="S1314" s="4">
        <v>308</v>
      </c>
      <c r="T1314" s="303">
        <f t="shared" si="320"/>
        <v>-118</v>
      </c>
      <c r="U1314" s="88">
        <f t="shared" si="321"/>
        <v>190</v>
      </c>
      <c r="V1314" s="82">
        <v>0</v>
      </c>
      <c r="W1314" s="4">
        <v>2</v>
      </c>
      <c r="X1314" s="195">
        <f t="shared" si="322"/>
        <v>190</v>
      </c>
      <c r="Y1314" s="29" t="e">
        <f>IF(+VLOOKUP(I1314,P.Referencia!E:S,3,FALSE)&lt;=L1314,"Champion","Gerente")</f>
        <v>#N/A</v>
      </c>
      <c r="Z1314" s="30" t="e">
        <f>VLOOKUP(I1314,P.Referencia!E:S,3,0)</f>
        <v>#N/A</v>
      </c>
      <c r="AA1314" s="196" t="e">
        <f t="shared" si="323"/>
        <v>#N/A</v>
      </c>
      <c r="AB1314" s="197" t="e">
        <f t="shared" si="324"/>
        <v>#N/A</v>
      </c>
      <c r="AC1314" s="197" t="e">
        <f t="shared" si="325"/>
        <v>#N/A</v>
      </c>
    </row>
    <row r="1315" spans="1:29" hidden="1" x14ac:dyDescent="0.25">
      <c r="A1315" s="24">
        <v>1314</v>
      </c>
      <c r="B1315" s="89" t="s">
        <v>374</v>
      </c>
      <c r="C1315" s="4" t="str">
        <f t="shared" si="319"/>
        <v>LlaveD86166913897100002332</v>
      </c>
      <c r="D1315" s="25" t="str">
        <f>VLOOKUP(E1315,'NO MODIFICAR'!J:K,2,0)</f>
        <v>D861</v>
      </c>
      <c r="E1315" s="102" t="s">
        <v>44</v>
      </c>
      <c r="F1315" s="25" t="str">
        <f>VLOOKUP(D1315,'NO MODIFICAR'!F:H,3,0)</f>
        <v xml:space="preserve">CENTRO </v>
      </c>
      <c r="G1315" s="92">
        <v>66913897</v>
      </c>
      <c r="H1315" s="92" t="s">
        <v>304</v>
      </c>
      <c r="I1315" s="94">
        <v>10000233</v>
      </c>
      <c r="J1315" s="4" t="str">
        <f>VLOOKUP(I1315,'Materiales,canteras'!C:D,2,0)</f>
        <v>Grava Triturada Basalto  40 mm</v>
      </c>
      <c r="K1315" s="25">
        <f>VLOOKUP(I1315,'Materiales,canteras'!C:E,3,0)</f>
        <v>1.456</v>
      </c>
      <c r="L1315" s="88">
        <v>190</v>
      </c>
      <c r="M1315" s="28" t="s">
        <v>93</v>
      </c>
      <c r="N1315" s="193">
        <f t="shared" ca="1" si="314"/>
        <v>46267</v>
      </c>
      <c r="O1315" s="24" t="s">
        <v>843</v>
      </c>
      <c r="P1315" s="4"/>
      <c r="Q1315" s="4"/>
      <c r="R1315" s="4"/>
      <c r="S1315" s="4">
        <v>310</v>
      </c>
      <c r="T1315" s="303">
        <f t="shared" si="320"/>
        <v>-120</v>
      </c>
      <c r="U1315" s="88">
        <f t="shared" si="321"/>
        <v>190</v>
      </c>
      <c r="V1315" s="82">
        <v>0</v>
      </c>
      <c r="W1315" s="4">
        <v>2</v>
      </c>
      <c r="X1315" s="195">
        <f t="shared" si="322"/>
        <v>190</v>
      </c>
      <c r="Y1315" s="29" t="e">
        <f>IF(+VLOOKUP(I1315,P.Referencia!E:S,3,FALSE)&lt;=L1315,"Champion","Gerente")</f>
        <v>#N/A</v>
      </c>
      <c r="Z1315" s="30" t="e">
        <f>VLOOKUP(I1315,P.Referencia!E:S,3,0)</f>
        <v>#N/A</v>
      </c>
      <c r="AA1315" s="196" t="e">
        <f t="shared" si="323"/>
        <v>#N/A</v>
      </c>
      <c r="AB1315" s="197" t="e">
        <f t="shared" si="324"/>
        <v>#N/A</v>
      </c>
      <c r="AC1315" s="197" t="e">
        <f t="shared" si="325"/>
        <v>#N/A</v>
      </c>
    </row>
    <row r="1316" spans="1:29" hidden="1" x14ac:dyDescent="0.25">
      <c r="A1316" s="24">
        <v>1315</v>
      </c>
      <c r="B1316" s="89" t="s">
        <v>374</v>
      </c>
      <c r="C1316" s="4" t="str">
        <f t="shared" si="319"/>
        <v>LlaveD86166913819100002292</v>
      </c>
      <c r="D1316" s="25" t="str">
        <f>VLOOKUP(E1316,'NO MODIFICAR'!J:K,2,0)</f>
        <v>D861</v>
      </c>
      <c r="E1316" s="102" t="s">
        <v>44</v>
      </c>
      <c r="F1316" s="25" t="str">
        <f>VLOOKUP(D1316,'NO MODIFICAR'!F:H,3,0)</f>
        <v xml:space="preserve">CENTRO </v>
      </c>
      <c r="G1316" s="92">
        <v>66913819</v>
      </c>
      <c r="H1316" s="92" t="s">
        <v>305</v>
      </c>
      <c r="I1316" s="94">
        <v>10000229</v>
      </c>
      <c r="J1316" s="4" t="str">
        <f>VLOOKUP(I1316,'Materiales,canteras'!C:D,2,0)</f>
        <v>Grava Triturada Basalto  10 mm</v>
      </c>
      <c r="K1316" s="25">
        <f>VLOOKUP(I1316,'Materiales,canteras'!C:E,3,0)</f>
        <v>1.522</v>
      </c>
      <c r="L1316" s="88">
        <v>190</v>
      </c>
      <c r="M1316" s="28" t="s">
        <v>93</v>
      </c>
      <c r="N1316" s="193">
        <f t="shared" ca="1" si="314"/>
        <v>46267</v>
      </c>
      <c r="O1316" s="24" t="s">
        <v>844</v>
      </c>
      <c r="P1316" s="4"/>
      <c r="Q1316" s="4"/>
      <c r="R1316" s="4"/>
      <c r="S1316" s="4">
        <v>352</v>
      </c>
      <c r="T1316" s="303">
        <f t="shared" si="320"/>
        <v>-162</v>
      </c>
      <c r="U1316" s="88">
        <f t="shared" si="321"/>
        <v>190</v>
      </c>
      <c r="V1316" s="82">
        <v>0</v>
      </c>
      <c r="W1316" s="4">
        <v>2</v>
      </c>
      <c r="X1316" s="195">
        <f t="shared" si="322"/>
        <v>190</v>
      </c>
      <c r="Y1316" s="29" t="e">
        <f>IF(+VLOOKUP(I1316,P.Referencia!E:S,3,FALSE)&lt;=L1316,"Champion","Gerente")</f>
        <v>#N/A</v>
      </c>
      <c r="Z1316" s="30" t="e">
        <f>VLOOKUP(I1316,P.Referencia!E:S,3,0)</f>
        <v>#N/A</v>
      </c>
      <c r="AA1316" s="196" t="e">
        <f t="shared" si="323"/>
        <v>#N/A</v>
      </c>
      <c r="AB1316" s="197" t="e">
        <f t="shared" si="324"/>
        <v>#N/A</v>
      </c>
      <c r="AC1316" s="197" t="e">
        <f t="shared" si="325"/>
        <v>#N/A</v>
      </c>
    </row>
    <row r="1317" spans="1:29" hidden="1" x14ac:dyDescent="0.25">
      <c r="A1317" s="24">
        <v>1316</v>
      </c>
      <c r="B1317" s="89" t="s">
        <v>374</v>
      </c>
      <c r="C1317" s="4" t="str">
        <f t="shared" si="319"/>
        <v>LlaveD86166913819100002312</v>
      </c>
      <c r="D1317" s="25" t="str">
        <f>VLOOKUP(E1317,'NO MODIFICAR'!J:K,2,0)</f>
        <v>D861</v>
      </c>
      <c r="E1317" s="102" t="s">
        <v>44</v>
      </c>
      <c r="F1317" s="25" t="str">
        <f>VLOOKUP(D1317,'NO MODIFICAR'!F:H,3,0)</f>
        <v xml:space="preserve">CENTRO </v>
      </c>
      <c r="G1317" s="92">
        <v>66913819</v>
      </c>
      <c r="H1317" s="92" t="s">
        <v>305</v>
      </c>
      <c r="I1317" s="94">
        <v>10000231</v>
      </c>
      <c r="J1317" s="4" t="str">
        <f>VLOOKUP(I1317,'Materiales,canteras'!C:D,2,0)</f>
        <v>Grava Triturada Basalto 20 mm</v>
      </c>
      <c r="K1317" s="25">
        <f>VLOOKUP(I1317,'Materiales,canteras'!C:E,3,0)</f>
        <v>1.5649999999999999</v>
      </c>
      <c r="L1317" s="88">
        <v>190</v>
      </c>
      <c r="M1317" s="28" t="s">
        <v>93</v>
      </c>
      <c r="N1317" s="193">
        <f t="shared" ca="1" si="314"/>
        <v>46267</v>
      </c>
      <c r="O1317" s="24" t="s">
        <v>845</v>
      </c>
      <c r="P1317" s="4"/>
      <c r="Q1317" s="4"/>
      <c r="R1317" s="4"/>
      <c r="S1317" s="4">
        <v>308</v>
      </c>
      <c r="T1317" s="303">
        <f t="shared" si="320"/>
        <v>-118</v>
      </c>
      <c r="U1317" s="88">
        <f t="shared" si="321"/>
        <v>190</v>
      </c>
      <c r="V1317" s="82">
        <v>0</v>
      </c>
      <c r="W1317" s="4">
        <v>2</v>
      </c>
      <c r="X1317" s="195">
        <f t="shared" si="322"/>
        <v>190</v>
      </c>
      <c r="Y1317" s="29" t="e">
        <f>IF(+VLOOKUP(I1317,P.Referencia!E:S,3,FALSE)&lt;=L1317,"Champion","Gerente")</f>
        <v>#N/A</v>
      </c>
      <c r="Z1317" s="30" t="e">
        <f>VLOOKUP(I1317,P.Referencia!E:S,3,0)</f>
        <v>#N/A</v>
      </c>
      <c r="AA1317" s="196" t="e">
        <f t="shared" si="323"/>
        <v>#N/A</v>
      </c>
      <c r="AB1317" s="197" t="e">
        <f t="shared" si="324"/>
        <v>#N/A</v>
      </c>
      <c r="AC1317" s="197" t="e">
        <f t="shared" si="325"/>
        <v>#N/A</v>
      </c>
    </row>
    <row r="1318" spans="1:29" hidden="1" x14ac:dyDescent="0.25">
      <c r="A1318" s="24">
        <v>1317</v>
      </c>
      <c r="B1318" s="89" t="s">
        <v>374</v>
      </c>
      <c r="C1318" s="4" t="str">
        <f t="shared" si="319"/>
        <v>LlaveD86166913819100002332</v>
      </c>
      <c r="D1318" s="25" t="str">
        <f>VLOOKUP(E1318,'NO MODIFICAR'!J:K,2,0)</f>
        <v>D861</v>
      </c>
      <c r="E1318" s="102" t="s">
        <v>44</v>
      </c>
      <c r="F1318" s="25" t="str">
        <f>VLOOKUP(D1318,'NO MODIFICAR'!F:H,3,0)</f>
        <v xml:space="preserve">CENTRO </v>
      </c>
      <c r="G1318" s="92">
        <v>66913819</v>
      </c>
      <c r="H1318" s="92" t="s">
        <v>305</v>
      </c>
      <c r="I1318" s="94">
        <v>10000233</v>
      </c>
      <c r="J1318" s="4" t="str">
        <f>VLOOKUP(I1318,'Materiales,canteras'!C:D,2,0)</f>
        <v>Grava Triturada Basalto  40 mm</v>
      </c>
      <c r="K1318" s="25">
        <f>VLOOKUP(I1318,'Materiales,canteras'!C:E,3,0)</f>
        <v>1.456</v>
      </c>
      <c r="L1318" s="88">
        <v>190</v>
      </c>
      <c r="M1318" s="28" t="s">
        <v>93</v>
      </c>
      <c r="N1318" s="193">
        <f t="shared" ca="1" si="314"/>
        <v>46267</v>
      </c>
      <c r="O1318" s="24" t="s">
        <v>846</v>
      </c>
      <c r="P1318" s="4"/>
      <c r="Q1318" s="4"/>
      <c r="R1318" s="4"/>
      <c r="S1318" s="4">
        <v>310</v>
      </c>
      <c r="T1318" s="303">
        <f t="shared" si="320"/>
        <v>-120</v>
      </c>
      <c r="U1318" s="88">
        <f t="shared" si="321"/>
        <v>190</v>
      </c>
      <c r="V1318" s="82">
        <v>0</v>
      </c>
      <c r="W1318" s="4">
        <v>2</v>
      </c>
      <c r="X1318" s="195">
        <f t="shared" si="322"/>
        <v>190</v>
      </c>
      <c r="Y1318" s="29" t="e">
        <f>IF(+VLOOKUP(I1318,P.Referencia!E:S,3,FALSE)&lt;=L1318,"Champion","Gerente")</f>
        <v>#N/A</v>
      </c>
      <c r="Z1318" s="30" t="e">
        <f>VLOOKUP(I1318,P.Referencia!E:S,3,0)</f>
        <v>#N/A</v>
      </c>
      <c r="AA1318" s="196" t="e">
        <f t="shared" si="323"/>
        <v>#N/A</v>
      </c>
      <c r="AB1318" s="197" t="e">
        <f t="shared" si="324"/>
        <v>#N/A</v>
      </c>
      <c r="AC1318" s="197" t="e">
        <f t="shared" si="325"/>
        <v>#N/A</v>
      </c>
    </row>
    <row r="1319" spans="1:29" hidden="1" x14ac:dyDescent="0.25">
      <c r="A1319" s="24">
        <v>1318</v>
      </c>
      <c r="B1319" s="89" t="s">
        <v>374</v>
      </c>
      <c r="C1319" s="4" t="str">
        <f t="shared" si="319"/>
        <v>LlaveD86166932813100002292</v>
      </c>
      <c r="D1319" s="25" t="str">
        <f>VLOOKUP(E1319,'NO MODIFICAR'!J:K,2,0)</f>
        <v>D861</v>
      </c>
      <c r="E1319" s="102" t="s">
        <v>44</v>
      </c>
      <c r="F1319" s="25" t="str">
        <f>VLOOKUP(D1319,'NO MODIFICAR'!F:H,3,0)</f>
        <v xml:space="preserve">CENTRO </v>
      </c>
      <c r="G1319" s="92">
        <v>66932813</v>
      </c>
      <c r="H1319" s="92" t="s">
        <v>308</v>
      </c>
      <c r="I1319" s="94">
        <v>10000229</v>
      </c>
      <c r="J1319" s="4" t="str">
        <f>VLOOKUP(I1319,'Materiales,canteras'!C:D,2,0)</f>
        <v>Grava Triturada Basalto  10 mm</v>
      </c>
      <c r="K1319" s="25">
        <f>VLOOKUP(I1319,'Materiales,canteras'!C:E,3,0)</f>
        <v>1.522</v>
      </c>
      <c r="L1319" s="88">
        <v>190</v>
      </c>
      <c r="M1319" s="28" t="s">
        <v>93</v>
      </c>
      <c r="N1319" s="193">
        <f t="shared" ca="1" si="314"/>
        <v>46267</v>
      </c>
      <c r="O1319" s="24" t="s">
        <v>847</v>
      </c>
      <c r="P1319" s="4"/>
      <c r="Q1319" s="4"/>
      <c r="R1319" s="4">
        <v>14.08</v>
      </c>
      <c r="S1319" s="4">
        <v>352</v>
      </c>
      <c r="T1319" s="303">
        <f t="shared" si="320"/>
        <v>-147.92000000000002</v>
      </c>
      <c r="U1319" s="88">
        <f t="shared" si="321"/>
        <v>190</v>
      </c>
      <c r="V1319" s="82">
        <v>0</v>
      </c>
      <c r="W1319" s="4">
        <v>2</v>
      </c>
      <c r="X1319" s="195">
        <f t="shared" si="322"/>
        <v>190</v>
      </c>
      <c r="Y1319" s="29" t="e">
        <f>IF(+VLOOKUP(I1319,P.Referencia!E:S,3,FALSE)&lt;=L1319,"Champion","Gerente")</f>
        <v>#N/A</v>
      </c>
      <c r="Z1319" s="30" t="e">
        <f>VLOOKUP(I1319,P.Referencia!E:S,3,0)</f>
        <v>#N/A</v>
      </c>
      <c r="AA1319" s="196" t="e">
        <f t="shared" si="323"/>
        <v>#N/A</v>
      </c>
      <c r="AB1319" s="197" t="e">
        <f t="shared" si="324"/>
        <v>#N/A</v>
      </c>
      <c r="AC1319" s="197" t="e">
        <f t="shared" si="325"/>
        <v>#N/A</v>
      </c>
    </row>
    <row r="1320" spans="1:29" hidden="1" x14ac:dyDescent="0.25">
      <c r="A1320" s="24">
        <v>1319</v>
      </c>
      <c r="B1320" s="89" t="s">
        <v>374</v>
      </c>
      <c r="C1320" s="4" t="str">
        <f t="shared" si="319"/>
        <v>LlaveD86166932813100002312</v>
      </c>
      <c r="D1320" s="25" t="str">
        <f>VLOOKUP(E1320,'NO MODIFICAR'!J:K,2,0)</f>
        <v>D861</v>
      </c>
      <c r="E1320" s="102" t="s">
        <v>44</v>
      </c>
      <c r="F1320" s="25" t="str">
        <f>VLOOKUP(D1320,'NO MODIFICAR'!F:H,3,0)</f>
        <v xml:space="preserve">CENTRO </v>
      </c>
      <c r="G1320" s="92">
        <v>66932813</v>
      </c>
      <c r="H1320" s="92" t="s">
        <v>308</v>
      </c>
      <c r="I1320" s="94">
        <v>10000231</v>
      </c>
      <c r="J1320" s="4" t="str">
        <f>VLOOKUP(I1320,'Materiales,canteras'!C:D,2,0)</f>
        <v>Grava Triturada Basalto 20 mm</v>
      </c>
      <c r="K1320" s="25">
        <f>VLOOKUP(I1320,'Materiales,canteras'!C:E,3,0)</f>
        <v>1.5649999999999999</v>
      </c>
      <c r="L1320" s="88">
        <v>190</v>
      </c>
      <c r="M1320" s="28" t="s">
        <v>93</v>
      </c>
      <c r="N1320" s="193">
        <f t="shared" ca="1" si="314"/>
        <v>46267</v>
      </c>
      <c r="O1320" s="24" t="s">
        <v>848</v>
      </c>
      <c r="P1320" s="4"/>
      <c r="Q1320" s="4"/>
      <c r="R1320" s="4">
        <v>12.32</v>
      </c>
      <c r="S1320" s="4">
        <v>308</v>
      </c>
      <c r="T1320" s="303">
        <f t="shared" si="320"/>
        <v>-105.68</v>
      </c>
      <c r="U1320" s="88">
        <f t="shared" si="321"/>
        <v>190</v>
      </c>
      <c r="V1320" s="82">
        <v>0</v>
      </c>
      <c r="W1320" s="4">
        <v>2</v>
      </c>
      <c r="X1320" s="195">
        <f t="shared" si="322"/>
        <v>190</v>
      </c>
      <c r="Y1320" s="29" t="e">
        <f>IF(+VLOOKUP(I1320,P.Referencia!E:S,3,FALSE)&lt;=L1320,"Champion","Gerente")</f>
        <v>#N/A</v>
      </c>
      <c r="Z1320" s="30" t="e">
        <f>VLOOKUP(I1320,P.Referencia!E:S,3,0)</f>
        <v>#N/A</v>
      </c>
      <c r="AA1320" s="196" t="e">
        <f t="shared" si="323"/>
        <v>#N/A</v>
      </c>
      <c r="AB1320" s="197" t="e">
        <f t="shared" si="324"/>
        <v>#N/A</v>
      </c>
      <c r="AC1320" s="197" t="e">
        <f t="shared" si="325"/>
        <v>#N/A</v>
      </c>
    </row>
    <row r="1321" spans="1:29" hidden="1" x14ac:dyDescent="0.25">
      <c r="A1321" s="24">
        <v>1320</v>
      </c>
      <c r="B1321" s="89" t="s">
        <v>374</v>
      </c>
      <c r="C1321" s="4" t="str">
        <f t="shared" si="319"/>
        <v>LlaveD86166932813100002332</v>
      </c>
      <c r="D1321" s="25" t="str">
        <f>VLOOKUP(E1321,'NO MODIFICAR'!J:K,2,0)</f>
        <v>D861</v>
      </c>
      <c r="E1321" s="102" t="s">
        <v>44</v>
      </c>
      <c r="F1321" s="25" t="str">
        <f>VLOOKUP(D1321,'NO MODIFICAR'!F:H,3,0)</f>
        <v xml:space="preserve">CENTRO </v>
      </c>
      <c r="G1321" s="92">
        <v>66932813</v>
      </c>
      <c r="H1321" s="92" t="s">
        <v>308</v>
      </c>
      <c r="I1321" s="94">
        <v>10000233</v>
      </c>
      <c r="J1321" s="4" t="str">
        <f>VLOOKUP(I1321,'Materiales,canteras'!C:D,2,0)</f>
        <v>Grava Triturada Basalto  40 mm</v>
      </c>
      <c r="K1321" s="25">
        <f>VLOOKUP(I1321,'Materiales,canteras'!C:E,3,0)</f>
        <v>1.456</v>
      </c>
      <c r="L1321" s="88">
        <v>190</v>
      </c>
      <c r="M1321" s="28" t="s">
        <v>93</v>
      </c>
      <c r="N1321" s="193">
        <f t="shared" ca="1" si="314"/>
        <v>46267</v>
      </c>
      <c r="O1321" s="24" t="s">
        <v>849</v>
      </c>
      <c r="P1321" s="4"/>
      <c r="Q1321" s="4"/>
      <c r="R1321" s="4">
        <v>12.4</v>
      </c>
      <c r="S1321" s="4">
        <v>310</v>
      </c>
      <c r="T1321" s="303">
        <f t="shared" si="320"/>
        <v>-107.60000000000002</v>
      </c>
      <c r="U1321" s="88">
        <f t="shared" si="321"/>
        <v>190</v>
      </c>
      <c r="V1321" s="82">
        <v>0</v>
      </c>
      <c r="W1321" s="4">
        <v>2</v>
      </c>
      <c r="X1321" s="195">
        <f t="shared" si="322"/>
        <v>190</v>
      </c>
      <c r="Y1321" s="29" t="e">
        <f>IF(+VLOOKUP(I1321,P.Referencia!E:S,3,FALSE)&lt;=L1321,"Champion","Gerente")</f>
        <v>#N/A</v>
      </c>
      <c r="Z1321" s="30" t="e">
        <f>VLOOKUP(I1321,P.Referencia!E:S,3,0)</f>
        <v>#N/A</v>
      </c>
      <c r="AA1321" s="196" t="e">
        <f t="shared" si="323"/>
        <v>#N/A</v>
      </c>
      <c r="AB1321" s="197" t="e">
        <f t="shared" si="324"/>
        <v>#N/A</v>
      </c>
      <c r="AC1321" s="197" t="e">
        <f t="shared" si="325"/>
        <v>#N/A</v>
      </c>
    </row>
    <row r="1322" spans="1:29" hidden="1" x14ac:dyDescent="0.25">
      <c r="A1322" s="24">
        <v>1321</v>
      </c>
      <c r="B1322" s="89" t="s">
        <v>374</v>
      </c>
      <c r="C1322" s="4" t="str">
        <f t="shared" si="319"/>
        <v>LlaveD89366650393101038362</v>
      </c>
      <c r="D1322" s="25" t="str">
        <f>VLOOKUP(E1322,'NO MODIFICAR'!J:K,2,0)</f>
        <v>D893</v>
      </c>
      <c r="E1322" s="102" t="s">
        <v>253</v>
      </c>
      <c r="F1322" s="25" t="str">
        <f>VLOOKUP(D1322,'NO MODIFICAR'!F:H,3,0)</f>
        <v>NORESTE</v>
      </c>
      <c r="G1322" s="92">
        <v>66650393</v>
      </c>
      <c r="H1322" s="92" t="s">
        <v>1040</v>
      </c>
      <c r="I1322" s="94">
        <v>10103836</v>
      </c>
      <c r="J1322" s="4" t="str">
        <f>VLOOKUP(I1322,'Materiales,canteras'!C:D,2,0)</f>
        <v>BASE HIDRAULICA</v>
      </c>
      <c r="K1322" s="25">
        <f>VLOOKUP(I1322,'Materiales,canteras'!C:E,3,0)</f>
        <v>1.7070000000000001</v>
      </c>
      <c r="L1322" s="88">
        <v>80</v>
      </c>
      <c r="M1322" s="28" t="s">
        <v>93</v>
      </c>
      <c r="N1322" s="193">
        <f t="shared" ca="1" si="314"/>
        <v>46267</v>
      </c>
      <c r="O1322" s="24" t="s">
        <v>850</v>
      </c>
      <c r="P1322" s="4"/>
      <c r="Q1322" s="4"/>
      <c r="R1322" s="4">
        <v>3.84</v>
      </c>
      <c r="S1322" s="4">
        <v>128</v>
      </c>
      <c r="T1322" s="303">
        <f t="shared" si="320"/>
        <v>-44.16</v>
      </c>
      <c r="U1322" s="88">
        <f t="shared" si="321"/>
        <v>80</v>
      </c>
      <c r="V1322" s="82">
        <v>0</v>
      </c>
      <c r="W1322" s="4">
        <v>2</v>
      </c>
      <c r="X1322" s="195">
        <f t="shared" si="322"/>
        <v>80</v>
      </c>
      <c r="Y1322" s="29" t="e">
        <f>IF(+VLOOKUP(I1322,P.Referencia!E:S,3,FALSE)&lt;=L1322,"Champion","Gerente")</f>
        <v>#N/A</v>
      </c>
      <c r="Z1322" s="30" t="e">
        <f>VLOOKUP(I1322,P.Referencia!E:S,3,0)</f>
        <v>#N/A</v>
      </c>
      <c r="AA1322" s="196" t="e">
        <f t="shared" si="323"/>
        <v>#N/A</v>
      </c>
      <c r="AB1322" s="197" t="e">
        <f t="shared" si="324"/>
        <v>#N/A</v>
      </c>
      <c r="AC1322" s="197" t="e">
        <f t="shared" si="325"/>
        <v>#N/A</v>
      </c>
    </row>
    <row r="1323" spans="1:29" hidden="1" x14ac:dyDescent="0.25">
      <c r="A1323" s="24">
        <v>1322</v>
      </c>
      <c r="B1323" s="89" t="s">
        <v>374</v>
      </c>
      <c r="C1323" s="4" t="str">
        <f t="shared" si="319"/>
        <v>LlaveD81667381931100002411</v>
      </c>
      <c r="D1323" s="25" t="str">
        <f>VLOOKUP(E1323,'NO MODIFICAR'!J:K,2,0)</f>
        <v>D816</v>
      </c>
      <c r="E1323" s="102" t="s">
        <v>15</v>
      </c>
      <c r="F1323" s="25" t="str">
        <f>VLOOKUP(D1323,'NO MODIFICAR'!F:H,3,0)</f>
        <v>NORESTE</v>
      </c>
      <c r="G1323" s="92">
        <v>67381931</v>
      </c>
      <c r="H1323" s="92" t="s">
        <v>1041</v>
      </c>
      <c r="I1323" s="94">
        <v>10000241</v>
      </c>
      <c r="J1323" s="4" t="str">
        <f>VLOOKUP(I1323,'Materiales,canteras'!C:D,2,0)</f>
        <v>Grava Triturada Caliza 20 mm -</v>
      </c>
      <c r="K1323" s="25">
        <f>VLOOKUP(I1323,'Materiales,canteras'!C:E,3,0)</f>
        <v>1.43</v>
      </c>
      <c r="L1323" s="88">
        <v>285</v>
      </c>
      <c r="M1323" s="28" t="s">
        <v>93</v>
      </c>
      <c r="N1323" s="193">
        <f t="shared" ca="1" si="314"/>
        <v>46267</v>
      </c>
      <c r="O1323" s="24" t="s">
        <v>851</v>
      </c>
      <c r="P1323" s="4"/>
      <c r="Q1323" s="4">
        <v>19.670000000000002</v>
      </c>
      <c r="R1323" s="4">
        <v>20.7</v>
      </c>
      <c r="S1323" s="4">
        <v>414</v>
      </c>
      <c r="T1323" s="303">
        <f t="shared" si="320"/>
        <v>-88.63</v>
      </c>
      <c r="U1323" s="88">
        <f t="shared" si="321"/>
        <v>285</v>
      </c>
      <c r="V1323" s="82">
        <v>95.61</v>
      </c>
      <c r="W1323" s="4">
        <v>1</v>
      </c>
      <c r="X1323" s="195">
        <f t="shared" si="322"/>
        <v>380.61</v>
      </c>
      <c r="Y1323" s="29" t="e">
        <f>IF(+VLOOKUP(I1323,P.Referencia!E:S,3,FALSE)&lt;=L1323,"Champion","Gerente")</f>
        <v>#N/A</v>
      </c>
      <c r="Z1323" s="30" t="e">
        <f>VLOOKUP(I1323,P.Referencia!E:S,3,0)</f>
        <v>#N/A</v>
      </c>
      <c r="AA1323" s="196" t="e">
        <f t="shared" si="323"/>
        <v>#N/A</v>
      </c>
      <c r="AB1323" s="197" t="e">
        <f t="shared" si="324"/>
        <v>#N/A</v>
      </c>
      <c r="AC1323" s="197" t="e">
        <f t="shared" si="325"/>
        <v>#N/A</v>
      </c>
    </row>
    <row r="1324" spans="1:29" hidden="1" x14ac:dyDescent="0.25">
      <c r="A1324" s="24">
        <v>1323</v>
      </c>
      <c r="B1324" s="89" t="s">
        <v>374</v>
      </c>
      <c r="C1324" s="4" t="str">
        <f t="shared" si="319"/>
        <v>LlaveDU0766817586100001032</v>
      </c>
      <c r="D1324" s="25" t="str">
        <f>VLOOKUP(E1324,'NO MODIFICAR'!J:K,2,0)</f>
        <v>DU07</v>
      </c>
      <c r="E1324" s="102" t="s">
        <v>87</v>
      </c>
      <c r="F1324" s="25" t="str">
        <f>VLOOKUP(D1324,'NO MODIFICAR'!F:H,3,0)</f>
        <v>SURESTE</v>
      </c>
      <c r="G1324" s="92">
        <v>66817586</v>
      </c>
      <c r="H1324" s="92" t="s">
        <v>1042</v>
      </c>
      <c r="I1324" s="94">
        <v>10000103</v>
      </c>
      <c r="J1324" s="4" t="str">
        <f>VLOOKUP(I1324,'Materiales,canteras'!C:D,2,0)</f>
        <v>Base H Triturada Caliza 1 1/2" a Finos</v>
      </c>
      <c r="K1324" s="25">
        <f>VLOOKUP(I1324,'Materiales,canteras'!C:E,3,0)</f>
        <v>1.462</v>
      </c>
      <c r="L1324" s="88">
        <f>137.931/K1324</f>
        <v>94.344049247606023</v>
      </c>
      <c r="M1324" s="28" t="s">
        <v>93</v>
      </c>
      <c r="N1324" s="193">
        <f t="shared" ca="1" si="314"/>
        <v>46267</v>
      </c>
      <c r="O1324" s="24" t="s">
        <v>852</v>
      </c>
      <c r="P1324" s="4"/>
      <c r="Q1324" s="4"/>
      <c r="R1324" s="4"/>
      <c r="S1324" s="4">
        <v>158</v>
      </c>
      <c r="T1324" s="303">
        <f t="shared" si="320"/>
        <v>-63.655950752393977</v>
      </c>
      <c r="U1324" s="88">
        <f t="shared" si="321"/>
        <v>94.344049247606023</v>
      </c>
      <c r="V1324" s="82">
        <v>0</v>
      </c>
      <c r="W1324" s="4">
        <v>2</v>
      </c>
      <c r="X1324" s="195">
        <f t="shared" si="322"/>
        <v>94.344049247606023</v>
      </c>
      <c r="Y1324" s="29" t="e">
        <f>IF(+VLOOKUP(I1324,P.Referencia!E:S,3,FALSE)&lt;=L1324,"Champion","Gerente")</f>
        <v>#N/A</v>
      </c>
      <c r="Z1324" s="30" t="e">
        <f>VLOOKUP(I1324,P.Referencia!E:S,3,0)</f>
        <v>#N/A</v>
      </c>
      <c r="AA1324" s="196" t="e">
        <f t="shared" si="323"/>
        <v>#N/A</v>
      </c>
      <c r="AB1324" s="197" t="e">
        <f t="shared" si="324"/>
        <v>#N/A</v>
      </c>
      <c r="AC1324" s="197" t="e">
        <f t="shared" si="325"/>
        <v>#N/A</v>
      </c>
    </row>
    <row r="1325" spans="1:29" hidden="1" x14ac:dyDescent="0.25">
      <c r="A1325" s="24">
        <v>1324</v>
      </c>
      <c r="B1325" s="89" t="s">
        <v>374</v>
      </c>
      <c r="C1325" s="4" t="str">
        <f t="shared" si="319"/>
        <v>LlaveD81665749905100011702</v>
      </c>
      <c r="D1325" s="25" t="str">
        <f>VLOOKUP(E1325,'NO MODIFICAR'!J:K,2,0)</f>
        <v>D816</v>
      </c>
      <c r="E1325" s="102" t="s">
        <v>15</v>
      </c>
      <c r="F1325" s="25" t="str">
        <f>VLOOKUP(D1325,'NO MODIFICAR'!F:H,3,0)</f>
        <v>NORESTE</v>
      </c>
      <c r="G1325" s="92">
        <v>65749905</v>
      </c>
      <c r="H1325" s="92" t="s">
        <v>1043</v>
      </c>
      <c r="I1325" s="94">
        <v>10001170</v>
      </c>
      <c r="J1325" s="4" t="str">
        <f>VLOOKUP(I1325,'Materiales,canteras'!C:D,2,0)</f>
        <v>Arena Triturada Caliza Block</v>
      </c>
      <c r="K1325" s="25">
        <f>VLOOKUP(I1325,'Materiales,canteras'!C:E,3,0)</f>
        <v>1.7709999999999999</v>
      </c>
      <c r="L1325" s="88">
        <v>270</v>
      </c>
      <c r="M1325" s="28" t="s">
        <v>93</v>
      </c>
      <c r="N1325" s="193">
        <f t="shared" ca="1" si="314"/>
        <v>46267</v>
      </c>
      <c r="O1325" s="24" t="s">
        <v>853</v>
      </c>
      <c r="P1325" s="4"/>
      <c r="Q1325" s="4">
        <v>3.15</v>
      </c>
      <c r="R1325" s="4">
        <v>47.06</v>
      </c>
      <c r="S1325" s="4">
        <v>362</v>
      </c>
      <c r="T1325" s="303">
        <f t="shared" si="320"/>
        <v>-41.79000000000002</v>
      </c>
      <c r="U1325" s="88">
        <f t="shared" si="321"/>
        <v>270</v>
      </c>
      <c r="V1325" s="82">
        <v>0</v>
      </c>
      <c r="W1325" s="4">
        <v>2</v>
      </c>
      <c r="X1325" s="195">
        <f t="shared" si="322"/>
        <v>270</v>
      </c>
      <c r="Y1325" s="29" t="e">
        <f>IF(+VLOOKUP(I1325,P.Referencia!E:S,3,FALSE)&lt;=L1325,"Champion","Gerente")</f>
        <v>#N/A</v>
      </c>
      <c r="Z1325" s="30" t="e">
        <f>VLOOKUP(I1325,P.Referencia!E:S,3,0)</f>
        <v>#N/A</v>
      </c>
      <c r="AA1325" s="196" t="e">
        <f t="shared" si="323"/>
        <v>#N/A</v>
      </c>
      <c r="AB1325" s="197" t="e">
        <f t="shared" si="324"/>
        <v>#N/A</v>
      </c>
      <c r="AC1325" s="197" t="e">
        <f t="shared" si="325"/>
        <v>#N/A</v>
      </c>
    </row>
    <row r="1326" spans="1:29" hidden="1" x14ac:dyDescent="0.25">
      <c r="A1326" s="24">
        <v>1325</v>
      </c>
      <c r="B1326" s="89" t="s">
        <v>374</v>
      </c>
      <c r="C1326" s="4" t="str">
        <f t="shared" si="319"/>
        <v>LlaveD81666368785100001242</v>
      </c>
      <c r="D1326" s="25" t="str">
        <f>VLOOKUP(E1326,'NO MODIFICAR'!J:K,2,0)</f>
        <v>D816</v>
      </c>
      <c r="E1326" s="102" t="s">
        <v>15</v>
      </c>
      <c r="F1326" s="25" t="str">
        <f>VLOOKUP(D1326,'NO MODIFICAR'!F:H,3,0)</f>
        <v>NORESTE</v>
      </c>
      <c r="G1326" s="92">
        <v>66368785</v>
      </c>
      <c r="H1326" s="92" t="s">
        <v>1044</v>
      </c>
      <c r="I1326" s="94">
        <v>10000124</v>
      </c>
      <c r="J1326" s="4" t="str">
        <f>VLOOKUP(I1326,'Materiales,canteras'!C:D,2,0)</f>
        <v>Arena Triturada Caliza Malla 4</v>
      </c>
      <c r="K1326" s="25">
        <f>VLOOKUP(I1326,'Materiales,canteras'!C:E,3,0)</f>
        <v>1.7390000000000001</v>
      </c>
      <c r="L1326" s="88">
        <v>315</v>
      </c>
      <c r="M1326" s="28" t="s">
        <v>93</v>
      </c>
      <c r="N1326" s="193">
        <f t="shared" ca="1" si="314"/>
        <v>46267</v>
      </c>
      <c r="O1326" s="24" t="s">
        <v>854</v>
      </c>
      <c r="P1326" s="4"/>
      <c r="Q1326" s="4"/>
      <c r="R1326" s="4">
        <v>4.95</v>
      </c>
      <c r="S1326" s="4">
        <v>495</v>
      </c>
      <c r="T1326" s="303">
        <f t="shared" si="320"/>
        <v>-175.05</v>
      </c>
      <c r="U1326" s="88">
        <f t="shared" si="321"/>
        <v>315</v>
      </c>
      <c r="V1326" s="82">
        <v>0</v>
      </c>
      <c r="W1326" s="4">
        <v>2</v>
      </c>
      <c r="X1326" s="195">
        <f t="shared" si="322"/>
        <v>315</v>
      </c>
      <c r="Y1326" s="29" t="e">
        <f>IF(+VLOOKUP(I1326,P.Referencia!E:S,3,FALSE)&lt;=L1326,"Champion","Gerente")</f>
        <v>#N/A</v>
      </c>
      <c r="Z1326" s="30" t="e">
        <f>VLOOKUP(I1326,P.Referencia!E:S,3,0)</f>
        <v>#N/A</v>
      </c>
      <c r="AA1326" s="196" t="e">
        <f t="shared" si="323"/>
        <v>#N/A</v>
      </c>
      <c r="AB1326" s="197" t="e">
        <f t="shared" si="324"/>
        <v>#N/A</v>
      </c>
      <c r="AC1326" s="197" t="e">
        <f t="shared" si="325"/>
        <v>#N/A</v>
      </c>
    </row>
    <row r="1327" spans="1:29" hidden="1" x14ac:dyDescent="0.25">
      <c r="A1327" s="24">
        <v>1326</v>
      </c>
      <c r="B1327" s="89" t="s">
        <v>374</v>
      </c>
      <c r="C1327" s="4" t="str">
        <f t="shared" si="319"/>
        <v>LlaveD81666368785100002412</v>
      </c>
      <c r="D1327" s="25" t="str">
        <f>VLOOKUP(E1327,'NO MODIFICAR'!J:K,2,0)</f>
        <v>D816</v>
      </c>
      <c r="E1327" s="102" t="s">
        <v>15</v>
      </c>
      <c r="F1327" s="25" t="str">
        <f>VLOOKUP(D1327,'NO MODIFICAR'!F:H,3,0)</f>
        <v>NORESTE</v>
      </c>
      <c r="G1327" s="92">
        <v>66368785</v>
      </c>
      <c r="H1327" s="92" t="s">
        <v>1044</v>
      </c>
      <c r="I1327" s="94">
        <v>10000241</v>
      </c>
      <c r="J1327" s="4" t="str">
        <f>VLOOKUP(I1327,'Materiales,canteras'!C:D,2,0)</f>
        <v>Grava Triturada Caliza 20 mm -</v>
      </c>
      <c r="K1327" s="25">
        <f>VLOOKUP(I1327,'Materiales,canteras'!C:E,3,0)</f>
        <v>1.43</v>
      </c>
      <c r="L1327" s="88">
        <v>285</v>
      </c>
      <c r="M1327" s="28" t="s">
        <v>93</v>
      </c>
      <c r="N1327" s="193">
        <f t="shared" ca="1" si="314"/>
        <v>46267</v>
      </c>
      <c r="O1327" s="24" t="s">
        <v>855</v>
      </c>
      <c r="P1327" s="4"/>
      <c r="Q1327" s="4"/>
      <c r="R1327" s="4">
        <v>4.1399999999999997</v>
      </c>
      <c r="S1327" s="4">
        <v>414</v>
      </c>
      <c r="T1327" s="303">
        <f t="shared" si="320"/>
        <v>-124.86000000000001</v>
      </c>
      <c r="U1327" s="88">
        <f t="shared" si="321"/>
        <v>285</v>
      </c>
      <c r="V1327" s="82">
        <v>0</v>
      </c>
      <c r="W1327" s="4">
        <v>2</v>
      </c>
      <c r="X1327" s="195">
        <f t="shared" si="322"/>
        <v>285</v>
      </c>
      <c r="Y1327" s="29" t="e">
        <f>IF(+VLOOKUP(I1327,P.Referencia!E:S,3,FALSE)&lt;=L1327,"Champion","Gerente")</f>
        <v>#N/A</v>
      </c>
      <c r="Z1327" s="30" t="e">
        <f>VLOOKUP(I1327,P.Referencia!E:S,3,0)</f>
        <v>#N/A</v>
      </c>
      <c r="AA1327" s="196" t="e">
        <f t="shared" si="323"/>
        <v>#N/A</v>
      </c>
      <c r="AB1327" s="197" t="e">
        <f t="shared" si="324"/>
        <v>#N/A</v>
      </c>
      <c r="AC1327" s="197" t="e">
        <f t="shared" si="325"/>
        <v>#N/A</v>
      </c>
    </row>
    <row r="1328" spans="1:29" hidden="1" x14ac:dyDescent="0.25">
      <c r="A1328" s="24">
        <v>1327</v>
      </c>
      <c r="B1328" s="89" t="s">
        <v>374</v>
      </c>
      <c r="C1328" s="4" t="str">
        <f t="shared" si="319"/>
        <v>LlaveD81667382107100012012</v>
      </c>
      <c r="D1328" s="25" t="str">
        <f>VLOOKUP(E1328,'NO MODIFICAR'!J:K,2,0)</f>
        <v>D816</v>
      </c>
      <c r="E1328" s="102" t="s">
        <v>15</v>
      </c>
      <c r="F1328" s="25" t="str">
        <f>VLOOKUP(D1328,'NO MODIFICAR'!F:H,3,0)</f>
        <v>NORESTE</v>
      </c>
      <c r="G1328" s="92">
        <v>67382107</v>
      </c>
      <c r="H1328" s="92" t="s">
        <v>1045</v>
      </c>
      <c r="I1328" s="94">
        <v>10001201</v>
      </c>
      <c r="J1328" s="4" t="str">
        <f>VLOOKUP(I1328,'Materiales,canteras'!C:D,2,0)</f>
        <v>No Clasificado Triturado Caliz</v>
      </c>
      <c r="K1328" s="25">
        <f>VLOOKUP(I1328,'Materiales,canteras'!C:E,3,0)</f>
        <v>1.698</v>
      </c>
      <c r="L1328" s="88">
        <v>150</v>
      </c>
      <c r="M1328" s="28" t="s">
        <v>93</v>
      </c>
      <c r="N1328" s="193">
        <f t="shared" ca="1" si="314"/>
        <v>46267</v>
      </c>
      <c r="O1328" s="24" t="s">
        <v>856</v>
      </c>
      <c r="P1328" s="4"/>
      <c r="Q1328" s="4"/>
      <c r="R1328" s="4">
        <v>5.27</v>
      </c>
      <c r="S1328" s="4">
        <v>351</v>
      </c>
      <c r="T1328" s="303">
        <f t="shared" si="320"/>
        <v>-195.73000000000002</v>
      </c>
      <c r="U1328" s="88">
        <f t="shared" si="321"/>
        <v>150</v>
      </c>
      <c r="V1328" s="82">
        <v>0</v>
      </c>
      <c r="W1328" s="4">
        <v>2</v>
      </c>
      <c r="X1328" s="195">
        <f t="shared" si="322"/>
        <v>150</v>
      </c>
      <c r="Y1328" s="29" t="e">
        <f>IF(+VLOOKUP(I1328,P.Referencia!E:S,3,FALSE)&lt;=L1328,"Champion","Gerente")</f>
        <v>#N/A</v>
      </c>
      <c r="Z1328" s="30" t="e">
        <f>VLOOKUP(I1328,P.Referencia!E:S,3,0)</f>
        <v>#N/A</v>
      </c>
      <c r="AA1328" s="196" t="e">
        <f t="shared" si="323"/>
        <v>#N/A</v>
      </c>
      <c r="AB1328" s="197" t="e">
        <f t="shared" si="324"/>
        <v>#N/A</v>
      </c>
      <c r="AC1328" s="197" t="e">
        <f t="shared" si="325"/>
        <v>#N/A</v>
      </c>
    </row>
    <row r="1329" spans="1:29" hidden="1" x14ac:dyDescent="0.25">
      <c r="A1329" s="24">
        <v>1328</v>
      </c>
      <c r="B1329" s="89" t="s">
        <v>374</v>
      </c>
      <c r="C1329" s="4" t="str">
        <f t="shared" si="319"/>
        <v>LlaveD81667281860100001242</v>
      </c>
      <c r="D1329" s="25" t="str">
        <f>VLOOKUP(E1329,'NO MODIFICAR'!J:K,2,0)</f>
        <v>D816</v>
      </c>
      <c r="E1329" s="102" t="s">
        <v>15</v>
      </c>
      <c r="F1329" s="25" t="str">
        <f>VLOOKUP(D1329,'NO MODIFICAR'!F:H,3,0)</f>
        <v>NORESTE</v>
      </c>
      <c r="G1329" s="92">
        <v>67281860</v>
      </c>
      <c r="H1329" s="92" t="s">
        <v>1046</v>
      </c>
      <c r="I1329" s="94">
        <v>10000124</v>
      </c>
      <c r="J1329" s="4" t="str">
        <f>VLOOKUP(I1329,'Materiales,canteras'!C:D,2,0)</f>
        <v>Arena Triturada Caliza Malla 4</v>
      </c>
      <c r="K1329" s="25">
        <f>VLOOKUP(I1329,'Materiales,canteras'!C:E,3,0)</f>
        <v>1.7390000000000001</v>
      </c>
      <c r="L1329" s="88">
        <v>290</v>
      </c>
      <c r="M1329" s="28" t="s">
        <v>93</v>
      </c>
      <c r="N1329" s="193">
        <f t="shared" ca="1" si="314"/>
        <v>46267</v>
      </c>
      <c r="O1329" s="24" t="s">
        <v>857</v>
      </c>
      <c r="P1329" s="4"/>
      <c r="Q1329" s="4"/>
      <c r="R1329" s="4">
        <v>7.43</v>
      </c>
      <c r="S1329" s="4">
        <v>495</v>
      </c>
      <c r="T1329" s="303">
        <f t="shared" si="320"/>
        <v>-197.57</v>
      </c>
      <c r="U1329" s="88">
        <f t="shared" si="321"/>
        <v>290</v>
      </c>
      <c r="V1329" s="82">
        <v>0</v>
      </c>
      <c r="W1329" s="4">
        <v>2</v>
      </c>
      <c r="X1329" s="195">
        <f t="shared" si="322"/>
        <v>290</v>
      </c>
      <c r="Y1329" s="29" t="e">
        <f>IF(+VLOOKUP(I1329,P.Referencia!E:S,3,FALSE)&lt;=L1329,"Champion","Gerente")</f>
        <v>#N/A</v>
      </c>
      <c r="Z1329" s="30" t="e">
        <f>VLOOKUP(I1329,P.Referencia!E:S,3,0)</f>
        <v>#N/A</v>
      </c>
      <c r="AA1329" s="196" t="e">
        <f t="shared" si="323"/>
        <v>#N/A</v>
      </c>
      <c r="AB1329" s="197" t="e">
        <f t="shared" si="324"/>
        <v>#N/A</v>
      </c>
      <c r="AC1329" s="197" t="e">
        <f t="shared" si="325"/>
        <v>#N/A</v>
      </c>
    </row>
    <row r="1330" spans="1:29" hidden="1" x14ac:dyDescent="0.25">
      <c r="A1330" s="24">
        <v>1329</v>
      </c>
      <c r="B1330" s="89" t="s">
        <v>374</v>
      </c>
      <c r="C1330" s="4" t="str">
        <f t="shared" si="319"/>
        <v>LlaveD81667281860100002412</v>
      </c>
      <c r="D1330" s="25" t="str">
        <f>VLOOKUP(E1330,'NO MODIFICAR'!J:K,2,0)</f>
        <v>D816</v>
      </c>
      <c r="E1330" s="102" t="s">
        <v>15</v>
      </c>
      <c r="F1330" s="25" t="str">
        <f>VLOOKUP(D1330,'NO MODIFICAR'!F:H,3,0)</f>
        <v>NORESTE</v>
      </c>
      <c r="G1330" s="92">
        <v>67281860</v>
      </c>
      <c r="H1330" s="92" t="s">
        <v>1046</v>
      </c>
      <c r="I1330" s="94">
        <v>10000241</v>
      </c>
      <c r="J1330" s="4" t="str">
        <f>VLOOKUP(I1330,'Materiales,canteras'!C:D,2,0)</f>
        <v>Grava Triturada Caliza 20 mm -</v>
      </c>
      <c r="K1330" s="25">
        <f>VLOOKUP(I1330,'Materiales,canteras'!C:E,3,0)</f>
        <v>1.43</v>
      </c>
      <c r="L1330" s="88">
        <v>290</v>
      </c>
      <c r="M1330" s="28" t="s">
        <v>93</v>
      </c>
      <c r="N1330" s="193">
        <f t="shared" ca="1" si="314"/>
        <v>46267</v>
      </c>
      <c r="O1330" s="24" t="s">
        <v>858</v>
      </c>
      <c r="P1330" s="4"/>
      <c r="Q1330" s="4"/>
      <c r="R1330" s="4">
        <v>6.21</v>
      </c>
      <c r="S1330" s="4">
        <v>414</v>
      </c>
      <c r="T1330" s="303">
        <f t="shared" si="320"/>
        <v>-117.79000000000002</v>
      </c>
      <c r="U1330" s="88">
        <f t="shared" si="321"/>
        <v>290</v>
      </c>
      <c r="V1330" s="82">
        <v>0</v>
      </c>
      <c r="W1330" s="4">
        <v>2</v>
      </c>
      <c r="X1330" s="195">
        <f t="shared" si="322"/>
        <v>290</v>
      </c>
      <c r="Y1330" s="29" t="e">
        <f>IF(+VLOOKUP(I1330,P.Referencia!E:S,3,FALSE)&lt;=L1330,"Champion","Gerente")</f>
        <v>#N/A</v>
      </c>
      <c r="Z1330" s="30" t="e">
        <f>VLOOKUP(I1330,P.Referencia!E:S,3,0)</f>
        <v>#N/A</v>
      </c>
      <c r="AA1330" s="196" t="e">
        <f t="shared" si="323"/>
        <v>#N/A</v>
      </c>
      <c r="AB1330" s="197" t="e">
        <f t="shared" si="324"/>
        <v>#N/A</v>
      </c>
      <c r="AC1330" s="197" t="e">
        <f t="shared" si="325"/>
        <v>#N/A</v>
      </c>
    </row>
    <row r="1331" spans="1:29" hidden="1" x14ac:dyDescent="0.25">
      <c r="A1331" s="24">
        <v>1330</v>
      </c>
      <c r="B1331" s="89" t="s">
        <v>374</v>
      </c>
      <c r="C1331" s="4" t="str">
        <f t="shared" si="319"/>
        <v>LlaveD81667281860100002602</v>
      </c>
      <c r="D1331" s="25" t="str">
        <f>VLOOKUP(E1331,'NO MODIFICAR'!J:K,2,0)</f>
        <v>D816</v>
      </c>
      <c r="E1331" s="102" t="s">
        <v>15</v>
      </c>
      <c r="F1331" s="25" t="str">
        <f>VLOOKUP(D1331,'NO MODIFICAR'!F:H,3,0)</f>
        <v>NORESTE</v>
      </c>
      <c r="G1331" s="92">
        <v>67281860</v>
      </c>
      <c r="H1331" s="92" t="s">
        <v>1046</v>
      </c>
      <c r="I1331" s="94">
        <v>10000260</v>
      </c>
      <c r="J1331" s="4" t="str">
        <f>VLOOKUP(I1331,'Materiales,canteras'!C:D,2,0)</f>
        <v>Arena Triturada Caliza Malla 5</v>
      </c>
      <c r="K1331" s="25">
        <f>VLOOKUP(I1331,'Materiales,canteras'!C:E,3,0)</f>
        <v>1.72</v>
      </c>
      <c r="L1331" s="88">
        <v>390</v>
      </c>
      <c r="M1331" s="28" t="s">
        <v>93</v>
      </c>
      <c r="N1331" s="193">
        <f t="shared" ca="1" si="314"/>
        <v>46267</v>
      </c>
      <c r="O1331" s="24" t="s">
        <v>859</v>
      </c>
      <c r="P1331" s="4"/>
      <c r="Q1331" s="4"/>
      <c r="R1331" s="4">
        <v>7.43</v>
      </c>
      <c r="S1331" s="4">
        <v>495</v>
      </c>
      <c r="T1331" s="303">
        <f t="shared" si="320"/>
        <v>-97.57</v>
      </c>
      <c r="U1331" s="88">
        <f t="shared" si="321"/>
        <v>390</v>
      </c>
      <c r="V1331" s="82">
        <v>0</v>
      </c>
      <c r="W1331" s="4">
        <v>2</v>
      </c>
      <c r="X1331" s="195">
        <f t="shared" si="322"/>
        <v>390</v>
      </c>
      <c r="Y1331" s="29" t="e">
        <f>IF(+VLOOKUP(I1331,P.Referencia!E:S,3,FALSE)&lt;=L1331,"Champion","Gerente")</f>
        <v>#N/A</v>
      </c>
      <c r="Z1331" s="30" t="e">
        <f>VLOOKUP(I1331,P.Referencia!E:S,3,0)</f>
        <v>#N/A</v>
      </c>
      <c r="AA1331" s="196" t="e">
        <f t="shared" si="323"/>
        <v>#N/A</v>
      </c>
      <c r="AB1331" s="197" t="e">
        <f t="shared" si="324"/>
        <v>#N/A</v>
      </c>
      <c r="AC1331" s="197" t="e">
        <f t="shared" si="325"/>
        <v>#N/A</v>
      </c>
    </row>
    <row r="1332" spans="1:29" hidden="1" x14ac:dyDescent="0.25">
      <c r="A1332" s="24">
        <v>1331</v>
      </c>
      <c r="B1332" s="89" t="s">
        <v>374</v>
      </c>
      <c r="C1332" s="4" t="str">
        <f t="shared" si="319"/>
        <v>LlaveD81667281860100011702</v>
      </c>
      <c r="D1332" s="25" t="str">
        <f>VLOOKUP(E1332,'NO MODIFICAR'!J:K,2,0)</f>
        <v>D816</v>
      </c>
      <c r="E1332" s="102" t="s">
        <v>15</v>
      </c>
      <c r="F1332" s="25" t="str">
        <f>VLOOKUP(D1332,'NO MODIFICAR'!F:H,3,0)</f>
        <v>NORESTE</v>
      </c>
      <c r="G1332" s="92">
        <v>67281860</v>
      </c>
      <c r="H1332" s="92" t="s">
        <v>1046</v>
      </c>
      <c r="I1332" s="94">
        <v>10001170</v>
      </c>
      <c r="J1332" s="4" t="str">
        <f>VLOOKUP(I1332,'Materiales,canteras'!C:D,2,0)</f>
        <v>Arena Triturada Caliza Block</v>
      </c>
      <c r="K1332" s="25">
        <f>VLOOKUP(I1332,'Materiales,canteras'!C:E,3,0)</f>
        <v>1.7709999999999999</v>
      </c>
      <c r="L1332" s="88">
        <v>295</v>
      </c>
      <c r="M1332" s="28" t="s">
        <v>93</v>
      </c>
      <c r="N1332" s="193">
        <f t="shared" ca="1" si="314"/>
        <v>46267</v>
      </c>
      <c r="O1332" s="24" t="s">
        <v>860</v>
      </c>
      <c r="P1332" s="4"/>
      <c r="Q1332" s="4"/>
      <c r="R1332" s="4">
        <v>4.72</v>
      </c>
      <c r="S1332" s="4">
        <v>362</v>
      </c>
      <c r="T1332" s="303">
        <f t="shared" si="320"/>
        <v>-62.279999999999973</v>
      </c>
      <c r="U1332" s="88">
        <f t="shared" si="321"/>
        <v>295</v>
      </c>
      <c r="V1332" s="82">
        <v>0</v>
      </c>
      <c r="W1332" s="4">
        <v>2</v>
      </c>
      <c r="X1332" s="195">
        <f t="shared" si="322"/>
        <v>295</v>
      </c>
      <c r="Y1332" s="29" t="e">
        <f>IF(+VLOOKUP(I1332,P.Referencia!E:S,3,FALSE)&lt;=L1332,"Champion","Gerente")</f>
        <v>#N/A</v>
      </c>
      <c r="Z1332" s="30" t="e">
        <f>VLOOKUP(I1332,P.Referencia!E:S,3,0)</f>
        <v>#N/A</v>
      </c>
      <c r="AA1332" s="196" t="e">
        <f t="shared" si="323"/>
        <v>#N/A</v>
      </c>
      <c r="AB1332" s="197" t="e">
        <f t="shared" si="324"/>
        <v>#N/A</v>
      </c>
      <c r="AC1332" s="197" t="e">
        <f t="shared" si="325"/>
        <v>#N/A</v>
      </c>
    </row>
    <row r="1333" spans="1:29" hidden="1" x14ac:dyDescent="0.25">
      <c r="A1333" s="24">
        <v>1332</v>
      </c>
      <c r="B1333" s="89" t="s">
        <v>374</v>
      </c>
      <c r="C1333" s="4" t="str">
        <f t="shared" si="319"/>
        <v>LlaveD81667281860100002372</v>
      </c>
      <c r="D1333" s="25" t="str">
        <f>VLOOKUP(E1333,'NO MODIFICAR'!J:K,2,0)</f>
        <v>D816</v>
      </c>
      <c r="E1333" s="102" t="s">
        <v>15</v>
      </c>
      <c r="F1333" s="25" t="str">
        <f>VLOOKUP(D1333,'NO MODIFICAR'!F:H,3,0)</f>
        <v>NORESTE</v>
      </c>
      <c r="G1333" s="92">
        <v>67281860</v>
      </c>
      <c r="H1333" s="92" t="s">
        <v>1046</v>
      </c>
      <c r="I1333" s="94">
        <v>10000237</v>
      </c>
      <c r="J1333" s="4" t="str">
        <f>VLOOKUP(I1333,'Materiales,canteras'!C:D,2,0)</f>
        <v>Grava Triturada Caliza 10 mm -</v>
      </c>
      <c r="K1333" s="25">
        <f>VLOOKUP(I1333,'Materiales,canteras'!C:E,3,0)</f>
        <v>1.5620000000000001</v>
      </c>
      <c r="L1333" s="88">
        <v>340</v>
      </c>
      <c r="M1333" s="28" t="s">
        <v>93</v>
      </c>
      <c r="N1333" s="193">
        <f t="shared" ca="1" si="314"/>
        <v>46267</v>
      </c>
      <c r="O1333" s="24" t="s">
        <v>861</v>
      </c>
      <c r="P1333" s="4"/>
      <c r="Q1333" s="4"/>
      <c r="R1333" s="4">
        <v>6.21</v>
      </c>
      <c r="S1333" s="4">
        <v>414</v>
      </c>
      <c r="T1333" s="303">
        <f t="shared" si="320"/>
        <v>-67.79000000000002</v>
      </c>
      <c r="U1333" s="88">
        <f t="shared" si="321"/>
        <v>340</v>
      </c>
      <c r="V1333" s="82">
        <v>0</v>
      </c>
      <c r="W1333" s="4">
        <v>2</v>
      </c>
      <c r="X1333" s="195">
        <f t="shared" si="322"/>
        <v>340</v>
      </c>
      <c r="Y1333" s="29" t="e">
        <f>IF(+VLOOKUP(I1333,P.Referencia!E:S,3,FALSE)&lt;=L1333,"Champion","Gerente")</f>
        <v>#N/A</v>
      </c>
      <c r="Z1333" s="30" t="e">
        <f>VLOOKUP(I1333,P.Referencia!E:S,3,0)</f>
        <v>#N/A</v>
      </c>
      <c r="AA1333" s="196" t="e">
        <f t="shared" si="323"/>
        <v>#N/A</v>
      </c>
      <c r="AB1333" s="197" t="e">
        <f t="shared" si="324"/>
        <v>#N/A</v>
      </c>
      <c r="AC1333" s="197" t="e">
        <f t="shared" si="325"/>
        <v>#N/A</v>
      </c>
    </row>
    <row r="1334" spans="1:29" hidden="1" x14ac:dyDescent="0.25">
      <c r="A1334" s="24">
        <v>1333</v>
      </c>
      <c r="B1334" s="89" t="s">
        <v>374</v>
      </c>
      <c r="C1334" s="4" t="str">
        <f t="shared" si="319"/>
        <v>LlaveDU0767382386100001012</v>
      </c>
      <c r="D1334" s="25" t="str">
        <f>VLOOKUP(E1334,'NO MODIFICAR'!J:K,2,0)</f>
        <v>DU07</v>
      </c>
      <c r="E1334" s="102" t="s">
        <v>87</v>
      </c>
      <c r="F1334" s="25" t="str">
        <f>VLOOKUP(D1334,'NO MODIFICAR'!F:H,3,0)</f>
        <v>SURESTE</v>
      </c>
      <c r="G1334" s="92">
        <v>67382386</v>
      </c>
      <c r="H1334" s="92" t="s">
        <v>1047</v>
      </c>
      <c r="I1334" s="94">
        <v>10000101</v>
      </c>
      <c r="J1334" s="4" t="str">
        <f>VLOOKUP(I1334,'Materiales,canteras'!C:D,2,0)</f>
        <v>Arena Triturada Caliza Malla 4</v>
      </c>
      <c r="K1334" s="25">
        <f>VLOOKUP(I1334,'Materiales,canteras'!C:E,3,0)</f>
        <v>1.417</v>
      </c>
      <c r="L1334" s="88">
        <f>350/K1334</f>
        <v>247.00070571630204</v>
      </c>
      <c r="M1334" s="28" t="s">
        <v>93</v>
      </c>
      <c r="N1334" s="193">
        <f t="shared" ca="1" si="314"/>
        <v>46267</v>
      </c>
      <c r="O1334" s="24" t="s">
        <v>862</v>
      </c>
      <c r="P1334" s="4"/>
      <c r="Q1334" s="4"/>
      <c r="R1334" s="4"/>
      <c r="S1334" s="4">
        <v>420</v>
      </c>
      <c r="T1334" s="303">
        <f t="shared" si="320"/>
        <v>-172.99929428369796</v>
      </c>
      <c r="U1334" s="88">
        <f t="shared" si="321"/>
        <v>247.00070571630204</v>
      </c>
      <c r="V1334" s="82">
        <v>0</v>
      </c>
      <c r="W1334" s="4">
        <v>2</v>
      </c>
      <c r="X1334" s="195">
        <f t="shared" si="322"/>
        <v>247.00070571630204</v>
      </c>
      <c r="Y1334" s="29" t="e">
        <f>IF(+VLOOKUP(I1334,P.Referencia!E:S,3,FALSE)&lt;=L1334,"Champion","Gerente")</f>
        <v>#N/A</v>
      </c>
      <c r="Z1334" s="30" t="e">
        <f>VLOOKUP(I1334,P.Referencia!E:S,3,0)</f>
        <v>#N/A</v>
      </c>
      <c r="AA1334" s="196" t="e">
        <f t="shared" si="323"/>
        <v>#N/A</v>
      </c>
      <c r="AB1334" s="197" t="e">
        <f t="shared" si="324"/>
        <v>#N/A</v>
      </c>
      <c r="AC1334" s="197" t="e">
        <f t="shared" si="325"/>
        <v>#N/A</v>
      </c>
    </row>
    <row r="1335" spans="1:29" hidden="1" x14ac:dyDescent="0.25">
      <c r="A1335" s="24">
        <v>1334</v>
      </c>
      <c r="B1335" s="89" t="s">
        <v>374</v>
      </c>
      <c r="C1335" s="4" t="str">
        <f t="shared" si="319"/>
        <v>LlaveDU0767382386100001102</v>
      </c>
      <c r="D1335" s="25" t="str">
        <f>VLOOKUP(E1335,'NO MODIFICAR'!J:K,2,0)</f>
        <v>DU07</v>
      </c>
      <c r="E1335" s="102" t="s">
        <v>87</v>
      </c>
      <c r="F1335" s="25" t="str">
        <f>VLOOKUP(D1335,'NO MODIFICAR'!F:H,3,0)</f>
        <v>SURESTE</v>
      </c>
      <c r="G1335" s="92">
        <v>67382386</v>
      </c>
      <c r="H1335" s="92" t="s">
        <v>1047</v>
      </c>
      <c r="I1335" s="94">
        <v>10000110</v>
      </c>
      <c r="J1335" s="4" t="str">
        <f>VLOOKUP(I1335,'Materiales,canteras'!C:D,2,0)</f>
        <v>GRAVA TRITURADA CALIZA 20 MM “3/4"–INTEG</v>
      </c>
      <c r="K1335" s="25">
        <f>VLOOKUP(I1335,'Materiales,canteras'!C:E,3,0)</f>
        <v>1.2010000000000001</v>
      </c>
      <c r="L1335" s="88">
        <f>330/K1335</f>
        <v>274.77102414654451</v>
      </c>
      <c r="M1335" s="28" t="s">
        <v>93</v>
      </c>
      <c r="N1335" s="193">
        <f t="shared" ca="1" si="314"/>
        <v>46267</v>
      </c>
      <c r="O1335" s="24" t="s">
        <v>863</v>
      </c>
      <c r="P1335" s="4"/>
      <c r="Q1335" s="4"/>
      <c r="R1335" s="4"/>
      <c r="S1335" s="4">
        <v>410</v>
      </c>
      <c r="T1335" s="303">
        <f t="shared" si="320"/>
        <v>-135.22897585345549</v>
      </c>
      <c r="U1335" s="88">
        <f t="shared" si="321"/>
        <v>274.77102414654451</v>
      </c>
      <c r="V1335" s="82">
        <v>0</v>
      </c>
      <c r="W1335" s="4">
        <v>2</v>
      </c>
      <c r="X1335" s="195">
        <f t="shared" si="322"/>
        <v>274.77102414654451</v>
      </c>
      <c r="Y1335" s="29" t="e">
        <f>IF(+VLOOKUP(I1335,P.Referencia!E:S,3,FALSE)&lt;=L1335,"Champion","Gerente")</f>
        <v>#N/A</v>
      </c>
      <c r="Z1335" s="30" t="e">
        <f>VLOOKUP(I1335,P.Referencia!E:S,3,0)</f>
        <v>#N/A</v>
      </c>
      <c r="AA1335" s="196" t="e">
        <f t="shared" si="323"/>
        <v>#N/A</v>
      </c>
      <c r="AB1335" s="197" t="e">
        <f t="shared" si="324"/>
        <v>#N/A</v>
      </c>
      <c r="AC1335" s="197" t="e">
        <f t="shared" si="325"/>
        <v>#N/A</v>
      </c>
    </row>
    <row r="1336" spans="1:29" hidden="1" x14ac:dyDescent="0.25">
      <c r="A1336" s="24">
        <v>1335</v>
      </c>
      <c r="B1336" s="89" t="s">
        <v>374</v>
      </c>
      <c r="C1336" s="4" t="str">
        <f t="shared" si="319"/>
        <v>LlaveDU0767382386100001152</v>
      </c>
      <c r="D1336" s="25" t="str">
        <f>VLOOKUP(E1336,'NO MODIFICAR'!J:K,2,0)</f>
        <v>DU07</v>
      </c>
      <c r="E1336" s="102" t="s">
        <v>87</v>
      </c>
      <c r="F1336" s="25" t="str">
        <f>VLOOKUP(D1336,'NO MODIFICAR'!F:H,3,0)</f>
        <v>SURESTE</v>
      </c>
      <c r="G1336" s="92">
        <v>67382386</v>
      </c>
      <c r="H1336" s="92" t="s">
        <v>1047</v>
      </c>
      <c r="I1336" s="94">
        <v>10000115</v>
      </c>
      <c r="J1336" s="4" t="str">
        <f>VLOOKUP(I1336,'Materiales,canteras'!C:D,2,0)</f>
        <v>Grava Triturada Caliza 10 mm -</v>
      </c>
      <c r="K1336" s="25">
        <f>VLOOKUP(I1336,'Materiales,canteras'!C:E,3,0)</f>
        <v>1.1559999999999999</v>
      </c>
      <c r="L1336" s="88">
        <f t="shared" ref="L1336:L1337" si="326">330/K1336</f>
        <v>285.46712802768167</v>
      </c>
      <c r="M1336" s="28" t="s">
        <v>93</v>
      </c>
      <c r="N1336" s="193">
        <f t="shared" ca="1" si="314"/>
        <v>46267</v>
      </c>
      <c r="O1336" s="24" t="s">
        <v>864</v>
      </c>
      <c r="P1336" s="4"/>
      <c r="Q1336" s="4"/>
      <c r="R1336" s="4"/>
      <c r="S1336" s="4">
        <v>336</v>
      </c>
      <c r="T1336" s="303">
        <f t="shared" si="320"/>
        <v>-50.532871972318333</v>
      </c>
      <c r="U1336" s="88">
        <f t="shared" si="321"/>
        <v>285.46712802768167</v>
      </c>
      <c r="V1336" s="82">
        <v>0</v>
      </c>
      <c r="W1336" s="4">
        <v>2</v>
      </c>
      <c r="X1336" s="195">
        <f t="shared" si="322"/>
        <v>285.46712802768167</v>
      </c>
      <c r="Y1336" s="29" t="e">
        <f>IF(+VLOOKUP(I1336,P.Referencia!E:S,3,FALSE)&lt;=L1336,"Champion","Gerente")</f>
        <v>#N/A</v>
      </c>
      <c r="Z1336" s="30" t="e">
        <f>VLOOKUP(I1336,P.Referencia!E:S,3,0)</f>
        <v>#N/A</v>
      </c>
      <c r="AA1336" s="196" t="e">
        <f t="shared" si="323"/>
        <v>#N/A</v>
      </c>
      <c r="AB1336" s="197" t="e">
        <f t="shared" si="324"/>
        <v>#N/A</v>
      </c>
      <c r="AC1336" s="197" t="e">
        <f t="shared" si="325"/>
        <v>#N/A</v>
      </c>
    </row>
    <row r="1337" spans="1:29" hidden="1" x14ac:dyDescent="0.25">
      <c r="A1337" s="24">
        <v>1336</v>
      </c>
      <c r="B1337" s="89" t="s">
        <v>374</v>
      </c>
      <c r="C1337" s="4" t="str">
        <f t="shared" si="319"/>
        <v>LlaveDU0767382386100001122</v>
      </c>
      <c r="D1337" s="25" t="str">
        <f>VLOOKUP(E1337,'NO MODIFICAR'!J:K,2,0)</f>
        <v>DU07</v>
      </c>
      <c r="E1337" s="102" t="s">
        <v>87</v>
      </c>
      <c r="F1337" s="25" t="str">
        <f>VLOOKUP(D1337,'NO MODIFICAR'!F:H,3,0)</f>
        <v>SURESTE</v>
      </c>
      <c r="G1337" s="92">
        <v>67382386</v>
      </c>
      <c r="H1337" s="92" t="s">
        <v>1047</v>
      </c>
      <c r="I1337" s="94">
        <v>10000112</v>
      </c>
      <c r="J1337" s="4" t="str">
        <f>VLOOKUP(I1337,'Materiales,canteras'!C:D,2,0)</f>
        <v>Grava Triturada Caliza 13 mm -</v>
      </c>
      <c r="K1337" s="25">
        <f>VLOOKUP(I1337,'Materiales,canteras'!C:E,3,0)</f>
        <v>1.194</v>
      </c>
      <c r="L1337" s="88">
        <f t="shared" si="326"/>
        <v>276.3819095477387</v>
      </c>
      <c r="M1337" s="28" t="s">
        <v>93</v>
      </c>
      <c r="N1337" s="193">
        <f t="shared" ca="1" si="314"/>
        <v>46267</v>
      </c>
      <c r="O1337" s="24" t="s">
        <v>865</v>
      </c>
      <c r="P1337" s="4"/>
      <c r="Q1337" s="4"/>
      <c r="R1337" s="4"/>
      <c r="S1337" s="4">
        <v>336</v>
      </c>
      <c r="T1337" s="303">
        <f t="shared" si="320"/>
        <v>-59.618090452261299</v>
      </c>
      <c r="U1337" s="88">
        <f t="shared" si="321"/>
        <v>276.3819095477387</v>
      </c>
      <c r="V1337" s="82">
        <v>0</v>
      </c>
      <c r="W1337" s="4">
        <v>2</v>
      </c>
      <c r="X1337" s="195">
        <f t="shared" si="322"/>
        <v>276.3819095477387</v>
      </c>
      <c r="Y1337" s="29" t="e">
        <f>IF(+VLOOKUP(I1337,P.Referencia!E:S,3,FALSE)&lt;=L1337,"Champion","Gerente")</f>
        <v>#N/A</v>
      </c>
      <c r="Z1337" s="30" t="e">
        <f>VLOOKUP(I1337,P.Referencia!E:S,3,0)</f>
        <v>#N/A</v>
      </c>
      <c r="AA1337" s="196" t="e">
        <f t="shared" si="323"/>
        <v>#N/A</v>
      </c>
      <c r="AB1337" s="197" t="e">
        <f t="shared" si="324"/>
        <v>#N/A</v>
      </c>
      <c r="AC1337" s="197" t="e">
        <f t="shared" si="325"/>
        <v>#N/A</v>
      </c>
    </row>
    <row r="1338" spans="1:29" hidden="1" x14ac:dyDescent="0.25">
      <c r="A1338" s="24">
        <v>1337</v>
      </c>
      <c r="B1338" s="89" t="s">
        <v>374</v>
      </c>
      <c r="C1338" s="4" t="str">
        <f t="shared" si="319"/>
        <v>LlaveD86467382539100010732</v>
      </c>
      <c r="D1338" s="25" t="str">
        <f>VLOOKUP(E1338,'NO MODIFICAR'!J:K,2,0)</f>
        <v>D864</v>
      </c>
      <c r="E1338" s="102" t="s">
        <v>55</v>
      </c>
      <c r="F1338" s="25" t="str">
        <f>VLOOKUP(D1338,'NO MODIFICAR'!F:H,3,0)</f>
        <v xml:space="preserve">CENTRO </v>
      </c>
      <c r="G1338" s="92">
        <v>67382539</v>
      </c>
      <c r="H1338" s="92" t="s">
        <v>1048</v>
      </c>
      <c r="I1338" s="94">
        <v>10001073</v>
      </c>
      <c r="J1338" s="4" t="str">
        <f>VLOOKUP(I1338,'Materiales,canteras'!C:D,2,0)</f>
        <v>Arena Triturada Caliza Malla 4</v>
      </c>
      <c r="K1338" s="25">
        <f>VLOOKUP(I1338,'Materiales,canteras'!C:E,3,0)</f>
        <v>1.56</v>
      </c>
      <c r="L1338" s="88">
        <v>84</v>
      </c>
      <c r="M1338" s="28" t="s">
        <v>93</v>
      </c>
      <c r="N1338" s="193">
        <f t="shared" ca="1" si="314"/>
        <v>46267</v>
      </c>
      <c r="O1338" s="24" t="s">
        <v>866</v>
      </c>
      <c r="P1338" s="4"/>
      <c r="Q1338" s="4"/>
      <c r="R1338" s="4">
        <v>2.37</v>
      </c>
      <c r="S1338" s="4">
        <v>158</v>
      </c>
      <c r="T1338" s="303">
        <f t="shared" si="320"/>
        <v>-71.63</v>
      </c>
      <c r="U1338" s="88">
        <f t="shared" si="321"/>
        <v>84</v>
      </c>
      <c r="V1338" s="82">
        <v>0</v>
      </c>
      <c r="W1338" s="4">
        <v>2</v>
      </c>
      <c r="X1338" s="195">
        <f t="shared" si="322"/>
        <v>84</v>
      </c>
      <c r="Y1338" s="29" t="e">
        <f>IF(+VLOOKUP(I1338,P.Referencia!E:S,3,FALSE)&lt;=L1338,"Champion","Gerente")</f>
        <v>#N/A</v>
      </c>
      <c r="Z1338" s="30" t="e">
        <f>VLOOKUP(I1338,P.Referencia!E:S,3,0)</f>
        <v>#N/A</v>
      </c>
      <c r="AA1338" s="196" t="e">
        <f t="shared" si="323"/>
        <v>#N/A</v>
      </c>
      <c r="AB1338" s="197" t="e">
        <f t="shared" si="324"/>
        <v>#N/A</v>
      </c>
      <c r="AC1338" s="197" t="e">
        <f t="shared" si="325"/>
        <v>#N/A</v>
      </c>
    </row>
    <row r="1339" spans="1:29" hidden="1" x14ac:dyDescent="0.25">
      <c r="A1339" s="24">
        <v>1338</v>
      </c>
      <c r="B1339" s="89" t="s">
        <v>374</v>
      </c>
      <c r="C1339" s="4" t="str">
        <f t="shared" si="319"/>
        <v>LlaveD86467382539100002362</v>
      </c>
      <c r="D1339" s="25" t="str">
        <f>VLOOKUP(E1339,'NO MODIFICAR'!J:K,2,0)</f>
        <v>D864</v>
      </c>
      <c r="E1339" s="102" t="s">
        <v>55</v>
      </c>
      <c r="F1339" s="25" t="str">
        <f>VLOOKUP(D1339,'NO MODIFICAR'!F:H,3,0)</f>
        <v xml:space="preserve">CENTRO </v>
      </c>
      <c r="G1339" s="92">
        <v>67382539</v>
      </c>
      <c r="H1339" s="92" t="s">
        <v>1048</v>
      </c>
      <c r="I1339" s="94">
        <v>10000236</v>
      </c>
      <c r="J1339" s="4" t="str">
        <f>VLOOKUP(I1339,'Materiales,canteras'!C:D,2,0)</f>
        <v>Grava Triturada Caliza 10 mm -</v>
      </c>
      <c r="K1339" s="25">
        <f>VLOOKUP(I1339,'Materiales,canteras'!C:E,3,0)</f>
        <v>1.41</v>
      </c>
      <c r="L1339" s="88">
        <v>136.5</v>
      </c>
      <c r="M1339" s="28" t="s">
        <v>93</v>
      </c>
      <c r="N1339" s="193">
        <f t="shared" ca="1" si="314"/>
        <v>46267</v>
      </c>
      <c r="O1339" s="24" t="s">
        <v>867</v>
      </c>
      <c r="P1339" s="4"/>
      <c r="Q1339" s="4"/>
      <c r="R1339" s="4">
        <v>3.78</v>
      </c>
      <c r="S1339" s="4">
        <v>252</v>
      </c>
      <c r="T1339" s="303">
        <f t="shared" si="320"/>
        <v>-111.72</v>
      </c>
      <c r="U1339" s="88">
        <f t="shared" si="321"/>
        <v>136.5</v>
      </c>
      <c r="V1339" s="82">
        <v>0</v>
      </c>
      <c r="W1339" s="4">
        <v>2</v>
      </c>
      <c r="X1339" s="195">
        <f t="shared" si="322"/>
        <v>136.5</v>
      </c>
      <c r="Y1339" s="29" t="e">
        <f>IF(+VLOOKUP(I1339,P.Referencia!E:S,3,FALSE)&lt;=L1339,"Champion","Gerente")</f>
        <v>#N/A</v>
      </c>
      <c r="Z1339" s="30" t="e">
        <f>VLOOKUP(I1339,P.Referencia!E:S,3,0)</f>
        <v>#N/A</v>
      </c>
      <c r="AA1339" s="196" t="e">
        <f t="shared" si="323"/>
        <v>#N/A</v>
      </c>
      <c r="AB1339" s="197" t="e">
        <f t="shared" si="324"/>
        <v>#N/A</v>
      </c>
      <c r="AC1339" s="197" t="e">
        <f t="shared" si="325"/>
        <v>#N/A</v>
      </c>
    </row>
    <row r="1340" spans="1:29" hidden="1" x14ac:dyDescent="0.25">
      <c r="A1340" s="24">
        <v>1339</v>
      </c>
      <c r="B1340" s="89" t="s">
        <v>374</v>
      </c>
      <c r="C1340" s="4" t="str">
        <f t="shared" si="319"/>
        <v>LlaveD86467382539100002402</v>
      </c>
      <c r="D1340" s="25" t="str">
        <f>VLOOKUP(E1340,'NO MODIFICAR'!J:K,2,0)</f>
        <v>D864</v>
      </c>
      <c r="E1340" s="102" t="s">
        <v>55</v>
      </c>
      <c r="F1340" s="25" t="str">
        <f>VLOOKUP(D1340,'NO MODIFICAR'!F:H,3,0)</f>
        <v xml:space="preserve">CENTRO </v>
      </c>
      <c r="G1340" s="92">
        <v>67382539</v>
      </c>
      <c r="H1340" s="92" t="s">
        <v>1048</v>
      </c>
      <c r="I1340" s="94">
        <v>10000240</v>
      </c>
      <c r="J1340" s="4" t="str">
        <f>VLOOKUP(I1340,'Materiales,canteras'!C:D,2,0)</f>
        <v>Grava Triturada Caliza 20 mm -</v>
      </c>
      <c r="K1340" s="25">
        <f>VLOOKUP(I1340,'Materiales,canteras'!C:E,3,0)</f>
        <v>1.462</v>
      </c>
      <c r="L1340" s="88">
        <v>115.5</v>
      </c>
      <c r="M1340" s="28" t="s">
        <v>93</v>
      </c>
      <c r="N1340" s="193">
        <f t="shared" ca="1" si="314"/>
        <v>46267</v>
      </c>
      <c r="O1340" s="24" t="s">
        <v>868</v>
      </c>
      <c r="P1340" s="4"/>
      <c r="Q1340" s="4"/>
      <c r="R1340" s="4">
        <v>4.41</v>
      </c>
      <c r="S1340" s="4">
        <v>294</v>
      </c>
      <c r="T1340" s="303">
        <f t="shared" si="320"/>
        <v>-174.08999999999997</v>
      </c>
      <c r="U1340" s="88">
        <f t="shared" si="321"/>
        <v>115.5</v>
      </c>
      <c r="V1340" s="82">
        <v>0</v>
      </c>
      <c r="W1340" s="4">
        <v>2</v>
      </c>
      <c r="X1340" s="195">
        <f t="shared" si="322"/>
        <v>115.5</v>
      </c>
      <c r="Y1340" s="29" t="e">
        <f>IF(+VLOOKUP(I1340,P.Referencia!E:S,3,FALSE)&lt;=L1340,"Champion","Gerente")</f>
        <v>#N/A</v>
      </c>
      <c r="Z1340" s="30" t="e">
        <f>VLOOKUP(I1340,P.Referencia!E:S,3,0)</f>
        <v>#N/A</v>
      </c>
      <c r="AA1340" s="196" t="e">
        <f t="shared" si="323"/>
        <v>#N/A</v>
      </c>
      <c r="AB1340" s="197" t="e">
        <f t="shared" si="324"/>
        <v>#N/A</v>
      </c>
      <c r="AC1340" s="197" t="e">
        <f t="shared" si="325"/>
        <v>#N/A</v>
      </c>
    </row>
    <row r="1341" spans="1:29" hidden="1" x14ac:dyDescent="0.25">
      <c r="A1341" s="24">
        <v>1340</v>
      </c>
      <c r="B1341" s="89" t="s">
        <v>374</v>
      </c>
      <c r="C1341" s="4" t="str">
        <f t="shared" si="319"/>
        <v>LlaveD86467382539100002692</v>
      </c>
      <c r="D1341" s="25" t="str">
        <f>VLOOKUP(E1341,'NO MODIFICAR'!J:K,2,0)</f>
        <v>D864</v>
      </c>
      <c r="E1341" s="102" t="s">
        <v>55</v>
      </c>
      <c r="F1341" s="25" t="str">
        <f>VLOOKUP(D1341,'NO MODIFICAR'!F:H,3,0)</f>
        <v xml:space="preserve">CENTRO </v>
      </c>
      <c r="G1341" s="92">
        <v>67382539</v>
      </c>
      <c r="H1341" s="92" t="s">
        <v>1048</v>
      </c>
      <c r="I1341" s="94">
        <v>10000269</v>
      </c>
      <c r="J1341" s="4" t="str">
        <f>VLOOKUP(I1341,'Materiales,canteras'!C:D,2,0)</f>
        <v>Grava Triturada Caliza 13 mm -</v>
      </c>
      <c r="K1341" s="25">
        <f>VLOOKUP(I1341,'Materiales,canteras'!C:E,3,0)</f>
        <v>1.423</v>
      </c>
      <c r="L1341" s="88">
        <v>136.5</v>
      </c>
      <c r="M1341" s="28" t="s">
        <v>93</v>
      </c>
      <c r="N1341" s="193">
        <f t="shared" ca="1" si="314"/>
        <v>46267</v>
      </c>
      <c r="O1341" s="24" t="s">
        <v>869</v>
      </c>
      <c r="P1341" s="4"/>
      <c r="Q1341" s="4"/>
      <c r="R1341" s="4">
        <v>3.95</v>
      </c>
      <c r="S1341" s="4">
        <v>263</v>
      </c>
      <c r="T1341" s="303">
        <f t="shared" si="320"/>
        <v>-122.55000000000001</v>
      </c>
      <c r="U1341" s="88">
        <f t="shared" si="321"/>
        <v>136.5</v>
      </c>
      <c r="V1341" s="82">
        <v>0</v>
      </c>
      <c r="W1341" s="4">
        <v>2</v>
      </c>
      <c r="X1341" s="195">
        <f t="shared" si="322"/>
        <v>136.5</v>
      </c>
      <c r="Y1341" s="29" t="e">
        <f>IF(+VLOOKUP(I1341,P.Referencia!E:S,3,FALSE)&lt;=L1341,"Champion","Gerente")</f>
        <v>#N/A</v>
      </c>
      <c r="Z1341" s="30" t="e">
        <f>VLOOKUP(I1341,P.Referencia!E:S,3,0)</f>
        <v>#N/A</v>
      </c>
      <c r="AA1341" s="196" t="e">
        <f t="shared" si="323"/>
        <v>#N/A</v>
      </c>
      <c r="AB1341" s="197" t="e">
        <f t="shared" si="324"/>
        <v>#N/A</v>
      </c>
      <c r="AC1341" s="197" t="e">
        <f t="shared" si="325"/>
        <v>#N/A</v>
      </c>
    </row>
    <row r="1342" spans="1:29" hidden="1" x14ac:dyDescent="0.25">
      <c r="A1342" s="24">
        <v>1341</v>
      </c>
      <c r="B1342" s="89" t="s">
        <v>374</v>
      </c>
      <c r="C1342" s="4" t="str">
        <f t="shared" si="319"/>
        <v>LlaveD86467382539100010742</v>
      </c>
      <c r="D1342" s="25" t="str">
        <f>VLOOKUP(E1342,'NO MODIFICAR'!J:K,2,0)</f>
        <v>D864</v>
      </c>
      <c r="E1342" s="102" t="s">
        <v>55</v>
      </c>
      <c r="F1342" s="25" t="str">
        <f>VLOOKUP(D1342,'NO MODIFICAR'!F:H,3,0)</f>
        <v xml:space="preserve">CENTRO </v>
      </c>
      <c r="G1342" s="92">
        <v>67382539</v>
      </c>
      <c r="H1342" s="92" t="s">
        <v>1048</v>
      </c>
      <c r="I1342" s="94">
        <v>10001074</v>
      </c>
      <c r="J1342" s="4" t="str">
        <f>VLOOKUP(I1342,'Materiales,canteras'!C:D,2,0)</f>
        <v>Grava Triturada Caliza 40 mm -</v>
      </c>
      <c r="K1342" s="25">
        <f>VLOOKUP(I1342,'Materiales,canteras'!C:E,3,0)</f>
        <v>1.4</v>
      </c>
      <c r="L1342" s="88">
        <v>115.5</v>
      </c>
      <c r="M1342" s="28" t="s">
        <v>93</v>
      </c>
      <c r="N1342" s="193">
        <f t="shared" ca="1" si="314"/>
        <v>46267</v>
      </c>
      <c r="O1342" s="24" t="s">
        <v>870</v>
      </c>
      <c r="P1342" s="4"/>
      <c r="Q1342" s="4"/>
      <c r="R1342" s="4">
        <v>3.47</v>
      </c>
      <c r="S1342" s="4">
        <v>231</v>
      </c>
      <c r="T1342" s="303">
        <f t="shared" si="320"/>
        <v>-112.03</v>
      </c>
      <c r="U1342" s="88">
        <f t="shared" si="321"/>
        <v>115.5</v>
      </c>
      <c r="V1342" s="82">
        <v>0</v>
      </c>
      <c r="W1342" s="4">
        <v>2</v>
      </c>
      <c r="X1342" s="195">
        <f t="shared" si="322"/>
        <v>115.5</v>
      </c>
      <c r="Y1342" s="29" t="e">
        <f>IF(+VLOOKUP(I1342,P.Referencia!E:S,3,FALSE)&lt;=L1342,"Champion","Gerente")</f>
        <v>#N/A</v>
      </c>
      <c r="Z1342" s="30" t="e">
        <f>VLOOKUP(I1342,P.Referencia!E:S,3,0)</f>
        <v>#N/A</v>
      </c>
      <c r="AA1342" s="196" t="e">
        <f t="shared" si="323"/>
        <v>#N/A</v>
      </c>
      <c r="AB1342" s="197" t="e">
        <f t="shared" si="324"/>
        <v>#N/A</v>
      </c>
      <c r="AC1342" s="197" t="e">
        <f t="shared" si="325"/>
        <v>#N/A</v>
      </c>
    </row>
    <row r="1343" spans="1:29" hidden="1" x14ac:dyDescent="0.25">
      <c r="A1343" s="24">
        <v>1342</v>
      </c>
      <c r="B1343" s="89" t="s">
        <v>374</v>
      </c>
      <c r="C1343" s="4" t="str">
        <f t="shared" si="319"/>
        <v>LlaveD86467382539100012032</v>
      </c>
      <c r="D1343" s="25" t="str">
        <f>VLOOKUP(E1343,'NO MODIFICAR'!J:K,2,0)</f>
        <v>D864</v>
      </c>
      <c r="E1343" s="102" t="s">
        <v>55</v>
      </c>
      <c r="F1343" s="25" t="str">
        <f>VLOOKUP(D1343,'NO MODIFICAR'!F:H,3,0)</f>
        <v xml:space="preserve">CENTRO </v>
      </c>
      <c r="G1343" s="92">
        <v>67382539</v>
      </c>
      <c r="H1343" s="92" t="s">
        <v>1048</v>
      </c>
      <c r="I1343" s="94">
        <v>10001203</v>
      </c>
      <c r="J1343" s="4" t="str">
        <f>VLOOKUP(I1343,'Materiales,canteras'!C:D,2,0)</f>
        <v>Desperdicio Triturado Caliza</v>
      </c>
      <c r="K1343" s="25">
        <f>VLOOKUP(I1343,'Materiales,canteras'!C:E,3,0)</f>
        <v>1.665</v>
      </c>
      <c r="L1343" s="88">
        <v>40</v>
      </c>
      <c r="M1343" s="28" t="s">
        <v>93</v>
      </c>
      <c r="N1343" s="193">
        <f t="shared" ca="1" si="314"/>
        <v>46267</v>
      </c>
      <c r="O1343" s="24" t="s">
        <v>871</v>
      </c>
      <c r="P1343" s="4"/>
      <c r="Q1343" s="4"/>
      <c r="R1343" s="4">
        <v>0.35</v>
      </c>
      <c r="S1343" s="4">
        <v>23</v>
      </c>
      <c r="T1343" s="303">
        <f t="shared" si="320"/>
        <v>17.350000000000001</v>
      </c>
      <c r="U1343" s="88">
        <f t="shared" si="321"/>
        <v>40</v>
      </c>
      <c r="V1343" s="82">
        <v>0</v>
      </c>
      <c r="W1343" s="4">
        <v>2</v>
      </c>
      <c r="X1343" s="195">
        <f t="shared" si="322"/>
        <v>40</v>
      </c>
      <c r="Y1343" s="29" t="e">
        <f>IF(+VLOOKUP(I1343,P.Referencia!E:S,3,FALSE)&lt;=L1343,"Champion","Gerente")</f>
        <v>#N/A</v>
      </c>
      <c r="Z1343" s="30" t="e">
        <f>VLOOKUP(I1343,P.Referencia!E:S,3,0)</f>
        <v>#N/A</v>
      </c>
      <c r="AA1343" s="196" t="e">
        <f t="shared" si="323"/>
        <v>#N/A</v>
      </c>
      <c r="AB1343" s="197" t="e">
        <f t="shared" si="324"/>
        <v>#N/A</v>
      </c>
      <c r="AC1343" s="197" t="e">
        <f t="shared" si="325"/>
        <v>#N/A</v>
      </c>
    </row>
    <row r="1344" spans="1:29" hidden="1" x14ac:dyDescent="0.25">
      <c r="A1344" s="24">
        <v>1343</v>
      </c>
      <c r="B1344" s="89" t="s">
        <v>374</v>
      </c>
      <c r="C1344" s="4" t="str">
        <f t="shared" si="319"/>
        <v>LlaveD86467382542100010732</v>
      </c>
      <c r="D1344" s="25" t="str">
        <f>VLOOKUP(E1344,'NO MODIFICAR'!J:K,2,0)</f>
        <v>D864</v>
      </c>
      <c r="E1344" s="102" t="s">
        <v>55</v>
      </c>
      <c r="F1344" s="25" t="str">
        <f>VLOOKUP(D1344,'NO MODIFICAR'!F:H,3,0)</f>
        <v xml:space="preserve">CENTRO </v>
      </c>
      <c r="G1344" s="92">
        <v>67382542</v>
      </c>
      <c r="H1344" s="92" t="s">
        <v>1049</v>
      </c>
      <c r="I1344" s="94">
        <v>10001073</v>
      </c>
      <c r="J1344" s="4" t="str">
        <f>VLOOKUP(I1344,'Materiales,canteras'!C:D,2,0)</f>
        <v>Arena Triturada Caliza Malla 4</v>
      </c>
      <c r="K1344" s="25">
        <f>VLOOKUP(I1344,'Materiales,canteras'!C:E,3,0)</f>
        <v>1.56</v>
      </c>
      <c r="L1344" s="88">
        <v>84</v>
      </c>
      <c r="M1344" s="28" t="s">
        <v>93</v>
      </c>
      <c r="N1344" s="193">
        <f t="shared" ca="1" si="314"/>
        <v>46267</v>
      </c>
      <c r="O1344" s="24" t="s">
        <v>872</v>
      </c>
      <c r="P1344" s="4"/>
      <c r="Q1344" s="4"/>
      <c r="R1344" s="4">
        <v>2.37</v>
      </c>
      <c r="S1344" s="4">
        <v>158</v>
      </c>
      <c r="T1344" s="303">
        <f t="shared" si="320"/>
        <v>-71.63</v>
      </c>
      <c r="U1344" s="88">
        <f t="shared" si="321"/>
        <v>84</v>
      </c>
      <c r="V1344" s="82">
        <v>0</v>
      </c>
      <c r="W1344" s="4">
        <v>2</v>
      </c>
      <c r="X1344" s="195">
        <f t="shared" si="322"/>
        <v>84</v>
      </c>
      <c r="Y1344" s="29" t="e">
        <f>IF(+VLOOKUP(I1344,P.Referencia!E:S,3,FALSE)&lt;=L1344,"Champion","Gerente")</f>
        <v>#N/A</v>
      </c>
      <c r="Z1344" s="30" t="e">
        <f>VLOOKUP(I1344,P.Referencia!E:S,3,0)</f>
        <v>#N/A</v>
      </c>
      <c r="AA1344" s="196" t="e">
        <f t="shared" si="323"/>
        <v>#N/A</v>
      </c>
      <c r="AB1344" s="197" t="e">
        <f t="shared" si="324"/>
        <v>#N/A</v>
      </c>
      <c r="AC1344" s="197" t="e">
        <f t="shared" si="325"/>
        <v>#N/A</v>
      </c>
    </row>
    <row r="1345" spans="1:30" hidden="1" x14ac:dyDescent="0.25">
      <c r="A1345" s="24">
        <v>1344</v>
      </c>
      <c r="B1345" s="89" t="s">
        <v>374</v>
      </c>
      <c r="C1345" s="4" t="str">
        <f t="shared" si="319"/>
        <v>LlaveD86467382542100002362</v>
      </c>
      <c r="D1345" s="25" t="str">
        <f>VLOOKUP(E1345,'NO MODIFICAR'!J:K,2,0)</f>
        <v>D864</v>
      </c>
      <c r="E1345" s="102" t="s">
        <v>55</v>
      </c>
      <c r="F1345" s="25" t="str">
        <f>VLOOKUP(D1345,'NO MODIFICAR'!F:H,3,0)</f>
        <v xml:space="preserve">CENTRO </v>
      </c>
      <c r="G1345" s="92">
        <v>67382542</v>
      </c>
      <c r="H1345" s="92" t="s">
        <v>1049</v>
      </c>
      <c r="I1345" s="94">
        <v>10000236</v>
      </c>
      <c r="J1345" s="4" t="str">
        <f>VLOOKUP(I1345,'Materiales,canteras'!C:D,2,0)</f>
        <v>Grava Triturada Caliza 10 mm -</v>
      </c>
      <c r="K1345" s="25">
        <f>VLOOKUP(I1345,'Materiales,canteras'!C:E,3,0)</f>
        <v>1.41</v>
      </c>
      <c r="L1345" s="88">
        <v>136.5</v>
      </c>
      <c r="M1345" s="28" t="s">
        <v>93</v>
      </c>
      <c r="N1345" s="193">
        <f t="shared" ca="1" si="314"/>
        <v>46267</v>
      </c>
      <c r="O1345" s="24" t="s">
        <v>873</v>
      </c>
      <c r="P1345" s="4"/>
      <c r="Q1345" s="4"/>
      <c r="R1345" s="4">
        <v>3.78</v>
      </c>
      <c r="S1345" s="4">
        <v>252</v>
      </c>
      <c r="T1345" s="303">
        <f t="shared" si="320"/>
        <v>-111.72</v>
      </c>
      <c r="U1345" s="88">
        <f t="shared" si="321"/>
        <v>136.5</v>
      </c>
      <c r="V1345" s="82">
        <v>0</v>
      </c>
      <c r="W1345" s="4">
        <v>2</v>
      </c>
      <c r="X1345" s="195">
        <f t="shared" si="322"/>
        <v>136.5</v>
      </c>
      <c r="Y1345" s="29" t="e">
        <f>IF(+VLOOKUP(I1345,P.Referencia!E:S,3,FALSE)&lt;=L1345,"Champion","Gerente")</f>
        <v>#N/A</v>
      </c>
      <c r="Z1345" s="30" t="e">
        <f>VLOOKUP(I1345,P.Referencia!E:S,3,0)</f>
        <v>#N/A</v>
      </c>
      <c r="AA1345" s="196" t="e">
        <f t="shared" si="323"/>
        <v>#N/A</v>
      </c>
      <c r="AB1345" s="197" t="e">
        <f t="shared" si="324"/>
        <v>#N/A</v>
      </c>
      <c r="AC1345" s="197" t="e">
        <f t="shared" si="325"/>
        <v>#N/A</v>
      </c>
    </row>
    <row r="1346" spans="1:30" hidden="1" x14ac:dyDescent="0.25">
      <c r="A1346" s="24">
        <v>1345</v>
      </c>
      <c r="B1346" s="89" t="s">
        <v>374</v>
      </c>
      <c r="C1346" s="4" t="str">
        <f t="shared" si="319"/>
        <v>LlaveD86467382542100002402</v>
      </c>
      <c r="D1346" s="25" t="str">
        <f>VLOOKUP(E1346,'NO MODIFICAR'!J:K,2,0)</f>
        <v>D864</v>
      </c>
      <c r="E1346" s="102" t="s">
        <v>55</v>
      </c>
      <c r="F1346" s="25" t="str">
        <f>VLOOKUP(D1346,'NO MODIFICAR'!F:H,3,0)</f>
        <v xml:space="preserve">CENTRO </v>
      </c>
      <c r="G1346" s="92">
        <v>67382542</v>
      </c>
      <c r="H1346" s="92" t="s">
        <v>1049</v>
      </c>
      <c r="I1346" s="94">
        <v>10000240</v>
      </c>
      <c r="J1346" s="4" t="str">
        <f>VLOOKUP(I1346,'Materiales,canteras'!C:D,2,0)</f>
        <v>Grava Triturada Caliza 20 mm -</v>
      </c>
      <c r="K1346" s="25">
        <f>VLOOKUP(I1346,'Materiales,canteras'!C:E,3,0)</f>
        <v>1.462</v>
      </c>
      <c r="L1346" s="88">
        <v>115.5</v>
      </c>
      <c r="M1346" s="28" t="s">
        <v>93</v>
      </c>
      <c r="N1346" s="193">
        <f t="shared" ca="1" si="314"/>
        <v>46267</v>
      </c>
      <c r="O1346" s="24" t="s">
        <v>874</v>
      </c>
      <c r="P1346" s="4"/>
      <c r="Q1346" s="4"/>
      <c r="R1346" s="4">
        <v>4.41</v>
      </c>
      <c r="S1346" s="4">
        <v>294</v>
      </c>
      <c r="T1346" s="303">
        <f t="shared" si="320"/>
        <v>-174.08999999999997</v>
      </c>
      <c r="U1346" s="88">
        <f t="shared" si="321"/>
        <v>115.5</v>
      </c>
      <c r="V1346" s="82">
        <v>0</v>
      </c>
      <c r="W1346" s="4">
        <v>2</v>
      </c>
      <c r="X1346" s="195">
        <f t="shared" si="322"/>
        <v>115.5</v>
      </c>
      <c r="Y1346" s="29" t="e">
        <f>IF(+VLOOKUP(I1346,P.Referencia!E:S,3,FALSE)&lt;=L1346,"Champion","Gerente")</f>
        <v>#N/A</v>
      </c>
      <c r="Z1346" s="30" t="e">
        <f>VLOOKUP(I1346,P.Referencia!E:S,3,0)</f>
        <v>#N/A</v>
      </c>
      <c r="AA1346" s="196" t="e">
        <f t="shared" si="323"/>
        <v>#N/A</v>
      </c>
      <c r="AB1346" s="197" t="e">
        <f t="shared" si="324"/>
        <v>#N/A</v>
      </c>
      <c r="AC1346" s="197" t="e">
        <f t="shared" si="325"/>
        <v>#N/A</v>
      </c>
    </row>
    <row r="1347" spans="1:30" hidden="1" x14ac:dyDescent="0.25">
      <c r="A1347" s="24">
        <v>1346</v>
      </c>
      <c r="B1347" s="89" t="s">
        <v>374</v>
      </c>
      <c r="C1347" s="4" t="str">
        <f t="shared" si="319"/>
        <v>LlaveD86467382542100002692</v>
      </c>
      <c r="D1347" s="25" t="str">
        <f>VLOOKUP(E1347,'NO MODIFICAR'!J:K,2,0)</f>
        <v>D864</v>
      </c>
      <c r="E1347" s="102" t="s">
        <v>55</v>
      </c>
      <c r="F1347" s="25" t="str">
        <f>VLOOKUP(D1347,'NO MODIFICAR'!F:H,3,0)</f>
        <v xml:space="preserve">CENTRO </v>
      </c>
      <c r="G1347" s="92">
        <v>67382542</v>
      </c>
      <c r="H1347" s="92" t="s">
        <v>1049</v>
      </c>
      <c r="I1347" s="94">
        <v>10000269</v>
      </c>
      <c r="J1347" s="4" t="str">
        <f>VLOOKUP(I1347,'Materiales,canteras'!C:D,2,0)</f>
        <v>Grava Triturada Caliza 13 mm -</v>
      </c>
      <c r="K1347" s="25">
        <f>VLOOKUP(I1347,'Materiales,canteras'!C:E,3,0)</f>
        <v>1.423</v>
      </c>
      <c r="L1347" s="88">
        <v>136.5</v>
      </c>
      <c r="M1347" s="28" t="s">
        <v>93</v>
      </c>
      <c r="N1347" s="193">
        <f t="shared" ca="1" si="314"/>
        <v>46267</v>
      </c>
      <c r="O1347" s="24" t="s">
        <v>875</v>
      </c>
      <c r="P1347" s="4"/>
      <c r="Q1347" s="4"/>
      <c r="R1347" s="4">
        <v>3.95</v>
      </c>
      <c r="S1347" s="4">
        <v>263</v>
      </c>
      <c r="T1347" s="303">
        <f t="shared" si="320"/>
        <v>-122.55000000000001</v>
      </c>
      <c r="U1347" s="88">
        <f t="shared" si="321"/>
        <v>136.5</v>
      </c>
      <c r="V1347" s="82">
        <v>0</v>
      </c>
      <c r="W1347" s="4">
        <v>2</v>
      </c>
      <c r="X1347" s="195">
        <f t="shared" si="322"/>
        <v>136.5</v>
      </c>
      <c r="Y1347" s="29" t="e">
        <f>IF(+VLOOKUP(I1347,P.Referencia!E:S,3,FALSE)&lt;=L1347,"Champion","Gerente")</f>
        <v>#N/A</v>
      </c>
      <c r="Z1347" s="30" t="e">
        <f>VLOOKUP(I1347,P.Referencia!E:S,3,0)</f>
        <v>#N/A</v>
      </c>
      <c r="AA1347" s="196" t="e">
        <f t="shared" si="323"/>
        <v>#N/A</v>
      </c>
      <c r="AB1347" s="197" t="e">
        <f t="shared" si="324"/>
        <v>#N/A</v>
      </c>
      <c r="AC1347" s="197" t="e">
        <f t="shared" si="325"/>
        <v>#N/A</v>
      </c>
    </row>
    <row r="1348" spans="1:30" hidden="1" x14ac:dyDescent="0.25">
      <c r="A1348" s="24">
        <v>1347</v>
      </c>
      <c r="B1348" s="89" t="s">
        <v>374</v>
      </c>
      <c r="C1348" s="4" t="str">
        <f t="shared" si="319"/>
        <v>LlaveD86467382542100010742</v>
      </c>
      <c r="D1348" s="25" t="str">
        <f>VLOOKUP(E1348,'NO MODIFICAR'!J:K,2,0)</f>
        <v>D864</v>
      </c>
      <c r="E1348" s="102" t="s">
        <v>55</v>
      </c>
      <c r="F1348" s="25" t="str">
        <f>VLOOKUP(D1348,'NO MODIFICAR'!F:H,3,0)</f>
        <v xml:space="preserve">CENTRO </v>
      </c>
      <c r="G1348" s="92">
        <v>67382542</v>
      </c>
      <c r="H1348" s="92" t="s">
        <v>1049</v>
      </c>
      <c r="I1348" s="94">
        <v>10001074</v>
      </c>
      <c r="J1348" s="4" t="str">
        <f>VLOOKUP(I1348,'Materiales,canteras'!C:D,2,0)</f>
        <v>Grava Triturada Caliza 40 mm -</v>
      </c>
      <c r="K1348" s="25">
        <f>VLOOKUP(I1348,'Materiales,canteras'!C:E,3,0)</f>
        <v>1.4</v>
      </c>
      <c r="L1348" s="88">
        <v>115.5</v>
      </c>
      <c r="M1348" s="28" t="s">
        <v>93</v>
      </c>
      <c r="N1348" s="193">
        <f t="shared" ca="1" si="314"/>
        <v>46267</v>
      </c>
      <c r="O1348" s="24" t="s">
        <v>876</v>
      </c>
      <c r="P1348" s="4"/>
      <c r="Q1348" s="4"/>
      <c r="R1348" s="4">
        <v>3.47</v>
      </c>
      <c r="S1348" s="4">
        <v>231</v>
      </c>
      <c r="T1348" s="303">
        <f t="shared" si="320"/>
        <v>-112.03</v>
      </c>
      <c r="U1348" s="88">
        <f t="shared" si="321"/>
        <v>115.5</v>
      </c>
      <c r="V1348" s="82">
        <v>0</v>
      </c>
      <c r="W1348" s="4">
        <v>2</v>
      </c>
      <c r="X1348" s="195">
        <f t="shared" si="322"/>
        <v>115.5</v>
      </c>
      <c r="Y1348" s="29" t="e">
        <f>IF(+VLOOKUP(I1348,P.Referencia!E:S,3,FALSE)&lt;=L1348,"Champion","Gerente")</f>
        <v>#N/A</v>
      </c>
      <c r="Z1348" s="30" t="e">
        <f>VLOOKUP(I1348,P.Referencia!E:S,3,0)</f>
        <v>#N/A</v>
      </c>
      <c r="AA1348" s="196" t="e">
        <f t="shared" si="323"/>
        <v>#N/A</v>
      </c>
      <c r="AB1348" s="197" t="e">
        <f t="shared" si="324"/>
        <v>#N/A</v>
      </c>
      <c r="AC1348" s="197" t="e">
        <f t="shared" si="325"/>
        <v>#N/A</v>
      </c>
    </row>
    <row r="1349" spans="1:30" hidden="1" x14ac:dyDescent="0.25">
      <c r="A1349" s="24">
        <v>1348</v>
      </c>
      <c r="B1349" s="89" t="s">
        <v>374</v>
      </c>
      <c r="C1349" s="4" t="str">
        <f t="shared" si="319"/>
        <v>LlaveD86467382542100012032</v>
      </c>
      <c r="D1349" s="25" t="str">
        <f>VLOOKUP(E1349,'NO MODIFICAR'!J:K,2,0)</f>
        <v>D864</v>
      </c>
      <c r="E1349" s="102" t="s">
        <v>55</v>
      </c>
      <c r="F1349" s="25" t="str">
        <f>VLOOKUP(D1349,'NO MODIFICAR'!F:H,3,0)</f>
        <v xml:space="preserve">CENTRO </v>
      </c>
      <c r="G1349" s="92">
        <v>67382542</v>
      </c>
      <c r="H1349" s="92" t="s">
        <v>1049</v>
      </c>
      <c r="I1349" s="94">
        <v>10001203</v>
      </c>
      <c r="J1349" s="4" t="str">
        <f>VLOOKUP(I1349,'Materiales,canteras'!C:D,2,0)</f>
        <v>Desperdicio Triturado Caliza</v>
      </c>
      <c r="K1349" s="25">
        <f>VLOOKUP(I1349,'Materiales,canteras'!C:E,3,0)</f>
        <v>1.665</v>
      </c>
      <c r="L1349" s="88">
        <v>40</v>
      </c>
      <c r="M1349" s="28" t="s">
        <v>93</v>
      </c>
      <c r="N1349" s="193">
        <f t="shared" ca="1" si="314"/>
        <v>46267</v>
      </c>
      <c r="O1349" s="24" t="s">
        <v>877</v>
      </c>
      <c r="P1349" s="4"/>
      <c r="Q1349" s="4"/>
      <c r="R1349" s="4">
        <v>0.35</v>
      </c>
      <c r="S1349" s="4">
        <v>23</v>
      </c>
      <c r="T1349" s="303">
        <f t="shared" si="320"/>
        <v>17.350000000000001</v>
      </c>
      <c r="U1349" s="88">
        <f t="shared" si="321"/>
        <v>40</v>
      </c>
      <c r="V1349" s="82">
        <v>0</v>
      </c>
      <c r="W1349" s="4">
        <v>2</v>
      </c>
      <c r="X1349" s="195">
        <f t="shared" si="322"/>
        <v>40</v>
      </c>
      <c r="Y1349" s="29" t="e">
        <f>IF(+VLOOKUP(I1349,P.Referencia!E:S,3,FALSE)&lt;=L1349,"Champion","Gerente")</f>
        <v>#N/A</v>
      </c>
      <c r="Z1349" s="30" t="e">
        <f>VLOOKUP(I1349,P.Referencia!E:S,3,0)</f>
        <v>#N/A</v>
      </c>
      <c r="AA1349" s="196" t="e">
        <f t="shared" si="323"/>
        <v>#N/A</v>
      </c>
      <c r="AB1349" s="197" t="e">
        <f t="shared" si="324"/>
        <v>#N/A</v>
      </c>
      <c r="AC1349" s="197" t="e">
        <f t="shared" si="325"/>
        <v>#N/A</v>
      </c>
    </row>
    <row r="1350" spans="1:30" hidden="1" x14ac:dyDescent="0.25">
      <c r="A1350" s="24">
        <v>1349</v>
      </c>
      <c r="B1350" s="89" t="s">
        <v>374</v>
      </c>
      <c r="C1350" s="4" t="str">
        <f t="shared" si="319"/>
        <v>LlaveD85265006752100389432</v>
      </c>
      <c r="D1350" s="25" t="str">
        <f>VLOOKUP(E1350,'NO MODIFICAR'!J:K,2,0)</f>
        <v>D852</v>
      </c>
      <c r="E1350" s="102" t="s">
        <v>36</v>
      </c>
      <c r="F1350" s="25" t="str">
        <f>VLOOKUP(D1350,'NO MODIFICAR'!F:H,3,0)</f>
        <v>NORESTE</v>
      </c>
      <c r="G1350" s="92">
        <v>65006752</v>
      </c>
      <c r="H1350" s="92" t="s">
        <v>1050</v>
      </c>
      <c r="I1350" s="94">
        <v>10038943</v>
      </c>
      <c r="J1350" s="4" t="str">
        <f>VLOOKUP(I1350,'Materiales,canteras'!C:D,2,0)</f>
        <v>Arena Triturada Caliza Malla 4</v>
      </c>
      <c r="K1350" s="25">
        <f>VLOOKUP(I1350,'Materiales,canteras'!C:E,3,0)</f>
        <v>1.61</v>
      </c>
      <c r="L1350" s="88">
        <v>131</v>
      </c>
      <c r="M1350" s="28" t="s">
        <v>93</v>
      </c>
      <c r="N1350" s="193">
        <f t="shared" ca="1" si="314"/>
        <v>46267</v>
      </c>
      <c r="O1350" s="24" t="s">
        <v>878</v>
      </c>
      <c r="P1350" s="4"/>
      <c r="Q1350" s="4"/>
      <c r="R1350" s="4">
        <v>12.11</v>
      </c>
      <c r="S1350" s="4">
        <v>173</v>
      </c>
      <c r="T1350" s="303">
        <f t="shared" si="320"/>
        <v>-29.889999999999986</v>
      </c>
      <c r="U1350" s="88">
        <f t="shared" si="321"/>
        <v>131</v>
      </c>
      <c r="V1350" s="82">
        <v>0</v>
      </c>
      <c r="W1350" s="4">
        <v>2</v>
      </c>
      <c r="X1350" s="195">
        <f t="shared" si="322"/>
        <v>131</v>
      </c>
      <c r="Y1350" s="29" t="e">
        <f>IF(+VLOOKUP(I1350,P.Referencia!E:S,3,FALSE)&lt;=L1350,"Champion","Gerente")</f>
        <v>#N/A</v>
      </c>
      <c r="Z1350" s="30" t="e">
        <f>VLOOKUP(I1350,P.Referencia!E:S,3,0)</f>
        <v>#N/A</v>
      </c>
      <c r="AA1350" s="196" t="e">
        <f t="shared" ref="AA1350:AA1355" si="327">(Z1350-U1350)/U1350</f>
        <v>#N/A</v>
      </c>
      <c r="AB1350" s="197" t="e">
        <f t="shared" ref="AB1350:AB1355" si="328">U1350*AA1350</f>
        <v>#N/A</v>
      </c>
      <c r="AC1350" s="197" t="e">
        <f t="shared" ref="AC1350:AC1355" si="329">U1350+AB1350</f>
        <v>#N/A</v>
      </c>
      <c r="AD1350" t="s">
        <v>1051</v>
      </c>
    </row>
    <row r="1351" spans="1:30" hidden="1" x14ac:dyDescent="0.25">
      <c r="A1351" s="24">
        <v>1350</v>
      </c>
      <c r="B1351" s="89" t="s">
        <v>374</v>
      </c>
      <c r="C1351" s="4" t="str">
        <f t="shared" si="319"/>
        <v>LlaveD85265006752100389422</v>
      </c>
      <c r="D1351" s="25" t="str">
        <f>VLOOKUP(E1351,'NO MODIFICAR'!J:K,2,0)</f>
        <v>D852</v>
      </c>
      <c r="E1351" s="102" t="s">
        <v>36</v>
      </c>
      <c r="F1351" s="25" t="str">
        <f>VLOOKUP(D1351,'NO MODIFICAR'!F:H,3,0)</f>
        <v>NORESTE</v>
      </c>
      <c r="G1351" s="92">
        <v>65006752</v>
      </c>
      <c r="H1351" s="92" t="s">
        <v>1050</v>
      </c>
      <c r="I1351" s="94">
        <v>10038942</v>
      </c>
      <c r="J1351" s="4" t="str">
        <f>VLOOKUP(I1351,'Materiales,canteras'!C:D,2,0)</f>
        <v>Arena Triturada Caliza Malla 8</v>
      </c>
      <c r="K1351" s="25">
        <f>VLOOKUP(I1351,'Materiales,canteras'!C:E,3,0)</f>
        <v>1.629</v>
      </c>
      <c r="L1351" s="88">
        <v>131</v>
      </c>
      <c r="M1351" s="28" t="s">
        <v>93</v>
      </c>
      <c r="N1351" s="193">
        <f t="shared" ref="N1351:N1414" ca="1" si="330">TODAY()</f>
        <v>46267</v>
      </c>
      <c r="O1351" s="24" t="s">
        <v>879</v>
      </c>
      <c r="P1351" s="4"/>
      <c r="Q1351" s="4"/>
      <c r="R1351" s="4">
        <v>11.69</v>
      </c>
      <c r="S1351" s="4">
        <v>167</v>
      </c>
      <c r="T1351" s="303">
        <f t="shared" si="320"/>
        <v>-24.310000000000002</v>
      </c>
      <c r="U1351" s="88">
        <f t="shared" si="321"/>
        <v>131</v>
      </c>
      <c r="V1351" s="82">
        <v>0</v>
      </c>
      <c r="W1351" s="4">
        <v>2</v>
      </c>
      <c r="X1351" s="195">
        <f t="shared" si="322"/>
        <v>131</v>
      </c>
      <c r="Y1351" s="29" t="e">
        <f>IF(+VLOOKUP(I1351,P.Referencia!E:S,3,FALSE)&lt;=L1351,"Champion","Gerente")</f>
        <v>#N/A</v>
      </c>
      <c r="Z1351" s="30" t="e">
        <f>VLOOKUP(I1351,P.Referencia!E:S,3,0)</f>
        <v>#N/A</v>
      </c>
      <c r="AA1351" s="196" t="e">
        <f t="shared" si="327"/>
        <v>#N/A</v>
      </c>
      <c r="AB1351" s="197" t="e">
        <f t="shared" si="328"/>
        <v>#N/A</v>
      </c>
      <c r="AC1351" s="197" t="e">
        <f t="shared" si="329"/>
        <v>#N/A</v>
      </c>
    </row>
    <row r="1352" spans="1:30" hidden="1" x14ac:dyDescent="0.25">
      <c r="A1352" s="24">
        <v>1351</v>
      </c>
      <c r="B1352" s="89" t="s">
        <v>374</v>
      </c>
      <c r="C1352" s="4" t="str">
        <f t="shared" si="319"/>
        <v>LlaveD85265006752100389452</v>
      </c>
      <c r="D1352" s="25" t="str">
        <f>VLOOKUP(E1352,'NO MODIFICAR'!J:K,2,0)</f>
        <v>D852</v>
      </c>
      <c r="E1352" s="102" t="s">
        <v>36</v>
      </c>
      <c r="F1352" s="25" t="str">
        <f>VLOOKUP(D1352,'NO MODIFICAR'!F:H,3,0)</f>
        <v>NORESTE</v>
      </c>
      <c r="G1352" s="92">
        <v>65006752</v>
      </c>
      <c r="H1352" s="92" t="s">
        <v>1050</v>
      </c>
      <c r="I1352" s="94">
        <v>10038945</v>
      </c>
      <c r="J1352" s="4" t="str">
        <f>VLOOKUP(I1352,'Materiales,canteras'!C:D,2,0)</f>
        <v>Grava Triturada Caliza 20 mm -</v>
      </c>
      <c r="K1352" s="25">
        <f>VLOOKUP(I1352,'Materiales,canteras'!C:E,3,0)</f>
        <v>1.54</v>
      </c>
      <c r="L1352" s="88">
        <v>125</v>
      </c>
      <c r="M1352" s="28" t="s">
        <v>93</v>
      </c>
      <c r="N1352" s="193">
        <f t="shared" ca="1" si="330"/>
        <v>46267</v>
      </c>
      <c r="O1352" s="24" t="s">
        <v>880</v>
      </c>
      <c r="P1352" s="4"/>
      <c r="Q1352" s="4"/>
      <c r="R1352" s="4">
        <v>12.11</v>
      </c>
      <c r="S1352" s="4">
        <v>173</v>
      </c>
      <c r="T1352" s="303">
        <f t="shared" si="320"/>
        <v>-35.889999999999986</v>
      </c>
      <c r="U1352" s="88">
        <f t="shared" si="321"/>
        <v>125</v>
      </c>
      <c r="V1352" s="82">
        <v>0</v>
      </c>
      <c r="W1352" s="4">
        <v>2</v>
      </c>
      <c r="X1352" s="195">
        <f t="shared" si="322"/>
        <v>125</v>
      </c>
      <c r="Y1352" s="29" t="e">
        <f>IF(+VLOOKUP(I1352,P.Referencia!E:S,3,FALSE)&lt;=L1352,"Champion","Gerente")</f>
        <v>#N/A</v>
      </c>
      <c r="Z1352" s="30" t="e">
        <f>VLOOKUP(I1352,P.Referencia!E:S,3,0)</f>
        <v>#N/A</v>
      </c>
      <c r="AA1352" s="196" t="e">
        <f t="shared" si="327"/>
        <v>#N/A</v>
      </c>
      <c r="AB1352" s="197" t="e">
        <f t="shared" si="328"/>
        <v>#N/A</v>
      </c>
      <c r="AC1352" s="197" t="e">
        <f t="shared" si="329"/>
        <v>#N/A</v>
      </c>
    </row>
    <row r="1353" spans="1:30" hidden="1" x14ac:dyDescent="0.25">
      <c r="A1353" s="24">
        <v>1352</v>
      </c>
      <c r="B1353" s="89" t="s">
        <v>374</v>
      </c>
      <c r="C1353" s="4" t="str">
        <f t="shared" si="319"/>
        <v>LlaveD81667382765101488242</v>
      </c>
      <c r="D1353" s="25" t="str">
        <f>VLOOKUP(E1353,'NO MODIFICAR'!J:K,2,0)</f>
        <v>D816</v>
      </c>
      <c r="E1353" s="102" t="s">
        <v>15</v>
      </c>
      <c r="F1353" s="25" t="str">
        <f>VLOOKUP(D1353,'NO MODIFICAR'!F:H,3,0)</f>
        <v>NORESTE</v>
      </c>
      <c r="G1353" s="92">
        <v>67382765</v>
      </c>
      <c r="H1353" s="92" t="s">
        <v>1052</v>
      </c>
      <c r="I1353" s="94">
        <v>10148824</v>
      </c>
      <c r="J1353" s="4" t="str">
        <f>VLOOKUP(I1353,'Materiales,canteras'!C:D,2,0)</f>
        <v>BALASTO PIEDRA CALIZA 4"-6"</v>
      </c>
      <c r="K1353" s="25">
        <f>VLOOKUP(I1353,'Materiales,canteras'!C:E,3,0)</f>
        <v>1.5</v>
      </c>
      <c r="L1353" s="88">
        <v>280</v>
      </c>
      <c r="M1353" s="28" t="s">
        <v>93</v>
      </c>
      <c r="N1353" s="193">
        <f t="shared" ca="1" si="330"/>
        <v>46267</v>
      </c>
      <c r="O1353" s="24" t="s">
        <v>881</v>
      </c>
      <c r="P1353" s="4"/>
      <c r="Q1353" s="4"/>
      <c r="R1353" s="4">
        <v>4.83</v>
      </c>
      <c r="S1353" s="4">
        <v>322</v>
      </c>
      <c r="T1353" s="303">
        <f t="shared" si="320"/>
        <v>-37.170000000000016</v>
      </c>
      <c r="U1353" s="88">
        <f t="shared" si="321"/>
        <v>280</v>
      </c>
      <c r="V1353" s="82">
        <v>0</v>
      </c>
      <c r="W1353" s="4">
        <v>2</v>
      </c>
      <c r="X1353" s="195">
        <f t="shared" si="322"/>
        <v>280</v>
      </c>
      <c r="Y1353" s="29" t="e">
        <f>IF(+VLOOKUP(I1353,P.Referencia!E:S,3,FALSE)&lt;=L1353,"Champion","Gerente")</f>
        <v>#N/A</v>
      </c>
      <c r="Z1353" s="30" t="e">
        <f>VLOOKUP(I1353,P.Referencia!E:S,3,0)</f>
        <v>#N/A</v>
      </c>
      <c r="AA1353" s="196" t="e">
        <f t="shared" si="327"/>
        <v>#N/A</v>
      </c>
      <c r="AB1353" s="197" t="e">
        <f t="shared" si="328"/>
        <v>#N/A</v>
      </c>
      <c r="AC1353" s="197" t="e">
        <f t="shared" si="329"/>
        <v>#N/A</v>
      </c>
    </row>
    <row r="1354" spans="1:30" hidden="1" x14ac:dyDescent="0.25">
      <c r="A1354" s="24">
        <v>1353</v>
      </c>
      <c r="B1354" s="89" t="s">
        <v>374</v>
      </c>
      <c r="C1354" s="4" t="str">
        <f t="shared" si="319"/>
        <v>LlaveDU0767382877100001012</v>
      </c>
      <c r="D1354" s="25" t="str">
        <f>VLOOKUP(E1354,'NO MODIFICAR'!J:K,2,0)</f>
        <v>DU07</v>
      </c>
      <c r="E1354" s="102" t="s">
        <v>87</v>
      </c>
      <c r="F1354" s="25" t="str">
        <f>VLOOKUP(D1354,'NO MODIFICAR'!F:H,3,0)</f>
        <v>SURESTE</v>
      </c>
      <c r="G1354" s="92">
        <v>67382877</v>
      </c>
      <c r="H1354" s="92" t="s">
        <v>1053</v>
      </c>
      <c r="I1354" s="94">
        <v>10000101</v>
      </c>
      <c r="J1354" s="4" t="str">
        <f>VLOOKUP(I1354,'Materiales,canteras'!C:D,2,0)</f>
        <v>Arena Triturada Caliza Malla 4</v>
      </c>
      <c r="K1354" s="25">
        <f>VLOOKUP(I1354,'Materiales,canteras'!C:E,3,0)</f>
        <v>1.417</v>
      </c>
      <c r="L1354" s="88">
        <f>350/K1354</f>
        <v>247.00070571630204</v>
      </c>
      <c r="M1354" s="28" t="s">
        <v>93</v>
      </c>
      <c r="N1354" s="193">
        <f t="shared" ca="1" si="330"/>
        <v>46267</v>
      </c>
      <c r="O1354" s="24" t="s">
        <v>882</v>
      </c>
      <c r="P1354" s="4"/>
      <c r="Q1354" s="4"/>
      <c r="R1354" s="4"/>
      <c r="S1354" s="4">
        <v>420</v>
      </c>
      <c r="T1354" s="303">
        <f t="shared" si="320"/>
        <v>-172.99929428369796</v>
      </c>
      <c r="U1354" s="88">
        <f t="shared" si="321"/>
        <v>247.00070571630204</v>
      </c>
      <c r="V1354" s="82">
        <v>0</v>
      </c>
      <c r="W1354" s="4">
        <v>2</v>
      </c>
      <c r="X1354" s="195">
        <f t="shared" si="322"/>
        <v>247.00070571630204</v>
      </c>
      <c r="Y1354" s="29" t="e">
        <f>IF(+VLOOKUP(I1354,P.Referencia!E:S,3,FALSE)&lt;=L1354,"Champion","Gerente")</f>
        <v>#N/A</v>
      </c>
      <c r="Z1354" s="30" t="e">
        <f>VLOOKUP(I1354,P.Referencia!E:S,3,0)</f>
        <v>#N/A</v>
      </c>
      <c r="AA1354" s="196" t="e">
        <f t="shared" si="327"/>
        <v>#N/A</v>
      </c>
      <c r="AB1354" s="197" t="e">
        <f t="shared" si="328"/>
        <v>#N/A</v>
      </c>
      <c r="AC1354" s="197" t="e">
        <f t="shared" si="329"/>
        <v>#N/A</v>
      </c>
    </row>
    <row r="1355" spans="1:30" hidden="1" x14ac:dyDescent="0.25">
      <c r="A1355" s="24">
        <v>1354</v>
      </c>
      <c r="B1355" s="89" t="s">
        <v>374</v>
      </c>
      <c r="C1355" s="4" t="str">
        <f t="shared" si="319"/>
        <v>LlaveDU0767382877100001102</v>
      </c>
      <c r="D1355" s="25" t="str">
        <f>VLOOKUP(E1355,'NO MODIFICAR'!J:K,2,0)</f>
        <v>DU07</v>
      </c>
      <c r="E1355" s="102" t="s">
        <v>87</v>
      </c>
      <c r="F1355" s="25" t="str">
        <f>VLOOKUP(D1355,'NO MODIFICAR'!F:H,3,0)</f>
        <v>SURESTE</v>
      </c>
      <c r="G1355" s="92">
        <v>67382877</v>
      </c>
      <c r="H1355" s="92" t="s">
        <v>1053</v>
      </c>
      <c r="I1355" s="94">
        <v>10000110</v>
      </c>
      <c r="J1355" s="4" t="str">
        <f>VLOOKUP(I1355,'Materiales,canteras'!C:D,2,0)</f>
        <v>GRAVA TRITURADA CALIZA 20 MM “3/4"–INTEG</v>
      </c>
      <c r="K1355" s="25">
        <f>VLOOKUP(I1355,'Materiales,canteras'!C:E,3,0)</f>
        <v>1.2010000000000001</v>
      </c>
      <c r="L1355" s="88">
        <f>330/K1355</f>
        <v>274.77102414654451</v>
      </c>
      <c r="M1355" s="28" t="s">
        <v>93</v>
      </c>
      <c r="N1355" s="193">
        <f t="shared" ca="1" si="330"/>
        <v>46267</v>
      </c>
      <c r="O1355" s="24" t="s">
        <v>883</v>
      </c>
      <c r="P1355" s="4"/>
      <c r="Q1355" s="4"/>
      <c r="R1355" s="4"/>
      <c r="S1355" s="4">
        <v>410</v>
      </c>
      <c r="T1355" s="303">
        <f t="shared" si="320"/>
        <v>-135.22897585345549</v>
      </c>
      <c r="U1355" s="88">
        <f t="shared" si="321"/>
        <v>274.77102414654451</v>
      </c>
      <c r="V1355" s="82">
        <v>0</v>
      </c>
      <c r="W1355" s="4">
        <v>2</v>
      </c>
      <c r="X1355" s="195">
        <f t="shared" si="322"/>
        <v>274.77102414654451</v>
      </c>
      <c r="Y1355" s="29" t="e">
        <f>IF(+VLOOKUP(I1355,P.Referencia!E:S,3,FALSE)&lt;=L1355,"Champion","Gerente")</f>
        <v>#N/A</v>
      </c>
      <c r="Z1355" s="30" t="e">
        <f>VLOOKUP(I1355,P.Referencia!E:S,3,0)</f>
        <v>#N/A</v>
      </c>
      <c r="AA1355" s="196" t="e">
        <f t="shared" si="327"/>
        <v>#N/A</v>
      </c>
      <c r="AB1355" s="197" t="e">
        <f t="shared" si="328"/>
        <v>#N/A</v>
      </c>
      <c r="AC1355" s="197" t="e">
        <f t="shared" si="329"/>
        <v>#N/A</v>
      </c>
    </row>
    <row r="1356" spans="1:30" hidden="1" x14ac:dyDescent="0.25">
      <c r="A1356" s="24">
        <v>1355</v>
      </c>
      <c r="B1356" s="89" t="s">
        <v>374</v>
      </c>
      <c r="C1356" s="4" t="str">
        <f t="shared" si="319"/>
        <v>LlaveDU0767382877100001152</v>
      </c>
      <c r="D1356" s="25" t="str">
        <f>VLOOKUP(E1356,'NO MODIFICAR'!J:K,2,0)</f>
        <v>DU07</v>
      </c>
      <c r="E1356" s="102" t="s">
        <v>87</v>
      </c>
      <c r="F1356" s="25" t="str">
        <f>VLOOKUP(D1356,'NO MODIFICAR'!F:H,3,0)</f>
        <v>SURESTE</v>
      </c>
      <c r="G1356" s="92">
        <v>67382877</v>
      </c>
      <c r="H1356" s="92" t="s">
        <v>1053</v>
      </c>
      <c r="I1356" s="94">
        <v>10000115</v>
      </c>
      <c r="J1356" s="4" t="str">
        <f>VLOOKUP(I1356,'Materiales,canteras'!C:D,2,0)</f>
        <v>Grava Triturada Caliza 10 mm -</v>
      </c>
      <c r="K1356" s="25">
        <f>VLOOKUP(I1356,'Materiales,canteras'!C:E,3,0)</f>
        <v>1.1559999999999999</v>
      </c>
      <c r="L1356" s="88">
        <f t="shared" ref="L1356:L1357" si="331">330/K1356</f>
        <v>285.46712802768167</v>
      </c>
      <c r="M1356" s="28" t="s">
        <v>93</v>
      </c>
      <c r="N1356" s="193">
        <f t="shared" ca="1" si="330"/>
        <v>46267</v>
      </c>
      <c r="O1356" s="24" t="s">
        <v>884</v>
      </c>
      <c r="P1356" s="4"/>
      <c r="Q1356" s="4"/>
      <c r="R1356" s="4"/>
      <c r="S1356" s="4">
        <v>336</v>
      </c>
      <c r="T1356" s="303">
        <f t="shared" si="320"/>
        <v>-50.532871972318333</v>
      </c>
      <c r="U1356" s="88">
        <f t="shared" si="321"/>
        <v>285.46712802768167</v>
      </c>
      <c r="V1356" s="82">
        <v>0</v>
      </c>
      <c r="W1356" s="4">
        <v>2</v>
      </c>
      <c r="X1356" s="195">
        <f t="shared" si="322"/>
        <v>285.46712802768167</v>
      </c>
      <c r="Y1356" s="29" t="e">
        <f>IF(+VLOOKUP(I1356,P.Referencia!E:S,3,FALSE)&lt;=L1356,"Champion","Gerente")</f>
        <v>#N/A</v>
      </c>
      <c r="Z1356" s="30" t="e">
        <f>VLOOKUP(I1356,P.Referencia!E:S,3,0)</f>
        <v>#N/A</v>
      </c>
      <c r="AA1356" s="196" t="e">
        <f t="shared" si="323"/>
        <v>#N/A</v>
      </c>
      <c r="AB1356" s="197" t="e">
        <f t="shared" si="324"/>
        <v>#N/A</v>
      </c>
      <c r="AC1356" s="197" t="e">
        <f t="shared" si="325"/>
        <v>#N/A</v>
      </c>
    </row>
    <row r="1357" spans="1:30" hidden="1" x14ac:dyDescent="0.25">
      <c r="A1357" s="24">
        <v>1356</v>
      </c>
      <c r="B1357" s="89" t="s">
        <v>374</v>
      </c>
      <c r="C1357" s="4" t="str">
        <f t="shared" si="319"/>
        <v>LlaveDU0767382877100001122</v>
      </c>
      <c r="D1357" s="25" t="str">
        <f>VLOOKUP(E1357,'NO MODIFICAR'!J:K,2,0)</f>
        <v>DU07</v>
      </c>
      <c r="E1357" s="102" t="s">
        <v>87</v>
      </c>
      <c r="F1357" s="25" t="str">
        <f>VLOOKUP(D1357,'NO MODIFICAR'!F:H,3,0)</f>
        <v>SURESTE</v>
      </c>
      <c r="G1357" s="92">
        <v>67382877</v>
      </c>
      <c r="H1357" s="92" t="s">
        <v>1053</v>
      </c>
      <c r="I1357" s="94">
        <v>10000112</v>
      </c>
      <c r="J1357" s="4" t="str">
        <f>VLOOKUP(I1357,'Materiales,canteras'!C:D,2,0)</f>
        <v>Grava Triturada Caliza 13 mm -</v>
      </c>
      <c r="K1357" s="25">
        <f>VLOOKUP(I1357,'Materiales,canteras'!C:E,3,0)</f>
        <v>1.194</v>
      </c>
      <c r="L1357" s="88">
        <f t="shared" si="331"/>
        <v>276.3819095477387</v>
      </c>
      <c r="M1357" s="28" t="s">
        <v>93</v>
      </c>
      <c r="N1357" s="193">
        <f t="shared" ca="1" si="330"/>
        <v>46267</v>
      </c>
      <c r="O1357" s="24" t="s">
        <v>885</v>
      </c>
      <c r="P1357" s="195"/>
      <c r="Q1357" s="4"/>
      <c r="R1357" s="4"/>
      <c r="S1357" s="4">
        <v>336</v>
      </c>
      <c r="T1357" s="303">
        <f t="shared" si="320"/>
        <v>-59.618090452261299</v>
      </c>
      <c r="U1357" s="88">
        <f t="shared" si="321"/>
        <v>276.3819095477387</v>
      </c>
      <c r="V1357" s="82">
        <v>0</v>
      </c>
      <c r="W1357" s="4">
        <v>2</v>
      </c>
      <c r="X1357" s="195">
        <f t="shared" si="322"/>
        <v>276.3819095477387</v>
      </c>
      <c r="Y1357" s="29" t="e">
        <f>IF(+VLOOKUP(I1357,P.Referencia!E:S,3,FALSE)&lt;=L1357,"Champion","Gerente")</f>
        <v>#N/A</v>
      </c>
      <c r="Z1357" s="30" t="e">
        <f>VLOOKUP(I1357,P.Referencia!E:S,3,0)</f>
        <v>#N/A</v>
      </c>
      <c r="AA1357" s="196" t="e">
        <f t="shared" si="323"/>
        <v>#N/A</v>
      </c>
      <c r="AB1357" s="197" t="e">
        <f t="shared" si="324"/>
        <v>#N/A</v>
      </c>
      <c r="AC1357" s="197" t="e">
        <f t="shared" si="325"/>
        <v>#N/A</v>
      </c>
    </row>
    <row r="1358" spans="1:30" hidden="1" x14ac:dyDescent="0.25">
      <c r="A1358" s="24">
        <v>1357</v>
      </c>
      <c r="B1358" s="89" t="s">
        <v>374</v>
      </c>
      <c r="C1358" s="4" t="str">
        <f t="shared" si="319"/>
        <v>LlaveDU0767365636100001012</v>
      </c>
      <c r="D1358" s="25" t="str">
        <f>VLOOKUP(E1358,'NO MODIFICAR'!J:K,2,0)</f>
        <v>DU07</v>
      </c>
      <c r="E1358" s="102" t="s">
        <v>87</v>
      </c>
      <c r="F1358" s="25" t="str">
        <f>VLOOKUP(D1358,'NO MODIFICAR'!F:H,3,0)</f>
        <v>SURESTE</v>
      </c>
      <c r="G1358" s="92">
        <v>67365636</v>
      </c>
      <c r="H1358" s="93" t="s">
        <v>1054</v>
      </c>
      <c r="I1358" s="94">
        <v>10000101</v>
      </c>
      <c r="J1358" s="4" t="str">
        <f>VLOOKUP(I1358,'Materiales,canteras'!C:D,2,0)</f>
        <v>Arena Triturada Caliza Malla 4</v>
      </c>
      <c r="K1358" s="25">
        <f>VLOOKUP(I1358,'Materiales,canteras'!C:E,3,0)</f>
        <v>1.417</v>
      </c>
      <c r="L1358" s="105">
        <f>380/K1358</f>
        <v>268.17219477769936</v>
      </c>
      <c r="M1358" s="28" t="s">
        <v>93</v>
      </c>
      <c r="N1358" s="193">
        <f t="shared" ca="1" si="330"/>
        <v>46267</v>
      </c>
      <c r="O1358" s="24" t="s">
        <v>886</v>
      </c>
      <c r="P1358" s="4"/>
      <c r="Q1358" s="4"/>
      <c r="R1358" s="4"/>
      <c r="S1358" s="4">
        <v>420</v>
      </c>
      <c r="T1358" s="303">
        <f t="shared" si="320"/>
        <v>-151.82780522230064</v>
      </c>
      <c r="U1358" s="88">
        <f t="shared" si="321"/>
        <v>268.17219477769936</v>
      </c>
      <c r="V1358" s="82">
        <v>0</v>
      </c>
      <c r="W1358" s="4">
        <v>2</v>
      </c>
      <c r="X1358" s="195">
        <f t="shared" si="322"/>
        <v>268.17219477769936</v>
      </c>
      <c r="Y1358" s="29" t="e">
        <f>IF(+VLOOKUP(I1358,P.Referencia!E:S,3,FALSE)&lt;=L1358,"Champion","Gerente")</f>
        <v>#N/A</v>
      </c>
      <c r="Z1358" s="30" t="e">
        <f>VLOOKUP(I1358,P.Referencia!E:S,3,0)</f>
        <v>#N/A</v>
      </c>
      <c r="AA1358" s="196" t="e">
        <f t="shared" si="323"/>
        <v>#N/A</v>
      </c>
      <c r="AB1358" s="197" t="e">
        <f t="shared" si="324"/>
        <v>#N/A</v>
      </c>
      <c r="AC1358" s="197" t="e">
        <f t="shared" si="325"/>
        <v>#N/A</v>
      </c>
    </row>
    <row r="1359" spans="1:30" hidden="1" x14ac:dyDescent="0.25">
      <c r="A1359" s="24">
        <v>1358</v>
      </c>
      <c r="B1359" s="89" t="s">
        <v>374</v>
      </c>
      <c r="C1359" s="4" t="str">
        <f t="shared" si="319"/>
        <v>LlaveDU0767365636100001102</v>
      </c>
      <c r="D1359" s="25" t="str">
        <f>VLOOKUP(E1359,'NO MODIFICAR'!J:K,2,0)</f>
        <v>DU07</v>
      </c>
      <c r="E1359" s="102" t="s">
        <v>87</v>
      </c>
      <c r="F1359" s="25" t="str">
        <f>VLOOKUP(D1359,'NO MODIFICAR'!F:H,3,0)</f>
        <v>SURESTE</v>
      </c>
      <c r="G1359" s="92">
        <v>67365636</v>
      </c>
      <c r="H1359" s="93" t="s">
        <v>1054</v>
      </c>
      <c r="I1359" s="94">
        <v>10000110</v>
      </c>
      <c r="J1359" s="4" t="str">
        <f>VLOOKUP(I1359,'Materiales,canteras'!C:D,2,0)</f>
        <v>GRAVA TRITURADA CALIZA 20 MM “3/4"–INTEG</v>
      </c>
      <c r="K1359" s="25">
        <f>VLOOKUP(I1359,'Materiales,canteras'!C:E,3,0)</f>
        <v>1.2010000000000001</v>
      </c>
      <c r="L1359" s="105">
        <f>330/K1359</f>
        <v>274.77102414654451</v>
      </c>
      <c r="M1359" s="28" t="s">
        <v>93</v>
      </c>
      <c r="N1359" s="193">
        <f t="shared" ca="1" si="330"/>
        <v>46267</v>
      </c>
      <c r="O1359" s="24" t="s">
        <v>887</v>
      </c>
      <c r="P1359" s="4"/>
      <c r="Q1359" s="4"/>
      <c r="R1359" s="4"/>
      <c r="S1359" s="4">
        <v>410</v>
      </c>
      <c r="T1359" s="303">
        <f t="shared" si="320"/>
        <v>-135.22897585345549</v>
      </c>
      <c r="U1359" s="88">
        <f t="shared" si="321"/>
        <v>274.77102414654451</v>
      </c>
      <c r="V1359" s="82">
        <v>0</v>
      </c>
      <c r="W1359" s="4">
        <v>2</v>
      </c>
      <c r="X1359" s="195">
        <f t="shared" si="322"/>
        <v>274.77102414654451</v>
      </c>
      <c r="Y1359" s="29" t="e">
        <f>IF(+VLOOKUP(I1359,P.Referencia!E:S,3,FALSE)&lt;=L1359,"Champion","Gerente")</f>
        <v>#N/A</v>
      </c>
      <c r="Z1359" s="30" t="e">
        <f>VLOOKUP(I1359,P.Referencia!E:S,3,0)</f>
        <v>#N/A</v>
      </c>
      <c r="AA1359" s="196" t="e">
        <f t="shared" si="323"/>
        <v>#N/A</v>
      </c>
      <c r="AB1359" s="197" t="e">
        <f t="shared" si="324"/>
        <v>#N/A</v>
      </c>
      <c r="AC1359" s="197" t="e">
        <f t="shared" si="325"/>
        <v>#N/A</v>
      </c>
    </row>
    <row r="1360" spans="1:30" hidden="1" x14ac:dyDescent="0.25">
      <c r="A1360" s="24">
        <v>1359</v>
      </c>
      <c r="B1360" s="89" t="s">
        <v>374</v>
      </c>
      <c r="C1360" s="4" t="str">
        <f t="shared" si="319"/>
        <v>LlaveDU0767365636100001122</v>
      </c>
      <c r="D1360" s="25" t="str">
        <f>VLOOKUP(E1360,'NO MODIFICAR'!J:K,2,0)</f>
        <v>DU07</v>
      </c>
      <c r="E1360" s="102" t="s">
        <v>87</v>
      </c>
      <c r="F1360" s="25" t="str">
        <f>VLOOKUP(D1360,'NO MODIFICAR'!F:H,3,0)</f>
        <v>SURESTE</v>
      </c>
      <c r="G1360" s="92">
        <v>67365636</v>
      </c>
      <c r="H1360" s="93" t="s">
        <v>1054</v>
      </c>
      <c r="I1360" s="94">
        <v>10000112</v>
      </c>
      <c r="J1360" s="4" t="str">
        <f>VLOOKUP(I1360,'Materiales,canteras'!C:D,2,0)</f>
        <v>Grava Triturada Caliza 13 mm -</v>
      </c>
      <c r="K1360" s="25">
        <f>VLOOKUP(I1360,'Materiales,canteras'!C:E,3,0)</f>
        <v>1.194</v>
      </c>
      <c r="L1360" s="105">
        <f>340/K1360</f>
        <v>284.75711892797324</v>
      </c>
      <c r="M1360" s="28" t="s">
        <v>93</v>
      </c>
      <c r="N1360" s="193">
        <f t="shared" ca="1" si="330"/>
        <v>46267</v>
      </c>
      <c r="O1360" s="24" t="s">
        <v>888</v>
      </c>
      <c r="P1360" s="4"/>
      <c r="Q1360" s="4"/>
      <c r="R1360" s="4"/>
      <c r="S1360" s="4">
        <v>336</v>
      </c>
      <c r="T1360" s="303">
        <f t="shared" si="320"/>
        <v>-51.242881072026762</v>
      </c>
      <c r="U1360" s="88">
        <f t="shared" si="321"/>
        <v>284.75711892797324</v>
      </c>
      <c r="V1360" s="82">
        <v>0</v>
      </c>
      <c r="W1360" s="4">
        <v>2</v>
      </c>
      <c r="X1360" s="195">
        <f t="shared" si="322"/>
        <v>284.75711892797324</v>
      </c>
      <c r="Y1360" s="29" t="e">
        <f>IF(+VLOOKUP(I1360,P.Referencia!E:S,3,FALSE)&lt;=L1360,"Champion","Gerente")</f>
        <v>#N/A</v>
      </c>
      <c r="Z1360" s="30" t="e">
        <f>VLOOKUP(I1360,P.Referencia!E:S,3,0)</f>
        <v>#N/A</v>
      </c>
      <c r="AA1360" s="196" t="e">
        <f t="shared" si="323"/>
        <v>#N/A</v>
      </c>
      <c r="AB1360" s="197" t="e">
        <f t="shared" si="324"/>
        <v>#N/A</v>
      </c>
      <c r="AC1360" s="197" t="e">
        <f t="shared" si="325"/>
        <v>#N/A</v>
      </c>
    </row>
    <row r="1361" spans="1:30" hidden="1" x14ac:dyDescent="0.25">
      <c r="A1361" s="24">
        <v>1360</v>
      </c>
      <c r="B1361" s="89" t="s">
        <v>374</v>
      </c>
      <c r="C1361" s="4" t="str">
        <f t="shared" si="319"/>
        <v>LlaveDU0767365636100001152</v>
      </c>
      <c r="D1361" s="25" t="str">
        <f>VLOOKUP(E1361,'NO MODIFICAR'!J:K,2,0)</f>
        <v>DU07</v>
      </c>
      <c r="E1361" s="102" t="s">
        <v>87</v>
      </c>
      <c r="F1361" s="25" t="str">
        <f>VLOOKUP(D1361,'NO MODIFICAR'!F:H,3,0)</f>
        <v>SURESTE</v>
      </c>
      <c r="G1361" s="92">
        <v>67365636</v>
      </c>
      <c r="H1361" s="93" t="s">
        <v>1054</v>
      </c>
      <c r="I1361" s="94">
        <v>10000115</v>
      </c>
      <c r="J1361" s="4" t="str">
        <f>VLOOKUP(I1361,'Materiales,canteras'!C:D,2,0)</f>
        <v>Grava Triturada Caliza 10 mm -</v>
      </c>
      <c r="K1361" s="25">
        <f>VLOOKUP(I1361,'Materiales,canteras'!C:E,3,0)</f>
        <v>1.1559999999999999</v>
      </c>
      <c r="L1361" s="105">
        <f>340/K1361</f>
        <v>294.11764705882354</v>
      </c>
      <c r="M1361" s="28" t="s">
        <v>93</v>
      </c>
      <c r="N1361" s="193">
        <f t="shared" ca="1" si="330"/>
        <v>46267</v>
      </c>
      <c r="O1361" s="24" t="s">
        <v>889</v>
      </c>
      <c r="P1361" s="4"/>
      <c r="Q1361" s="4"/>
      <c r="R1361" s="4"/>
      <c r="S1361" s="4">
        <v>336</v>
      </c>
      <c r="T1361" s="303">
        <f t="shared" si="320"/>
        <v>-41.882352941176464</v>
      </c>
      <c r="U1361" s="88">
        <f t="shared" si="321"/>
        <v>294.11764705882354</v>
      </c>
      <c r="V1361" s="82">
        <v>0</v>
      </c>
      <c r="W1361" s="4">
        <v>2</v>
      </c>
      <c r="X1361" s="195">
        <f t="shared" si="322"/>
        <v>294.11764705882354</v>
      </c>
      <c r="Y1361" s="29" t="e">
        <f>IF(+VLOOKUP(I1361,P.Referencia!E:S,3,FALSE)&lt;=L1361,"Champion","Gerente")</f>
        <v>#N/A</v>
      </c>
      <c r="Z1361" s="30" t="e">
        <f>VLOOKUP(I1361,P.Referencia!E:S,3,0)</f>
        <v>#N/A</v>
      </c>
      <c r="AA1361" s="196" t="e">
        <f t="shared" si="323"/>
        <v>#N/A</v>
      </c>
      <c r="AB1361" s="197" t="e">
        <f t="shared" si="324"/>
        <v>#N/A</v>
      </c>
      <c r="AC1361" s="197" t="e">
        <f t="shared" si="325"/>
        <v>#N/A</v>
      </c>
    </row>
    <row r="1362" spans="1:30" hidden="1" x14ac:dyDescent="0.25">
      <c r="A1362" s="24">
        <v>1361</v>
      </c>
      <c r="B1362" s="89" t="s">
        <v>374</v>
      </c>
      <c r="C1362" s="4" t="str">
        <f t="shared" si="319"/>
        <v>LlaveDU0767365637100001012</v>
      </c>
      <c r="D1362" s="25" t="str">
        <f>VLOOKUP(E1362,'NO MODIFICAR'!J:K,2,0)</f>
        <v>DU07</v>
      </c>
      <c r="E1362" s="102" t="s">
        <v>87</v>
      </c>
      <c r="F1362" s="25" t="str">
        <f>VLOOKUP(D1362,'NO MODIFICAR'!F:H,3,0)</f>
        <v>SURESTE</v>
      </c>
      <c r="G1362" s="92">
        <v>67365637</v>
      </c>
      <c r="H1362" s="93" t="s">
        <v>1055</v>
      </c>
      <c r="I1362" s="94">
        <v>10000101</v>
      </c>
      <c r="J1362" s="4" t="str">
        <f>VLOOKUP(I1362,'Materiales,canteras'!C:D,2,0)</f>
        <v>Arena Triturada Caliza Malla 4</v>
      </c>
      <c r="K1362" s="25">
        <f>VLOOKUP(I1362,'Materiales,canteras'!C:E,3,0)</f>
        <v>1.417</v>
      </c>
      <c r="L1362" s="105">
        <f>380/K1362</f>
        <v>268.17219477769936</v>
      </c>
      <c r="M1362" s="28" t="s">
        <v>93</v>
      </c>
      <c r="N1362" s="193">
        <f t="shared" ca="1" si="330"/>
        <v>46267</v>
      </c>
      <c r="O1362" s="24" t="s">
        <v>890</v>
      </c>
      <c r="P1362" s="4"/>
      <c r="Q1362" s="4"/>
      <c r="R1362" s="4"/>
      <c r="S1362" s="4">
        <v>420</v>
      </c>
      <c r="T1362" s="303">
        <f t="shared" si="320"/>
        <v>-151.82780522230064</v>
      </c>
      <c r="U1362" s="88">
        <f t="shared" si="321"/>
        <v>268.17219477769936</v>
      </c>
      <c r="V1362" s="82">
        <v>0</v>
      </c>
      <c r="W1362" s="4">
        <v>2</v>
      </c>
      <c r="X1362" s="195">
        <f t="shared" si="322"/>
        <v>268.17219477769936</v>
      </c>
      <c r="Y1362" s="29" t="e">
        <f>IF(+VLOOKUP(I1362,P.Referencia!E:S,3,FALSE)&lt;=L1362,"Champion","Gerente")</f>
        <v>#N/A</v>
      </c>
      <c r="Z1362" s="30" t="e">
        <f>VLOOKUP(I1362,P.Referencia!E:S,3,0)</f>
        <v>#N/A</v>
      </c>
      <c r="AA1362" s="196" t="e">
        <f t="shared" si="323"/>
        <v>#N/A</v>
      </c>
      <c r="AB1362" s="197" t="e">
        <f t="shared" si="324"/>
        <v>#N/A</v>
      </c>
      <c r="AC1362" s="197" t="e">
        <f t="shared" si="325"/>
        <v>#N/A</v>
      </c>
    </row>
    <row r="1363" spans="1:30" hidden="1" x14ac:dyDescent="0.25">
      <c r="A1363" s="24">
        <v>1362</v>
      </c>
      <c r="B1363" s="89" t="s">
        <v>374</v>
      </c>
      <c r="C1363" s="4" t="str">
        <f t="shared" si="319"/>
        <v>LlaveDU0767365637100001102</v>
      </c>
      <c r="D1363" s="25" t="str">
        <f>VLOOKUP(E1363,'NO MODIFICAR'!J:K,2,0)</f>
        <v>DU07</v>
      </c>
      <c r="E1363" s="102" t="s">
        <v>87</v>
      </c>
      <c r="F1363" s="25" t="str">
        <f>VLOOKUP(D1363,'NO MODIFICAR'!F:H,3,0)</f>
        <v>SURESTE</v>
      </c>
      <c r="G1363" s="92">
        <v>67365637</v>
      </c>
      <c r="H1363" s="93" t="s">
        <v>1055</v>
      </c>
      <c r="I1363" s="94">
        <v>10000110</v>
      </c>
      <c r="J1363" s="4" t="str">
        <f>VLOOKUP(I1363,'Materiales,canteras'!C:D,2,0)</f>
        <v>GRAVA TRITURADA CALIZA 20 MM “3/4"–INTEG</v>
      </c>
      <c r="K1363" s="25">
        <f>VLOOKUP(I1363,'Materiales,canteras'!C:E,3,0)</f>
        <v>1.2010000000000001</v>
      </c>
      <c r="L1363" s="105">
        <f>330/K1363</f>
        <v>274.77102414654451</v>
      </c>
      <c r="M1363" s="28" t="s">
        <v>93</v>
      </c>
      <c r="N1363" s="193">
        <f t="shared" ca="1" si="330"/>
        <v>46267</v>
      </c>
      <c r="O1363" s="24" t="s">
        <v>891</v>
      </c>
      <c r="P1363" s="4"/>
      <c r="Q1363" s="4"/>
      <c r="R1363" s="4"/>
      <c r="S1363" s="4">
        <v>410</v>
      </c>
      <c r="T1363" s="303">
        <f t="shared" si="320"/>
        <v>-135.22897585345549</v>
      </c>
      <c r="U1363" s="88">
        <f t="shared" si="321"/>
        <v>274.77102414654451</v>
      </c>
      <c r="V1363" s="82">
        <v>0</v>
      </c>
      <c r="W1363" s="4">
        <v>2</v>
      </c>
      <c r="X1363" s="195">
        <f t="shared" si="322"/>
        <v>274.77102414654451</v>
      </c>
      <c r="Y1363" s="29" t="e">
        <f>IF(+VLOOKUP(I1363,P.Referencia!E:S,3,FALSE)&lt;=L1363,"Champion","Gerente")</f>
        <v>#N/A</v>
      </c>
      <c r="Z1363" s="30" t="e">
        <f>VLOOKUP(I1363,P.Referencia!E:S,3,0)</f>
        <v>#N/A</v>
      </c>
      <c r="AA1363" s="196" t="e">
        <f t="shared" si="323"/>
        <v>#N/A</v>
      </c>
      <c r="AB1363" s="197" t="e">
        <f t="shared" si="324"/>
        <v>#N/A</v>
      </c>
      <c r="AC1363" s="197" t="e">
        <f t="shared" si="325"/>
        <v>#N/A</v>
      </c>
    </row>
    <row r="1364" spans="1:30" hidden="1" x14ac:dyDescent="0.25">
      <c r="A1364" s="24">
        <v>1363</v>
      </c>
      <c r="B1364" s="89" t="s">
        <v>374</v>
      </c>
      <c r="C1364" s="4" t="str">
        <f t="shared" si="319"/>
        <v>LlaveDU0767365637100001122</v>
      </c>
      <c r="D1364" s="25" t="str">
        <f>VLOOKUP(E1364,'NO MODIFICAR'!J:K,2,0)</f>
        <v>DU07</v>
      </c>
      <c r="E1364" s="102" t="s">
        <v>87</v>
      </c>
      <c r="F1364" s="25" t="str">
        <f>VLOOKUP(D1364,'NO MODIFICAR'!F:H,3,0)</f>
        <v>SURESTE</v>
      </c>
      <c r="G1364" s="92">
        <v>67365637</v>
      </c>
      <c r="H1364" s="93" t="s">
        <v>1055</v>
      </c>
      <c r="I1364" s="94">
        <v>10000112</v>
      </c>
      <c r="J1364" s="4" t="str">
        <f>VLOOKUP(I1364,'Materiales,canteras'!C:D,2,0)</f>
        <v>Grava Triturada Caliza 13 mm -</v>
      </c>
      <c r="K1364" s="25">
        <f>VLOOKUP(I1364,'Materiales,canteras'!C:E,3,0)</f>
        <v>1.194</v>
      </c>
      <c r="L1364" s="105">
        <f>340/K1364</f>
        <v>284.75711892797324</v>
      </c>
      <c r="M1364" s="28" t="s">
        <v>93</v>
      </c>
      <c r="N1364" s="193">
        <f t="shared" ca="1" si="330"/>
        <v>46267</v>
      </c>
      <c r="O1364" s="24" t="s">
        <v>892</v>
      </c>
      <c r="P1364" s="4"/>
      <c r="Q1364" s="4"/>
      <c r="R1364" s="4"/>
      <c r="S1364" s="4">
        <v>336</v>
      </c>
      <c r="T1364" s="303">
        <f t="shared" si="320"/>
        <v>-51.242881072026762</v>
      </c>
      <c r="U1364" s="88">
        <f t="shared" si="321"/>
        <v>284.75711892797324</v>
      </c>
      <c r="V1364" s="82">
        <v>0</v>
      </c>
      <c r="W1364" s="4">
        <v>2</v>
      </c>
      <c r="X1364" s="195">
        <f t="shared" si="322"/>
        <v>284.75711892797324</v>
      </c>
      <c r="Y1364" s="29" t="e">
        <f>IF(+VLOOKUP(I1364,P.Referencia!E:S,3,FALSE)&lt;=L1364,"Champion","Gerente")</f>
        <v>#N/A</v>
      </c>
      <c r="Z1364" s="30" t="e">
        <f>VLOOKUP(I1364,P.Referencia!E:S,3,0)</f>
        <v>#N/A</v>
      </c>
      <c r="AA1364" s="196" t="e">
        <f t="shared" si="323"/>
        <v>#N/A</v>
      </c>
      <c r="AB1364" s="197" t="e">
        <f t="shared" si="324"/>
        <v>#N/A</v>
      </c>
      <c r="AC1364" s="197" t="e">
        <f t="shared" si="325"/>
        <v>#N/A</v>
      </c>
    </row>
    <row r="1365" spans="1:30" hidden="1" x14ac:dyDescent="0.25">
      <c r="A1365" s="24">
        <v>1364</v>
      </c>
      <c r="B1365" s="89" t="s">
        <v>374</v>
      </c>
      <c r="C1365" s="4" t="str">
        <f t="shared" si="319"/>
        <v>LlaveDU0767365637100001152</v>
      </c>
      <c r="D1365" s="25" t="str">
        <f>VLOOKUP(E1365,'NO MODIFICAR'!J:K,2,0)</f>
        <v>DU07</v>
      </c>
      <c r="E1365" s="102" t="s">
        <v>87</v>
      </c>
      <c r="F1365" s="25" t="str">
        <f>VLOOKUP(D1365,'NO MODIFICAR'!F:H,3,0)</f>
        <v>SURESTE</v>
      </c>
      <c r="G1365" s="92">
        <v>67365637</v>
      </c>
      <c r="H1365" s="93" t="s">
        <v>1055</v>
      </c>
      <c r="I1365" s="94">
        <v>10000115</v>
      </c>
      <c r="J1365" s="4" t="str">
        <f>VLOOKUP(I1365,'Materiales,canteras'!C:D,2,0)</f>
        <v>Grava Triturada Caliza 10 mm -</v>
      </c>
      <c r="K1365" s="25">
        <f>VLOOKUP(I1365,'Materiales,canteras'!C:E,3,0)</f>
        <v>1.1559999999999999</v>
      </c>
      <c r="L1365" s="105">
        <f>340/K1365</f>
        <v>294.11764705882354</v>
      </c>
      <c r="M1365" s="28" t="s">
        <v>93</v>
      </c>
      <c r="N1365" s="193">
        <f t="shared" ca="1" si="330"/>
        <v>46267</v>
      </c>
      <c r="O1365" s="24" t="s">
        <v>893</v>
      </c>
      <c r="P1365" s="4"/>
      <c r="Q1365" s="4"/>
      <c r="R1365" s="4"/>
      <c r="S1365" s="4">
        <v>336</v>
      </c>
      <c r="T1365" s="303">
        <f t="shared" si="320"/>
        <v>-41.882352941176464</v>
      </c>
      <c r="U1365" s="88">
        <f t="shared" si="321"/>
        <v>294.11764705882354</v>
      </c>
      <c r="V1365" s="82">
        <v>0</v>
      </c>
      <c r="W1365" s="4">
        <v>2</v>
      </c>
      <c r="X1365" s="195">
        <f t="shared" si="322"/>
        <v>294.11764705882354</v>
      </c>
      <c r="Y1365" s="29" t="e">
        <f>IF(+VLOOKUP(I1365,P.Referencia!E:S,3,FALSE)&lt;=L1365,"Champion","Gerente")</f>
        <v>#N/A</v>
      </c>
      <c r="Z1365" s="30" t="e">
        <f>VLOOKUP(I1365,P.Referencia!E:S,3,0)</f>
        <v>#N/A</v>
      </c>
      <c r="AA1365" s="196" t="e">
        <f t="shared" si="323"/>
        <v>#N/A</v>
      </c>
      <c r="AB1365" s="197" t="e">
        <f t="shared" si="324"/>
        <v>#N/A</v>
      </c>
      <c r="AC1365" s="197" t="e">
        <f t="shared" si="325"/>
        <v>#N/A</v>
      </c>
    </row>
    <row r="1366" spans="1:30" hidden="1" x14ac:dyDescent="0.25">
      <c r="A1366" s="24">
        <v>1365</v>
      </c>
      <c r="B1366" s="89" t="s">
        <v>374</v>
      </c>
      <c r="C1366" s="4" t="str">
        <f t="shared" si="319"/>
        <v>LlaveD86465908426100010731</v>
      </c>
      <c r="D1366" s="25" t="str">
        <f>VLOOKUP(E1366,'NO MODIFICAR'!J:K,2,0)</f>
        <v>D864</v>
      </c>
      <c r="E1366" s="102" t="s">
        <v>55</v>
      </c>
      <c r="F1366" s="25" t="str">
        <f>VLOOKUP(D1366,'NO MODIFICAR'!F:H,3,0)</f>
        <v xml:space="preserve">CENTRO </v>
      </c>
      <c r="G1366" s="92">
        <v>65908426</v>
      </c>
      <c r="H1366" s="93" t="s">
        <v>1056</v>
      </c>
      <c r="I1366" s="94">
        <v>10001073</v>
      </c>
      <c r="J1366" s="4" t="str">
        <f>VLOOKUP(I1366,'Materiales,canteras'!C:D,2,0)</f>
        <v>Arena Triturada Caliza Malla 4</v>
      </c>
      <c r="K1366" s="25">
        <f>VLOOKUP(I1366,'Materiales,canteras'!C:E,3,0)</f>
        <v>1.56</v>
      </c>
      <c r="L1366" s="105"/>
      <c r="M1366" s="28" t="s">
        <v>93</v>
      </c>
      <c r="N1366" s="193">
        <f t="shared" ca="1" si="330"/>
        <v>46267</v>
      </c>
      <c r="O1366" s="24" t="s">
        <v>894</v>
      </c>
      <c r="P1366" s="4"/>
      <c r="Q1366" s="4"/>
      <c r="R1366" s="4"/>
      <c r="T1366" s="303">
        <f t="shared" si="320"/>
        <v>0</v>
      </c>
      <c r="U1366" s="88">
        <f t="shared" si="321"/>
        <v>0</v>
      </c>
      <c r="V1366" s="82">
        <v>118.96</v>
      </c>
      <c r="W1366" s="4">
        <v>1</v>
      </c>
      <c r="X1366" s="195">
        <f t="shared" si="322"/>
        <v>118.96</v>
      </c>
      <c r="Y1366" s="29" t="e">
        <f>IF(+VLOOKUP(I1366,P.Referencia!E:S,3,FALSE)&lt;=L1366,"Champion","Gerente")</f>
        <v>#N/A</v>
      </c>
      <c r="Z1366" s="30" t="e">
        <f>VLOOKUP(I1366,P.Referencia!E:S,3,0)</f>
        <v>#N/A</v>
      </c>
      <c r="AA1366" s="196" t="e">
        <f t="shared" si="323"/>
        <v>#N/A</v>
      </c>
      <c r="AB1366" s="197" t="e">
        <f t="shared" si="324"/>
        <v>#N/A</v>
      </c>
      <c r="AC1366" s="197" t="e">
        <f t="shared" si="325"/>
        <v>#N/A</v>
      </c>
      <c r="AD1366" t="s">
        <v>1060</v>
      </c>
    </row>
    <row r="1367" spans="1:30" hidden="1" x14ac:dyDescent="0.25">
      <c r="A1367" s="24">
        <v>1366</v>
      </c>
      <c r="B1367" s="89" t="s">
        <v>374</v>
      </c>
      <c r="C1367" s="4" t="str">
        <f t="shared" si="319"/>
        <v>LlaveD86466582580100002691</v>
      </c>
      <c r="D1367" s="25" t="str">
        <f>VLOOKUP(E1367,'NO MODIFICAR'!J:K,2,0)</f>
        <v>D864</v>
      </c>
      <c r="E1367" s="102" t="s">
        <v>55</v>
      </c>
      <c r="F1367" s="25" t="str">
        <f>VLOOKUP(D1367,'NO MODIFICAR'!F:H,3,0)</f>
        <v xml:space="preserve">CENTRO </v>
      </c>
      <c r="G1367" s="92">
        <v>66582580</v>
      </c>
      <c r="H1367" s="93" t="s">
        <v>1057</v>
      </c>
      <c r="I1367" s="94">
        <v>10000269</v>
      </c>
      <c r="J1367" s="4" t="str">
        <f>VLOOKUP(I1367,'Materiales,canteras'!C:D,2,0)</f>
        <v>Grava Triturada Caliza 13 mm -</v>
      </c>
      <c r="K1367" s="25">
        <f>VLOOKUP(I1367,'Materiales,canteras'!C:E,3,0)</f>
        <v>1.423</v>
      </c>
      <c r="L1367" s="105"/>
      <c r="M1367" s="28" t="s">
        <v>93</v>
      </c>
      <c r="N1367" s="193">
        <f t="shared" ca="1" si="330"/>
        <v>46267</v>
      </c>
      <c r="O1367" s="24" t="s">
        <v>895</v>
      </c>
      <c r="P1367" s="4"/>
      <c r="Q1367" s="4"/>
      <c r="R1367" s="4"/>
      <c r="T1367" s="303">
        <f t="shared" si="320"/>
        <v>0</v>
      </c>
      <c r="U1367" s="88">
        <f t="shared" si="321"/>
        <v>0</v>
      </c>
      <c r="V1367" s="82">
        <v>136.35</v>
      </c>
      <c r="W1367" s="4">
        <v>1</v>
      </c>
      <c r="X1367" s="195">
        <f t="shared" si="322"/>
        <v>136.35</v>
      </c>
      <c r="Y1367" s="29" t="e">
        <f>IF(+VLOOKUP(I1367,P.Referencia!E:S,3,FALSE)&lt;=L1367,"Champion","Gerente")</f>
        <v>#N/A</v>
      </c>
      <c r="Z1367" s="30" t="e">
        <f>VLOOKUP(I1367,P.Referencia!E:S,3,0)</f>
        <v>#N/A</v>
      </c>
      <c r="AA1367" s="196" t="e">
        <f t="shared" si="323"/>
        <v>#N/A</v>
      </c>
      <c r="AB1367" s="197" t="e">
        <f t="shared" si="324"/>
        <v>#N/A</v>
      </c>
      <c r="AC1367" s="197" t="e">
        <f t="shared" si="325"/>
        <v>#N/A</v>
      </c>
      <c r="AD1367" t="s">
        <v>1060</v>
      </c>
    </row>
    <row r="1368" spans="1:30" hidden="1" x14ac:dyDescent="0.25">
      <c r="A1368" s="24">
        <v>1367</v>
      </c>
      <c r="B1368" s="89" t="s">
        <v>374</v>
      </c>
      <c r="C1368" s="4" t="str">
        <f t="shared" si="319"/>
        <v>LlaveD86465908426100002361</v>
      </c>
      <c r="D1368" s="25" t="str">
        <f>VLOOKUP(E1368,'NO MODIFICAR'!J:K,2,0)</f>
        <v>D864</v>
      </c>
      <c r="E1368" s="102" t="s">
        <v>55</v>
      </c>
      <c r="F1368" s="25" t="str">
        <f>VLOOKUP(D1368,'NO MODIFICAR'!F:H,3,0)</f>
        <v xml:space="preserve">CENTRO </v>
      </c>
      <c r="G1368" s="92">
        <v>65908426</v>
      </c>
      <c r="H1368" s="93" t="s">
        <v>1056</v>
      </c>
      <c r="I1368" s="94">
        <v>10000236</v>
      </c>
      <c r="J1368" s="4" t="str">
        <f>VLOOKUP(I1368,'Materiales,canteras'!C:D,2,0)</f>
        <v>Grava Triturada Caliza 10 mm -</v>
      </c>
      <c r="K1368" s="25">
        <f>VLOOKUP(I1368,'Materiales,canteras'!C:E,3,0)</f>
        <v>1.41</v>
      </c>
      <c r="L1368" s="105"/>
      <c r="M1368" s="28" t="s">
        <v>93</v>
      </c>
      <c r="N1368" s="193">
        <f t="shared" ca="1" si="330"/>
        <v>46267</v>
      </c>
      <c r="O1368" s="24" t="s">
        <v>896</v>
      </c>
      <c r="P1368" s="4"/>
      <c r="Q1368" s="4"/>
      <c r="R1368" s="4"/>
      <c r="T1368" s="303">
        <f t="shared" si="320"/>
        <v>0</v>
      </c>
      <c r="U1368" s="88">
        <f t="shared" si="321"/>
        <v>0</v>
      </c>
      <c r="V1368" s="82">
        <v>131.63</v>
      </c>
      <c r="W1368" s="4">
        <v>1</v>
      </c>
      <c r="X1368" s="195">
        <f t="shared" si="322"/>
        <v>131.63</v>
      </c>
      <c r="Y1368" s="29" t="e">
        <f>IF(+VLOOKUP(I1368,P.Referencia!E:S,3,FALSE)&lt;=L1368,"Champion","Gerente")</f>
        <v>#N/A</v>
      </c>
      <c r="Z1368" s="30" t="e">
        <f>VLOOKUP(I1368,P.Referencia!E:S,3,0)</f>
        <v>#N/A</v>
      </c>
      <c r="AA1368" s="196" t="e">
        <f t="shared" si="323"/>
        <v>#N/A</v>
      </c>
      <c r="AB1368" s="197" t="e">
        <f t="shared" si="324"/>
        <v>#N/A</v>
      </c>
      <c r="AC1368" s="197" t="e">
        <f t="shared" si="325"/>
        <v>#N/A</v>
      </c>
      <c r="AD1368" t="s">
        <v>1060</v>
      </c>
    </row>
    <row r="1369" spans="1:30" hidden="1" x14ac:dyDescent="0.25">
      <c r="A1369" s="24">
        <v>1368</v>
      </c>
      <c r="B1369" s="89" t="s">
        <v>374</v>
      </c>
      <c r="C1369" s="4" t="str">
        <f t="shared" si="319"/>
        <v>LlaveD86465908426100002401</v>
      </c>
      <c r="D1369" s="25" t="str">
        <f>VLOOKUP(E1369,'NO MODIFICAR'!J:K,2,0)</f>
        <v>D864</v>
      </c>
      <c r="E1369" s="102" t="s">
        <v>55</v>
      </c>
      <c r="F1369" s="25" t="str">
        <f>VLOOKUP(D1369,'NO MODIFICAR'!F:H,3,0)</f>
        <v xml:space="preserve">CENTRO </v>
      </c>
      <c r="G1369" s="92">
        <v>65908426</v>
      </c>
      <c r="H1369" s="93" t="s">
        <v>1056</v>
      </c>
      <c r="I1369" s="94">
        <v>10000240</v>
      </c>
      <c r="J1369" s="4" t="str">
        <f>VLOOKUP(I1369,'Materiales,canteras'!C:D,2,0)</f>
        <v>Grava Triturada Caliza 20 mm -</v>
      </c>
      <c r="K1369" s="25">
        <f>VLOOKUP(I1369,'Materiales,canteras'!C:E,3,0)</f>
        <v>1.462</v>
      </c>
      <c r="L1369" s="105"/>
      <c r="M1369" s="28" t="s">
        <v>93</v>
      </c>
      <c r="N1369" s="193">
        <f t="shared" ca="1" si="330"/>
        <v>46267</v>
      </c>
      <c r="O1369" s="24" t="s">
        <v>897</v>
      </c>
      <c r="P1369" s="4"/>
      <c r="Q1369" s="4"/>
      <c r="R1369" s="4"/>
      <c r="T1369" s="303">
        <f t="shared" si="320"/>
        <v>0</v>
      </c>
      <c r="U1369" s="88">
        <f t="shared" si="321"/>
        <v>0</v>
      </c>
      <c r="V1369" s="82">
        <v>126.95</v>
      </c>
      <c r="W1369" s="4">
        <v>1</v>
      </c>
      <c r="X1369" s="195">
        <f t="shared" si="322"/>
        <v>126.95</v>
      </c>
      <c r="Y1369" s="29" t="e">
        <f>IF(+VLOOKUP(I1369,P.Referencia!E:S,3,FALSE)&lt;=L1369,"Champion","Gerente")</f>
        <v>#N/A</v>
      </c>
      <c r="Z1369" s="30" t="e">
        <f>VLOOKUP(I1369,P.Referencia!E:S,3,0)</f>
        <v>#N/A</v>
      </c>
      <c r="AA1369" s="196" t="e">
        <f t="shared" si="323"/>
        <v>#N/A</v>
      </c>
      <c r="AB1369" s="197" t="e">
        <f t="shared" si="324"/>
        <v>#N/A</v>
      </c>
      <c r="AC1369" s="197" t="e">
        <f t="shared" si="325"/>
        <v>#N/A</v>
      </c>
      <c r="AD1369" t="s">
        <v>1060</v>
      </c>
    </row>
    <row r="1370" spans="1:30" hidden="1" x14ac:dyDescent="0.25">
      <c r="A1370" s="24">
        <v>1369</v>
      </c>
      <c r="B1370" s="89" t="s">
        <v>374</v>
      </c>
      <c r="C1370" s="4" t="str">
        <f t="shared" si="319"/>
        <v>LlaveD86466582580100010731</v>
      </c>
      <c r="D1370" s="25" t="str">
        <f>VLOOKUP(E1370,'NO MODIFICAR'!J:K,2,0)</f>
        <v>D864</v>
      </c>
      <c r="E1370" s="102" t="s">
        <v>55</v>
      </c>
      <c r="F1370" s="25" t="str">
        <f>VLOOKUP(D1370,'NO MODIFICAR'!F:H,3,0)</f>
        <v xml:space="preserve">CENTRO </v>
      </c>
      <c r="G1370" s="92">
        <v>66582580</v>
      </c>
      <c r="H1370" s="93" t="s">
        <v>1057</v>
      </c>
      <c r="I1370" s="94">
        <v>10001073</v>
      </c>
      <c r="J1370" s="4" t="str">
        <f>VLOOKUP(I1370,'Materiales,canteras'!C:D,2,0)</f>
        <v>Arena Triturada Caliza Malla 4</v>
      </c>
      <c r="K1370" s="25">
        <f>VLOOKUP(I1370,'Materiales,canteras'!C:E,3,0)</f>
        <v>1.56</v>
      </c>
      <c r="L1370" s="105"/>
      <c r="M1370" s="28" t="s">
        <v>93</v>
      </c>
      <c r="N1370" s="193">
        <f t="shared" ca="1" si="330"/>
        <v>46267</v>
      </c>
      <c r="O1370" s="24" t="s">
        <v>898</v>
      </c>
      <c r="P1370" s="4"/>
      <c r="Q1370" s="4"/>
      <c r="R1370" s="4"/>
      <c r="T1370" s="303">
        <f t="shared" si="320"/>
        <v>0</v>
      </c>
      <c r="U1370" s="88">
        <f t="shared" si="321"/>
        <v>0</v>
      </c>
      <c r="V1370" s="82">
        <v>124.37</v>
      </c>
      <c r="W1370" s="4">
        <v>1</v>
      </c>
      <c r="X1370" s="195">
        <f t="shared" si="322"/>
        <v>124.37</v>
      </c>
      <c r="Y1370" s="29" t="e">
        <f>IF(+VLOOKUP(I1370,P.Referencia!E:S,3,FALSE)&lt;=L1370,"Champion","Gerente")</f>
        <v>#N/A</v>
      </c>
      <c r="Z1370" s="30" t="e">
        <f>VLOOKUP(I1370,P.Referencia!E:S,3,0)</f>
        <v>#N/A</v>
      </c>
      <c r="AA1370" s="196" t="e">
        <f t="shared" si="323"/>
        <v>#N/A</v>
      </c>
      <c r="AB1370" s="197" t="e">
        <f t="shared" si="324"/>
        <v>#N/A</v>
      </c>
      <c r="AC1370" s="197" t="e">
        <f t="shared" si="325"/>
        <v>#N/A</v>
      </c>
      <c r="AD1370" t="s">
        <v>1060</v>
      </c>
    </row>
    <row r="1371" spans="1:30" hidden="1" x14ac:dyDescent="0.25">
      <c r="A1371" s="24">
        <v>1370</v>
      </c>
      <c r="B1371" s="89" t="s">
        <v>374</v>
      </c>
      <c r="C1371" s="4" t="str">
        <f t="shared" si="319"/>
        <v>LlaveD86465908426100010741</v>
      </c>
      <c r="D1371" s="25" t="str">
        <f>VLOOKUP(E1371,'NO MODIFICAR'!J:K,2,0)</f>
        <v>D864</v>
      </c>
      <c r="E1371" s="102" t="s">
        <v>55</v>
      </c>
      <c r="F1371" s="25" t="str">
        <f>VLOOKUP(D1371,'NO MODIFICAR'!F:H,3,0)</f>
        <v xml:space="preserve">CENTRO </v>
      </c>
      <c r="G1371" s="92">
        <v>65908426</v>
      </c>
      <c r="H1371" s="93" t="s">
        <v>1056</v>
      </c>
      <c r="I1371" s="94">
        <v>10001074</v>
      </c>
      <c r="J1371" s="4" t="str">
        <f>VLOOKUP(I1371,'Materiales,canteras'!C:D,2,0)</f>
        <v>Grava Triturada Caliza 40 mm -</v>
      </c>
      <c r="K1371" s="25">
        <f>VLOOKUP(I1371,'Materiales,canteras'!C:E,3,0)</f>
        <v>1.4</v>
      </c>
      <c r="L1371" s="105"/>
      <c r="M1371" s="28" t="s">
        <v>93</v>
      </c>
      <c r="N1371" s="193">
        <f t="shared" ca="1" si="330"/>
        <v>46267</v>
      </c>
      <c r="O1371" s="24" t="s">
        <v>899</v>
      </c>
      <c r="P1371" s="4"/>
      <c r="Q1371" s="4"/>
      <c r="R1371" s="4"/>
      <c r="T1371" s="303">
        <f t="shared" si="320"/>
        <v>0</v>
      </c>
      <c r="U1371" s="88">
        <f t="shared" si="321"/>
        <v>0</v>
      </c>
      <c r="V1371" s="82">
        <v>132.56</v>
      </c>
      <c r="W1371" s="4">
        <v>1</v>
      </c>
      <c r="X1371" s="195">
        <f t="shared" si="322"/>
        <v>132.56</v>
      </c>
      <c r="Y1371" s="29" t="e">
        <f>IF(+VLOOKUP(I1371,P.Referencia!E:S,3,FALSE)&lt;=L1371,"Champion","Gerente")</f>
        <v>#N/A</v>
      </c>
      <c r="Z1371" s="30" t="e">
        <f>VLOOKUP(I1371,P.Referencia!E:S,3,0)</f>
        <v>#N/A</v>
      </c>
      <c r="AA1371" s="196" t="e">
        <f t="shared" si="323"/>
        <v>#N/A</v>
      </c>
      <c r="AB1371" s="197" t="e">
        <f t="shared" si="324"/>
        <v>#N/A</v>
      </c>
      <c r="AC1371" s="197" t="e">
        <f t="shared" si="325"/>
        <v>#N/A</v>
      </c>
      <c r="AD1371" t="s">
        <v>1060</v>
      </c>
    </row>
    <row r="1372" spans="1:30" hidden="1" x14ac:dyDescent="0.25">
      <c r="A1372" s="24">
        <v>1371</v>
      </c>
      <c r="B1372" s="89" t="s">
        <v>374</v>
      </c>
      <c r="C1372" s="4" t="str">
        <f t="shared" si="319"/>
        <v>LlaveD86465908426100002691</v>
      </c>
      <c r="D1372" s="25" t="str">
        <f>VLOOKUP(E1372,'NO MODIFICAR'!J:K,2,0)</f>
        <v>D864</v>
      </c>
      <c r="E1372" s="102" t="s">
        <v>55</v>
      </c>
      <c r="F1372" s="25" t="str">
        <f>VLOOKUP(D1372,'NO MODIFICAR'!F:H,3,0)</f>
        <v xml:space="preserve">CENTRO </v>
      </c>
      <c r="G1372" s="92">
        <v>65908426</v>
      </c>
      <c r="H1372" s="93" t="s">
        <v>1056</v>
      </c>
      <c r="I1372" s="94">
        <v>10000269</v>
      </c>
      <c r="J1372" s="4" t="str">
        <f>VLOOKUP(I1372,'Materiales,canteras'!C:D,2,0)</f>
        <v>Grava Triturada Caliza 13 mm -</v>
      </c>
      <c r="K1372" s="25">
        <f>VLOOKUP(I1372,'Materiales,canteras'!C:E,3,0)</f>
        <v>1.423</v>
      </c>
      <c r="L1372" s="105"/>
      <c r="M1372" s="28" t="s">
        <v>93</v>
      </c>
      <c r="N1372" s="193">
        <f t="shared" ca="1" si="330"/>
        <v>46267</v>
      </c>
      <c r="O1372" s="24" t="s">
        <v>900</v>
      </c>
      <c r="P1372" s="4"/>
      <c r="Q1372" s="4"/>
      <c r="R1372" s="4"/>
      <c r="T1372" s="303">
        <f t="shared" si="320"/>
        <v>0</v>
      </c>
      <c r="U1372" s="88">
        <f t="shared" si="321"/>
        <v>0</v>
      </c>
      <c r="V1372" s="82">
        <v>130.41999999999999</v>
      </c>
      <c r="W1372" s="4">
        <v>1</v>
      </c>
      <c r="X1372" s="195">
        <f t="shared" si="322"/>
        <v>130.41999999999999</v>
      </c>
      <c r="Y1372" s="29" t="e">
        <f>IF(+VLOOKUP(I1372,P.Referencia!E:S,3,FALSE)&lt;=L1372,"Champion","Gerente")</f>
        <v>#N/A</v>
      </c>
      <c r="Z1372" s="30" t="e">
        <f>VLOOKUP(I1372,P.Referencia!E:S,3,0)</f>
        <v>#N/A</v>
      </c>
      <c r="AA1372" s="196" t="e">
        <f t="shared" si="323"/>
        <v>#N/A</v>
      </c>
      <c r="AB1372" s="197" t="e">
        <f t="shared" si="324"/>
        <v>#N/A</v>
      </c>
      <c r="AC1372" s="197" t="e">
        <f t="shared" si="325"/>
        <v>#N/A</v>
      </c>
      <c r="AD1372" t="s">
        <v>1060</v>
      </c>
    </row>
    <row r="1373" spans="1:30" hidden="1" x14ac:dyDescent="0.25">
      <c r="A1373" s="24">
        <v>1372</v>
      </c>
      <c r="B1373" s="89" t="s">
        <v>374</v>
      </c>
      <c r="C1373" s="4" t="str">
        <f t="shared" ref="C1373:C1436" si="332">_xlfn.CONCAT($C$1,D1373,G1373,I1373,W1373)</f>
        <v>LlaveD86466779276100002401</v>
      </c>
      <c r="D1373" s="25" t="str">
        <f>VLOOKUP(E1373,'NO MODIFICAR'!J:K,2,0)</f>
        <v>D864</v>
      </c>
      <c r="E1373" s="102" t="s">
        <v>55</v>
      </c>
      <c r="F1373" s="25" t="str">
        <f>VLOOKUP(D1373,'NO MODIFICAR'!F:H,3,0)</f>
        <v xml:space="preserve">CENTRO </v>
      </c>
      <c r="G1373" s="92">
        <v>66779276</v>
      </c>
      <c r="H1373" s="93" t="s">
        <v>1058</v>
      </c>
      <c r="I1373" s="94">
        <v>10000240</v>
      </c>
      <c r="J1373" s="4" t="str">
        <f>VLOOKUP(I1373,'Materiales,canteras'!C:D,2,0)</f>
        <v>Grava Triturada Caliza 20 mm -</v>
      </c>
      <c r="K1373" s="25">
        <f>VLOOKUP(I1373,'Materiales,canteras'!C:E,3,0)</f>
        <v>1.462</v>
      </c>
      <c r="L1373" s="105"/>
      <c r="M1373" s="28" t="s">
        <v>93</v>
      </c>
      <c r="N1373" s="193">
        <f t="shared" ca="1" si="330"/>
        <v>46267</v>
      </c>
      <c r="O1373" s="24" t="s">
        <v>901</v>
      </c>
      <c r="P1373" s="4"/>
      <c r="Q1373" s="4"/>
      <c r="R1373" s="4"/>
      <c r="T1373" s="303">
        <f t="shared" ref="T1373:T1436" si="333">L1373-((S1373-P1373)-(Q1373)-(R1373))</f>
        <v>0</v>
      </c>
      <c r="U1373" s="88">
        <f t="shared" ref="U1373:U1436" si="334">L1373</f>
        <v>0</v>
      </c>
      <c r="V1373" s="82">
        <v>485.06</v>
      </c>
      <c r="W1373" s="4">
        <v>1</v>
      </c>
      <c r="X1373" s="195">
        <f t="shared" ref="X1373:X1436" si="335">U1373+V1373</f>
        <v>485.06</v>
      </c>
      <c r="Y1373" s="29" t="e">
        <f>IF(+VLOOKUP(I1373,P.Referencia!E:S,3,FALSE)&lt;=L1373,"Champion","Gerente")</f>
        <v>#N/A</v>
      </c>
      <c r="Z1373" s="30" t="e">
        <f>VLOOKUP(I1373,P.Referencia!E:S,3,0)</f>
        <v>#N/A</v>
      </c>
      <c r="AA1373" s="196" t="e">
        <f t="shared" ref="AA1373:AA1436" si="336">(Z1373-U1373)/U1373</f>
        <v>#N/A</v>
      </c>
      <c r="AB1373" s="197" t="e">
        <f t="shared" ref="AB1373:AB1436" si="337">U1373*AA1373</f>
        <v>#N/A</v>
      </c>
      <c r="AC1373" s="197" t="e">
        <f t="shared" ref="AC1373:AC1436" si="338">U1373+AB1373</f>
        <v>#N/A</v>
      </c>
      <c r="AD1373" t="s">
        <v>1060</v>
      </c>
    </row>
    <row r="1374" spans="1:30" hidden="1" x14ac:dyDescent="0.25">
      <c r="A1374" s="24">
        <v>1373</v>
      </c>
      <c r="B1374" s="89" t="s">
        <v>374</v>
      </c>
      <c r="C1374" s="4" t="str">
        <f t="shared" si="332"/>
        <v>LlaveD86467297259100012031</v>
      </c>
      <c r="D1374" s="25" t="str">
        <f>VLOOKUP(E1374,'NO MODIFICAR'!J:K,2,0)</f>
        <v>D864</v>
      </c>
      <c r="E1374" s="102" t="s">
        <v>55</v>
      </c>
      <c r="F1374" s="25" t="str">
        <f>VLOOKUP(D1374,'NO MODIFICAR'!F:H,3,0)</f>
        <v xml:space="preserve">CENTRO </v>
      </c>
      <c r="G1374" s="92">
        <v>67297259</v>
      </c>
      <c r="H1374" s="93" t="s">
        <v>1059</v>
      </c>
      <c r="I1374" s="94">
        <v>10001203</v>
      </c>
      <c r="J1374" s="4" t="str">
        <f>VLOOKUP(I1374,'Materiales,canteras'!C:D,2,0)</f>
        <v>Desperdicio Triturado Caliza</v>
      </c>
      <c r="K1374" s="25">
        <f>VLOOKUP(I1374,'Materiales,canteras'!C:E,3,0)</f>
        <v>1.665</v>
      </c>
      <c r="L1374" s="105"/>
      <c r="M1374" s="28" t="s">
        <v>93</v>
      </c>
      <c r="N1374" s="193">
        <f t="shared" ca="1" si="330"/>
        <v>46267</v>
      </c>
      <c r="O1374" s="24" t="s">
        <v>902</v>
      </c>
      <c r="P1374" s="4"/>
      <c r="Q1374" s="4"/>
      <c r="R1374" s="4"/>
      <c r="T1374" s="303">
        <f t="shared" si="333"/>
        <v>0</v>
      </c>
      <c r="U1374" s="88">
        <f t="shared" si="334"/>
        <v>0</v>
      </c>
      <c r="V1374" s="82">
        <v>189.81</v>
      </c>
      <c r="W1374" s="4">
        <v>1</v>
      </c>
      <c r="X1374" s="195">
        <f t="shared" si="335"/>
        <v>189.81</v>
      </c>
      <c r="Y1374" s="29" t="e">
        <f>IF(+VLOOKUP(I1374,P.Referencia!E:S,3,FALSE)&lt;=L1374,"Champion","Gerente")</f>
        <v>#N/A</v>
      </c>
      <c r="Z1374" s="30" t="e">
        <f>VLOOKUP(I1374,P.Referencia!E:S,3,0)</f>
        <v>#N/A</v>
      </c>
      <c r="AA1374" s="196" t="e">
        <f t="shared" si="336"/>
        <v>#N/A</v>
      </c>
      <c r="AB1374" s="197" t="e">
        <f t="shared" si="337"/>
        <v>#N/A</v>
      </c>
      <c r="AC1374" s="197" t="e">
        <f t="shared" si="338"/>
        <v>#N/A</v>
      </c>
      <c r="AD1374" t="s">
        <v>1060</v>
      </c>
    </row>
    <row r="1375" spans="1:30" hidden="1" x14ac:dyDescent="0.25">
      <c r="A1375" s="24">
        <v>1374</v>
      </c>
      <c r="B1375" s="89" t="s">
        <v>374</v>
      </c>
      <c r="C1375" s="4" t="str">
        <f t="shared" si="332"/>
        <v>LlaveD86167382907100003112</v>
      </c>
      <c r="D1375" s="25" t="str">
        <f>VLOOKUP(E1375,'NO MODIFICAR'!J:K,2,0)</f>
        <v>D861</v>
      </c>
      <c r="E1375" s="102" t="s">
        <v>44</v>
      </c>
      <c r="F1375" s="25" t="str">
        <f>VLOOKUP(D1375,'NO MODIFICAR'!F:H,3,0)</f>
        <v xml:space="preserve">CENTRO </v>
      </c>
      <c r="G1375" s="92">
        <v>67382907</v>
      </c>
      <c r="H1375" s="93" t="s">
        <v>1061</v>
      </c>
      <c r="I1375" s="94">
        <v>10000311</v>
      </c>
      <c r="J1375" s="4" t="str">
        <f>VLOOKUP(I1375,'Materiales,canteras'!C:D,2,0)</f>
        <v>Arena Triturada Basalto  Malla</v>
      </c>
      <c r="K1375" s="25">
        <f>VLOOKUP(I1375,'Materiales,canteras'!C:E,3,0)</f>
        <v>1.651</v>
      </c>
      <c r="L1375" s="105">
        <v>240</v>
      </c>
      <c r="M1375" s="28" t="s">
        <v>93</v>
      </c>
      <c r="N1375" s="193">
        <f t="shared" ca="1" si="330"/>
        <v>46267</v>
      </c>
      <c r="O1375" s="24" t="s">
        <v>903</v>
      </c>
      <c r="P1375" s="4"/>
      <c r="Q1375" s="4"/>
      <c r="R1375" s="4">
        <v>4.29</v>
      </c>
      <c r="S1375" s="4">
        <v>286</v>
      </c>
      <c r="T1375" s="303">
        <f t="shared" si="333"/>
        <v>-41.70999999999998</v>
      </c>
      <c r="U1375" s="88">
        <f t="shared" si="334"/>
        <v>240</v>
      </c>
      <c r="V1375" s="82">
        <v>0</v>
      </c>
      <c r="W1375" s="4">
        <v>2</v>
      </c>
      <c r="X1375" s="195">
        <f t="shared" si="335"/>
        <v>240</v>
      </c>
      <c r="Y1375" s="29" t="e">
        <f>IF(+VLOOKUP(I1375,P.Referencia!E:S,3,FALSE)&lt;=L1375,"Champion","Gerente")</f>
        <v>#N/A</v>
      </c>
      <c r="Z1375" s="30" t="e">
        <f>VLOOKUP(I1375,P.Referencia!E:S,3,0)</f>
        <v>#N/A</v>
      </c>
      <c r="AA1375" s="196" t="e">
        <f t="shared" si="336"/>
        <v>#N/A</v>
      </c>
      <c r="AB1375" s="197" t="e">
        <f t="shared" si="337"/>
        <v>#N/A</v>
      </c>
      <c r="AC1375" s="197" t="e">
        <f t="shared" si="338"/>
        <v>#N/A</v>
      </c>
    </row>
    <row r="1376" spans="1:30" hidden="1" x14ac:dyDescent="0.25">
      <c r="A1376" s="24">
        <v>1375</v>
      </c>
      <c r="B1376" s="89" t="s">
        <v>374</v>
      </c>
      <c r="C1376" s="4" t="str">
        <f t="shared" si="332"/>
        <v>LlaveD81667382107102690422</v>
      </c>
      <c r="D1376" s="25" t="str">
        <f>VLOOKUP(E1376,'NO MODIFICAR'!J:K,2,0)</f>
        <v>D816</v>
      </c>
      <c r="E1376" s="102" t="s">
        <v>15</v>
      </c>
      <c r="F1376" s="25" t="str">
        <f>VLOOKUP(D1376,'NO MODIFICAR'!F:H,3,0)</f>
        <v>NORESTE</v>
      </c>
      <c r="G1376" s="92">
        <v>67382107</v>
      </c>
      <c r="H1376" s="93" t="s">
        <v>1045</v>
      </c>
      <c r="I1376" s="94">
        <v>10269042</v>
      </c>
      <c r="J1376" s="4" t="str">
        <f>VLOOKUP(I1376,'Materiales,canteras'!C:D,2,0)</f>
        <v>NO CLASIFICADO BALASTO B9</v>
      </c>
      <c r="K1376" s="25">
        <f>VLOOKUP(I1376,'Materiales,canteras'!C:E,3,0)</f>
        <v>1.456</v>
      </c>
      <c r="L1376" s="105">
        <v>150</v>
      </c>
      <c r="M1376" s="28" t="s">
        <v>93</v>
      </c>
      <c r="N1376" s="193">
        <f t="shared" ca="1" si="330"/>
        <v>46267</v>
      </c>
      <c r="O1376" s="24" t="s">
        <v>904</v>
      </c>
      <c r="P1376" s="4"/>
      <c r="Q1376" s="4"/>
      <c r="R1376" s="4">
        <v>4.58</v>
      </c>
      <c r="S1376" s="4">
        <v>305</v>
      </c>
      <c r="T1376" s="303">
        <f t="shared" si="333"/>
        <v>-150.42000000000002</v>
      </c>
      <c r="U1376" s="88">
        <f t="shared" si="334"/>
        <v>150</v>
      </c>
      <c r="V1376" s="82">
        <v>0</v>
      </c>
      <c r="W1376" s="4">
        <v>2</v>
      </c>
      <c r="X1376" s="195">
        <f t="shared" si="335"/>
        <v>150</v>
      </c>
      <c r="Y1376" s="29" t="e">
        <f>IF(+VLOOKUP(I1376,P.Referencia!E:S,3,FALSE)&lt;=L1376,"Champion","Gerente")</f>
        <v>#N/A</v>
      </c>
      <c r="Z1376" s="30" t="e">
        <f>VLOOKUP(I1376,P.Referencia!E:S,3,0)</f>
        <v>#N/A</v>
      </c>
      <c r="AA1376" s="196" t="e">
        <f t="shared" si="336"/>
        <v>#N/A</v>
      </c>
      <c r="AB1376" s="197" t="e">
        <f t="shared" si="337"/>
        <v>#N/A</v>
      </c>
      <c r="AC1376" s="197" t="e">
        <f t="shared" si="338"/>
        <v>#N/A</v>
      </c>
    </row>
    <row r="1377" spans="1:29" hidden="1" x14ac:dyDescent="0.25">
      <c r="A1377" s="24">
        <v>1376</v>
      </c>
      <c r="B1377" s="89" t="s">
        <v>374</v>
      </c>
      <c r="C1377" s="4" t="str">
        <f t="shared" si="332"/>
        <v>LlaveD86467345008100002362</v>
      </c>
      <c r="D1377" s="25" t="str">
        <f>VLOOKUP(E1377,'NO MODIFICAR'!J:K,2,0)</f>
        <v>D864</v>
      </c>
      <c r="E1377" s="102" t="s">
        <v>55</v>
      </c>
      <c r="F1377" s="25" t="str">
        <f>VLOOKUP(D1377,'NO MODIFICAR'!F:H,3,0)</f>
        <v xml:space="preserve">CENTRO </v>
      </c>
      <c r="G1377" s="92">
        <v>67345008</v>
      </c>
      <c r="H1377" s="93" t="s">
        <v>338</v>
      </c>
      <c r="I1377" s="94">
        <v>10000236</v>
      </c>
      <c r="J1377" s="4" t="str">
        <f>VLOOKUP(I1377,'Materiales,canteras'!C:D,2,0)</f>
        <v>Grava Triturada Caliza 10 mm -</v>
      </c>
      <c r="K1377" s="25">
        <f>VLOOKUP(I1377,'Materiales,canteras'!C:E,3,0)</f>
        <v>1.41</v>
      </c>
      <c r="L1377" s="105">
        <v>130</v>
      </c>
      <c r="M1377" s="28" t="s">
        <v>93</v>
      </c>
      <c r="N1377" s="193">
        <f t="shared" ca="1" si="330"/>
        <v>46267</v>
      </c>
      <c r="O1377" s="24" t="s">
        <v>905</v>
      </c>
      <c r="P1377" s="4"/>
      <c r="Q1377" s="4"/>
      <c r="R1377" s="4">
        <v>3.78</v>
      </c>
      <c r="S1377" s="4">
        <v>252</v>
      </c>
      <c r="T1377" s="303">
        <f t="shared" si="333"/>
        <v>-118.22</v>
      </c>
      <c r="U1377" s="88">
        <f t="shared" si="334"/>
        <v>130</v>
      </c>
      <c r="V1377" s="82">
        <v>0</v>
      </c>
      <c r="W1377" s="4">
        <v>2</v>
      </c>
      <c r="X1377" s="195">
        <f t="shared" si="335"/>
        <v>130</v>
      </c>
      <c r="Y1377" s="29" t="e">
        <f>IF(+VLOOKUP(I1377,P.Referencia!E:S,3,FALSE)&lt;=L1377,"Champion","Gerente")</f>
        <v>#N/A</v>
      </c>
      <c r="Z1377" s="30" t="e">
        <f>VLOOKUP(I1377,P.Referencia!E:S,3,0)</f>
        <v>#N/A</v>
      </c>
      <c r="AA1377" s="196" t="e">
        <f t="shared" si="336"/>
        <v>#N/A</v>
      </c>
      <c r="AB1377" s="197" t="e">
        <f t="shared" si="337"/>
        <v>#N/A</v>
      </c>
      <c r="AC1377" s="197" t="e">
        <f t="shared" si="338"/>
        <v>#N/A</v>
      </c>
    </row>
    <row r="1378" spans="1:29" hidden="1" x14ac:dyDescent="0.25">
      <c r="A1378" s="24">
        <v>1377</v>
      </c>
      <c r="B1378" s="89" t="s">
        <v>374</v>
      </c>
      <c r="C1378" s="4" t="str">
        <f t="shared" si="332"/>
        <v>LlaveD86167383447100002312</v>
      </c>
      <c r="D1378" s="25" t="str">
        <f>VLOOKUP(E1378,'NO MODIFICAR'!J:K,2,0)</f>
        <v>D861</v>
      </c>
      <c r="E1378" s="102" t="s">
        <v>44</v>
      </c>
      <c r="F1378" s="25" t="str">
        <f>VLOOKUP(D1378,'NO MODIFICAR'!F:H,3,0)</f>
        <v xml:space="preserve">CENTRO </v>
      </c>
      <c r="G1378" s="92">
        <v>67383447</v>
      </c>
      <c r="H1378" s="93" t="s">
        <v>1062</v>
      </c>
      <c r="I1378" s="94">
        <v>10000231</v>
      </c>
      <c r="J1378" s="4" t="str">
        <f>VLOOKUP(I1378,'Materiales,canteras'!C:D,2,0)</f>
        <v>Grava Triturada Basalto 20 mm</v>
      </c>
      <c r="K1378" s="25">
        <f>VLOOKUP(I1378,'Materiales,canteras'!C:E,3,0)</f>
        <v>1.5649999999999999</v>
      </c>
      <c r="L1378" s="105">
        <v>225</v>
      </c>
      <c r="M1378" s="28" t="s">
        <v>93</v>
      </c>
      <c r="N1378" s="193">
        <f t="shared" ca="1" si="330"/>
        <v>46267</v>
      </c>
      <c r="O1378" s="24" t="s">
        <v>906</v>
      </c>
      <c r="P1378" s="4"/>
      <c r="Q1378" s="4"/>
      <c r="R1378" s="4">
        <v>4.62</v>
      </c>
      <c r="S1378" s="4">
        <v>308</v>
      </c>
      <c r="T1378" s="303">
        <f t="shared" si="333"/>
        <v>-78.38</v>
      </c>
      <c r="U1378" s="88">
        <f t="shared" si="334"/>
        <v>225</v>
      </c>
      <c r="V1378" s="82">
        <v>0</v>
      </c>
      <c r="W1378" s="4">
        <v>2</v>
      </c>
      <c r="X1378" s="195">
        <f t="shared" si="335"/>
        <v>225</v>
      </c>
      <c r="Y1378" s="29" t="e">
        <f>IF(+VLOOKUP(I1378,P.Referencia!E:S,3,FALSE)&lt;=L1378,"Champion","Gerente")</f>
        <v>#N/A</v>
      </c>
      <c r="Z1378" s="30" t="e">
        <f>VLOOKUP(I1378,P.Referencia!E:S,3,0)</f>
        <v>#N/A</v>
      </c>
      <c r="AA1378" s="196" t="e">
        <f t="shared" si="336"/>
        <v>#N/A</v>
      </c>
      <c r="AB1378" s="197" t="e">
        <f t="shared" si="337"/>
        <v>#N/A</v>
      </c>
      <c r="AC1378" s="197" t="e">
        <f t="shared" si="338"/>
        <v>#N/A</v>
      </c>
    </row>
    <row r="1379" spans="1:29" hidden="1" x14ac:dyDescent="0.25">
      <c r="A1379" s="24">
        <v>1378</v>
      </c>
      <c r="B1379" s="89" t="s">
        <v>374</v>
      </c>
      <c r="C1379" s="4" t="str">
        <f t="shared" si="332"/>
        <v>LlaveD86167383447100003112</v>
      </c>
      <c r="D1379" s="25" t="str">
        <f>VLOOKUP(E1379,'NO MODIFICAR'!J:K,2,0)</f>
        <v>D861</v>
      </c>
      <c r="E1379" s="102" t="s">
        <v>44</v>
      </c>
      <c r="F1379" s="25" t="str">
        <f>VLOOKUP(D1379,'NO MODIFICAR'!F:H,3,0)</f>
        <v xml:space="preserve">CENTRO </v>
      </c>
      <c r="G1379" s="92">
        <v>67383447</v>
      </c>
      <c r="H1379" s="93" t="s">
        <v>1062</v>
      </c>
      <c r="I1379" s="94">
        <v>10000311</v>
      </c>
      <c r="J1379" s="4" t="str">
        <f>VLOOKUP(I1379,'Materiales,canteras'!C:D,2,0)</f>
        <v>Arena Triturada Basalto  Malla</v>
      </c>
      <c r="K1379" s="25">
        <f>VLOOKUP(I1379,'Materiales,canteras'!C:E,3,0)</f>
        <v>1.651</v>
      </c>
      <c r="L1379" s="105">
        <v>225</v>
      </c>
      <c r="M1379" s="28" t="s">
        <v>93</v>
      </c>
      <c r="N1379" s="193">
        <f t="shared" ca="1" si="330"/>
        <v>46267</v>
      </c>
      <c r="O1379" s="24" t="s">
        <v>907</v>
      </c>
      <c r="P1379" s="4"/>
      <c r="Q1379" s="4"/>
      <c r="R1379" s="4">
        <v>4.29</v>
      </c>
      <c r="S1379" s="4">
        <v>286</v>
      </c>
      <c r="T1379" s="303">
        <f t="shared" si="333"/>
        <v>-56.70999999999998</v>
      </c>
      <c r="U1379" s="88">
        <f t="shared" si="334"/>
        <v>225</v>
      </c>
      <c r="V1379" s="82">
        <v>0</v>
      </c>
      <c r="W1379" s="4">
        <v>2</v>
      </c>
      <c r="X1379" s="195">
        <f t="shared" si="335"/>
        <v>225</v>
      </c>
      <c r="Y1379" s="29" t="e">
        <f>IF(+VLOOKUP(I1379,P.Referencia!E:S,3,FALSE)&lt;=L1379,"Champion","Gerente")</f>
        <v>#N/A</v>
      </c>
      <c r="Z1379" s="30" t="e">
        <f>VLOOKUP(I1379,P.Referencia!E:S,3,0)</f>
        <v>#N/A</v>
      </c>
      <c r="AA1379" s="196" t="e">
        <f t="shared" si="336"/>
        <v>#N/A</v>
      </c>
      <c r="AB1379" s="197" t="e">
        <f t="shared" si="337"/>
        <v>#N/A</v>
      </c>
      <c r="AC1379" s="197" t="e">
        <f t="shared" si="338"/>
        <v>#N/A</v>
      </c>
    </row>
    <row r="1380" spans="1:29" hidden="1" x14ac:dyDescent="0.25">
      <c r="A1380" s="24">
        <v>1379</v>
      </c>
      <c r="B1380" s="89" t="s">
        <v>374</v>
      </c>
      <c r="C1380" s="4" t="str">
        <f t="shared" si="332"/>
        <v>LlaveD86365005808100389552</v>
      </c>
      <c r="D1380" s="25" t="str">
        <f>VLOOKUP(E1380,'NO MODIFICAR'!J:K,2,0)</f>
        <v>D863</v>
      </c>
      <c r="E1380" s="102" t="s">
        <v>53</v>
      </c>
      <c r="F1380" s="25" t="str">
        <f>VLOOKUP(D1380,'NO MODIFICAR'!F:H,3,0)</f>
        <v>NORESTE</v>
      </c>
      <c r="G1380" s="92">
        <v>65005808</v>
      </c>
      <c r="H1380" s="93" t="s">
        <v>418</v>
      </c>
      <c r="I1380" s="94">
        <v>10038955</v>
      </c>
      <c r="J1380" s="4" t="str">
        <f>VLOOKUP(I1380,'Materiales,canteras'!C:D,2,0)</f>
        <v>Base H Triturada Caliza 1 1/2" a Finos</v>
      </c>
      <c r="K1380" s="25">
        <f>VLOOKUP(I1380,'Materiales,canteras'!C:E,3,0)</f>
        <v>1.925</v>
      </c>
      <c r="L1380" s="105">
        <v>115</v>
      </c>
      <c r="M1380" s="28" t="s">
        <v>93</v>
      </c>
      <c r="N1380" s="193">
        <f t="shared" ca="1" si="330"/>
        <v>46267</v>
      </c>
      <c r="O1380" s="24" t="s">
        <v>908</v>
      </c>
      <c r="P1380" s="4"/>
      <c r="Q1380" s="4"/>
      <c r="R1380" s="4">
        <v>15.2</v>
      </c>
      <c r="S1380" s="4">
        <v>190</v>
      </c>
      <c r="T1380" s="303">
        <f t="shared" si="333"/>
        <v>-59.800000000000011</v>
      </c>
      <c r="U1380" s="88">
        <f t="shared" si="334"/>
        <v>115</v>
      </c>
      <c r="V1380" s="82">
        <v>0</v>
      </c>
      <c r="W1380" s="4">
        <v>2</v>
      </c>
      <c r="X1380" s="195">
        <f t="shared" si="335"/>
        <v>115</v>
      </c>
      <c r="Y1380" s="29" t="e">
        <f>IF(+VLOOKUP(I1380,P.Referencia!E:S,3,FALSE)&lt;=L1380,"Champion","Gerente")</f>
        <v>#N/A</v>
      </c>
      <c r="Z1380" s="30" t="e">
        <f>VLOOKUP(I1380,P.Referencia!E:S,3,0)</f>
        <v>#N/A</v>
      </c>
      <c r="AA1380" s="196" t="e">
        <f t="shared" si="336"/>
        <v>#N/A</v>
      </c>
      <c r="AB1380" s="197" t="e">
        <f t="shared" si="337"/>
        <v>#N/A</v>
      </c>
      <c r="AC1380" s="197" t="e">
        <f t="shared" si="338"/>
        <v>#N/A</v>
      </c>
    </row>
    <row r="1381" spans="1:29" hidden="1" x14ac:dyDescent="0.25">
      <c r="A1381" s="24">
        <v>1380</v>
      </c>
      <c r="B1381" s="89" t="s">
        <v>374</v>
      </c>
      <c r="C1381" s="4" t="str">
        <f t="shared" si="332"/>
        <v>LlaveD86467362348102795312</v>
      </c>
      <c r="D1381" s="25" t="str">
        <f>VLOOKUP(E1381,'NO MODIFICAR'!J:K,2,0)</f>
        <v>D864</v>
      </c>
      <c r="E1381" s="102" t="s">
        <v>55</v>
      </c>
      <c r="F1381" s="25" t="str">
        <f>VLOOKUP(D1381,'NO MODIFICAR'!F:H,3,0)</f>
        <v xml:space="preserve">CENTRO </v>
      </c>
      <c r="G1381" s="92">
        <v>67362348</v>
      </c>
      <c r="H1381" s="93" t="s">
        <v>1063</v>
      </c>
      <c r="I1381" s="94">
        <v>10279531</v>
      </c>
      <c r="J1381" s="4" t="str">
        <f>VLOOKUP(I1381,'Materiales,canteras'!C:D,2,0)</f>
        <v>CRUDO CALIZA TIPO B</v>
      </c>
      <c r="K1381" s="25">
        <f>VLOOKUP(I1381,'Materiales,canteras'!C:E,3,0)</f>
        <v>1.5</v>
      </c>
      <c r="L1381" s="105">
        <v>44</v>
      </c>
      <c r="M1381" s="28" t="s">
        <v>93</v>
      </c>
      <c r="N1381" s="193">
        <f t="shared" ca="1" si="330"/>
        <v>46267</v>
      </c>
      <c r="O1381" s="24" t="s">
        <v>909</v>
      </c>
      <c r="P1381" s="4"/>
      <c r="Q1381" s="4"/>
      <c r="R1381" s="4"/>
      <c r="S1381" s="4">
        <v>21</v>
      </c>
      <c r="T1381" s="303">
        <f t="shared" si="333"/>
        <v>23</v>
      </c>
      <c r="U1381" s="88">
        <f t="shared" si="334"/>
        <v>44</v>
      </c>
      <c r="V1381" s="82">
        <v>0</v>
      </c>
      <c r="W1381" s="4">
        <v>2</v>
      </c>
      <c r="X1381" s="195">
        <f t="shared" si="335"/>
        <v>44</v>
      </c>
      <c r="Y1381" s="29" t="e">
        <f>IF(+VLOOKUP(I1381,P.Referencia!E:S,3,FALSE)&lt;=L1381,"Champion","Gerente")</f>
        <v>#N/A</v>
      </c>
      <c r="Z1381" s="30" t="e">
        <f>VLOOKUP(I1381,P.Referencia!E:S,3,0)</f>
        <v>#N/A</v>
      </c>
      <c r="AA1381" s="196" t="e">
        <f t="shared" si="336"/>
        <v>#N/A</v>
      </c>
      <c r="AB1381" s="197" t="e">
        <f t="shared" si="337"/>
        <v>#N/A</v>
      </c>
      <c r="AC1381" s="197" t="e">
        <f t="shared" si="338"/>
        <v>#N/A</v>
      </c>
    </row>
    <row r="1382" spans="1:29" hidden="1" x14ac:dyDescent="0.25">
      <c r="A1382" s="24">
        <v>1381</v>
      </c>
      <c r="B1382" s="89" t="s">
        <v>374</v>
      </c>
      <c r="C1382" s="4" t="str">
        <f t="shared" si="332"/>
        <v>LlaveD86167381130100002902</v>
      </c>
      <c r="D1382" s="25" t="str">
        <f>VLOOKUP(E1382,'NO MODIFICAR'!J:K,2,0)</f>
        <v>D861</v>
      </c>
      <c r="E1382" s="102" t="s">
        <v>44</v>
      </c>
      <c r="F1382" s="25" t="str">
        <f>VLOOKUP(D1382,'NO MODIFICAR'!F:H,3,0)</f>
        <v xml:space="preserve">CENTRO </v>
      </c>
      <c r="G1382" s="92">
        <v>67381130</v>
      </c>
      <c r="H1382" s="93" t="s">
        <v>1065</v>
      </c>
      <c r="I1382" s="94">
        <v>10000290</v>
      </c>
      <c r="J1382" s="4" t="str">
        <f>VLOOKUP(I1382,'Materiales,canteras'!C:D,2,0)</f>
        <v>Polvos Triturado Basalto 3/4"</v>
      </c>
      <c r="K1382" s="25">
        <f>VLOOKUP(I1382,'Materiales,canteras'!C:E,3,0)</f>
        <v>1.3720000000000001</v>
      </c>
      <c r="L1382" s="105">
        <v>25</v>
      </c>
      <c r="M1382" s="28" t="s">
        <v>93</v>
      </c>
      <c r="N1382" s="193">
        <f t="shared" ca="1" si="330"/>
        <v>46267</v>
      </c>
      <c r="O1382" s="24" t="s">
        <v>910</v>
      </c>
      <c r="P1382" s="4"/>
      <c r="Q1382" s="4"/>
      <c r="R1382" s="4"/>
      <c r="S1382" s="4">
        <v>28</v>
      </c>
      <c r="T1382" s="303">
        <f t="shared" si="333"/>
        <v>-3</v>
      </c>
      <c r="U1382" s="88">
        <f t="shared" si="334"/>
        <v>25</v>
      </c>
      <c r="V1382" s="82">
        <v>0</v>
      </c>
      <c r="W1382" s="4">
        <v>2</v>
      </c>
      <c r="X1382" s="195">
        <f t="shared" si="335"/>
        <v>25</v>
      </c>
      <c r="Y1382" s="29" t="e">
        <f>IF(+VLOOKUP(I1382,P.Referencia!E:S,3,FALSE)&lt;=L1382,"Champion","Gerente")</f>
        <v>#N/A</v>
      </c>
      <c r="Z1382" s="30" t="e">
        <f>VLOOKUP(I1382,P.Referencia!E:S,3,0)</f>
        <v>#N/A</v>
      </c>
      <c r="AA1382" s="196" t="e">
        <f t="shared" si="336"/>
        <v>#N/A</v>
      </c>
      <c r="AB1382" s="197" t="e">
        <f t="shared" si="337"/>
        <v>#N/A</v>
      </c>
      <c r="AC1382" s="197" t="e">
        <f t="shared" si="338"/>
        <v>#N/A</v>
      </c>
    </row>
    <row r="1383" spans="1:29" hidden="1" x14ac:dyDescent="0.25">
      <c r="A1383" s="24">
        <v>1382</v>
      </c>
      <c r="B1383" s="89" t="s">
        <v>374</v>
      </c>
      <c r="C1383" s="4" t="str">
        <f t="shared" si="332"/>
        <v>LlaveD86465251399100002362</v>
      </c>
      <c r="D1383" s="25" t="str">
        <f>VLOOKUP(E1383,'NO MODIFICAR'!J:K,2,0)</f>
        <v>D864</v>
      </c>
      <c r="E1383" s="102" t="s">
        <v>55</v>
      </c>
      <c r="F1383" s="25" t="str">
        <f>VLOOKUP(D1383,'NO MODIFICAR'!F:H,3,0)</f>
        <v xml:space="preserve">CENTRO </v>
      </c>
      <c r="G1383" s="92" t="s">
        <v>1066</v>
      </c>
      <c r="H1383" s="93" t="s">
        <v>1067</v>
      </c>
      <c r="I1383" s="94">
        <v>10000236</v>
      </c>
      <c r="J1383" s="4" t="str">
        <f>VLOOKUP(I1383,'Materiales,canteras'!C:D,2,0)</f>
        <v>Grava Triturada Caliza 10 mm -</v>
      </c>
      <c r="K1383" s="25">
        <f>VLOOKUP(I1383,'Materiales,canteras'!C:E,3,0)</f>
        <v>1.41</v>
      </c>
      <c r="L1383" s="105">
        <v>125</v>
      </c>
      <c r="M1383" s="28" t="s">
        <v>93</v>
      </c>
      <c r="N1383" s="193">
        <f t="shared" ca="1" si="330"/>
        <v>46267</v>
      </c>
      <c r="O1383" s="24" t="s">
        <v>911</v>
      </c>
      <c r="P1383" s="4"/>
      <c r="Q1383" s="4"/>
      <c r="R1383" s="4">
        <v>12.6</v>
      </c>
      <c r="S1383" s="4">
        <v>252</v>
      </c>
      <c r="T1383" s="303">
        <f t="shared" si="333"/>
        <v>-114.4</v>
      </c>
      <c r="U1383" s="88">
        <f t="shared" si="334"/>
        <v>125</v>
      </c>
      <c r="V1383" s="82">
        <v>0</v>
      </c>
      <c r="W1383" s="4">
        <v>2</v>
      </c>
      <c r="X1383" s="195">
        <f t="shared" si="335"/>
        <v>125</v>
      </c>
      <c r="Y1383" s="29" t="e">
        <f>IF(+VLOOKUP(I1383,P.Referencia!E:S,3,FALSE)&lt;=L1383,"Champion","Gerente")</f>
        <v>#N/A</v>
      </c>
      <c r="Z1383" s="30" t="e">
        <f>VLOOKUP(I1383,P.Referencia!E:S,3,0)</f>
        <v>#N/A</v>
      </c>
      <c r="AA1383" s="196" t="e">
        <f t="shared" si="336"/>
        <v>#N/A</v>
      </c>
      <c r="AB1383" s="197" t="e">
        <f t="shared" si="337"/>
        <v>#N/A</v>
      </c>
      <c r="AC1383" s="197" t="e">
        <f t="shared" si="338"/>
        <v>#N/A</v>
      </c>
    </row>
    <row r="1384" spans="1:29" hidden="1" x14ac:dyDescent="0.25">
      <c r="A1384" s="24">
        <v>1383</v>
      </c>
      <c r="B1384" s="89" t="s">
        <v>374</v>
      </c>
      <c r="C1384" s="4" t="str">
        <f t="shared" si="332"/>
        <v>LlaveD861DA04100002291</v>
      </c>
      <c r="D1384" s="25" t="str">
        <f>VLOOKUP(E1384,'NO MODIFICAR'!J:K,2,0)</f>
        <v>D861</v>
      </c>
      <c r="E1384" s="102" t="s">
        <v>44</v>
      </c>
      <c r="F1384" s="25" t="str">
        <f>VLOOKUP(D1384,'NO MODIFICAR'!F:H,3,0)</f>
        <v xml:space="preserve">CENTRO </v>
      </c>
      <c r="G1384" s="92" t="s">
        <v>1068</v>
      </c>
      <c r="H1384" s="93" t="s">
        <v>1069</v>
      </c>
      <c r="I1384" s="94">
        <v>10000229</v>
      </c>
      <c r="J1384" s="4" t="str">
        <f>VLOOKUP(I1384,'Materiales,canteras'!C:D,2,0)</f>
        <v>Grava Triturada Basalto  10 mm</v>
      </c>
      <c r="K1384" s="25">
        <f>VLOOKUP(I1384,'Materiales,canteras'!C:E,3,0)</f>
        <v>1.522</v>
      </c>
      <c r="L1384" s="105">
        <v>226</v>
      </c>
      <c r="M1384" s="28" t="s">
        <v>93</v>
      </c>
      <c r="N1384" s="193">
        <f t="shared" ca="1" si="330"/>
        <v>46267</v>
      </c>
      <c r="O1384" s="24" t="s">
        <v>912</v>
      </c>
      <c r="P1384" s="4"/>
      <c r="Q1384" s="4"/>
      <c r="R1384" s="4"/>
      <c r="T1384" s="303">
        <f t="shared" si="333"/>
        <v>226</v>
      </c>
      <c r="U1384" s="88">
        <f t="shared" si="334"/>
        <v>226</v>
      </c>
      <c r="V1384" s="82">
        <v>170.65</v>
      </c>
      <c r="W1384" s="4">
        <v>1</v>
      </c>
      <c r="X1384" s="195">
        <f t="shared" si="335"/>
        <v>396.65</v>
      </c>
      <c r="Y1384" s="29" t="e">
        <f>IF(+VLOOKUP(I1384,P.Referencia!E:S,3,FALSE)&lt;=L1384,"Champion","Gerente")</f>
        <v>#N/A</v>
      </c>
      <c r="Z1384" s="30" t="e">
        <f>VLOOKUP(I1384,P.Referencia!E:S,3,0)</f>
        <v>#N/A</v>
      </c>
      <c r="AA1384" s="196" t="e">
        <f t="shared" si="336"/>
        <v>#N/A</v>
      </c>
      <c r="AB1384" s="197" t="e">
        <f t="shared" si="337"/>
        <v>#N/A</v>
      </c>
      <c r="AC1384" s="197" t="e">
        <f t="shared" si="338"/>
        <v>#N/A</v>
      </c>
    </row>
    <row r="1385" spans="1:29" hidden="1" x14ac:dyDescent="0.25">
      <c r="A1385" s="24">
        <v>1384</v>
      </c>
      <c r="B1385" s="89" t="s">
        <v>374</v>
      </c>
      <c r="C1385" s="4" t="str">
        <f t="shared" si="332"/>
        <v>LlaveD81665004526100011701</v>
      </c>
      <c r="D1385" s="25" t="str">
        <f>VLOOKUP(E1385,'NO MODIFICAR'!J:K,2,0)</f>
        <v>D816</v>
      </c>
      <c r="E1385" s="102" t="s">
        <v>15</v>
      </c>
      <c r="F1385" s="25" t="str">
        <f>VLOOKUP(D1385,'NO MODIFICAR'!F:H,3,0)</f>
        <v>NORESTE</v>
      </c>
      <c r="G1385" s="92">
        <v>65004526</v>
      </c>
      <c r="H1385" s="93" t="s">
        <v>1004</v>
      </c>
      <c r="I1385" s="94">
        <v>10001170</v>
      </c>
      <c r="J1385" s="4" t="str">
        <f>VLOOKUP(I1385,'Materiales,canteras'!C:D,2,0)</f>
        <v>Arena Triturada Caliza Block</v>
      </c>
      <c r="K1385" s="25">
        <f>VLOOKUP(I1385,'Materiales,canteras'!C:E,3,0)</f>
        <v>1.7709999999999999</v>
      </c>
      <c r="L1385" s="105">
        <v>245</v>
      </c>
      <c r="M1385" s="28" t="s">
        <v>93</v>
      </c>
      <c r="N1385" s="193">
        <f t="shared" ca="1" si="330"/>
        <v>46267</v>
      </c>
      <c r="O1385" s="24" t="s">
        <v>913</v>
      </c>
      <c r="P1385" s="4"/>
      <c r="Q1385" s="4">
        <v>12.6</v>
      </c>
      <c r="R1385" s="4">
        <v>47.06</v>
      </c>
      <c r="S1385" s="4">
        <v>362</v>
      </c>
      <c r="T1385" s="303">
        <f t="shared" si="333"/>
        <v>-57.339999999999975</v>
      </c>
      <c r="U1385" s="88">
        <f t="shared" si="334"/>
        <v>245</v>
      </c>
      <c r="V1385" s="82">
        <v>32</v>
      </c>
      <c r="W1385" s="4">
        <v>1</v>
      </c>
      <c r="X1385" s="195">
        <f t="shared" si="335"/>
        <v>277</v>
      </c>
      <c r="Y1385" s="29" t="e">
        <f>IF(+VLOOKUP(I1385,P.Referencia!E:S,3,FALSE)&lt;=L1385,"Champion","Gerente")</f>
        <v>#N/A</v>
      </c>
      <c r="Z1385" s="30" t="e">
        <f>VLOOKUP(I1385,P.Referencia!E:S,3,0)</f>
        <v>#N/A</v>
      </c>
      <c r="AA1385" s="196" t="e">
        <f t="shared" si="336"/>
        <v>#N/A</v>
      </c>
      <c r="AB1385" s="197" t="e">
        <f t="shared" si="337"/>
        <v>#N/A</v>
      </c>
      <c r="AC1385" s="197" t="e">
        <f t="shared" si="338"/>
        <v>#N/A</v>
      </c>
    </row>
    <row r="1386" spans="1:29" hidden="1" x14ac:dyDescent="0.25">
      <c r="A1386" s="24">
        <v>1385</v>
      </c>
      <c r="B1386" s="89" t="s">
        <v>374</v>
      </c>
      <c r="C1386" s="4" t="str">
        <f t="shared" si="332"/>
        <v>LlaveD81667378964100364881</v>
      </c>
      <c r="D1386" s="25" t="str">
        <f>VLOOKUP(E1386,'NO MODIFICAR'!J:K,2,0)</f>
        <v>D816</v>
      </c>
      <c r="E1386" s="102" t="s">
        <v>15</v>
      </c>
      <c r="F1386" s="25" t="str">
        <f>VLOOKUP(D1386,'NO MODIFICAR'!F:H,3,0)</f>
        <v>NORESTE</v>
      </c>
      <c r="G1386" s="92">
        <v>67378964</v>
      </c>
      <c r="H1386" s="93" t="s">
        <v>1070</v>
      </c>
      <c r="I1386" s="94">
        <v>10036488</v>
      </c>
      <c r="J1386" s="4" t="str">
        <f>VLOOKUP(I1386,'Materiales,canteras'!C:D,2,0)</f>
        <v>Base H Trit Caliza 3/4" a Fino</v>
      </c>
      <c r="K1386" s="25">
        <f>VLOOKUP(I1386,'Materiales,canteras'!C:E,3,0)</f>
        <v>1.78</v>
      </c>
      <c r="L1386" s="105">
        <v>290.48</v>
      </c>
      <c r="M1386" s="28" t="s">
        <v>93</v>
      </c>
      <c r="N1386" s="193">
        <f t="shared" ca="1" si="330"/>
        <v>46267</v>
      </c>
      <c r="O1386" s="24" t="s">
        <v>914</v>
      </c>
      <c r="P1386" s="4"/>
      <c r="Q1386" s="4"/>
      <c r="R1386" s="4">
        <v>17.850000000000001</v>
      </c>
      <c r="S1386" s="4">
        <v>357</v>
      </c>
      <c r="T1386" s="303">
        <f t="shared" si="333"/>
        <v>-48.669999999999959</v>
      </c>
      <c r="U1386" s="88">
        <f t="shared" si="334"/>
        <v>290.48</v>
      </c>
      <c r="V1386" s="82">
        <v>92.69</v>
      </c>
      <c r="W1386" s="4">
        <v>1</v>
      </c>
      <c r="X1386" s="195">
        <f t="shared" si="335"/>
        <v>383.17</v>
      </c>
      <c r="Y1386" s="29" t="e">
        <f>IF(+VLOOKUP(I1386,P.Referencia!E:S,3,FALSE)&lt;=L1386,"Champion","Gerente")</f>
        <v>#N/A</v>
      </c>
      <c r="Z1386" s="30" t="e">
        <f>VLOOKUP(I1386,P.Referencia!E:S,3,0)</f>
        <v>#N/A</v>
      </c>
      <c r="AA1386" s="196" t="e">
        <f t="shared" si="336"/>
        <v>#N/A</v>
      </c>
      <c r="AB1386" s="197" t="e">
        <f t="shared" si="337"/>
        <v>#N/A</v>
      </c>
      <c r="AC1386" s="197" t="e">
        <f t="shared" si="338"/>
        <v>#N/A</v>
      </c>
    </row>
    <row r="1387" spans="1:29" hidden="1" x14ac:dyDescent="0.25">
      <c r="A1387" s="24">
        <v>1386</v>
      </c>
      <c r="B1387" s="89" t="s">
        <v>374</v>
      </c>
      <c r="C1387" s="4" t="str">
        <f t="shared" si="332"/>
        <v>LlaveD81667382765101488242</v>
      </c>
      <c r="D1387" s="25" t="str">
        <f>VLOOKUP(E1387,'NO MODIFICAR'!J:K,2,0)</f>
        <v>D816</v>
      </c>
      <c r="E1387" s="102" t="s">
        <v>15</v>
      </c>
      <c r="F1387" s="25" t="str">
        <f>VLOOKUP(D1387,'NO MODIFICAR'!F:H,3,0)</f>
        <v>NORESTE</v>
      </c>
      <c r="G1387" s="92">
        <v>67382765</v>
      </c>
      <c r="H1387" s="93" t="s">
        <v>1052</v>
      </c>
      <c r="I1387" s="94">
        <v>10148824</v>
      </c>
      <c r="J1387" s="4" t="str">
        <f>VLOOKUP(I1387,'Materiales,canteras'!C:D,2,0)</f>
        <v>BALASTO PIEDRA CALIZA 4"-6"</v>
      </c>
      <c r="K1387" s="25">
        <f>VLOOKUP(I1387,'Materiales,canteras'!C:E,3,0)</f>
        <v>1.5</v>
      </c>
      <c r="L1387" s="105">
        <v>280</v>
      </c>
      <c r="M1387" s="28" t="s">
        <v>93</v>
      </c>
      <c r="N1387" s="193">
        <f t="shared" ca="1" si="330"/>
        <v>46267</v>
      </c>
      <c r="O1387" s="24" t="s">
        <v>881</v>
      </c>
      <c r="P1387" s="4"/>
      <c r="Q1387" s="4"/>
      <c r="R1387" s="4"/>
      <c r="S1387" s="4">
        <v>322</v>
      </c>
      <c r="T1387" s="303">
        <f t="shared" si="333"/>
        <v>-42</v>
      </c>
      <c r="U1387" s="88">
        <f t="shared" si="334"/>
        <v>280</v>
      </c>
      <c r="V1387" s="82">
        <v>0</v>
      </c>
      <c r="W1387" s="4">
        <v>2</v>
      </c>
      <c r="X1387" s="195">
        <f t="shared" si="335"/>
        <v>280</v>
      </c>
      <c r="Y1387" s="29" t="e">
        <f>IF(+VLOOKUP(I1387,P.Referencia!E:S,3,FALSE)&lt;=L1387,"Champion","Gerente")</f>
        <v>#N/A</v>
      </c>
      <c r="Z1387" s="30" t="e">
        <f>VLOOKUP(I1387,P.Referencia!E:S,3,0)</f>
        <v>#N/A</v>
      </c>
      <c r="AA1387" s="196" t="e">
        <f t="shared" si="336"/>
        <v>#N/A</v>
      </c>
      <c r="AB1387" s="197" t="e">
        <f t="shared" si="337"/>
        <v>#N/A</v>
      </c>
      <c r="AC1387" s="197" t="e">
        <f t="shared" si="338"/>
        <v>#N/A</v>
      </c>
    </row>
    <row r="1388" spans="1:29" hidden="1" x14ac:dyDescent="0.25">
      <c r="A1388" s="24">
        <v>1387</v>
      </c>
      <c r="B1388" s="89" t="s">
        <v>374</v>
      </c>
      <c r="C1388" s="4" t="str">
        <f t="shared" si="332"/>
        <v>LlaveD86467365667100010732</v>
      </c>
      <c r="D1388" s="25" t="str">
        <f>VLOOKUP(E1388,'NO MODIFICAR'!J:K,2,0)</f>
        <v>D864</v>
      </c>
      <c r="E1388" s="102" t="s">
        <v>55</v>
      </c>
      <c r="F1388" s="25" t="str">
        <f>VLOOKUP(D1388,'NO MODIFICAR'!F:H,3,0)</f>
        <v xml:space="preserve">CENTRO </v>
      </c>
      <c r="G1388" s="92">
        <v>67365667</v>
      </c>
      <c r="H1388" s="93" t="s">
        <v>518</v>
      </c>
      <c r="I1388" s="94">
        <v>10001073</v>
      </c>
      <c r="J1388" s="4" t="str">
        <f>VLOOKUP(I1388,'Materiales,canteras'!C:D,2,0)</f>
        <v>Arena Triturada Caliza Malla 4</v>
      </c>
      <c r="K1388" s="25">
        <f>VLOOKUP(I1388,'Materiales,canteras'!C:E,3,0)</f>
        <v>1.56</v>
      </c>
      <c r="L1388" s="105">
        <v>91</v>
      </c>
      <c r="M1388" s="28" t="s">
        <v>93</v>
      </c>
      <c r="N1388" s="193">
        <f t="shared" ca="1" si="330"/>
        <v>46267</v>
      </c>
      <c r="O1388" s="24" t="s">
        <v>915</v>
      </c>
      <c r="P1388" s="4"/>
      <c r="Q1388" s="4"/>
      <c r="R1388" s="4">
        <v>2.37</v>
      </c>
      <c r="S1388" s="4">
        <v>158</v>
      </c>
      <c r="T1388" s="303">
        <f t="shared" si="333"/>
        <v>-64.63</v>
      </c>
      <c r="U1388" s="88">
        <f t="shared" si="334"/>
        <v>91</v>
      </c>
      <c r="V1388" s="82">
        <v>0</v>
      </c>
      <c r="W1388" s="4">
        <v>2</v>
      </c>
      <c r="X1388" s="195">
        <f t="shared" si="335"/>
        <v>91</v>
      </c>
      <c r="Y1388" s="29" t="e">
        <f>IF(+VLOOKUP(I1388,P.Referencia!E:S,3,FALSE)&lt;=L1388,"Champion","Gerente")</f>
        <v>#N/A</v>
      </c>
      <c r="Z1388" s="30" t="e">
        <f>VLOOKUP(I1388,P.Referencia!E:S,3,0)</f>
        <v>#N/A</v>
      </c>
      <c r="AA1388" s="196" t="e">
        <f t="shared" si="336"/>
        <v>#N/A</v>
      </c>
      <c r="AB1388" s="197" t="e">
        <f t="shared" si="337"/>
        <v>#N/A</v>
      </c>
      <c r="AC1388" s="197" t="e">
        <f t="shared" si="338"/>
        <v>#N/A</v>
      </c>
    </row>
    <row r="1389" spans="1:29" hidden="1" x14ac:dyDescent="0.25">
      <c r="A1389" s="24">
        <v>1388</v>
      </c>
      <c r="B1389" s="89" t="s">
        <v>374</v>
      </c>
      <c r="C1389" s="4" t="str">
        <f t="shared" si="332"/>
        <v>LlaveD86467365667100002402</v>
      </c>
      <c r="D1389" s="25" t="str">
        <f>VLOOKUP(E1389,'NO MODIFICAR'!J:K,2,0)</f>
        <v>D864</v>
      </c>
      <c r="E1389" s="102" t="s">
        <v>55</v>
      </c>
      <c r="F1389" s="25" t="str">
        <f>VLOOKUP(D1389,'NO MODIFICAR'!F:H,3,0)</f>
        <v xml:space="preserve">CENTRO </v>
      </c>
      <c r="G1389" s="92">
        <v>67365667</v>
      </c>
      <c r="H1389" s="93" t="s">
        <v>518</v>
      </c>
      <c r="I1389" s="94">
        <v>10000240</v>
      </c>
      <c r="J1389" s="4" t="str">
        <f>VLOOKUP(I1389,'Materiales,canteras'!C:D,2,0)</f>
        <v>Grava Triturada Caliza 20 mm -</v>
      </c>
      <c r="K1389" s="25">
        <f>VLOOKUP(I1389,'Materiales,canteras'!C:E,3,0)</f>
        <v>1.462</v>
      </c>
      <c r="L1389" s="105">
        <v>133</v>
      </c>
      <c r="M1389" s="28" t="s">
        <v>93</v>
      </c>
      <c r="N1389" s="193">
        <f t="shared" ca="1" si="330"/>
        <v>46267</v>
      </c>
      <c r="O1389" s="24" t="s">
        <v>916</v>
      </c>
      <c r="P1389" s="4"/>
      <c r="Q1389" s="4"/>
      <c r="R1389" s="4">
        <v>4.41</v>
      </c>
      <c r="S1389" s="4">
        <v>294</v>
      </c>
      <c r="T1389" s="303">
        <f t="shared" si="333"/>
        <v>-156.58999999999997</v>
      </c>
      <c r="U1389" s="88">
        <f t="shared" si="334"/>
        <v>133</v>
      </c>
      <c r="V1389" s="82">
        <v>0</v>
      </c>
      <c r="W1389" s="4">
        <v>2</v>
      </c>
      <c r="X1389" s="195">
        <f t="shared" si="335"/>
        <v>133</v>
      </c>
      <c r="Y1389" s="29" t="e">
        <f>IF(+VLOOKUP(I1389,P.Referencia!E:S,3,FALSE)&lt;=L1389,"Champion","Gerente")</f>
        <v>#N/A</v>
      </c>
      <c r="Z1389" s="30" t="e">
        <f>VLOOKUP(I1389,P.Referencia!E:S,3,0)</f>
        <v>#N/A</v>
      </c>
      <c r="AA1389" s="196" t="e">
        <f t="shared" si="336"/>
        <v>#N/A</v>
      </c>
      <c r="AB1389" s="197" t="e">
        <f t="shared" si="337"/>
        <v>#N/A</v>
      </c>
      <c r="AC1389" s="197" t="e">
        <f t="shared" si="338"/>
        <v>#N/A</v>
      </c>
    </row>
    <row r="1390" spans="1:29" hidden="1" x14ac:dyDescent="0.25">
      <c r="A1390" s="24">
        <v>1389</v>
      </c>
      <c r="B1390" s="89" t="s">
        <v>374</v>
      </c>
      <c r="C1390" s="4" t="str">
        <f t="shared" si="332"/>
        <v>LlaveD81667378964100364881</v>
      </c>
      <c r="D1390" s="25" t="str">
        <f>VLOOKUP(E1390,'NO MODIFICAR'!J:K,2,0)</f>
        <v>D816</v>
      </c>
      <c r="E1390" s="102" t="s">
        <v>15</v>
      </c>
      <c r="F1390" s="25" t="str">
        <f>VLOOKUP(D1390,'NO MODIFICAR'!F:H,3,0)</f>
        <v>NORESTE</v>
      </c>
      <c r="G1390" s="92">
        <v>67378964</v>
      </c>
      <c r="H1390" s="93" t="s">
        <v>1070</v>
      </c>
      <c r="I1390" s="94">
        <v>10036488</v>
      </c>
      <c r="J1390" s="4" t="str">
        <f>VLOOKUP(I1390,'Materiales,canteras'!C:D,2,0)</f>
        <v>Base H Trit Caliza 3/4" a Fino</v>
      </c>
      <c r="K1390" s="25">
        <f>VLOOKUP(I1390,'Materiales,canteras'!C:E,3,0)</f>
        <v>1.78</v>
      </c>
      <c r="L1390" s="105">
        <v>290.48</v>
      </c>
      <c r="M1390" s="28" t="s">
        <v>93</v>
      </c>
      <c r="N1390" s="193">
        <f t="shared" ca="1" si="330"/>
        <v>46267</v>
      </c>
      <c r="O1390" s="24" t="s">
        <v>917</v>
      </c>
      <c r="P1390" s="4"/>
      <c r="Q1390" s="4"/>
      <c r="R1390" s="4">
        <v>17.850000000000001</v>
      </c>
      <c r="S1390" s="4">
        <v>357</v>
      </c>
      <c r="T1390" s="303">
        <f t="shared" si="333"/>
        <v>-48.669999999999959</v>
      </c>
      <c r="U1390" s="88">
        <f t="shared" si="334"/>
        <v>290.48</v>
      </c>
      <c r="V1390" s="82">
        <v>83.51</v>
      </c>
      <c r="W1390" s="4">
        <v>1</v>
      </c>
      <c r="X1390" s="195">
        <f t="shared" si="335"/>
        <v>373.99</v>
      </c>
      <c r="Y1390" s="29" t="e">
        <f>IF(+VLOOKUP(I1390,P.Referencia!E:S,3,FALSE)&lt;=L1390,"Champion","Gerente")</f>
        <v>#N/A</v>
      </c>
      <c r="Z1390" s="30" t="e">
        <f>VLOOKUP(I1390,P.Referencia!E:S,3,0)</f>
        <v>#N/A</v>
      </c>
      <c r="AA1390" s="196" t="e">
        <f t="shared" si="336"/>
        <v>#N/A</v>
      </c>
      <c r="AB1390" s="197" t="e">
        <f t="shared" si="337"/>
        <v>#N/A</v>
      </c>
      <c r="AC1390" s="197" t="e">
        <f t="shared" si="338"/>
        <v>#N/A</v>
      </c>
    </row>
    <row r="1391" spans="1:29" hidden="1" x14ac:dyDescent="0.25">
      <c r="A1391" s="24">
        <v>1390</v>
      </c>
      <c r="B1391" s="89" t="s">
        <v>374</v>
      </c>
      <c r="C1391" s="4" t="str">
        <f t="shared" si="332"/>
        <v>LlaveD81667378964100002621</v>
      </c>
      <c r="D1391" s="25" t="str">
        <f>VLOOKUP(E1391,'NO MODIFICAR'!J:K,2,0)</f>
        <v>D816</v>
      </c>
      <c r="E1391" s="102" t="s">
        <v>15</v>
      </c>
      <c r="F1391" s="25" t="str">
        <f>VLOOKUP(D1391,'NO MODIFICAR'!F:H,3,0)</f>
        <v>NORESTE</v>
      </c>
      <c r="G1391" s="92">
        <v>67378964</v>
      </c>
      <c r="H1391" s="93" t="s">
        <v>1070</v>
      </c>
      <c r="I1391" s="94">
        <v>10000262</v>
      </c>
      <c r="J1391" s="4" t="str">
        <f>VLOOKUP(I1391,'Materiales,canteras'!C:D,2,0)</f>
        <v>Base H Triturada Caliza 1 1/2"</v>
      </c>
      <c r="K1391" s="25">
        <f>VLOOKUP(I1391,'Materiales,canteras'!C:E,3,0)</f>
        <v>1.821</v>
      </c>
      <c r="L1391" s="105">
        <v>290.48</v>
      </c>
      <c r="M1391" s="28" t="s">
        <v>93</v>
      </c>
      <c r="N1391" s="193">
        <f t="shared" ca="1" si="330"/>
        <v>46267</v>
      </c>
      <c r="O1391" s="24" t="s">
        <v>918</v>
      </c>
      <c r="P1391" s="4"/>
      <c r="Q1391" s="4"/>
      <c r="R1391" s="4">
        <v>17.850000000000001</v>
      </c>
      <c r="S1391" s="4">
        <v>357</v>
      </c>
      <c r="T1391" s="303">
        <f t="shared" si="333"/>
        <v>-48.669999999999959</v>
      </c>
      <c r="U1391" s="88">
        <f t="shared" si="334"/>
        <v>290.48</v>
      </c>
      <c r="V1391" s="82">
        <v>83.51</v>
      </c>
      <c r="W1391" s="4">
        <v>1</v>
      </c>
      <c r="X1391" s="195">
        <f t="shared" si="335"/>
        <v>373.99</v>
      </c>
      <c r="Y1391" s="29" t="e">
        <f>IF(+VLOOKUP(I1391,P.Referencia!E:S,3,FALSE)&lt;=L1391,"Champion","Gerente")</f>
        <v>#N/A</v>
      </c>
      <c r="Z1391" s="30" t="e">
        <f>VLOOKUP(I1391,P.Referencia!E:S,3,0)</f>
        <v>#N/A</v>
      </c>
      <c r="AA1391" s="196" t="e">
        <f t="shared" si="336"/>
        <v>#N/A</v>
      </c>
      <c r="AB1391" s="197" t="e">
        <f t="shared" si="337"/>
        <v>#N/A</v>
      </c>
      <c r="AC1391" s="197" t="e">
        <f t="shared" si="338"/>
        <v>#N/A</v>
      </c>
    </row>
    <row r="1392" spans="1:29" hidden="1" x14ac:dyDescent="0.25">
      <c r="A1392" s="24">
        <v>1391</v>
      </c>
      <c r="B1392" s="89" t="s">
        <v>374</v>
      </c>
      <c r="C1392" s="4" t="str">
        <f t="shared" si="332"/>
        <v>LlaveD86467383337	101737841</v>
      </c>
      <c r="D1392" s="25" t="str">
        <f>VLOOKUP(E1392,'NO MODIFICAR'!J:K,2,0)</f>
        <v>D864</v>
      </c>
      <c r="E1392" s="102" t="s">
        <v>55</v>
      </c>
      <c r="F1392" s="25" t="str">
        <f>VLOOKUP(D1392,'NO MODIFICAR'!F:H,3,0)</f>
        <v xml:space="preserve">CENTRO </v>
      </c>
      <c r="G1392" s="92" t="s">
        <v>1071</v>
      </c>
      <c r="H1392" s="93" t="s">
        <v>1072</v>
      </c>
      <c r="I1392" s="94">
        <v>10173784</v>
      </c>
      <c r="J1392" s="4" t="str">
        <f>VLOOKUP(I1392,'Materiales,canteras'!C:D,2,0)</f>
        <v>BASE HIDRÁULICA 80%FINOS-20%GR</v>
      </c>
      <c r="K1392" s="25">
        <f>VLOOKUP(I1392,'Materiales,canteras'!C:E,3,0)</f>
        <v>1.6240000000000001</v>
      </c>
      <c r="L1392" s="105">
        <v>68.28</v>
      </c>
      <c r="M1392" s="28" t="s">
        <v>93</v>
      </c>
      <c r="N1392" s="193">
        <f t="shared" ca="1" si="330"/>
        <v>46267</v>
      </c>
      <c r="O1392" s="24" t="s">
        <v>919</v>
      </c>
      <c r="P1392" s="4"/>
      <c r="Q1392" s="4"/>
      <c r="R1392" s="4">
        <v>1.02</v>
      </c>
      <c r="S1392" s="4">
        <v>68</v>
      </c>
      <c r="T1392" s="303">
        <f t="shared" si="333"/>
        <v>1.2999999999999972</v>
      </c>
      <c r="U1392" s="88">
        <f t="shared" si="334"/>
        <v>68.28</v>
      </c>
      <c r="V1392" s="82">
        <v>64.22</v>
      </c>
      <c r="W1392" s="4">
        <v>1</v>
      </c>
      <c r="X1392" s="195">
        <f t="shared" si="335"/>
        <v>132.5</v>
      </c>
      <c r="Y1392" s="29" t="e">
        <f>IF(+VLOOKUP(I1392,P.Referencia!E:S,3,FALSE)&lt;=L1392,"Champion","Gerente")</f>
        <v>#N/A</v>
      </c>
      <c r="Z1392" s="30" t="e">
        <f>VLOOKUP(I1392,P.Referencia!E:S,3,0)</f>
        <v>#N/A</v>
      </c>
      <c r="AA1392" s="196" t="e">
        <f t="shared" si="336"/>
        <v>#N/A</v>
      </c>
      <c r="AB1392" s="197" t="e">
        <f t="shared" si="337"/>
        <v>#N/A</v>
      </c>
      <c r="AC1392" s="197" t="e">
        <f t="shared" si="338"/>
        <v>#N/A</v>
      </c>
    </row>
    <row r="1393" spans="1:29" hidden="1" x14ac:dyDescent="0.25">
      <c r="A1393" s="24">
        <v>1392</v>
      </c>
      <c r="B1393" s="89" t="s">
        <v>374</v>
      </c>
      <c r="C1393" s="4" t="str">
        <f t="shared" si="332"/>
        <v>LlaveD86467383337	101727851</v>
      </c>
      <c r="D1393" s="25" t="str">
        <f>VLOOKUP(E1393,'NO MODIFICAR'!J:K,2,0)</f>
        <v>D864</v>
      </c>
      <c r="E1393" s="102" t="s">
        <v>55</v>
      </c>
      <c r="F1393" s="25" t="str">
        <f>VLOOKUP(D1393,'NO MODIFICAR'!F:H,3,0)</f>
        <v xml:space="preserve">CENTRO </v>
      </c>
      <c r="G1393" s="92" t="s">
        <v>1071</v>
      </c>
      <c r="H1393" s="93" t="s">
        <v>1072</v>
      </c>
      <c r="I1393" s="94">
        <v>10172785</v>
      </c>
      <c r="J1393" s="4" t="str">
        <f>VLOOKUP(I1393,'Materiales,canteras'!C:D,2,0)</f>
        <v>BASE HIDRÁULICA 60%FINOS-40%GR</v>
      </c>
      <c r="K1393" s="25">
        <f>VLOOKUP(I1393,'Materiales,canteras'!C:E,3,0)</f>
        <v>1.5840000000000001</v>
      </c>
      <c r="L1393" s="27">
        <v>84.12</v>
      </c>
      <c r="M1393" s="28" t="s">
        <v>93</v>
      </c>
      <c r="N1393" s="193">
        <f t="shared" ca="1" si="330"/>
        <v>46267</v>
      </c>
      <c r="O1393" s="24" t="s">
        <v>920</v>
      </c>
      <c r="P1393" s="4"/>
      <c r="Q1393" s="4"/>
      <c r="R1393" s="4">
        <v>1.65</v>
      </c>
      <c r="S1393" s="4">
        <v>110</v>
      </c>
      <c r="T1393" s="303">
        <f t="shared" si="333"/>
        <v>-24.22999999999999</v>
      </c>
      <c r="U1393" s="88">
        <f t="shared" si="334"/>
        <v>84.12</v>
      </c>
      <c r="V1393" s="27">
        <v>66.58</v>
      </c>
      <c r="W1393" s="4">
        <v>1</v>
      </c>
      <c r="X1393" s="195">
        <f t="shared" si="335"/>
        <v>150.69999999999999</v>
      </c>
      <c r="Y1393" s="29" t="e">
        <f>IF(+VLOOKUP(I1393,P.Referencia!E:S,3,FALSE)&lt;=L1393,"Champion","Gerente")</f>
        <v>#N/A</v>
      </c>
      <c r="Z1393" s="30" t="e">
        <f>VLOOKUP(I1393,P.Referencia!E:S,3,0)</f>
        <v>#N/A</v>
      </c>
      <c r="AA1393" s="196" t="e">
        <f t="shared" si="336"/>
        <v>#N/A</v>
      </c>
      <c r="AB1393" s="197" t="e">
        <f t="shared" si="337"/>
        <v>#N/A</v>
      </c>
      <c r="AC1393" s="197" t="e">
        <f t="shared" si="338"/>
        <v>#N/A</v>
      </c>
    </row>
    <row r="1394" spans="1:29" hidden="1" x14ac:dyDescent="0.25">
      <c r="A1394" s="24">
        <v>1393</v>
      </c>
      <c r="B1394" s="89" t="s">
        <v>374</v>
      </c>
      <c r="C1394" s="4" t="str">
        <f t="shared" si="332"/>
        <v>LlaveD86467383337	102795311</v>
      </c>
      <c r="D1394" s="25" t="str">
        <f>VLOOKUP(E1394,'NO MODIFICAR'!J:K,2,0)</f>
        <v>D864</v>
      </c>
      <c r="E1394" s="102" t="s">
        <v>55</v>
      </c>
      <c r="F1394" s="25" t="str">
        <f>VLOOKUP(D1394,'NO MODIFICAR'!F:H,3,0)</f>
        <v xml:space="preserve">CENTRO </v>
      </c>
      <c r="G1394" s="92" t="s">
        <v>1071</v>
      </c>
      <c r="H1394" s="93" t="s">
        <v>1072</v>
      </c>
      <c r="I1394" s="28">
        <v>10279531</v>
      </c>
      <c r="J1394" s="4" t="str">
        <f>VLOOKUP(I1394,'Materiales,canteras'!C:D,2,0)</f>
        <v>CRUDO CALIZA TIPO B</v>
      </c>
      <c r="K1394" s="25">
        <f>VLOOKUP(I1394,'Materiales,canteras'!C:E,3,0)</f>
        <v>1.5</v>
      </c>
      <c r="L1394" s="27">
        <v>57.93</v>
      </c>
      <c r="M1394" s="28" t="s">
        <v>93</v>
      </c>
      <c r="N1394" s="193">
        <f t="shared" ca="1" si="330"/>
        <v>46267</v>
      </c>
      <c r="O1394" s="24" t="s">
        <v>921</v>
      </c>
      <c r="P1394" s="4"/>
      <c r="Q1394" s="4"/>
      <c r="R1394" s="4">
        <v>0.32</v>
      </c>
      <c r="S1394" s="4">
        <v>21</v>
      </c>
      <c r="T1394" s="303">
        <f t="shared" si="333"/>
        <v>37.25</v>
      </c>
      <c r="U1394" s="88">
        <f t="shared" si="334"/>
        <v>57.93</v>
      </c>
      <c r="V1394" s="27">
        <v>67.17</v>
      </c>
      <c r="W1394" s="4">
        <v>1</v>
      </c>
      <c r="X1394" s="195">
        <f t="shared" si="335"/>
        <v>125.1</v>
      </c>
      <c r="Y1394" s="29" t="e">
        <f>IF(+VLOOKUP(I1394,P.Referencia!E:S,3,FALSE)&lt;=L1394,"Champion","Gerente")</f>
        <v>#N/A</v>
      </c>
      <c r="Z1394" s="30" t="e">
        <f>VLOOKUP(I1394,P.Referencia!E:S,3,0)</f>
        <v>#N/A</v>
      </c>
      <c r="AA1394" s="196" t="e">
        <f t="shared" si="336"/>
        <v>#N/A</v>
      </c>
      <c r="AB1394" s="197" t="e">
        <f t="shared" si="337"/>
        <v>#N/A</v>
      </c>
      <c r="AC1394" s="197" t="e">
        <f t="shared" si="338"/>
        <v>#N/A</v>
      </c>
    </row>
    <row r="1395" spans="1:29" hidden="1" x14ac:dyDescent="0.25">
      <c r="A1395" s="24">
        <v>1394</v>
      </c>
      <c r="B1395" s="89" t="s">
        <v>374</v>
      </c>
      <c r="C1395" s="4" t="str">
        <f t="shared" si="332"/>
        <v>LlaveDU0766891347100001032</v>
      </c>
      <c r="D1395" s="25" t="str">
        <f>VLOOKUP(E1395,'NO MODIFICAR'!J:K,2,0)</f>
        <v>DU07</v>
      </c>
      <c r="E1395" s="102" t="s">
        <v>87</v>
      </c>
      <c r="F1395" s="25" t="str">
        <f>VLOOKUP(D1395,'NO MODIFICAR'!F:H,3,0)</f>
        <v>SURESTE</v>
      </c>
      <c r="G1395" s="92">
        <v>66891347</v>
      </c>
      <c r="H1395" s="93" t="s">
        <v>1073</v>
      </c>
      <c r="I1395" s="28">
        <v>10000103</v>
      </c>
      <c r="J1395" s="4" t="str">
        <f>VLOOKUP(I1395,'Materiales,canteras'!C:D,2,0)</f>
        <v>Base H Triturada Caliza 1 1/2" a Finos</v>
      </c>
      <c r="K1395" s="25">
        <f>VLOOKUP(I1395,'Materiales,canteras'!C:E,3,0)</f>
        <v>1.462</v>
      </c>
      <c r="L1395" s="27">
        <f>130/K1395</f>
        <v>88.919288645690841</v>
      </c>
      <c r="M1395" s="28" t="s">
        <v>93</v>
      </c>
      <c r="N1395" s="193">
        <f t="shared" ca="1" si="330"/>
        <v>46267</v>
      </c>
      <c r="O1395" s="24" t="s">
        <v>922</v>
      </c>
      <c r="P1395" s="4"/>
      <c r="Q1395" s="4"/>
      <c r="R1395" s="4">
        <v>0</v>
      </c>
      <c r="S1395" s="4">
        <v>158</v>
      </c>
      <c r="T1395" s="303">
        <f t="shared" si="333"/>
        <v>-69.080711354309159</v>
      </c>
      <c r="U1395" s="88">
        <f t="shared" si="334"/>
        <v>88.919288645690841</v>
      </c>
      <c r="V1395" s="27">
        <v>0</v>
      </c>
      <c r="W1395" s="4">
        <v>2</v>
      </c>
      <c r="X1395" s="195">
        <f t="shared" si="335"/>
        <v>88.919288645690841</v>
      </c>
      <c r="Y1395" s="29" t="e">
        <f>IF(+VLOOKUP(I1395,P.Referencia!E:S,3,FALSE)&lt;=L1395,"Champion","Gerente")</f>
        <v>#N/A</v>
      </c>
      <c r="Z1395" s="30" t="e">
        <f>VLOOKUP(I1395,P.Referencia!E:S,3,0)</f>
        <v>#N/A</v>
      </c>
      <c r="AA1395" s="196" t="e">
        <f t="shared" si="336"/>
        <v>#N/A</v>
      </c>
      <c r="AB1395" s="197" t="e">
        <f t="shared" si="337"/>
        <v>#N/A</v>
      </c>
      <c r="AC1395" s="197" t="e">
        <f t="shared" si="338"/>
        <v>#N/A</v>
      </c>
    </row>
    <row r="1396" spans="1:29" hidden="1" x14ac:dyDescent="0.25">
      <c r="A1396" s="24">
        <v>1395</v>
      </c>
      <c r="B1396" s="89" t="s">
        <v>374</v>
      </c>
      <c r="C1396" s="4" t="str">
        <f t="shared" si="332"/>
        <v>LlaveD86167375199100003112</v>
      </c>
      <c r="D1396" s="25" t="str">
        <f>VLOOKUP(E1396,'NO MODIFICAR'!J:K,2,0)</f>
        <v>D861</v>
      </c>
      <c r="E1396" s="102" t="s">
        <v>44</v>
      </c>
      <c r="F1396" s="25" t="str">
        <f>VLOOKUP(D1396,'NO MODIFICAR'!F:H,3,0)</f>
        <v xml:space="preserve">CENTRO </v>
      </c>
      <c r="G1396" s="92">
        <v>67375199</v>
      </c>
      <c r="H1396" s="93" t="s">
        <v>1074</v>
      </c>
      <c r="I1396" s="28">
        <v>10000311</v>
      </c>
      <c r="J1396" s="4" t="str">
        <f>VLOOKUP(I1396,'Materiales,canteras'!C:D,2,0)</f>
        <v>Arena Triturada Basalto  Malla</v>
      </c>
      <c r="K1396" s="25">
        <f>VLOOKUP(I1396,'Materiales,canteras'!C:E,3,0)</f>
        <v>1.651</v>
      </c>
      <c r="L1396" s="27">
        <v>212</v>
      </c>
      <c r="M1396" s="28" t="s">
        <v>93</v>
      </c>
      <c r="N1396" s="193">
        <f t="shared" ca="1" si="330"/>
        <v>46267</v>
      </c>
      <c r="O1396" s="24" t="s">
        <v>923</v>
      </c>
      <c r="P1396" s="4"/>
      <c r="Q1396" s="4"/>
      <c r="R1396" s="4">
        <v>14.3</v>
      </c>
      <c r="S1396" s="4">
        <v>286</v>
      </c>
      <c r="T1396" s="303">
        <f t="shared" si="333"/>
        <v>-59.699999999999989</v>
      </c>
      <c r="U1396" s="88">
        <f t="shared" si="334"/>
        <v>212</v>
      </c>
      <c r="V1396" s="27">
        <v>0</v>
      </c>
      <c r="W1396" s="4">
        <v>2</v>
      </c>
      <c r="X1396" s="195">
        <f t="shared" si="335"/>
        <v>212</v>
      </c>
      <c r="Y1396" s="29" t="e">
        <f>IF(+VLOOKUP(I1396,P.Referencia!E:S,3,FALSE)&lt;=L1396,"Champion","Gerente")</f>
        <v>#N/A</v>
      </c>
      <c r="Z1396" s="30" t="e">
        <f>VLOOKUP(I1396,P.Referencia!E:S,3,0)</f>
        <v>#N/A</v>
      </c>
      <c r="AA1396" s="196" t="e">
        <f t="shared" si="336"/>
        <v>#N/A</v>
      </c>
      <c r="AB1396" s="197" t="e">
        <f t="shared" si="337"/>
        <v>#N/A</v>
      </c>
      <c r="AC1396" s="197" t="e">
        <f t="shared" si="338"/>
        <v>#N/A</v>
      </c>
    </row>
    <row r="1397" spans="1:29" hidden="1" x14ac:dyDescent="0.25">
      <c r="A1397" s="24">
        <v>1396</v>
      </c>
      <c r="B1397" s="89" t="s">
        <v>374</v>
      </c>
      <c r="C1397" s="4" t="str">
        <f t="shared" si="332"/>
        <v>LlaveD86167375199100002292</v>
      </c>
      <c r="D1397" s="25" t="str">
        <f>VLOOKUP(E1397,'NO MODIFICAR'!J:K,2,0)</f>
        <v>D861</v>
      </c>
      <c r="E1397" s="102" t="s">
        <v>44</v>
      </c>
      <c r="F1397" s="25" t="str">
        <f>VLOOKUP(D1397,'NO MODIFICAR'!F:H,3,0)</f>
        <v xml:space="preserve">CENTRO </v>
      </c>
      <c r="G1397" s="92">
        <v>67375199</v>
      </c>
      <c r="H1397" s="93" t="s">
        <v>1074</v>
      </c>
      <c r="I1397" s="28">
        <v>10000229</v>
      </c>
      <c r="J1397" s="4" t="str">
        <f>VLOOKUP(I1397,'Materiales,canteras'!C:D,2,0)</f>
        <v>Grava Triturada Basalto  10 mm</v>
      </c>
      <c r="K1397" s="25">
        <f>VLOOKUP(I1397,'Materiales,canteras'!C:E,3,0)</f>
        <v>1.522</v>
      </c>
      <c r="L1397" s="27">
        <v>200</v>
      </c>
      <c r="M1397" s="28" t="s">
        <v>93</v>
      </c>
      <c r="N1397" s="193">
        <f t="shared" ca="1" si="330"/>
        <v>46267</v>
      </c>
      <c r="O1397" s="24" t="s">
        <v>924</v>
      </c>
      <c r="P1397" s="4"/>
      <c r="Q1397" s="4"/>
      <c r="R1397" s="4">
        <v>17.600000000000001</v>
      </c>
      <c r="S1397" s="4">
        <v>352</v>
      </c>
      <c r="T1397" s="303">
        <f t="shared" si="333"/>
        <v>-134.39999999999998</v>
      </c>
      <c r="U1397" s="88">
        <f t="shared" si="334"/>
        <v>200</v>
      </c>
      <c r="V1397" s="27">
        <v>0</v>
      </c>
      <c r="W1397" s="4">
        <v>2</v>
      </c>
      <c r="X1397" s="195">
        <f t="shared" si="335"/>
        <v>200</v>
      </c>
      <c r="Y1397" s="29" t="e">
        <f>IF(+VLOOKUP(I1397,P.Referencia!E:S,3,FALSE)&lt;=L1397,"Champion","Gerente")</f>
        <v>#N/A</v>
      </c>
      <c r="Z1397" s="30" t="e">
        <f>VLOOKUP(I1397,P.Referencia!E:S,3,0)</f>
        <v>#N/A</v>
      </c>
      <c r="AA1397" s="196" t="e">
        <f t="shared" si="336"/>
        <v>#N/A</v>
      </c>
      <c r="AB1397" s="197" t="e">
        <f t="shared" si="337"/>
        <v>#N/A</v>
      </c>
      <c r="AC1397" s="197" t="e">
        <f t="shared" si="338"/>
        <v>#N/A</v>
      </c>
    </row>
    <row r="1398" spans="1:29" hidden="1" x14ac:dyDescent="0.25">
      <c r="A1398" s="24">
        <v>1397</v>
      </c>
      <c r="B1398" s="89" t="s">
        <v>374</v>
      </c>
      <c r="C1398" s="4" t="str">
        <f t="shared" si="332"/>
        <v>LlaveD86167375199100031532</v>
      </c>
      <c r="D1398" s="25" t="str">
        <f>VLOOKUP(E1398,'NO MODIFICAR'!J:K,2,0)</f>
        <v>D861</v>
      </c>
      <c r="E1398" s="102" t="s">
        <v>44</v>
      </c>
      <c r="F1398" s="25" t="str">
        <f>VLOOKUP(D1398,'NO MODIFICAR'!F:H,3,0)</f>
        <v xml:space="preserve">CENTRO </v>
      </c>
      <c r="G1398" s="92">
        <v>67375199</v>
      </c>
      <c r="H1398" s="93" t="s">
        <v>1074</v>
      </c>
      <c r="I1398" s="28">
        <v>10003153</v>
      </c>
      <c r="J1398" s="4" t="str">
        <f>VLOOKUP(I1398,'Materiales,canteras'!C:D,2,0)</f>
        <v>Grava Triturada Basalto 13 mm</v>
      </c>
      <c r="K1398" s="25">
        <f>VLOOKUP(I1398,'Materiales,canteras'!C:E,3,0)</f>
        <v>1.546</v>
      </c>
      <c r="L1398" s="27">
        <v>200</v>
      </c>
      <c r="M1398" s="28" t="s">
        <v>93</v>
      </c>
      <c r="N1398" s="193">
        <f t="shared" ca="1" si="330"/>
        <v>46267</v>
      </c>
      <c r="O1398" s="24" t="s">
        <v>925</v>
      </c>
      <c r="P1398" s="4"/>
      <c r="Q1398" s="4"/>
      <c r="R1398" s="4">
        <v>14.85</v>
      </c>
      <c r="S1398" s="4">
        <v>297</v>
      </c>
      <c r="T1398" s="303">
        <f t="shared" si="333"/>
        <v>-82.149999999999977</v>
      </c>
      <c r="U1398" s="88">
        <f t="shared" si="334"/>
        <v>200</v>
      </c>
      <c r="V1398" s="27">
        <v>0</v>
      </c>
      <c r="W1398" s="4">
        <v>2</v>
      </c>
      <c r="X1398" s="195">
        <f t="shared" si="335"/>
        <v>200</v>
      </c>
      <c r="Y1398" s="29" t="e">
        <f>IF(+VLOOKUP(I1398,P.Referencia!E:S,3,FALSE)&lt;=L1398,"Champion","Gerente")</f>
        <v>#N/A</v>
      </c>
      <c r="Z1398" s="30" t="e">
        <f>VLOOKUP(I1398,P.Referencia!E:S,3,0)</f>
        <v>#N/A</v>
      </c>
      <c r="AA1398" s="196" t="e">
        <f t="shared" si="336"/>
        <v>#N/A</v>
      </c>
      <c r="AB1398" s="197" t="e">
        <f t="shared" si="337"/>
        <v>#N/A</v>
      </c>
      <c r="AC1398" s="197" t="e">
        <f t="shared" si="338"/>
        <v>#N/A</v>
      </c>
    </row>
    <row r="1399" spans="1:29" hidden="1" x14ac:dyDescent="0.25">
      <c r="A1399" s="24">
        <v>1398</v>
      </c>
      <c r="B1399" s="89" t="s">
        <v>374</v>
      </c>
      <c r="C1399" s="4" t="str">
        <f t="shared" si="332"/>
        <v>LlaveD86167375199100002312</v>
      </c>
      <c r="D1399" s="25" t="str">
        <f>VLOOKUP(E1399,'NO MODIFICAR'!J:K,2,0)</f>
        <v>D861</v>
      </c>
      <c r="E1399" s="102" t="s">
        <v>44</v>
      </c>
      <c r="F1399" s="25" t="str">
        <f>VLOOKUP(D1399,'NO MODIFICAR'!F:H,3,0)</f>
        <v xml:space="preserve">CENTRO </v>
      </c>
      <c r="G1399" s="92">
        <v>67375199</v>
      </c>
      <c r="H1399" s="93" t="s">
        <v>1074</v>
      </c>
      <c r="I1399" s="28">
        <v>10000231</v>
      </c>
      <c r="J1399" s="4" t="str">
        <f>VLOOKUP(I1399,'Materiales,canteras'!C:D,2,0)</f>
        <v>Grava Triturada Basalto 20 mm</v>
      </c>
      <c r="K1399" s="25">
        <f>VLOOKUP(I1399,'Materiales,canteras'!C:E,3,0)</f>
        <v>1.5649999999999999</v>
      </c>
      <c r="L1399" s="27">
        <v>200</v>
      </c>
      <c r="M1399" s="28" t="s">
        <v>93</v>
      </c>
      <c r="N1399" s="193">
        <f t="shared" ca="1" si="330"/>
        <v>46267</v>
      </c>
      <c r="O1399" s="24" t="s">
        <v>926</v>
      </c>
      <c r="P1399" s="4"/>
      <c r="Q1399" s="4"/>
      <c r="R1399" s="4">
        <v>15.4</v>
      </c>
      <c r="S1399" s="4">
        <v>308</v>
      </c>
      <c r="T1399" s="303">
        <f t="shared" si="333"/>
        <v>-92.600000000000023</v>
      </c>
      <c r="U1399" s="88">
        <f t="shared" si="334"/>
        <v>200</v>
      </c>
      <c r="V1399" s="27">
        <v>0</v>
      </c>
      <c r="W1399" s="4">
        <v>2</v>
      </c>
      <c r="X1399" s="195">
        <f t="shared" si="335"/>
        <v>200</v>
      </c>
      <c r="Y1399" s="29" t="e">
        <f>IF(+VLOOKUP(I1399,P.Referencia!E:S,3,FALSE)&lt;=L1399,"Champion","Gerente")</f>
        <v>#N/A</v>
      </c>
      <c r="Z1399" s="30" t="e">
        <f>VLOOKUP(I1399,P.Referencia!E:S,3,0)</f>
        <v>#N/A</v>
      </c>
      <c r="AA1399" s="196" t="e">
        <f t="shared" si="336"/>
        <v>#N/A</v>
      </c>
      <c r="AB1399" s="197" t="e">
        <f t="shared" si="337"/>
        <v>#N/A</v>
      </c>
      <c r="AC1399" s="197" t="e">
        <f t="shared" si="338"/>
        <v>#N/A</v>
      </c>
    </row>
    <row r="1400" spans="1:29" hidden="1" x14ac:dyDescent="0.25">
      <c r="A1400" s="24">
        <v>1399</v>
      </c>
      <c r="B1400" s="89" t="s">
        <v>374</v>
      </c>
      <c r="C1400" s="4" t="str">
        <f t="shared" si="332"/>
        <v>LlaveD86167375199100014502</v>
      </c>
      <c r="D1400" s="25" t="str">
        <f>VLOOKUP(E1400,'NO MODIFICAR'!J:K,2,0)</f>
        <v>D861</v>
      </c>
      <c r="E1400" s="102" t="s">
        <v>44</v>
      </c>
      <c r="F1400" s="25" t="str">
        <f>VLOOKUP(D1400,'NO MODIFICAR'!F:H,3,0)</f>
        <v xml:space="preserve">CENTRO </v>
      </c>
      <c r="G1400" s="92">
        <v>67375199</v>
      </c>
      <c r="H1400" s="93" t="s">
        <v>1074</v>
      </c>
      <c r="I1400" s="28">
        <v>10001450</v>
      </c>
      <c r="J1400" s="4" t="str">
        <f>VLOOKUP(I1400,'Materiales,canteras'!C:D,2,0)</f>
        <v>Base Hidraúlica Basalto de 1 /1/2</v>
      </c>
      <c r="K1400" s="25">
        <f>VLOOKUP(I1400,'Materiales,canteras'!C:E,3,0)</f>
        <v>1.7490000000000001</v>
      </c>
      <c r="L1400" s="27">
        <v>195</v>
      </c>
      <c r="M1400" s="28" t="s">
        <v>93</v>
      </c>
      <c r="N1400" s="193">
        <f t="shared" ca="1" si="330"/>
        <v>46267</v>
      </c>
      <c r="O1400" s="24" t="s">
        <v>927</v>
      </c>
      <c r="P1400" s="4"/>
      <c r="Q1400" s="4"/>
      <c r="R1400" s="4">
        <v>14.3</v>
      </c>
      <c r="S1400" s="4">
        <v>286</v>
      </c>
      <c r="T1400" s="303">
        <f t="shared" si="333"/>
        <v>-76.699999999999989</v>
      </c>
      <c r="U1400" s="88">
        <f t="shared" si="334"/>
        <v>195</v>
      </c>
      <c r="V1400" s="27">
        <v>0</v>
      </c>
      <c r="W1400" s="4">
        <v>2</v>
      </c>
      <c r="X1400" s="195">
        <f t="shared" si="335"/>
        <v>195</v>
      </c>
      <c r="Y1400" s="29" t="e">
        <f>IF(+VLOOKUP(I1400,P.Referencia!E:S,3,FALSE)&lt;=L1400,"Champion","Gerente")</f>
        <v>#N/A</v>
      </c>
      <c r="Z1400" s="30" t="e">
        <f>VLOOKUP(I1400,P.Referencia!E:S,3,0)</f>
        <v>#N/A</v>
      </c>
      <c r="AA1400" s="196" t="e">
        <f t="shared" si="336"/>
        <v>#N/A</v>
      </c>
      <c r="AB1400" s="197" t="e">
        <f t="shared" si="337"/>
        <v>#N/A</v>
      </c>
      <c r="AC1400" s="197" t="e">
        <f t="shared" si="338"/>
        <v>#N/A</v>
      </c>
    </row>
    <row r="1401" spans="1:29" hidden="1" x14ac:dyDescent="0.25">
      <c r="A1401" s="24">
        <v>1400</v>
      </c>
      <c r="B1401" s="89" t="s">
        <v>374</v>
      </c>
      <c r="C1401" s="4" t="str">
        <f t="shared" si="332"/>
        <v>LlaveD86167375199100668612</v>
      </c>
      <c r="D1401" s="25" t="str">
        <f>VLOOKUP(E1401,'NO MODIFICAR'!J:K,2,0)</f>
        <v>D861</v>
      </c>
      <c r="E1401" s="102" t="s">
        <v>44</v>
      </c>
      <c r="F1401" s="25" t="str">
        <f>VLOOKUP(D1401,'NO MODIFICAR'!F:H,3,0)</f>
        <v xml:space="preserve">CENTRO </v>
      </c>
      <c r="G1401" s="92">
        <v>67375199</v>
      </c>
      <c r="H1401" s="93" t="s">
        <v>1074</v>
      </c>
      <c r="I1401" s="28">
        <v>10066861</v>
      </c>
      <c r="J1401" s="4" t="str">
        <f>VLOOKUP(I1401,'Materiales,canteras'!C:D,2,0)</f>
        <v>GRAVA TRITURADA BASALTO DE 40</v>
      </c>
      <c r="K1401" s="25">
        <f>VLOOKUP(I1401,'Materiales,canteras'!C:E,3,0)</f>
        <v>1.464</v>
      </c>
      <c r="L1401" s="27">
        <v>200</v>
      </c>
      <c r="M1401" s="28" t="s">
        <v>93</v>
      </c>
      <c r="N1401" s="193">
        <f t="shared" ca="1" si="330"/>
        <v>46267</v>
      </c>
      <c r="O1401" s="24" t="s">
        <v>928</v>
      </c>
      <c r="P1401" s="4"/>
      <c r="Q1401" s="4"/>
      <c r="R1401" s="4">
        <v>11</v>
      </c>
      <c r="S1401" s="4">
        <v>220</v>
      </c>
      <c r="T1401" s="303">
        <f t="shared" si="333"/>
        <v>-9</v>
      </c>
      <c r="U1401" s="88">
        <f t="shared" si="334"/>
        <v>200</v>
      </c>
      <c r="V1401" s="27">
        <v>0</v>
      </c>
      <c r="W1401" s="4">
        <v>2</v>
      </c>
      <c r="X1401" s="195">
        <f t="shared" si="335"/>
        <v>200</v>
      </c>
      <c r="Y1401" s="29" t="e">
        <f>IF(+VLOOKUP(I1401,P.Referencia!E:S,3,FALSE)&lt;=L1401,"Champion","Gerente")</f>
        <v>#N/A</v>
      </c>
      <c r="Z1401" s="30" t="e">
        <f>VLOOKUP(I1401,P.Referencia!E:S,3,0)</f>
        <v>#N/A</v>
      </c>
      <c r="AA1401" s="196" t="e">
        <f t="shared" si="336"/>
        <v>#N/A</v>
      </c>
      <c r="AB1401" s="197" t="e">
        <f t="shared" si="337"/>
        <v>#N/A</v>
      </c>
      <c r="AC1401" s="197" t="e">
        <f t="shared" si="338"/>
        <v>#N/A</v>
      </c>
    </row>
    <row r="1402" spans="1:29" hidden="1" x14ac:dyDescent="0.25">
      <c r="A1402" s="24">
        <v>1401</v>
      </c>
      <c r="B1402" s="89" t="s">
        <v>374</v>
      </c>
      <c r="C1402" s="4" t="str">
        <f t="shared" si="332"/>
        <v>LlaveD86167375199100002332</v>
      </c>
      <c r="D1402" s="25" t="str">
        <f>VLOOKUP(E1402,'NO MODIFICAR'!J:K,2,0)</f>
        <v>D861</v>
      </c>
      <c r="E1402" s="102" t="s">
        <v>44</v>
      </c>
      <c r="F1402" s="25" t="str">
        <f>VLOOKUP(D1402,'NO MODIFICAR'!F:H,3,0)</f>
        <v xml:space="preserve">CENTRO </v>
      </c>
      <c r="G1402" s="92">
        <v>67375199</v>
      </c>
      <c r="H1402" s="93" t="s">
        <v>1074</v>
      </c>
      <c r="I1402" s="28">
        <v>10000233</v>
      </c>
      <c r="J1402" s="4" t="str">
        <f>VLOOKUP(I1402,'Materiales,canteras'!C:D,2,0)</f>
        <v>Grava Triturada Basalto  40 mm</v>
      </c>
      <c r="K1402" s="25">
        <f>VLOOKUP(I1402,'Materiales,canteras'!C:E,3,0)</f>
        <v>1.456</v>
      </c>
      <c r="L1402" s="27">
        <v>200</v>
      </c>
      <c r="M1402" s="28" t="s">
        <v>93</v>
      </c>
      <c r="N1402" s="193">
        <f t="shared" ca="1" si="330"/>
        <v>46267</v>
      </c>
      <c r="O1402" s="24" t="s">
        <v>929</v>
      </c>
      <c r="P1402" s="4"/>
      <c r="Q1402" s="4"/>
      <c r="R1402" s="4">
        <v>15.5</v>
      </c>
      <c r="S1402" s="4">
        <v>310</v>
      </c>
      <c r="T1402" s="303">
        <f t="shared" si="333"/>
        <v>-94.5</v>
      </c>
      <c r="U1402" s="88">
        <f t="shared" si="334"/>
        <v>200</v>
      </c>
      <c r="V1402" s="27">
        <v>0</v>
      </c>
      <c r="W1402" s="4">
        <v>2</v>
      </c>
      <c r="X1402" s="195">
        <f t="shared" si="335"/>
        <v>200</v>
      </c>
      <c r="Y1402" s="29" t="e">
        <f>IF(+VLOOKUP(I1402,P.Referencia!E:S,3,FALSE)&lt;=L1402,"Champion","Gerente")</f>
        <v>#N/A</v>
      </c>
      <c r="Z1402" s="30" t="e">
        <f>VLOOKUP(I1402,P.Referencia!E:S,3,0)</f>
        <v>#N/A</v>
      </c>
      <c r="AA1402" s="196" t="e">
        <f t="shared" si="336"/>
        <v>#N/A</v>
      </c>
      <c r="AB1402" s="197" t="e">
        <f t="shared" si="337"/>
        <v>#N/A</v>
      </c>
      <c r="AC1402" s="197" t="e">
        <f t="shared" si="338"/>
        <v>#N/A</v>
      </c>
    </row>
    <row r="1403" spans="1:29" hidden="1" x14ac:dyDescent="0.25">
      <c r="A1403" s="24">
        <v>1402</v>
      </c>
      <c r="B1403" s="89" t="s">
        <v>374</v>
      </c>
      <c r="C1403" s="4" t="str">
        <f t="shared" si="332"/>
        <v>LlaveD86167375199100002902</v>
      </c>
      <c r="D1403" s="25" t="str">
        <f>VLOOKUP(E1403,'NO MODIFICAR'!J:K,2,0)</f>
        <v>D861</v>
      </c>
      <c r="E1403" s="102" t="s">
        <v>44</v>
      </c>
      <c r="F1403" s="25" t="str">
        <f>VLOOKUP(D1403,'NO MODIFICAR'!F:H,3,0)</f>
        <v xml:space="preserve">CENTRO </v>
      </c>
      <c r="G1403" s="92">
        <v>67375199</v>
      </c>
      <c r="H1403" s="93" t="s">
        <v>1074</v>
      </c>
      <c r="I1403" s="28">
        <v>10000290</v>
      </c>
      <c r="J1403" s="4" t="str">
        <f>VLOOKUP(I1403,'Materiales,canteras'!C:D,2,0)</f>
        <v>Polvos Triturado Basalto 3/4"</v>
      </c>
      <c r="K1403" s="25">
        <f>VLOOKUP(I1403,'Materiales,canteras'!C:E,3,0)</f>
        <v>1.3720000000000001</v>
      </c>
      <c r="L1403" s="27">
        <v>1</v>
      </c>
      <c r="M1403" s="28" t="s">
        <v>93</v>
      </c>
      <c r="N1403" s="193">
        <f t="shared" ca="1" si="330"/>
        <v>46267</v>
      </c>
      <c r="O1403" s="24" t="s">
        <v>930</v>
      </c>
      <c r="P1403" s="4"/>
      <c r="Q1403" s="4"/>
      <c r="R1403" s="4">
        <v>1.4</v>
      </c>
      <c r="S1403" s="4">
        <v>28</v>
      </c>
      <c r="T1403" s="303">
        <f t="shared" si="333"/>
        <v>-25.6</v>
      </c>
      <c r="U1403" s="88">
        <f t="shared" si="334"/>
        <v>1</v>
      </c>
      <c r="V1403" s="27">
        <v>0</v>
      </c>
      <c r="W1403" s="4">
        <v>2</v>
      </c>
      <c r="X1403" s="195">
        <f t="shared" si="335"/>
        <v>1</v>
      </c>
      <c r="Y1403" s="29" t="e">
        <f>IF(+VLOOKUP(I1403,P.Referencia!E:S,3,FALSE)&lt;=L1403,"Champion","Gerente")</f>
        <v>#N/A</v>
      </c>
      <c r="Z1403" s="30" t="e">
        <f>VLOOKUP(I1403,P.Referencia!E:S,3,0)</f>
        <v>#N/A</v>
      </c>
      <c r="AA1403" s="196" t="e">
        <f t="shared" si="336"/>
        <v>#N/A</v>
      </c>
      <c r="AB1403" s="197" t="e">
        <f t="shared" si="337"/>
        <v>#N/A</v>
      </c>
      <c r="AC1403" s="197" t="e">
        <f t="shared" si="338"/>
        <v>#N/A</v>
      </c>
    </row>
    <row r="1404" spans="1:29" hidden="1" x14ac:dyDescent="0.25">
      <c r="A1404" s="24">
        <v>1403</v>
      </c>
      <c r="B1404" s="89" t="s">
        <v>374</v>
      </c>
      <c r="C1404" s="4" t="str">
        <f t="shared" si="332"/>
        <v>LlaveD86467385618100002402</v>
      </c>
      <c r="D1404" s="25" t="str">
        <f>VLOOKUP(E1404,'NO MODIFICAR'!J:K,2,0)</f>
        <v>D864</v>
      </c>
      <c r="E1404" s="102" t="s">
        <v>55</v>
      </c>
      <c r="F1404" s="25" t="str">
        <f>VLOOKUP(D1404,'NO MODIFICAR'!F:H,3,0)</f>
        <v xml:space="preserve">CENTRO </v>
      </c>
      <c r="G1404" s="92">
        <v>67385618</v>
      </c>
      <c r="H1404" s="93" t="s">
        <v>1075</v>
      </c>
      <c r="I1404" s="28">
        <v>10000240</v>
      </c>
      <c r="J1404" s="4" t="str">
        <f>VLOOKUP(I1404,'Materiales,canteras'!C:D,2,0)</f>
        <v>Grava Triturada Caliza 20 mm -</v>
      </c>
      <c r="K1404" s="25">
        <f>VLOOKUP(I1404,'Materiales,canteras'!C:E,3,0)</f>
        <v>1.462</v>
      </c>
      <c r="L1404" s="27">
        <v>115.5</v>
      </c>
      <c r="M1404" s="28" t="s">
        <v>93</v>
      </c>
      <c r="N1404" s="193">
        <f t="shared" ca="1" si="330"/>
        <v>46267</v>
      </c>
      <c r="O1404" s="24" t="s">
        <v>931</v>
      </c>
      <c r="P1404" s="4"/>
      <c r="Q1404" s="4"/>
      <c r="R1404" s="4">
        <v>4.41</v>
      </c>
      <c r="S1404" s="4">
        <v>294</v>
      </c>
      <c r="T1404" s="303">
        <f t="shared" si="333"/>
        <v>-174.08999999999997</v>
      </c>
      <c r="U1404" s="88">
        <f t="shared" si="334"/>
        <v>115.5</v>
      </c>
      <c r="V1404" s="27">
        <v>0</v>
      </c>
      <c r="W1404" s="4">
        <v>2</v>
      </c>
      <c r="X1404" s="195">
        <f t="shared" si="335"/>
        <v>115.5</v>
      </c>
      <c r="Y1404" s="29" t="e">
        <f>IF(+VLOOKUP(I1404,P.Referencia!E:S,3,FALSE)&lt;=L1404,"Champion","Gerente")</f>
        <v>#N/A</v>
      </c>
      <c r="Z1404" s="30" t="e">
        <f>VLOOKUP(I1404,P.Referencia!E:S,3,0)</f>
        <v>#N/A</v>
      </c>
      <c r="AA1404" s="196" t="e">
        <f t="shared" si="336"/>
        <v>#N/A</v>
      </c>
      <c r="AB1404" s="197" t="e">
        <f t="shared" si="337"/>
        <v>#N/A</v>
      </c>
      <c r="AC1404" s="197" t="e">
        <f t="shared" si="338"/>
        <v>#N/A</v>
      </c>
    </row>
    <row r="1405" spans="1:29" hidden="1" x14ac:dyDescent="0.25">
      <c r="A1405" s="24">
        <v>1404</v>
      </c>
      <c r="B1405" s="89" t="s">
        <v>374</v>
      </c>
      <c r="C1405" s="4" t="str">
        <f t="shared" si="332"/>
        <v>LlaveD86467385618100010732</v>
      </c>
      <c r="D1405" s="25" t="str">
        <f>VLOOKUP(E1405,'NO MODIFICAR'!J:K,2,0)</f>
        <v>D864</v>
      </c>
      <c r="E1405" s="102" t="s">
        <v>55</v>
      </c>
      <c r="F1405" s="25" t="str">
        <f>VLOOKUP(D1405,'NO MODIFICAR'!F:H,3,0)</f>
        <v xml:space="preserve">CENTRO </v>
      </c>
      <c r="G1405" s="92">
        <v>67385618</v>
      </c>
      <c r="H1405" s="93" t="s">
        <v>1075</v>
      </c>
      <c r="I1405" s="28">
        <v>10001073</v>
      </c>
      <c r="J1405" s="4" t="str">
        <f>VLOOKUP(I1405,'Materiales,canteras'!C:D,2,0)</f>
        <v>Arena Triturada Caliza Malla 4</v>
      </c>
      <c r="K1405" s="25">
        <f>VLOOKUP(I1405,'Materiales,canteras'!C:E,3,0)</f>
        <v>1.56</v>
      </c>
      <c r="L1405" s="27">
        <v>84</v>
      </c>
      <c r="M1405" s="28" t="s">
        <v>93</v>
      </c>
      <c r="N1405" s="193">
        <f t="shared" ca="1" si="330"/>
        <v>46267</v>
      </c>
      <c r="O1405" s="24" t="s">
        <v>932</v>
      </c>
      <c r="P1405" s="4"/>
      <c r="Q1405" s="4"/>
      <c r="R1405" s="4">
        <v>2.37</v>
      </c>
      <c r="S1405" s="4">
        <v>158</v>
      </c>
      <c r="T1405" s="303">
        <f t="shared" si="333"/>
        <v>-71.63</v>
      </c>
      <c r="U1405" s="88">
        <f t="shared" si="334"/>
        <v>84</v>
      </c>
      <c r="V1405" s="27">
        <v>0</v>
      </c>
      <c r="W1405" s="4">
        <v>2</v>
      </c>
      <c r="X1405" s="195">
        <f t="shared" si="335"/>
        <v>84</v>
      </c>
      <c r="Y1405" s="29" t="e">
        <f>IF(+VLOOKUP(I1405,P.Referencia!E:S,3,FALSE)&lt;=L1405,"Champion","Gerente")</f>
        <v>#N/A</v>
      </c>
      <c r="Z1405" s="30" t="e">
        <f>VLOOKUP(I1405,P.Referencia!E:S,3,0)</f>
        <v>#N/A</v>
      </c>
      <c r="AA1405" s="196" t="e">
        <f t="shared" si="336"/>
        <v>#N/A</v>
      </c>
      <c r="AB1405" s="197" t="e">
        <f t="shared" si="337"/>
        <v>#N/A</v>
      </c>
      <c r="AC1405" s="197" t="e">
        <f t="shared" si="338"/>
        <v>#N/A</v>
      </c>
    </row>
    <row r="1406" spans="1:29" hidden="1" x14ac:dyDescent="0.25">
      <c r="A1406" s="24">
        <v>1405</v>
      </c>
      <c r="B1406" s="89" t="s">
        <v>374</v>
      </c>
      <c r="C1406" s="4" t="str">
        <f t="shared" si="332"/>
        <v>LlaveD86467385618100002692</v>
      </c>
      <c r="D1406" s="25" t="str">
        <f>VLOOKUP(E1406,'NO MODIFICAR'!J:K,2,0)</f>
        <v>D864</v>
      </c>
      <c r="E1406" s="102" t="s">
        <v>55</v>
      </c>
      <c r="F1406" s="25" t="str">
        <f>VLOOKUP(D1406,'NO MODIFICAR'!F:H,3,0)</f>
        <v xml:space="preserve">CENTRO </v>
      </c>
      <c r="G1406" s="92">
        <v>67385618</v>
      </c>
      <c r="H1406" s="93" t="s">
        <v>1075</v>
      </c>
      <c r="I1406" s="28">
        <v>10000269</v>
      </c>
      <c r="J1406" s="4" t="str">
        <f>VLOOKUP(I1406,'Materiales,canteras'!C:D,2,0)</f>
        <v>Grava Triturada Caliza 13 mm -</v>
      </c>
      <c r="K1406" s="25">
        <f>VLOOKUP(I1406,'Materiales,canteras'!C:E,3,0)</f>
        <v>1.423</v>
      </c>
      <c r="L1406" s="27">
        <v>136.5</v>
      </c>
      <c r="M1406" s="28" t="s">
        <v>93</v>
      </c>
      <c r="N1406" s="193">
        <f t="shared" ca="1" si="330"/>
        <v>46267</v>
      </c>
      <c r="O1406" s="24" t="s">
        <v>933</v>
      </c>
      <c r="P1406" s="4"/>
      <c r="Q1406" s="4"/>
      <c r="R1406" s="4">
        <v>3.95</v>
      </c>
      <c r="S1406" s="4">
        <v>263</v>
      </c>
      <c r="T1406" s="303">
        <f t="shared" si="333"/>
        <v>-122.55000000000001</v>
      </c>
      <c r="U1406" s="88">
        <f t="shared" si="334"/>
        <v>136.5</v>
      </c>
      <c r="V1406" s="27">
        <v>0</v>
      </c>
      <c r="W1406" s="4">
        <v>2</v>
      </c>
      <c r="X1406" s="195">
        <f t="shared" si="335"/>
        <v>136.5</v>
      </c>
      <c r="Y1406" s="29" t="e">
        <f>IF(+VLOOKUP(I1406,P.Referencia!E:S,3,FALSE)&lt;=L1406,"Champion","Gerente")</f>
        <v>#N/A</v>
      </c>
      <c r="Z1406" s="30" t="e">
        <f>VLOOKUP(I1406,P.Referencia!E:S,3,0)</f>
        <v>#N/A</v>
      </c>
      <c r="AA1406" s="196" t="e">
        <f t="shared" si="336"/>
        <v>#N/A</v>
      </c>
      <c r="AB1406" s="197" t="e">
        <f t="shared" si="337"/>
        <v>#N/A</v>
      </c>
      <c r="AC1406" s="197" t="e">
        <f t="shared" si="338"/>
        <v>#N/A</v>
      </c>
    </row>
    <row r="1407" spans="1:29" hidden="1" x14ac:dyDescent="0.25">
      <c r="A1407" s="24">
        <v>1406</v>
      </c>
      <c r="B1407" s="89" t="s">
        <v>374</v>
      </c>
      <c r="C1407" s="4" t="str">
        <f t="shared" si="332"/>
        <v>LlaveD86467385618100002362</v>
      </c>
      <c r="D1407" s="25" t="str">
        <f>VLOOKUP(E1407,'NO MODIFICAR'!J:K,2,0)</f>
        <v>D864</v>
      </c>
      <c r="E1407" s="102" t="s">
        <v>55</v>
      </c>
      <c r="F1407" s="25" t="str">
        <f>VLOOKUP(D1407,'NO MODIFICAR'!F:H,3,0)</f>
        <v xml:space="preserve">CENTRO </v>
      </c>
      <c r="G1407" s="92">
        <v>67385618</v>
      </c>
      <c r="H1407" s="93" t="s">
        <v>1075</v>
      </c>
      <c r="I1407" s="28">
        <v>10000236</v>
      </c>
      <c r="J1407" s="4" t="str">
        <f>VLOOKUP(I1407,'Materiales,canteras'!C:D,2,0)</f>
        <v>Grava Triturada Caliza 10 mm -</v>
      </c>
      <c r="K1407" s="25">
        <f>VLOOKUP(I1407,'Materiales,canteras'!C:E,3,0)</f>
        <v>1.41</v>
      </c>
      <c r="L1407" s="27">
        <v>136.5</v>
      </c>
      <c r="M1407" s="28" t="s">
        <v>93</v>
      </c>
      <c r="N1407" s="193">
        <f t="shared" ca="1" si="330"/>
        <v>46267</v>
      </c>
      <c r="O1407" s="24" t="s">
        <v>934</v>
      </c>
      <c r="P1407" s="4"/>
      <c r="Q1407" s="4"/>
      <c r="R1407" s="4">
        <v>3.78</v>
      </c>
      <c r="S1407" s="4">
        <v>252</v>
      </c>
      <c r="T1407" s="303">
        <f t="shared" si="333"/>
        <v>-111.72</v>
      </c>
      <c r="U1407" s="88">
        <f t="shared" si="334"/>
        <v>136.5</v>
      </c>
      <c r="V1407" s="27">
        <v>0</v>
      </c>
      <c r="W1407" s="4">
        <v>2</v>
      </c>
      <c r="X1407" s="195">
        <f t="shared" si="335"/>
        <v>136.5</v>
      </c>
      <c r="Y1407" s="29" t="e">
        <f>IF(+VLOOKUP(I1407,P.Referencia!E:S,3,FALSE)&lt;=L1407,"Champion","Gerente")</f>
        <v>#N/A</v>
      </c>
      <c r="Z1407" s="30" t="e">
        <f>VLOOKUP(I1407,P.Referencia!E:S,3,0)</f>
        <v>#N/A</v>
      </c>
      <c r="AA1407" s="196" t="e">
        <f t="shared" si="336"/>
        <v>#N/A</v>
      </c>
      <c r="AB1407" s="197" t="e">
        <f t="shared" si="337"/>
        <v>#N/A</v>
      </c>
      <c r="AC1407" s="197" t="e">
        <f t="shared" si="338"/>
        <v>#N/A</v>
      </c>
    </row>
    <row r="1408" spans="1:29" hidden="1" x14ac:dyDescent="0.25">
      <c r="A1408" s="24">
        <v>1407</v>
      </c>
      <c r="B1408" s="89" t="s">
        <v>374</v>
      </c>
      <c r="C1408" s="4" t="str">
        <f t="shared" si="332"/>
        <v>LlaveD86467385618100010742</v>
      </c>
      <c r="D1408" s="25" t="str">
        <f>VLOOKUP(E1408,'NO MODIFICAR'!J:K,2,0)</f>
        <v>D864</v>
      </c>
      <c r="E1408" s="102" t="s">
        <v>55</v>
      </c>
      <c r="F1408" s="25" t="str">
        <f>VLOOKUP(D1408,'NO MODIFICAR'!F:H,3,0)</f>
        <v xml:space="preserve">CENTRO </v>
      </c>
      <c r="G1408" s="92">
        <v>67385618</v>
      </c>
      <c r="H1408" s="93" t="s">
        <v>1075</v>
      </c>
      <c r="I1408" s="28">
        <v>10001074</v>
      </c>
      <c r="J1408" s="4" t="str">
        <f>VLOOKUP(I1408,'Materiales,canteras'!C:D,2,0)</f>
        <v>Grava Triturada Caliza 40 mm -</v>
      </c>
      <c r="K1408" s="25">
        <f>VLOOKUP(I1408,'Materiales,canteras'!C:E,3,0)</f>
        <v>1.4</v>
      </c>
      <c r="L1408" s="27">
        <v>115.5</v>
      </c>
      <c r="M1408" s="28" t="s">
        <v>93</v>
      </c>
      <c r="N1408" s="193">
        <f t="shared" ca="1" si="330"/>
        <v>46267</v>
      </c>
      <c r="O1408" s="24" t="s">
        <v>935</v>
      </c>
      <c r="P1408" s="4"/>
      <c r="Q1408" s="4"/>
      <c r="R1408" s="4">
        <v>3.47</v>
      </c>
      <c r="S1408" s="4">
        <v>231</v>
      </c>
      <c r="T1408" s="303">
        <f t="shared" si="333"/>
        <v>-112.03</v>
      </c>
      <c r="U1408" s="88">
        <f t="shared" si="334"/>
        <v>115.5</v>
      </c>
      <c r="V1408" s="27">
        <v>0</v>
      </c>
      <c r="W1408" s="4">
        <v>2</v>
      </c>
      <c r="X1408" s="195">
        <f t="shared" si="335"/>
        <v>115.5</v>
      </c>
      <c r="Y1408" s="29" t="e">
        <f>IF(+VLOOKUP(I1408,P.Referencia!E:S,3,FALSE)&lt;=L1408,"Champion","Gerente")</f>
        <v>#N/A</v>
      </c>
      <c r="Z1408" s="30" t="e">
        <f>VLOOKUP(I1408,P.Referencia!E:S,3,0)</f>
        <v>#N/A</v>
      </c>
      <c r="AA1408" s="196" t="e">
        <f t="shared" si="336"/>
        <v>#N/A</v>
      </c>
      <c r="AB1408" s="197" t="e">
        <f t="shared" si="337"/>
        <v>#N/A</v>
      </c>
      <c r="AC1408" s="197" t="e">
        <f t="shared" si="338"/>
        <v>#N/A</v>
      </c>
    </row>
    <row r="1409" spans="1:29" hidden="1" x14ac:dyDescent="0.25">
      <c r="A1409" s="24">
        <v>1408</v>
      </c>
      <c r="B1409" s="89" t="s">
        <v>374</v>
      </c>
      <c r="C1409" s="4" t="str">
        <f t="shared" si="332"/>
        <v>LlaveD86466970213100002362</v>
      </c>
      <c r="D1409" s="25" t="str">
        <f>VLOOKUP(E1409,'NO MODIFICAR'!J:K,2,0)</f>
        <v>D864</v>
      </c>
      <c r="E1409" s="102" t="s">
        <v>55</v>
      </c>
      <c r="F1409" s="25" t="str">
        <f>VLOOKUP(D1409,'NO MODIFICAR'!F:H,3,0)</f>
        <v xml:space="preserve">CENTRO </v>
      </c>
      <c r="G1409" s="92">
        <v>66970213</v>
      </c>
      <c r="H1409" s="93" t="s">
        <v>995</v>
      </c>
      <c r="I1409" s="28">
        <v>10000236</v>
      </c>
      <c r="J1409" s="4" t="str">
        <f>VLOOKUP(I1409,'Materiales,canteras'!C:D,2,0)</f>
        <v>Grava Triturada Caliza 10 mm -</v>
      </c>
      <c r="K1409" s="25">
        <f>VLOOKUP(I1409,'Materiales,canteras'!C:E,3,0)</f>
        <v>1.41</v>
      </c>
      <c r="L1409" s="27">
        <v>135</v>
      </c>
      <c r="M1409" s="28" t="s">
        <v>93</v>
      </c>
      <c r="N1409" s="193">
        <f t="shared" ca="1" si="330"/>
        <v>46267</v>
      </c>
      <c r="O1409" s="24" t="s">
        <v>936</v>
      </c>
      <c r="P1409" s="4"/>
      <c r="Q1409" s="4"/>
      <c r="R1409" s="4">
        <v>3.78</v>
      </c>
      <c r="S1409" s="4">
        <v>252</v>
      </c>
      <c r="T1409" s="303">
        <f t="shared" si="333"/>
        <v>-113.22</v>
      </c>
      <c r="U1409" s="88">
        <f t="shared" si="334"/>
        <v>135</v>
      </c>
      <c r="V1409" s="27">
        <v>0</v>
      </c>
      <c r="W1409" s="4">
        <v>2</v>
      </c>
      <c r="X1409" s="195">
        <f t="shared" si="335"/>
        <v>135</v>
      </c>
      <c r="Y1409" s="29" t="e">
        <f>IF(+VLOOKUP(I1409,P.Referencia!E:S,3,FALSE)&lt;=L1409,"Champion","Gerente")</f>
        <v>#N/A</v>
      </c>
      <c r="Z1409" s="30" t="e">
        <f>VLOOKUP(I1409,P.Referencia!E:S,3,0)</f>
        <v>#N/A</v>
      </c>
      <c r="AA1409" s="196" t="e">
        <f t="shared" si="336"/>
        <v>#N/A</v>
      </c>
      <c r="AB1409" s="197" t="e">
        <f t="shared" si="337"/>
        <v>#N/A</v>
      </c>
      <c r="AC1409" s="197" t="e">
        <f t="shared" si="338"/>
        <v>#N/A</v>
      </c>
    </row>
    <row r="1410" spans="1:29" hidden="1" x14ac:dyDescent="0.25">
      <c r="A1410" s="24">
        <v>1409</v>
      </c>
      <c r="B1410" s="89" t="s">
        <v>374</v>
      </c>
      <c r="C1410" s="4" t="str">
        <f t="shared" si="332"/>
        <v>LlaveD86466970213100010732</v>
      </c>
      <c r="D1410" s="25" t="str">
        <f>VLOOKUP(E1410,'NO MODIFICAR'!J:K,2,0)</f>
        <v>D864</v>
      </c>
      <c r="E1410" s="102" t="s">
        <v>55</v>
      </c>
      <c r="F1410" s="25" t="str">
        <f>VLOOKUP(D1410,'NO MODIFICAR'!F:H,3,0)</f>
        <v xml:space="preserve">CENTRO </v>
      </c>
      <c r="G1410" s="92">
        <v>66970213</v>
      </c>
      <c r="H1410" s="93" t="s">
        <v>995</v>
      </c>
      <c r="I1410" s="28">
        <v>10001073</v>
      </c>
      <c r="J1410" s="4" t="str">
        <f>VLOOKUP(I1410,'Materiales,canteras'!C:D,2,0)</f>
        <v>Arena Triturada Caliza Malla 4</v>
      </c>
      <c r="K1410" s="25">
        <f>VLOOKUP(I1410,'Materiales,canteras'!C:E,3,0)</f>
        <v>1.56</v>
      </c>
      <c r="L1410" s="27">
        <v>97</v>
      </c>
      <c r="M1410" s="28" t="s">
        <v>93</v>
      </c>
      <c r="N1410" s="193">
        <f t="shared" ca="1" si="330"/>
        <v>46267</v>
      </c>
      <c r="O1410" s="24" t="s">
        <v>937</v>
      </c>
      <c r="P1410" s="4"/>
      <c r="Q1410" s="4"/>
      <c r="R1410" s="4">
        <v>2.37</v>
      </c>
      <c r="S1410" s="4">
        <v>158</v>
      </c>
      <c r="T1410" s="303">
        <f t="shared" si="333"/>
        <v>-58.629999999999995</v>
      </c>
      <c r="U1410" s="88">
        <f t="shared" si="334"/>
        <v>97</v>
      </c>
      <c r="V1410" s="27">
        <v>0</v>
      </c>
      <c r="W1410" s="4">
        <v>2</v>
      </c>
      <c r="X1410" s="195">
        <f t="shared" si="335"/>
        <v>97</v>
      </c>
      <c r="Y1410" s="29" t="e">
        <f>IF(+VLOOKUP(I1410,P.Referencia!E:S,3,FALSE)&lt;=L1410,"Champion","Gerente")</f>
        <v>#N/A</v>
      </c>
      <c r="Z1410" s="30" t="e">
        <f>VLOOKUP(I1410,P.Referencia!E:S,3,0)</f>
        <v>#N/A</v>
      </c>
      <c r="AA1410" s="196" t="e">
        <f t="shared" si="336"/>
        <v>#N/A</v>
      </c>
      <c r="AB1410" s="197" t="e">
        <f t="shared" si="337"/>
        <v>#N/A</v>
      </c>
      <c r="AC1410" s="197" t="e">
        <f t="shared" si="338"/>
        <v>#N/A</v>
      </c>
    </row>
    <row r="1411" spans="1:29" hidden="1" x14ac:dyDescent="0.25">
      <c r="A1411" s="24">
        <v>1410</v>
      </c>
      <c r="B1411" s="89" t="s">
        <v>374</v>
      </c>
      <c r="C1411" s="4" t="str">
        <f t="shared" si="332"/>
        <v>LlaveDU0766970002100001012</v>
      </c>
      <c r="D1411" s="25" t="str">
        <f>VLOOKUP(E1411,'NO MODIFICAR'!J:K,2,0)</f>
        <v>DU07</v>
      </c>
      <c r="E1411" s="102" t="s">
        <v>87</v>
      </c>
      <c r="F1411" s="25" t="str">
        <f>VLOOKUP(D1411,'NO MODIFICAR'!F:H,3,0)</f>
        <v>SURESTE</v>
      </c>
      <c r="G1411" s="92">
        <v>66970002</v>
      </c>
      <c r="H1411" s="93" t="s">
        <v>246</v>
      </c>
      <c r="I1411" s="28">
        <v>10000101</v>
      </c>
      <c r="J1411" s="4" t="str">
        <f>VLOOKUP(I1411,'Materiales,canteras'!C:D,2,0)</f>
        <v>Arena Triturada Caliza Malla 4</v>
      </c>
      <c r="K1411" s="25">
        <f>VLOOKUP(I1411,'Materiales,canteras'!C:E,3,0)</f>
        <v>1.417</v>
      </c>
      <c r="L1411" s="27">
        <f>350/K1411</f>
        <v>247.00070571630204</v>
      </c>
      <c r="M1411" s="28" t="s">
        <v>93</v>
      </c>
      <c r="N1411" s="193">
        <f t="shared" ca="1" si="330"/>
        <v>46267</v>
      </c>
      <c r="O1411" s="24" t="s">
        <v>938</v>
      </c>
      <c r="P1411" s="4"/>
      <c r="Q1411" s="4"/>
      <c r="R1411" s="4"/>
      <c r="S1411" s="4">
        <v>420</v>
      </c>
      <c r="T1411" s="303">
        <f t="shared" si="333"/>
        <v>-172.99929428369796</v>
      </c>
      <c r="U1411" s="88">
        <f t="shared" si="334"/>
        <v>247.00070571630204</v>
      </c>
      <c r="V1411" s="27">
        <v>0</v>
      </c>
      <c r="W1411" s="4">
        <v>2</v>
      </c>
      <c r="X1411" s="195">
        <f t="shared" si="335"/>
        <v>247.00070571630204</v>
      </c>
      <c r="Y1411" s="29" t="e">
        <f>IF(+VLOOKUP(I1411,P.Referencia!E:S,3,FALSE)&lt;=L1411,"Champion","Gerente")</f>
        <v>#N/A</v>
      </c>
      <c r="Z1411" s="30" t="e">
        <f>VLOOKUP(I1411,P.Referencia!E:S,3,0)</f>
        <v>#N/A</v>
      </c>
      <c r="AA1411" s="196" t="e">
        <f t="shared" si="336"/>
        <v>#N/A</v>
      </c>
      <c r="AB1411" s="197" t="e">
        <f t="shared" si="337"/>
        <v>#N/A</v>
      </c>
      <c r="AC1411" s="197" t="e">
        <f t="shared" si="338"/>
        <v>#N/A</v>
      </c>
    </row>
    <row r="1412" spans="1:29" hidden="1" x14ac:dyDescent="0.25">
      <c r="A1412" s="24">
        <v>1411</v>
      </c>
      <c r="B1412" s="89" t="s">
        <v>374</v>
      </c>
      <c r="C1412" s="4" t="str">
        <f t="shared" si="332"/>
        <v>LlaveDU0766970002100001102</v>
      </c>
      <c r="D1412" s="25" t="str">
        <f>VLOOKUP(E1412,'NO MODIFICAR'!J:K,2,0)</f>
        <v>DU07</v>
      </c>
      <c r="E1412" s="102" t="s">
        <v>87</v>
      </c>
      <c r="F1412" s="25" t="str">
        <f>VLOOKUP(D1412,'NO MODIFICAR'!F:H,3,0)</f>
        <v>SURESTE</v>
      </c>
      <c r="G1412" s="92">
        <v>66970002</v>
      </c>
      <c r="H1412" s="93" t="s">
        <v>246</v>
      </c>
      <c r="I1412" s="28">
        <v>10000110</v>
      </c>
      <c r="J1412" s="4" t="str">
        <f>VLOOKUP(I1412,'Materiales,canteras'!C:D,2,0)</f>
        <v>GRAVA TRITURADA CALIZA 20 MM “3/4"–INTEG</v>
      </c>
      <c r="K1412" s="25">
        <f>VLOOKUP(I1412,'Materiales,canteras'!C:E,3,0)</f>
        <v>1.2010000000000001</v>
      </c>
      <c r="L1412" s="27">
        <f>310/K1412</f>
        <v>258.11823480432969</v>
      </c>
      <c r="M1412" s="28" t="s">
        <v>93</v>
      </c>
      <c r="N1412" s="193">
        <f t="shared" ca="1" si="330"/>
        <v>46267</v>
      </c>
      <c r="O1412" s="24" t="s">
        <v>939</v>
      </c>
      <c r="P1412" s="4"/>
      <c r="Q1412" s="4"/>
      <c r="R1412" s="4"/>
      <c r="S1412" s="4">
        <v>410</v>
      </c>
      <c r="T1412" s="303">
        <f t="shared" si="333"/>
        <v>-151.88176519567031</v>
      </c>
      <c r="U1412" s="88">
        <f t="shared" si="334"/>
        <v>258.11823480432969</v>
      </c>
      <c r="V1412" s="27">
        <v>0</v>
      </c>
      <c r="W1412" s="4">
        <v>2</v>
      </c>
      <c r="X1412" s="195">
        <f t="shared" si="335"/>
        <v>258.11823480432969</v>
      </c>
      <c r="Y1412" s="29" t="e">
        <f>IF(+VLOOKUP(I1412,P.Referencia!E:S,3,FALSE)&lt;=L1412,"Champion","Gerente")</f>
        <v>#N/A</v>
      </c>
      <c r="Z1412" s="30" t="e">
        <f>VLOOKUP(I1412,P.Referencia!E:S,3,0)</f>
        <v>#N/A</v>
      </c>
      <c r="AA1412" s="196" t="e">
        <f t="shared" si="336"/>
        <v>#N/A</v>
      </c>
      <c r="AB1412" s="197" t="e">
        <f t="shared" si="337"/>
        <v>#N/A</v>
      </c>
      <c r="AC1412" s="197" t="e">
        <f t="shared" si="338"/>
        <v>#N/A</v>
      </c>
    </row>
    <row r="1413" spans="1:29" hidden="1" x14ac:dyDescent="0.25">
      <c r="A1413" s="24">
        <v>1412</v>
      </c>
      <c r="B1413" s="89" t="s">
        <v>374</v>
      </c>
      <c r="C1413" s="4" t="str">
        <f t="shared" si="332"/>
        <v>LlaveDU0766970002100001492</v>
      </c>
      <c r="D1413" s="25" t="str">
        <f>VLOOKUP(E1413,'NO MODIFICAR'!J:K,2,0)</f>
        <v>DU07</v>
      </c>
      <c r="E1413" s="102" t="s">
        <v>87</v>
      </c>
      <c r="F1413" s="25" t="str">
        <f>VLOOKUP(D1413,'NO MODIFICAR'!F:H,3,0)</f>
        <v>SURESTE</v>
      </c>
      <c r="G1413" s="92">
        <v>66970002</v>
      </c>
      <c r="H1413" s="93" t="s">
        <v>246</v>
      </c>
      <c r="I1413" s="28">
        <v>10000149</v>
      </c>
      <c r="J1413" s="4" t="str">
        <f>VLOOKUP(I1413,'Materiales,canteras'!C:D,2,0)</f>
        <v>Grava Triturada Caliza 10 mm - 3/8"</v>
      </c>
      <c r="K1413" s="25">
        <f>VLOOKUP(I1413,'Materiales,canteras'!C:E,3,0)</f>
        <v>1.3320000000000001</v>
      </c>
      <c r="L1413" s="27">
        <f>310/K1413</f>
        <v>232.73273273273273</v>
      </c>
      <c r="M1413" s="28" t="s">
        <v>93</v>
      </c>
      <c r="N1413" s="193">
        <f t="shared" ca="1" si="330"/>
        <v>46267</v>
      </c>
      <c r="O1413" s="24" t="s">
        <v>940</v>
      </c>
      <c r="P1413" s="4"/>
      <c r="Q1413" s="4"/>
      <c r="R1413" s="4"/>
      <c r="S1413" s="4">
        <v>260</v>
      </c>
      <c r="T1413" s="303">
        <f t="shared" si="333"/>
        <v>-27.267267267267272</v>
      </c>
      <c r="U1413" s="88">
        <f t="shared" si="334"/>
        <v>232.73273273273273</v>
      </c>
      <c r="V1413" s="27">
        <v>0</v>
      </c>
      <c r="W1413" s="4">
        <v>2</v>
      </c>
      <c r="X1413" s="195">
        <f t="shared" si="335"/>
        <v>232.73273273273273</v>
      </c>
      <c r="Y1413" s="29" t="e">
        <f>IF(+VLOOKUP(I1413,P.Referencia!E:S,3,FALSE)&lt;=L1413,"Champion","Gerente")</f>
        <v>#N/A</v>
      </c>
      <c r="Z1413" s="30" t="e">
        <f>VLOOKUP(I1413,P.Referencia!E:S,3,0)</f>
        <v>#N/A</v>
      </c>
      <c r="AA1413" s="196" t="e">
        <f t="shared" si="336"/>
        <v>#N/A</v>
      </c>
      <c r="AB1413" s="197" t="e">
        <f t="shared" si="337"/>
        <v>#N/A</v>
      </c>
      <c r="AC1413" s="197" t="e">
        <f t="shared" si="338"/>
        <v>#N/A</v>
      </c>
    </row>
    <row r="1414" spans="1:29" hidden="1" x14ac:dyDescent="0.25">
      <c r="A1414" s="24">
        <v>1413</v>
      </c>
      <c r="B1414" s="89" t="s">
        <v>374</v>
      </c>
      <c r="C1414" s="4" t="str">
        <f t="shared" si="332"/>
        <v>LlaveDU0766970002100001032</v>
      </c>
      <c r="D1414" s="25" t="str">
        <f>VLOOKUP(E1414,'NO MODIFICAR'!J:K,2,0)</f>
        <v>DU07</v>
      </c>
      <c r="E1414" s="102" t="s">
        <v>87</v>
      </c>
      <c r="F1414" s="25" t="str">
        <f>VLOOKUP(D1414,'NO MODIFICAR'!F:H,3,0)</f>
        <v>SURESTE</v>
      </c>
      <c r="G1414" s="92">
        <v>66970002</v>
      </c>
      <c r="H1414" s="93" t="s">
        <v>246</v>
      </c>
      <c r="I1414" s="28">
        <v>10000103</v>
      </c>
      <c r="J1414" s="4" t="str">
        <f>VLOOKUP(I1414,'Materiales,canteras'!C:D,2,0)</f>
        <v>Base H Triturada Caliza 1 1/2" a Finos</v>
      </c>
      <c r="K1414" s="25">
        <f>VLOOKUP(I1414,'Materiales,canteras'!C:E,3,0)</f>
        <v>1.462</v>
      </c>
      <c r="L1414" s="27">
        <f>137.931/K1414</f>
        <v>94.344049247606023</v>
      </c>
      <c r="M1414" s="28" t="s">
        <v>93</v>
      </c>
      <c r="N1414" s="193">
        <f t="shared" ca="1" si="330"/>
        <v>46267</v>
      </c>
      <c r="O1414" s="24" t="s">
        <v>941</v>
      </c>
      <c r="P1414" s="4"/>
      <c r="Q1414" s="4"/>
      <c r="R1414" s="4"/>
      <c r="S1414" s="4">
        <v>158</v>
      </c>
      <c r="T1414" s="303">
        <f t="shared" si="333"/>
        <v>-63.655950752393977</v>
      </c>
      <c r="U1414" s="88">
        <f t="shared" si="334"/>
        <v>94.344049247606023</v>
      </c>
      <c r="V1414" s="27">
        <v>0</v>
      </c>
      <c r="W1414" s="4">
        <v>2</v>
      </c>
      <c r="X1414" s="195">
        <f t="shared" si="335"/>
        <v>94.344049247606023</v>
      </c>
      <c r="Y1414" s="29" t="e">
        <f>IF(+VLOOKUP(I1414,P.Referencia!E:S,3,FALSE)&lt;=L1414,"Champion","Gerente")</f>
        <v>#N/A</v>
      </c>
      <c r="Z1414" s="30" t="e">
        <f>VLOOKUP(I1414,P.Referencia!E:S,3,0)</f>
        <v>#N/A</v>
      </c>
      <c r="AA1414" s="196" t="e">
        <f t="shared" si="336"/>
        <v>#N/A</v>
      </c>
      <c r="AB1414" s="197" t="e">
        <f t="shared" si="337"/>
        <v>#N/A</v>
      </c>
      <c r="AC1414" s="197" t="e">
        <f t="shared" si="338"/>
        <v>#N/A</v>
      </c>
    </row>
    <row r="1415" spans="1:29" hidden="1" x14ac:dyDescent="0.25">
      <c r="A1415" s="24">
        <v>1414</v>
      </c>
      <c r="B1415" s="89" t="s">
        <v>374</v>
      </c>
      <c r="C1415" s="4" t="str">
        <f t="shared" si="332"/>
        <v>LlaveD86466243150101727852</v>
      </c>
      <c r="D1415" s="25" t="str">
        <f>VLOOKUP(E1415,'NO MODIFICAR'!J:K,2,0)</f>
        <v>D864</v>
      </c>
      <c r="E1415" s="102" t="s">
        <v>55</v>
      </c>
      <c r="F1415" s="25" t="str">
        <f>VLOOKUP(D1415,'NO MODIFICAR'!F:H,3,0)</f>
        <v xml:space="preserve">CENTRO </v>
      </c>
      <c r="G1415" s="92">
        <v>66243150</v>
      </c>
      <c r="H1415" s="93" t="s">
        <v>1076</v>
      </c>
      <c r="I1415" s="28">
        <v>10172785</v>
      </c>
      <c r="J1415" s="4" t="str">
        <f>VLOOKUP(I1415,'Materiales,canteras'!C:D,2,0)</f>
        <v>BASE HIDRÁULICA 60%FINOS-40%GR</v>
      </c>
      <c r="K1415" s="25">
        <f>VLOOKUP(I1415,'Materiales,canteras'!C:E,3,0)</f>
        <v>1.5840000000000001</v>
      </c>
      <c r="L1415" s="27">
        <v>62</v>
      </c>
      <c r="M1415" s="28" t="s">
        <v>93</v>
      </c>
      <c r="N1415" s="193">
        <f t="shared" ref="N1415:N1478" ca="1" si="339">TODAY()</f>
        <v>46267</v>
      </c>
      <c r="O1415" s="24" t="s">
        <v>942</v>
      </c>
      <c r="P1415" s="4"/>
      <c r="Q1415" s="4"/>
      <c r="R1415" s="4"/>
      <c r="S1415" s="4">
        <v>124.3</v>
      </c>
      <c r="T1415" s="303">
        <f t="shared" si="333"/>
        <v>-62.3</v>
      </c>
      <c r="U1415" s="88">
        <f t="shared" si="334"/>
        <v>62</v>
      </c>
      <c r="V1415" s="27">
        <v>0</v>
      </c>
      <c r="W1415" s="4">
        <v>2</v>
      </c>
      <c r="X1415" s="195">
        <f t="shared" si="335"/>
        <v>62</v>
      </c>
      <c r="Y1415" s="29" t="e">
        <f>IF(+VLOOKUP(I1415,P.Referencia!E:S,3,FALSE)&lt;=L1415,"Champion","Gerente")</f>
        <v>#N/A</v>
      </c>
      <c r="Z1415" s="30" t="e">
        <f>VLOOKUP(I1415,P.Referencia!E:S,3,0)</f>
        <v>#N/A</v>
      </c>
      <c r="AA1415" s="196" t="e">
        <f t="shared" si="336"/>
        <v>#N/A</v>
      </c>
      <c r="AB1415" s="197" t="e">
        <f t="shared" si="337"/>
        <v>#N/A</v>
      </c>
      <c r="AC1415" s="197" t="e">
        <f t="shared" si="338"/>
        <v>#N/A</v>
      </c>
    </row>
    <row r="1416" spans="1:29" hidden="1" x14ac:dyDescent="0.25">
      <c r="A1416" s="24">
        <v>1415</v>
      </c>
      <c r="B1416" s="89" t="s">
        <v>374</v>
      </c>
      <c r="C1416" s="4" t="str">
        <f t="shared" si="332"/>
        <v>LlaveD85265006752100389452</v>
      </c>
      <c r="D1416" s="25" t="str">
        <f>VLOOKUP(E1416,'NO MODIFICAR'!J:K,2,0)</f>
        <v>D852</v>
      </c>
      <c r="E1416" s="102" t="s">
        <v>36</v>
      </c>
      <c r="F1416" s="25" t="str">
        <f>VLOOKUP(D1416,'NO MODIFICAR'!F:H,3,0)</f>
        <v>NORESTE</v>
      </c>
      <c r="G1416" s="92">
        <v>65006752</v>
      </c>
      <c r="H1416" s="93" t="s">
        <v>1050</v>
      </c>
      <c r="I1416" s="28">
        <v>10038945</v>
      </c>
      <c r="J1416" s="4" t="str">
        <f>VLOOKUP(I1416,'Materiales,canteras'!C:D,2,0)</f>
        <v>Grava Triturada Caliza 20 mm -</v>
      </c>
      <c r="K1416" s="25">
        <f>VLOOKUP(I1416,'Materiales,canteras'!C:E,3,0)</f>
        <v>1.54</v>
      </c>
      <c r="L1416" s="27">
        <v>118</v>
      </c>
      <c r="M1416" s="28" t="s">
        <v>93</v>
      </c>
      <c r="N1416" s="193">
        <f t="shared" ca="1" si="339"/>
        <v>46267</v>
      </c>
      <c r="O1416" s="24" t="s">
        <v>943</v>
      </c>
      <c r="P1416" s="4"/>
      <c r="Q1416" s="4"/>
      <c r="R1416" s="4">
        <v>12.11</v>
      </c>
      <c r="S1416" s="4">
        <v>173</v>
      </c>
      <c r="T1416" s="303">
        <f t="shared" si="333"/>
        <v>-42.889999999999986</v>
      </c>
      <c r="U1416" s="88">
        <f t="shared" si="334"/>
        <v>118</v>
      </c>
      <c r="V1416" s="27">
        <v>0</v>
      </c>
      <c r="W1416" s="4">
        <v>2</v>
      </c>
      <c r="X1416" s="195">
        <f t="shared" si="335"/>
        <v>118</v>
      </c>
      <c r="Y1416" s="29" t="e">
        <f>IF(+VLOOKUP(I1416,P.Referencia!E:S,3,FALSE)&lt;=L1416,"Champion","Gerente")</f>
        <v>#N/A</v>
      </c>
      <c r="Z1416" s="30" t="e">
        <f>VLOOKUP(I1416,P.Referencia!E:S,3,0)</f>
        <v>#N/A</v>
      </c>
      <c r="AA1416" s="196" t="e">
        <f t="shared" si="336"/>
        <v>#N/A</v>
      </c>
      <c r="AB1416" s="197" t="e">
        <f t="shared" si="337"/>
        <v>#N/A</v>
      </c>
      <c r="AC1416" s="197" t="e">
        <f t="shared" si="338"/>
        <v>#N/A</v>
      </c>
    </row>
    <row r="1417" spans="1:29" hidden="1" x14ac:dyDescent="0.25">
      <c r="A1417" s="24">
        <v>1416</v>
      </c>
      <c r="B1417" s="89" t="s">
        <v>374</v>
      </c>
      <c r="C1417" s="4" t="str">
        <f t="shared" si="332"/>
        <v>LlaveD86467362348101737842</v>
      </c>
      <c r="D1417" s="25" t="str">
        <f>VLOOKUP(E1417,'NO MODIFICAR'!J:K,2,0)</f>
        <v>D864</v>
      </c>
      <c r="E1417" s="102" t="s">
        <v>55</v>
      </c>
      <c r="F1417" s="25" t="str">
        <f>VLOOKUP(D1417,'NO MODIFICAR'!F:H,3,0)</f>
        <v xml:space="preserve">CENTRO </v>
      </c>
      <c r="G1417" s="92">
        <v>67362348</v>
      </c>
      <c r="H1417" s="93" t="s">
        <v>1063</v>
      </c>
      <c r="I1417" s="28">
        <v>10173784</v>
      </c>
      <c r="J1417" s="4" t="str">
        <f>VLOOKUP(I1417,'Materiales,canteras'!C:D,2,0)</f>
        <v>BASE HIDRÁULICA 80%FINOS-20%GR</v>
      </c>
      <c r="K1417" s="25">
        <f>VLOOKUP(I1417,'Materiales,canteras'!C:E,3,0)</f>
        <v>1.6240000000000001</v>
      </c>
      <c r="L1417" s="27">
        <v>60</v>
      </c>
      <c r="M1417" s="28" t="s">
        <v>93</v>
      </c>
      <c r="N1417" s="193">
        <f t="shared" ca="1" si="339"/>
        <v>46267</v>
      </c>
      <c r="O1417" s="24" t="s">
        <v>944</v>
      </c>
      <c r="P1417" s="4"/>
      <c r="Q1417" s="4"/>
      <c r="R1417" s="4"/>
      <c r="S1417" s="4">
        <v>68</v>
      </c>
      <c r="T1417" s="303">
        <f t="shared" si="333"/>
        <v>-8</v>
      </c>
      <c r="U1417" s="88">
        <f t="shared" si="334"/>
        <v>60</v>
      </c>
      <c r="V1417" s="27">
        <v>0</v>
      </c>
      <c r="W1417" s="4">
        <v>2</v>
      </c>
      <c r="X1417" s="195">
        <f t="shared" si="335"/>
        <v>60</v>
      </c>
      <c r="Y1417" s="29" t="e">
        <f>IF(+VLOOKUP(I1417,P.Referencia!E:S,3,FALSE)&lt;=L1417,"Champion","Gerente")</f>
        <v>#N/A</v>
      </c>
      <c r="Z1417" s="30" t="e">
        <f>VLOOKUP(I1417,P.Referencia!E:S,3,0)</f>
        <v>#N/A</v>
      </c>
      <c r="AA1417" s="196" t="e">
        <f t="shared" si="336"/>
        <v>#N/A</v>
      </c>
      <c r="AB1417" s="197" t="e">
        <f t="shared" si="337"/>
        <v>#N/A</v>
      </c>
      <c r="AC1417" s="197" t="e">
        <f t="shared" si="338"/>
        <v>#N/A</v>
      </c>
    </row>
    <row r="1418" spans="1:29" hidden="1" x14ac:dyDescent="0.25">
      <c r="A1418" s="24">
        <v>1417</v>
      </c>
      <c r="B1418" s="89" t="s">
        <v>374</v>
      </c>
      <c r="C1418" s="4" t="str">
        <f t="shared" si="332"/>
        <v>LlaveD86467362348101727852</v>
      </c>
      <c r="D1418" s="25" t="str">
        <f>VLOOKUP(E1418,'NO MODIFICAR'!J:K,2,0)</f>
        <v>D864</v>
      </c>
      <c r="E1418" s="102" t="s">
        <v>55</v>
      </c>
      <c r="F1418" s="25" t="str">
        <f>VLOOKUP(D1418,'NO MODIFICAR'!F:H,3,0)</f>
        <v xml:space="preserve">CENTRO </v>
      </c>
      <c r="G1418" s="92">
        <v>67362348</v>
      </c>
      <c r="H1418" s="93" t="s">
        <v>1063</v>
      </c>
      <c r="I1418" s="28">
        <v>10172785</v>
      </c>
      <c r="J1418" s="4" t="str">
        <f>VLOOKUP(I1418,'Materiales,canteras'!C:D,2,0)</f>
        <v>BASE HIDRÁULICA 60%FINOS-40%GR</v>
      </c>
      <c r="K1418" s="25">
        <f>VLOOKUP(I1418,'Materiales,canteras'!C:E,3,0)</f>
        <v>1.5840000000000001</v>
      </c>
      <c r="L1418" s="27">
        <v>80</v>
      </c>
      <c r="M1418" s="28" t="s">
        <v>93</v>
      </c>
      <c r="N1418" s="193">
        <f t="shared" ca="1" si="339"/>
        <v>46267</v>
      </c>
      <c r="O1418" s="24" t="s">
        <v>945</v>
      </c>
      <c r="P1418" s="4"/>
      <c r="Q1418" s="4"/>
      <c r="R1418" s="4"/>
      <c r="S1418" s="4">
        <v>110</v>
      </c>
      <c r="T1418" s="303">
        <f t="shared" si="333"/>
        <v>-30</v>
      </c>
      <c r="U1418" s="88">
        <f t="shared" si="334"/>
        <v>80</v>
      </c>
      <c r="V1418" s="27">
        <v>0</v>
      </c>
      <c r="W1418" s="4">
        <v>2</v>
      </c>
      <c r="X1418" s="195">
        <f t="shared" si="335"/>
        <v>80</v>
      </c>
      <c r="Y1418" s="29" t="e">
        <f>IF(+VLOOKUP(I1418,P.Referencia!E:S,3,FALSE)&lt;=L1418,"Champion","Gerente")</f>
        <v>#N/A</v>
      </c>
      <c r="Z1418" s="30" t="e">
        <f>VLOOKUP(I1418,P.Referencia!E:S,3,0)</f>
        <v>#N/A</v>
      </c>
      <c r="AA1418" s="196" t="e">
        <f t="shared" si="336"/>
        <v>#N/A</v>
      </c>
      <c r="AB1418" s="197" t="e">
        <f t="shared" si="337"/>
        <v>#N/A</v>
      </c>
      <c r="AC1418" s="197" t="e">
        <f t="shared" si="338"/>
        <v>#N/A</v>
      </c>
    </row>
    <row r="1419" spans="1:29" hidden="1" x14ac:dyDescent="0.25">
      <c r="A1419" s="24">
        <v>1418</v>
      </c>
      <c r="B1419" s="89" t="s">
        <v>374</v>
      </c>
      <c r="C1419" s="4" t="str">
        <f t="shared" si="332"/>
        <v>LlaveD86367385968100389502</v>
      </c>
      <c r="D1419" s="25" t="str">
        <f>VLOOKUP(E1419,'NO MODIFICAR'!J:K,2,0)</f>
        <v>D863</v>
      </c>
      <c r="E1419" s="102" t="s">
        <v>53</v>
      </c>
      <c r="F1419" s="25" t="str">
        <f>VLOOKUP(D1419,'NO MODIFICAR'!F:H,3,0)</f>
        <v>NORESTE</v>
      </c>
      <c r="G1419" s="92">
        <v>67385968</v>
      </c>
      <c r="H1419" s="93" t="s">
        <v>570</v>
      </c>
      <c r="I1419" s="28">
        <v>10038950</v>
      </c>
      <c r="J1419" s="4" t="str">
        <f>VLOOKUP(I1419,'Materiales,canteras'!C:D,2,0)</f>
        <v>Grava Triturada Caliza 20 mm -</v>
      </c>
      <c r="K1419" s="25">
        <f>VLOOKUP(I1419,'Materiales,canteras'!C:E,3,0)</f>
        <v>1.474</v>
      </c>
      <c r="L1419" s="27">
        <v>172.35</v>
      </c>
      <c r="M1419" s="28" t="s">
        <v>93</v>
      </c>
      <c r="N1419" s="193">
        <f t="shared" ca="1" si="339"/>
        <v>46267</v>
      </c>
      <c r="O1419" s="24" t="s">
        <v>946</v>
      </c>
      <c r="P1419" s="4"/>
      <c r="Q1419" s="4"/>
      <c r="R1419" s="4">
        <v>10.65</v>
      </c>
      <c r="S1419" s="4">
        <v>213</v>
      </c>
      <c r="T1419" s="303">
        <f t="shared" si="333"/>
        <v>-30</v>
      </c>
      <c r="U1419" s="88">
        <f t="shared" si="334"/>
        <v>172.35</v>
      </c>
      <c r="V1419" s="27">
        <v>0</v>
      </c>
      <c r="W1419" s="4">
        <v>2</v>
      </c>
      <c r="X1419" s="195">
        <f t="shared" si="335"/>
        <v>172.35</v>
      </c>
      <c r="Y1419" s="29" t="e">
        <f>IF(+VLOOKUP(I1419,P.Referencia!E:S,3,FALSE)&lt;=L1419,"Champion","Gerente")</f>
        <v>#N/A</v>
      </c>
      <c r="Z1419" s="30" t="e">
        <f>VLOOKUP(I1419,P.Referencia!E:S,3,0)</f>
        <v>#N/A</v>
      </c>
      <c r="AA1419" s="196" t="e">
        <f t="shared" si="336"/>
        <v>#N/A</v>
      </c>
      <c r="AB1419" s="197" t="e">
        <f t="shared" si="337"/>
        <v>#N/A</v>
      </c>
      <c r="AC1419" s="197" t="e">
        <f t="shared" si="338"/>
        <v>#N/A</v>
      </c>
    </row>
    <row r="1420" spans="1:29" hidden="1" x14ac:dyDescent="0.25">
      <c r="A1420" s="24">
        <v>1419</v>
      </c>
      <c r="B1420" s="89" t="s">
        <v>374</v>
      </c>
      <c r="C1420" s="4" t="str">
        <f t="shared" si="332"/>
        <v>LlaveD86367385968100389522</v>
      </c>
      <c r="D1420" s="25" t="str">
        <f>VLOOKUP(E1420,'NO MODIFICAR'!J:K,2,0)</f>
        <v>D863</v>
      </c>
      <c r="E1420" s="102" t="s">
        <v>53</v>
      </c>
      <c r="F1420" s="25" t="str">
        <f>VLOOKUP(D1420,'NO MODIFICAR'!F:H,3,0)</f>
        <v>NORESTE</v>
      </c>
      <c r="G1420" s="92">
        <v>67385968</v>
      </c>
      <c r="H1420" s="93" t="s">
        <v>570</v>
      </c>
      <c r="I1420" s="28">
        <v>10038952</v>
      </c>
      <c r="J1420" s="4" t="str">
        <f>VLOOKUP(I1420,'Materiales,canteras'!C:D,2,0)</f>
        <v>Arena Triturada Caliza Malla 4</v>
      </c>
      <c r="K1420" s="25">
        <f>VLOOKUP(I1420,'Materiales,canteras'!C:E,3,0)</f>
        <v>1.6</v>
      </c>
      <c r="L1420" s="27">
        <v>172.35</v>
      </c>
      <c r="M1420" s="28" t="s">
        <v>93</v>
      </c>
      <c r="N1420" s="193">
        <f t="shared" ca="1" si="339"/>
        <v>46267</v>
      </c>
      <c r="O1420" s="24" t="s">
        <v>947</v>
      </c>
      <c r="P1420" s="4"/>
      <c r="Q1420" s="4"/>
      <c r="R1420" s="4">
        <v>9.8000000000000007</v>
      </c>
      <c r="S1420" s="4">
        <v>196</v>
      </c>
      <c r="T1420" s="303">
        <f t="shared" si="333"/>
        <v>-13.849999999999994</v>
      </c>
      <c r="U1420" s="88">
        <f t="shared" si="334"/>
        <v>172.35</v>
      </c>
      <c r="V1420" s="27">
        <v>0</v>
      </c>
      <c r="W1420" s="4">
        <v>2</v>
      </c>
      <c r="X1420" s="195">
        <f t="shared" si="335"/>
        <v>172.35</v>
      </c>
      <c r="Y1420" s="29" t="e">
        <f>IF(+VLOOKUP(I1420,P.Referencia!E:S,3,FALSE)&lt;=L1420,"Champion","Gerente")</f>
        <v>#N/A</v>
      </c>
      <c r="Z1420" s="30" t="e">
        <f>VLOOKUP(I1420,P.Referencia!E:S,3,0)</f>
        <v>#N/A</v>
      </c>
      <c r="AA1420" s="196" t="e">
        <f t="shared" si="336"/>
        <v>#N/A</v>
      </c>
      <c r="AB1420" s="197" t="e">
        <f t="shared" si="337"/>
        <v>#N/A</v>
      </c>
      <c r="AC1420" s="197" t="e">
        <f t="shared" si="338"/>
        <v>#N/A</v>
      </c>
    </row>
    <row r="1421" spans="1:29" hidden="1" x14ac:dyDescent="0.25">
      <c r="A1421" s="24">
        <v>1420</v>
      </c>
      <c r="B1421" s="89" t="s">
        <v>374</v>
      </c>
      <c r="C1421" s="4" t="str">
        <f t="shared" si="332"/>
        <v>LlaveD86367385968100496722</v>
      </c>
      <c r="D1421" s="25" t="str">
        <f>VLOOKUP(E1421,'NO MODIFICAR'!J:K,2,0)</f>
        <v>D863</v>
      </c>
      <c r="E1421" s="102" t="s">
        <v>53</v>
      </c>
      <c r="F1421" s="25" t="str">
        <f>VLOOKUP(D1421,'NO MODIFICAR'!F:H,3,0)</f>
        <v>NORESTE</v>
      </c>
      <c r="G1421" s="92">
        <v>67385968</v>
      </c>
      <c r="H1421" s="93" t="s">
        <v>570</v>
      </c>
      <c r="I1421" s="28">
        <v>10049672</v>
      </c>
      <c r="J1421" s="4" t="str">
        <f>VLOOKUP(I1421,'Materiales,canteras'!C:D,2,0)</f>
        <v>Grava Triturada Caliza 40- 4mm</v>
      </c>
      <c r="K1421" s="25">
        <f>VLOOKUP(I1421,'Materiales,canteras'!C:E,3,0)</f>
        <v>1.625</v>
      </c>
      <c r="L1421" s="27">
        <v>172.35</v>
      </c>
      <c r="M1421" s="28" t="s">
        <v>93</v>
      </c>
      <c r="N1421" s="193">
        <f t="shared" ca="1" si="339"/>
        <v>46267</v>
      </c>
      <c r="O1421" s="24" t="s">
        <v>948</v>
      </c>
      <c r="P1421" s="4"/>
      <c r="Q1421" s="4"/>
      <c r="R1421" s="4">
        <v>9.1999999999999993</v>
      </c>
      <c r="S1421" s="4">
        <v>184</v>
      </c>
      <c r="T1421" s="303">
        <f t="shared" si="333"/>
        <v>-2.4500000000000171</v>
      </c>
      <c r="U1421" s="88">
        <f t="shared" si="334"/>
        <v>172.35</v>
      </c>
      <c r="V1421" s="27">
        <v>0</v>
      </c>
      <c r="W1421" s="4">
        <v>2</v>
      </c>
      <c r="X1421" s="195">
        <f t="shared" si="335"/>
        <v>172.35</v>
      </c>
      <c r="Y1421" s="29" t="e">
        <f>IF(+VLOOKUP(I1421,P.Referencia!E:S,3,FALSE)&lt;=L1421,"Champion","Gerente")</f>
        <v>#N/A</v>
      </c>
      <c r="Z1421" s="30" t="e">
        <f>VLOOKUP(I1421,P.Referencia!E:S,3,0)</f>
        <v>#N/A</v>
      </c>
      <c r="AA1421" s="196" t="e">
        <f t="shared" si="336"/>
        <v>#N/A</v>
      </c>
      <c r="AB1421" s="197" t="e">
        <f t="shared" si="337"/>
        <v>#N/A</v>
      </c>
      <c r="AC1421" s="197" t="e">
        <f t="shared" si="338"/>
        <v>#N/A</v>
      </c>
    </row>
    <row r="1422" spans="1:29" hidden="1" x14ac:dyDescent="0.25">
      <c r="A1422" s="24">
        <v>1421</v>
      </c>
      <c r="B1422" s="89" t="s">
        <v>374</v>
      </c>
      <c r="C1422" s="4" t="str">
        <f t="shared" si="332"/>
        <v>LlaveD86367385968100389492</v>
      </c>
      <c r="D1422" s="25" t="str">
        <f>VLOOKUP(E1422,'NO MODIFICAR'!J:K,2,0)</f>
        <v>D863</v>
      </c>
      <c r="E1422" s="102" t="s">
        <v>53</v>
      </c>
      <c r="F1422" s="25" t="str">
        <f>VLOOKUP(D1422,'NO MODIFICAR'!F:H,3,0)</f>
        <v>NORESTE</v>
      </c>
      <c r="G1422" s="92">
        <v>67385968</v>
      </c>
      <c r="H1422" s="93" t="s">
        <v>570</v>
      </c>
      <c r="I1422" s="28">
        <v>10038949</v>
      </c>
      <c r="J1422" s="4" t="str">
        <f>VLOOKUP(I1422,'Materiales,canteras'!C:D,2,0)</f>
        <v>Grava Triturada Caliza 10 mm -</v>
      </c>
      <c r="K1422" s="25">
        <f>VLOOKUP(I1422,'Materiales,canteras'!C:E,3,0)</f>
        <v>1.5</v>
      </c>
      <c r="L1422" s="27">
        <v>188.72</v>
      </c>
      <c r="M1422" s="28" t="s">
        <v>93</v>
      </c>
      <c r="N1422" s="193">
        <f t="shared" ca="1" si="339"/>
        <v>46267</v>
      </c>
      <c r="O1422" s="24" t="s">
        <v>949</v>
      </c>
      <c r="P1422" s="4"/>
      <c r="Q1422" s="4"/>
      <c r="R1422" s="4">
        <v>9.8000000000000007</v>
      </c>
      <c r="S1422" s="4">
        <v>196</v>
      </c>
      <c r="T1422" s="303">
        <f t="shared" si="333"/>
        <v>2.5200000000000102</v>
      </c>
      <c r="U1422" s="88">
        <f t="shared" si="334"/>
        <v>188.72</v>
      </c>
      <c r="V1422" s="27">
        <v>0</v>
      </c>
      <c r="W1422" s="4">
        <v>2</v>
      </c>
      <c r="X1422" s="195">
        <f t="shared" si="335"/>
        <v>188.72</v>
      </c>
      <c r="Y1422" s="29" t="e">
        <f>IF(+VLOOKUP(I1422,P.Referencia!E:S,3,FALSE)&lt;=L1422,"Champion","Gerente")</f>
        <v>#N/A</v>
      </c>
      <c r="Z1422" s="30" t="e">
        <f>VLOOKUP(I1422,P.Referencia!E:S,3,0)</f>
        <v>#N/A</v>
      </c>
      <c r="AA1422" s="196" t="e">
        <f t="shared" si="336"/>
        <v>#N/A</v>
      </c>
      <c r="AB1422" s="197" t="e">
        <f t="shared" si="337"/>
        <v>#N/A</v>
      </c>
      <c r="AC1422" s="197" t="e">
        <f t="shared" si="338"/>
        <v>#N/A</v>
      </c>
    </row>
    <row r="1423" spans="1:29" hidden="1" x14ac:dyDescent="0.25">
      <c r="A1423" s="24">
        <v>1422</v>
      </c>
      <c r="B1423" s="89" t="s">
        <v>374</v>
      </c>
      <c r="C1423" s="4" t="str">
        <f t="shared" si="332"/>
        <v>LlaveD85265012099100389421</v>
      </c>
      <c r="D1423" s="25" t="str">
        <f>VLOOKUP(E1423,'NO MODIFICAR'!J:K,2,0)</f>
        <v>D852</v>
      </c>
      <c r="E1423" s="102" t="s">
        <v>36</v>
      </c>
      <c r="F1423" s="25" t="str">
        <f>VLOOKUP(D1423,'NO MODIFICAR'!F:H,3,0)</f>
        <v>NORESTE</v>
      </c>
      <c r="G1423" s="92">
        <v>65012099</v>
      </c>
      <c r="H1423" s="93" t="s">
        <v>1077</v>
      </c>
      <c r="I1423" s="28">
        <v>10038942</v>
      </c>
      <c r="J1423" s="4" t="str">
        <f>VLOOKUP(I1423,'Materiales,canteras'!C:D,2,0)</f>
        <v>Arena Triturada Caliza Malla 8</v>
      </c>
      <c r="K1423" s="25">
        <f>VLOOKUP(I1423,'Materiales,canteras'!C:E,3,0)</f>
        <v>1.629</v>
      </c>
      <c r="L1423" s="27">
        <v>120</v>
      </c>
      <c r="M1423" s="28" t="s">
        <v>93</v>
      </c>
      <c r="N1423" s="193">
        <f t="shared" ca="1" si="339"/>
        <v>46267</v>
      </c>
      <c r="O1423" s="24" t="s">
        <v>950</v>
      </c>
      <c r="P1423" s="4"/>
      <c r="Q1423" s="4"/>
      <c r="R1423" s="4">
        <v>8.35</v>
      </c>
      <c r="S1423" s="4">
        <v>167</v>
      </c>
      <c r="T1423" s="303">
        <f t="shared" si="333"/>
        <v>-38.650000000000006</v>
      </c>
      <c r="U1423" s="88">
        <f t="shared" si="334"/>
        <v>120</v>
      </c>
      <c r="V1423" s="4">
        <v>51.3</v>
      </c>
      <c r="W1423" s="4">
        <v>1</v>
      </c>
      <c r="X1423" s="195">
        <f t="shared" si="335"/>
        <v>171.3</v>
      </c>
      <c r="Y1423" s="29" t="e">
        <f>IF(+VLOOKUP(I1423,P.Referencia!E:S,3,FALSE)&lt;=L1423,"Champion","Gerente")</f>
        <v>#N/A</v>
      </c>
      <c r="Z1423" s="30" t="e">
        <f>VLOOKUP(I1423,P.Referencia!E:S,3,0)</f>
        <v>#N/A</v>
      </c>
      <c r="AA1423" s="196" t="e">
        <f t="shared" si="336"/>
        <v>#N/A</v>
      </c>
      <c r="AB1423" s="197" t="e">
        <f t="shared" si="337"/>
        <v>#N/A</v>
      </c>
      <c r="AC1423" s="197" t="e">
        <f t="shared" si="338"/>
        <v>#N/A</v>
      </c>
    </row>
    <row r="1424" spans="1:29" hidden="1" x14ac:dyDescent="0.25">
      <c r="A1424" s="24">
        <v>1423</v>
      </c>
      <c r="B1424" s="89" t="s">
        <v>374</v>
      </c>
      <c r="C1424" s="4" t="str">
        <f t="shared" si="332"/>
        <v>LlaveD85265012099100389451</v>
      </c>
      <c r="D1424" s="25" t="str">
        <f>VLOOKUP(E1424,'NO MODIFICAR'!J:K,2,0)</f>
        <v>D852</v>
      </c>
      <c r="E1424" s="102" t="s">
        <v>36</v>
      </c>
      <c r="F1424" s="25" t="str">
        <f>VLOOKUP(D1424,'NO MODIFICAR'!F:H,3,0)</f>
        <v>NORESTE</v>
      </c>
      <c r="G1424" s="92">
        <v>65012099</v>
      </c>
      <c r="H1424" s="93" t="s">
        <v>1077</v>
      </c>
      <c r="I1424" s="28">
        <v>10038945</v>
      </c>
      <c r="J1424" s="4" t="str">
        <f>VLOOKUP(I1424,'Materiales,canteras'!C:D,2,0)</f>
        <v>Grava Triturada Caliza 20 mm -</v>
      </c>
      <c r="K1424" s="25">
        <f>VLOOKUP(I1424,'Materiales,canteras'!C:E,3,0)</f>
        <v>1.54</v>
      </c>
      <c r="L1424" s="27">
        <v>110</v>
      </c>
      <c r="M1424" s="28" t="s">
        <v>93</v>
      </c>
      <c r="N1424" s="193">
        <f t="shared" ca="1" si="339"/>
        <v>46267</v>
      </c>
      <c r="O1424" s="24" t="s">
        <v>951</v>
      </c>
      <c r="P1424" s="4"/>
      <c r="Q1424" s="4"/>
      <c r="R1424" s="4">
        <v>8.65</v>
      </c>
      <c r="S1424" s="4">
        <v>173</v>
      </c>
      <c r="T1424" s="303">
        <f t="shared" si="333"/>
        <v>-54.349999999999994</v>
      </c>
      <c r="U1424" s="88">
        <f t="shared" si="334"/>
        <v>110</v>
      </c>
      <c r="V1424" s="4">
        <v>51.3</v>
      </c>
      <c r="W1424" s="4">
        <v>1</v>
      </c>
      <c r="X1424" s="195">
        <f t="shared" si="335"/>
        <v>161.30000000000001</v>
      </c>
      <c r="Y1424" s="29" t="e">
        <f>IF(+VLOOKUP(I1424,P.Referencia!E:S,3,FALSE)&lt;=L1424,"Champion","Gerente")</f>
        <v>#N/A</v>
      </c>
      <c r="Z1424" s="30" t="e">
        <f>VLOOKUP(I1424,P.Referencia!E:S,3,0)</f>
        <v>#N/A</v>
      </c>
      <c r="AA1424" s="196" t="e">
        <f t="shared" si="336"/>
        <v>#N/A</v>
      </c>
      <c r="AB1424" s="197" t="e">
        <f t="shared" si="337"/>
        <v>#N/A</v>
      </c>
      <c r="AC1424" s="197" t="e">
        <f t="shared" si="338"/>
        <v>#N/A</v>
      </c>
    </row>
    <row r="1425" spans="1:30" hidden="1" x14ac:dyDescent="0.25">
      <c r="A1425" s="24">
        <v>1424</v>
      </c>
      <c r="B1425" s="89" t="s">
        <v>374</v>
      </c>
      <c r="C1425" s="4" t="str">
        <f t="shared" ref="C1425:C1428" si="340">_xlfn.CONCAT($C$1,D1425,G1425,I1425,W1425)</f>
        <v>LlaveDU0765119416100001011</v>
      </c>
      <c r="D1425" s="25" t="str">
        <f>VLOOKUP(E1425,'NO MODIFICAR'!J:K,2,0)</f>
        <v>DU07</v>
      </c>
      <c r="E1425" s="102" t="s">
        <v>87</v>
      </c>
      <c r="F1425" s="25" t="str">
        <f>VLOOKUP(D1425,'NO MODIFICAR'!F:H,3,0)</f>
        <v>SURESTE</v>
      </c>
      <c r="G1425" s="92">
        <v>65119416</v>
      </c>
      <c r="H1425" s="93" t="s">
        <v>1078</v>
      </c>
      <c r="I1425" s="94">
        <v>10000101</v>
      </c>
      <c r="J1425" s="4" t="str">
        <f>VLOOKUP(I1425,'Materiales,canteras'!C:D,2,0)</f>
        <v>Arena Triturada Caliza Malla 4</v>
      </c>
      <c r="K1425" s="25">
        <f>VLOOKUP(I1425,'Materiales,canteras'!C:E,3,0)</f>
        <v>1.417</v>
      </c>
      <c r="L1425" s="105">
        <f>350/K1425</f>
        <v>247.00070571630204</v>
      </c>
      <c r="M1425" s="28" t="s">
        <v>93</v>
      </c>
      <c r="N1425" s="193">
        <f t="shared" ca="1" si="339"/>
        <v>46267</v>
      </c>
      <c r="O1425" s="24" t="s">
        <v>1079</v>
      </c>
      <c r="P1425" s="4"/>
      <c r="Q1425" s="4"/>
      <c r="R1425" s="4"/>
      <c r="S1425" s="4">
        <v>420</v>
      </c>
      <c r="T1425" s="303">
        <f t="shared" ref="T1425:T1430" si="341">L1425-((S1425-P1425)-(Q1425)-(R1425))</f>
        <v>-172.99929428369796</v>
      </c>
      <c r="U1425" s="88">
        <f t="shared" ref="U1425:U1430" si="342">L1425</f>
        <v>247.00070571630204</v>
      </c>
      <c r="V1425" s="82">
        <f>183.59/K1425</f>
        <v>129.56245589273112</v>
      </c>
      <c r="W1425" s="4">
        <v>1</v>
      </c>
      <c r="X1425" s="195">
        <f t="shared" ref="X1425:X1430" si="343">U1425+V1425</f>
        <v>376.56316160903316</v>
      </c>
      <c r="Y1425" s="29" t="e">
        <f>IF(+VLOOKUP(I1425,P.Referencia!E:S,3,FALSE)&lt;=L1425,"Champion","Gerente")</f>
        <v>#N/A</v>
      </c>
      <c r="Z1425" s="30" t="e">
        <f>VLOOKUP(I1425,P.Referencia!E:S,3,0)</f>
        <v>#N/A</v>
      </c>
      <c r="AA1425" s="196" t="e">
        <f t="shared" ref="AA1425:AA1430" si="344">(Z1425-U1425)/U1425</f>
        <v>#N/A</v>
      </c>
      <c r="AB1425" s="197" t="e">
        <f t="shared" ref="AB1425:AB1430" si="345">U1425*AA1425</f>
        <v>#N/A</v>
      </c>
      <c r="AC1425" s="197" t="e">
        <f t="shared" ref="AC1425:AC1430" si="346">U1425+AB1425</f>
        <v>#N/A</v>
      </c>
      <c r="AD1425" t="s">
        <v>1081</v>
      </c>
    </row>
    <row r="1426" spans="1:30" hidden="1" x14ac:dyDescent="0.25">
      <c r="A1426" s="24">
        <v>1425</v>
      </c>
      <c r="B1426" s="89" t="s">
        <v>374</v>
      </c>
      <c r="C1426" s="4" t="str">
        <f t="shared" si="340"/>
        <v>LlaveDU0765119416100001101</v>
      </c>
      <c r="D1426" s="25" t="str">
        <f>VLOOKUP(E1426,'NO MODIFICAR'!J:K,2,0)</f>
        <v>DU07</v>
      </c>
      <c r="E1426" s="102" t="s">
        <v>87</v>
      </c>
      <c r="F1426" s="25" t="str">
        <f>VLOOKUP(D1426,'NO MODIFICAR'!F:H,3,0)</f>
        <v>SURESTE</v>
      </c>
      <c r="G1426" s="92">
        <v>65119416</v>
      </c>
      <c r="H1426" s="93" t="s">
        <v>1078</v>
      </c>
      <c r="I1426" s="94">
        <v>10000110</v>
      </c>
      <c r="J1426" s="4" t="str">
        <f>VLOOKUP(I1426,'Materiales,canteras'!C:D,2,0)</f>
        <v>GRAVA TRITURADA CALIZA 20 MM “3/4"–INTEG</v>
      </c>
      <c r="K1426" s="25">
        <f>VLOOKUP(I1426,'Materiales,canteras'!C:E,3,0)</f>
        <v>1.2010000000000001</v>
      </c>
      <c r="L1426" s="105">
        <f>330/K1426</f>
        <v>274.77102414654451</v>
      </c>
      <c r="M1426" s="28" t="s">
        <v>93</v>
      </c>
      <c r="N1426" s="193">
        <f t="shared" ca="1" si="339"/>
        <v>46267</v>
      </c>
      <c r="O1426" s="24" t="s">
        <v>1080</v>
      </c>
      <c r="P1426" s="4"/>
      <c r="Q1426" s="4"/>
      <c r="R1426" s="4"/>
      <c r="S1426" s="4">
        <v>410</v>
      </c>
      <c r="T1426" s="303">
        <f t="shared" si="341"/>
        <v>-135.22897585345549</v>
      </c>
      <c r="U1426" s="88">
        <f t="shared" si="342"/>
        <v>274.77102414654451</v>
      </c>
      <c r="V1426" s="82">
        <f>183.59/K1426</f>
        <v>152.86427976686093</v>
      </c>
      <c r="W1426" s="4">
        <v>1</v>
      </c>
      <c r="X1426" s="195">
        <f t="shared" si="343"/>
        <v>427.63530391340544</v>
      </c>
      <c r="Y1426" s="29" t="e">
        <f>IF(+VLOOKUP(I1426,P.Referencia!E:S,3,FALSE)&lt;=L1426,"Champion","Gerente")</f>
        <v>#N/A</v>
      </c>
      <c r="Z1426" s="30" t="e">
        <f>VLOOKUP(I1426,P.Referencia!E:S,3,0)</f>
        <v>#N/A</v>
      </c>
      <c r="AA1426" s="196" t="e">
        <f t="shared" si="344"/>
        <v>#N/A</v>
      </c>
      <c r="AB1426" s="197" t="e">
        <f t="shared" si="345"/>
        <v>#N/A</v>
      </c>
      <c r="AC1426" s="197" t="e">
        <f t="shared" si="346"/>
        <v>#N/A</v>
      </c>
      <c r="AD1426" t="s">
        <v>1081</v>
      </c>
    </row>
    <row r="1427" spans="1:30" hidden="1" x14ac:dyDescent="0.25">
      <c r="A1427" s="24">
        <v>1426</v>
      </c>
      <c r="B1427" s="89" t="s">
        <v>374</v>
      </c>
      <c r="C1427" s="4" t="str">
        <f t="shared" si="340"/>
        <v>LlaveD81666455997100002411</v>
      </c>
      <c r="D1427" s="25" t="str">
        <f>VLOOKUP(E1427,'NO MODIFICAR'!J:K,2,0)</f>
        <v>D816</v>
      </c>
      <c r="E1427" s="102" t="s">
        <v>15</v>
      </c>
      <c r="F1427" s="25" t="str">
        <f>VLOOKUP(D1427,'NO MODIFICAR'!F:H,3,0)</f>
        <v>NORESTE</v>
      </c>
      <c r="G1427" s="92">
        <v>66455997</v>
      </c>
      <c r="H1427" s="93" t="s">
        <v>1034</v>
      </c>
      <c r="I1427" s="94">
        <v>10000241</v>
      </c>
      <c r="J1427" s="4" t="str">
        <f>VLOOKUP(I1427,'Materiales,canteras'!C:D,2,0)</f>
        <v>Grava Triturada Caliza 20 mm -</v>
      </c>
      <c r="K1427" s="25">
        <f>VLOOKUP(I1427,'Materiales,canteras'!C:E,3,0)</f>
        <v>1.43</v>
      </c>
      <c r="L1427" s="105">
        <v>285</v>
      </c>
      <c r="M1427" s="28" t="s">
        <v>93</v>
      </c>
      <c r="N1427" s="193">
        <f t="shared" ca="1" si="339"/>
        <v>46267</v>
      </c>
      <c r="O1427" s="24" t="s">
        <v>952</v>
      </c>
      <c r="P1427" s="4"/>
      <c r="Q1427" s="4"/>
      <c r="R1427" s="4"/>
      <c r="S1427" s="4">
        <v>414</v>
      </c>
      <c r="T1427" s="303">
        <f t="shared" si="341"/>
        <v>-129</v>
      </c>
      <c r="U1427" s="88">
        <f t="shared" si="342"/>
        <v>285</v>
      </c>
      <c r="V1427" s="82">
        <v>78.62</v>
      </c>
      <c r="W1427" s="4">
        <v>1</v>
      </c>
      <c r="X1427" s="195">
        <f t="shared" si="343"/>
        <v>363.62</v>
      </c>
      <c r="Y1427" s="29" t="e">
        <f>IF(+VLOOKUP(I1427,P.Referencia!E:S,3,FALSE)&lt;=L1427,"Champion","Gerente")</f>
        <v>#N/A</v>
      </c>
      <c r="Z1427" s="30" t="e">
        <f>VLOOKUP(I1427,P.Referencia!E:S,3,0)</f>
        <v>#N/A</v>
      </c>
      <c r="AA1427" s="196" t="e">
        <f t="shared" si="344"/>
        <v>#N/A</v>
      </c>
      <c r="AB1427" s="197" t="e">
        <f t="shared" si="345"/>
        <v>#N/A</v>
      </c>
      <c r="AC1427" s="197" t="e">
        <f t="shared" si="346"/>
        <v>#N/A</v>
      </c>
    </row>
    <row r="1428" spans="1:30" hidden="1" x14ac:dyDescent="0.25">
      <c r="A1428" s="24">
        <v>1427</v>
      </c>
      <c r="B1428" s="89" t="s">
        <v>374</v>
      </c>
      <c r="C1428" s="4" t="str">
        <f t="shared" si="340"/>
        <v>LlaveD81666455997100001241</v>
      </c>
      <c r="D1428" s="25" t="str">
        <f>VLOOKUP(E1428,'NO MODIFICAR'!J:K,2,0)</f>
        <v>D816</v>
      </c>
      <c r="E1428" s="102" t="s">
        <v>15</v>
      </c>
      <c r="F1428" s="25" t="str">
        <f>VLOOKUP(D1428,'NO MODIFICAR'!F:H,3,0)</f>
        <v>NORESTE</v>
      </c>
      <c r="G1428" s="92">
        <v>66455997</v>
      </c>
      <c r="H1428" s="93" t="s">
        <v>1034</v>
      </c>
      <c r="I1428" s="94">
        <v>10000124</v>
      </c>
      <c r="J1428" s="4" t="str">
        <f>VLOOKUP(I1428,'Materiales,canteras'!C:D,2,0)</f>
        <v>Arena Triturada Caliza Malla 4</v>
      </c>
      <c r="K1428" s="25">
        <f>VLOOKUP(I1428,'Materiales,canteras'!C:E,3,0)</f>
        <v>1.7390000000000001</v>
      </c>
      <c r="L1428" s="105">
        <v>285</v>
      </c>
      <c r="M1428" s="28" t="s">
        <v>93</v>
      </c>
      <c r="N1428" s="193">
        <f t="shared" ca="1" si="339"/>
        <v>46267</v>
      </c>
      <c r="O1428" s="24" t="s">
        <v>953</v>
      </c>
      <c r="P1428" s="4"/>
      <c r="Q1428" s="4"/>
      <c r="R1428" s="4"/>
      <c r="S1428" s="4">
        <v>495</v>
      </c>
      <c r="T1428" s="303">
        <f t="shared" si="341"/>
        <v>-210</v>
      </c>
      <c r="U1428" s="88">
        <f t="shared" si="342"/>
        <v>285</v>
      </c>
      <c r="V1428" s="82">
        <v>78.62</v>
      </c>
      <c r="W1428" s="4">
        <v>1</v>
      </c>
      <c r="X1428" s="195">
        <f t="shared" si="343"/>
        <v>363.62</v>
      </c>
      <c r="Y1428" s="29" t="e">
        <f>IF(+VLOOKUP(I1428,P.Referencia!E:S,3,FALSE)&lt;=L1428,"Champion","Gerente")</f>
        <v>#N/A</v>
      </c>
      <c r="Z1428" s="30" t="e">
        <f>VLOOKUP(I1428,P.Referencia!E:S,3,0)</f>
        <v>#N/A</v>
      </c>
      <c r="AA1428" s="196" t="e">
        <f t="shared" si="344"/>
        <v>#N/A</v>
      </c>
      <c r="AB1428" s="197" t="e">
        <f t="shared" si="345"/>
        <v>#N/A</v>
      </c>
      <c r="AC1428" s="197" t="e">
        <f t="shared" si="346"/>
        <v>#N/A</v>
      </c>
    </row>
    <row r="1429" spans="1:30" hidden="1" x14ac:dyDescent="0.25">
      <c r="A1429" s="24">
        <v>1428</v>
      </c>
      <c r="B1429" s="89" t="s">
        <v>374</v>
      </c>
      <c r="C1429" s="4" t="str">
        <f t="shared" si="332"/>
        <v>LlaveD81666455997101641691</v>
      </c>
      <c r="D1429" s="25" t="str">
        <f>VLOOKUP(E1429,'NO MODIFICAR'!J:K,2,0)</f>
        <v>D816</v>
      </c>
      <c r="E1429" s="102" t="s">
        <v>15</v>
      </c>
      <c r="F1429" s="25" t="str">
        <f>VLOOKUP(D1429,'NO MODIFICAR'!F:H,3,0)</f>
        <v>NORESTE</v>
      </c>
      <c r="G1429" s="92">
        <v>66455997</v>
      </c>
      <c r="H1429" s="93" t="s">
        <v>1034</v>
      </c>
      <c r="I1429" s="94">
        <v>10164169</v>
      </c>
      <c r="J1429" s="4" t="str">
        <f>VLOOKUP(I1429,'Materiales,canteras'!C:D,2,0)</f>
        <v>ARENA TRITURADA CALIZA MALLA 4</v>
      </c>
      <c r="K1429" s="25">
        <f>VLOOKUP(I1429,'Materiales,canteras'!C:E,3,0)</f>
        <v>1.7390000000000001</v>
      </c>
      <c r="L1429" s="105">
        <v>285</v>
      </c>
      <c r="M1429" s="28" t="s">
        <v>93</v>
      </c>
      <c r="N1429" s="193">
        <f t="shared" ca="1" si="339"/>
        <v>46267</v>
      </c>
      <c r="O1429" s="24" t="s">
        <v>954</v>
      </c>
      <c r="P1429" s="4"/>
      <c r="Q1429" s="4"/>
      <c r="R1429" s="4"/>
      <c r="S1429" s="4">
        <v>201</v>
      </c>
      <c r="T1429" s="303">
        <f t="shared" si="341"/>
        <v>84</v>
      </c>
      <c r="U1429" s="88">
        <f t="shared" si="342"/>
        <v>285</v>
      </c>
      <c r="V1429" s="82">
        <v>78.62</v>
      </c>
      <c r="W1429" s="4">
        <v>1</v>
      </c>
      <c r="X1429" s="195">
        <f t="shared" si="343"/>
        <v>363.62</v>
      </c>
      <c r="Y1429" s="29" t="e">
        <f>IF(+VLOOKUP(I1429,P.Referencia!E:S,3,FALSE)&lt;=L1429,"Champion","Gerente")</f>
        <v>#N/A</v>
      </c>
      <c r="Z1429" s="30" t="e">
        <f>VLOOKUP(I1429,P.Referencia!E:S,3,0)</f>
        <v>#N/A</v>
      </c>
      <c r="AA1429" s="196" t="e">
        <f t="shared" si="344"/>
        <v>#N/A</v>
      </c>
      <c r="AB1429" s="197" t="e">
        <f t="shared" si="345"/>
        <v>#N/A</v>
      </c>
      <c r="AC1429" s="197" t="e">
        <f t="shared" si="346"/>
        <v>#N/A</v>
      </c>
    </row>
    <row r="1430" spans="1:30" hidden="1" x14ac:dyDescent="0.25">
      <c r="A1430" s="24">
        <v>1429</v>
      </c>
      <c r="B1430" s="89" t="s">
        <v>374</v>
      </c>
      <c r="C1430" s="4" t="str">
        <f t="shared" si="332"/>
        <v>LlaveD86167387599100003112</v>
      </c>
      <c r="D1430" s="25" t="str">
        <f>VLOOKUP(E1430,'NO MODIFICAR'!J:K,2,0)</f>
        <v>D861</v>
      </c>
      <c r="E1430" s="102" t="s">
        <v>44</v>
      </c>
      <c r="F1430" s="25" t="str">
        <f>VLOOKUP(D1430,'NO MODIFICAR'!F:H,3,0)</f>
        <v xml:space="preserve">CENTRO </v>
      </c>
      <c r="G1430" s="92">
        <v>67387599</v>
      </c>
      <c r="H1430" s="93" t="s">
        <v>1082</v>
      </c>
      <c r="I1430" s="94">
        <v>10000311</v>
      </c>
      <c r="J1430" s="4" t="s">
        <v>122</v>
      </c>
      <c r="K1430" s="25">
        <f>VLOOKUP(I1430,'Materiales,canteras'!C:E,3,0)</f>
        <v>1.651</v>
      </c>
      <c r="L1430" s="105">
        <v>205</v>
      </c>
      <c r="M1430" s="28" t="s">
        <v>93</v>
      </c>
      <c r="N1430" s="193">
        <f t="shared" ca="1" si="339"/>
        <v>46267</v>
      </c>
      <c r="O1430" s="24" t="s">
        <v>955</v>
      </c>
      <c r="P1430" s="4"/>
      <c r="Q1430" s="4">
        <v>4.12</v>
      </c>
      <c r="R1430" s="4">
        <v>11.44</v>
      </c>
      <c r="S1430" s="4">
        <v>286</v>
      </c>
      <c r="T1430" s="303">
        <f t="shared" si="341"/>
        <v>-65.44</v>
      </c>
      <c r="U1430" s="88">
        <f t="shared" si="342"/>
        <v>205</v>
      </c>
      <c r="V1430" s="82">
        <v>0</v>
      </c>
      <c r="W1430" s="4">
        <v>2</v>
      </c>
      <c r="X1430" s="195">
        <f t="shared" si="343"/>
        <v>205</v>
      </c>
      <c r="Y1430" s="29" t="e">
        <f>IF(+VLOOKUP(I1430,P.Referencia!E:S,3,FALSE)&lt;=L1430,"Champion","Gerente")</f>
        <v>#N/A</v>
      </c>
      <c r="Z1430" s="30" t="e">
        <f>VLOOKUP(I1430,P.Referencia!E:S,3,0)</f>
        <v>#N/A</v>
      </c>
      <c r="AA1430" s="196" t="e">
        <f t="shared" si="344"/>
        <v>#N/A</v>
      </c>
      <c r="AB1430" s="197" t="e">
        <f t="shared" si="345"/>
        <v>#N/A</v>
      </c>
      <c r="AC1430" s="197" t="e">
        <f t="shared" si="346"/>
        <v>#N/A</v>
      </c>
    </row>
    <row r="1431" spans="1:30" hidden="1" x14ac:dyDescent="0.25">
      <c r="A1431" s="24">
        <v>1430</v>
      </c>
      <c r="B1431" s="89" t="s">
        <v>374</v>
      </c>
      <c r="C1431" s="4" t="str">
        <f t="shared" si="332"/>
        <v>LlaveD86167387599100002292</v>
      </c>
      <c r="D1431" s="25" t="str">
        <f>VLOOKUP(E1431,'NO MODIFICAR'!J:K,2,0)</f>
        <v>D861</v>
      </c>
      <c r="E1431" s="102" t="s">
        <v>44</v>
      </c>
      <c r="F1431" s="25" t="str">
        <f>VLOOKUP(D1431,'NO MODIFICAR'!F:H,3,0)</f>
        <v xml:space="preserve">CENTRO </v>
      </c>
      <c r="G1431" s="92">
        <v>67387599</v>
      </c>
      <c r="H1431" s="93" t="s">
        <v>1082</v>
      </c>
      <c r="I1431" s="94">
        <v>10000229</v>
      </c>
      <c r="J1431" s="4" t="s">
        <v>123</v>
      </c>
      <c r="K1431" s="25">
        <f>VLOOKUP(I1431,'Materiales,canteras'!C:E,3,0)</f>
        <v>1.522</v>
      </c>
      <c r="L1431" s="105">
        <v>215</v>
      </c>
      <c r="M1431" s="28" t="s">
        <v>93</v>
      </c>
      <c r="N1431" s="193">
        <f t="shared" ca="1" si="339"/>
        <v>46267</v>
      </c>
      <c r="O1431" s="24" t="s">
        <v>956</v>
      </c>
      <c r="P1431" s="4"/>
      <c r="Q1431" s="4">
        <v>5.07</v>
      </c>
      <c r="R1431" s="4">
        <v>14.08</v>
      </c>
      <c r="S1431" s="4">
        <v>352</v>
      </c>
      <c r="T1431" s="303">
        <f t="shared" si="333"/>
        <v>-117.85000000000002</v>
      </c>
      <c r="U1431" s="88">
        <f t="shared" si="334"/>
        <v>215</v>
      </c>
      <c r="V1431" s="82">
        <v>0</v>
      </c>
      <c r="W1431" s="4">
        <v>2</v>
      </c>
      <c r="X1431" s="195">
        <f t="shared" si="335"/>
        <v>215</v>
      </c>
      <c r="Y1431" s="29" t="e">
        <f>IF(+VLOOKUP(I1431,P.Referencia!E:S,3,FALSE)&lt;=L1431,"Champion","Gerente")</f>
        <v>#N/A</v>
      </c>
      <c r="Z1431" s="30" t="e">
        <f>VLOOKUP(I1431,P.Referencia!E:S,3,0)</f>
        <v>#N/A</v>
      </c>
      <c r="AA1431" s="196" t="e">
        <f t="shared" si="336"/>
        <v>#N/A</v>
      </c>
      <c r="AB1431" s="197" t="e">
        <f t="shared" si="337"/>
        <v>#N/A</v>
      </c>
      <c r="AC1431" s="197" t="e">
        <f t="shared" si="338"/>
        <v>#N/A</v>
      </c>
    </row>
    <row r="1432" spans="1:30" hidden="1" x14ac:dyDescent="0.25">
      <c r="A1432" s="24">
        <v>1431</v>
      </c>
      <c r="B1432" s="89" t="s">
        <v>374</v>
      </c>
      <c r="C1432" s="4" t="str">
        <f t="shared" si="332"/>
        <v>LlaveD86167387599100002312</v>
      </c>
      <c r="D1432" s="25" t="str">
        <f>VLOOKUP(E1432,'NO MODIFICAR'!J:K,2,0)</f>
        <v>D861</v>
      </c>
      <c r="E1432" s="102" t="s">
        <v>44</v>
      </c>
      <c r="F1432" s="25" t="str">
        <f>VLOOKUP(D1432,'NO MODIFICAR'!F:H,3,0)</f>
        <v xml:space="preserve">CENTRO </v>
      </c>
      <c r="G1432" s="92">
        <v>67387599</v>
      </c>
      <c r="H1432" s="93" t="s">
        <v>1082</v>
      </c>
      <c r="I1432" s="94">
        <v>10000231</v>
      </c>
      <c r="J1432" s="4" t="s">
        <v>1083</v>
      </c>
      <c r="K1432" s="25">
        <f>VLOOKUP(I1432,'Materiales,canteras'!C:E,3,0)</f>
        <v>1.5649999999999999</v>
      </c>
      <c r="L1432" s="105">
        <v>215</v>
      </c>
      <c r="M1432" s="28" t="s">
        <v>93</v>
      </c>
      <c r="N1432" s="193">
        <f t="shared" ca="1" si="339"/>
        <v>46267</v>
      </c>
      <c r="O1432" s="24" t="s">
        <v>957</v>
      </c>
      <c r="P1432" s="4"/>
      <c r="Q1432" s="4">
        <v>4.4400000000000004</v>
      </c>
      <c r="R1432" s="4">
        <v>12.32</v>
      </c>
      <c r="S1432" s="4">
        <v>308</v>
      </c>
      <c r="T1432" s="303">
        <f t="shared" si="333"/>
        <v>-76.240000000000009</v>
      </c>
      <c r="U1432" s="88">
        <f t="shared" si="334"/>
        <v>215</v>
      </c>
      <c r="V1432" s="82">
        <v>0</v>
      </c>
      <c r="W1432" s="4">
        <v>2</v>
      </c>
      <c r="X1432" s="195">
        <f t="shared" si="335"/>
        <v>215</v>
      </c>
      <c r="Y1432" s="29" t="e">
        <f>IF(+VLOOKUP(I1432,P.Referencia!E:S,3,FALSE)&lt;=L1432,"Champion","Gerente")</f>
        <v>#N/A</v>
      </c>
      <c r="Z1432" s="30" t="e">
        <f>VLOOKUP(I1432,P.Referencia!E:S,3,0)</f>
        <v>#N/A</v>
      </c>
      <c r="AA1432" s="196" t="e">
        <f t="shared" si="336"/>
        <v>#N/A</v>
      </c>
      <c r="AB1432" s="197" t="e">
        <f t="shared" si="337"/>
        <v>#N/A</v>
      </c>
      <c r="AC1432" s="197" t="e">
        <f t="shared" si="338"/>
        <v>#N/A</v>
      </c>
    </row>
    <row r="1433" spans="1:30" hidden="1" x14ac:dyDescent="0.25">
      <c r="A1433" s="24">
        <v>1432</v>
      </c>
      <c r="B1433" s="89" t="s">
        <v>374</v>
      </c>
      <c r="C1433" s="4" t="str">
        <f t="shared" si="332"/>
        <v>LlaveD86167387599100014502</v>
      </c>
      <c r="D1433" s="25" t="str">
        <f>VLOOKUP(E1433,'NO MODIFICAR'!J:K,2,0)</f>
        <v>D861</v>
      </c>
      <c r="E1433" s="102" t="s">
        <v>44</v>
      </c>
      <c r="F1433" s="25" t="str">
        <f>VLOOKUP(D1433,'NO MODIFICAR'!F:H,3,0)</f>
        <v xml:space="preserve">CENTRO </v>
      </c>
      <c r="G1433" s="92">
        <v>67387599</v>
      </c>
      <c r="H1433" s="93" t="s">
        <v>1082</v>
      </c>
      <c r="I1433" s="94">
        <v>10001450</v>
      </c>
      <c r="J1433" s="4" t="s">
        <v>1084</v>
      </c>
      <c r="K1433" s="25">
        <f>VLOOKUP(I1433,'Materiales,canteras'!C:E,3,0)</f>
        <v>1.7490000000000001</v>
      </c>
      <c r="L1433" s="105">
        <v>205</v>
      </c>
      <c r="M1433" s="28" t="s">
        <v>93</v>
      </c>
      <c r="N1433" s="193">
        <f t="shared" ca="1" si="339"/>
        <v>46267</v>
      </c>
      <c r="O1433" s="24" t="s">
        <v>958</v>
      </c>
      <c r="P1433" s="4"/>
      <c r="Q1433" s="4">
        <v>4.12</v>
      </c>
      <c r="R1433" s="4">
        <v>11.44</v>
      </c>
      <c r="S1433" s="4">
        <v>286</v>
      </c>
      <c r="T1433" s="303">
        <f t="shared" si="333"/>
        <v>-65.44</v>
      </c>
      <c r="U1433" s="88">
        <f t="shared" si="334"/>
        <v>205</v>
      </c>
      <c r="V1433" s="82">
        <v>0</v>
      </c>
      <c r="W1433" s="4">
        <v>2</v>
      </c>
      <c r="X1433" s="195">
        <f t="shared" si="335"/>
        <v>205</v>
      </c>
      <c r="Y1433" s="29" t="e">
        <f>IF(+VLOOKUP(I1433,P.Referencia!E:S,3,FALSE)&lt;=L1433,"Champion","Gerente")</f>
        <v>#N/A</v>
      </c>
      <c r="Z1433" s="30" t="e">
        <f>VLOOKUP(I1433,P.Referencia!E:S,3,0)</f>
        <v>#N/A</v>
      </c>
      <c r="AA1433" s="196" t="e">
        <f t="shared" si="336"/>
        <v>#N/A</v>
      </c>
      <c r="AB1433" s="197" t="e">
        <f t="shared" si="337"/>
        <v>#N/A</v>
      </c>
      <c r="AC1433" s="197" t="e">
        <f t="shared" si="338"/>
        <v>#N/A</v>
      </c>
    </row>
    <row r="1434" spans="1:30" hidden="1" x14ac:dyDescent="0.25">
      <c r="A1434" s="24">
        <v>1433</v>
      </c>
      <c r="B1434" s="89" t="s">
        <v>374</v>
      </c>
      <c r="C1434" s="4" t="str">
        <f t="shared" si="332"/>
        <v>LlaveD86167387599100002332</v>
      </c>
      <c r="D1434" s="25" t="str">
        <f>VLOOKUP(E1434,'NO MODIFICAR'!J:K,2,0)</f>
        <v>D861</v>
      </c>
      <c r="E1434" s="102" t="s">
        <v>44</v>
      </c>
      <c r="F1434" s="25" t="str">
        <f>VLOOKUP(D1434,'NO MODIFICAR'!F:H,3,0)</f>
        <v xml:space="preserve">CENTRO </v>
      </c>
      <c r="G1434" s="92">
        <v>67387599</v>
      </c>
      <c r="H1434" s="93" t="s">
        <v>1082</v>
      </c>
      <c r="I1434" s="94">
        <v>10000233</v>
      </c>
      <c r="J1434" s="4" t="s">
        <v>1085</v>
      </c>
      <c r="K1434" s="25">
        <f>VLOOKUP(I1434,'Materiales,canteras'!C:E,3,0)</f>
        <v>1.456</v>
      </c>
      <c r="L1434" s="105">
        <v>20</v>
      </c>
      <c r="M1434" s="28" t="s">
        <v>93</v>
      </c>
      <c r="N1434" s="193">
        <f t="shared" ca="1" si="339"/>
        <v>46267</v>
      </c>
      <c r="O1434" s="24" t="s">
        <v>959</v>
      </c>
      <c r="P1434" s="4"/>
      <c r="Q1434" s="4">
        <v>4.46</v>
      </c>
      <c r="R1434" s="4">
        <v>12.4</v>
      </c>
      <c r="S1434" s="4">
        <v>310</v>
      </c>
      <c r="T1434" s="303">
        <f t="shared" si="333"/>
        <v>-273.14000000000004</v>
      </c>
      <c r="U1434" s="88">
        <f t="shared" si="334"/>
        <v>20</v>
      </c>
      <c r="V1434" s="82">
        <v>0</v>
      </c>
      <c r="W1434" s="4">
        <v>2</v>
      </c>
      <c r="X1434" s="195">
        <f t="shared" si="335"/>
        <v>20</v>
      </c>
      <c r="Y1434" s="29" t="e">
        <f>IF(+VLOOKUP(I1434,P.Referencia!E:S,3,FALSE)&lt;=L1434,"Champion","Gerente")</f>
        <v>#N/A</v>
      </c>
      <c r="Z1434" s="30" t="e">
        <f>VLOOKUP(I1434,P.Referencia!E:S,3,0)</f>
        <v>#N/A</v>
      </c>
      <c r="AA1434" s="196" t="e">
        <f t="shared" si="336"/>
        <v>#N/A</v>
      </c>
      <c r="AB1434" s="197" t="e">
        <f t="shared" si="337"/>
        <v>#N/A</v>
      </c>
      <c r="AC1434" s="197" t="e">
        <f t="shared" si="338"/>
        <v>#N/A</v>
      </c>
    </row>
    <row r="1435" spans="1:30" hidden="1" x14ac:dyDescent="0.25">
      <c r="A1435" s="24">
        <v>1434</v>
      </c>
      <c r="B1435" s="89" t="s">
        <v>374</v>
      </c>
      <c r="C1435" s="4" t="str">
        <f t="shared" si="332"/>
        <v>LlaveD81667357762100001241</v>
      </c>
      <c r="D1435" s="25" t="str">
        <f>VLOOKUP(E1435,'NO MODIFICAR'!J:K,2,0)</f>
        <v>D816</v>
      </c>
      <c r="E1435" s="102" t="s">
        <v>15</v>
      </c>
      <c r="F1435" s="25" t="str">
        <f>VLOOKUP(D1435,'NO MODIFICAR'!F:H,3,0)</f>
        <v>NORESTE</v>
      </c>
      <c r="G1435" s="92">
        <v>67357762</v>
      </c>
      <c r="H1435" s="93" t="s">
        <v>1086</v>
      </c>
      <c r="I1435" s="94">
        <v>10000124</v>
      </c>
      <c r="J1435" s="4" t="str">
        <f>VLOOKUP(I1435,'Materiales,canteras'!C:D,2,0)</f>
        <v>Arena Triturada Caliza Malla 4</v>
      </c>
      <c r="K1435" s="25">
        <f>VLOOKUP(I1435,'Materiales,canteras'!C:E,3,0)</f>
        <v>1.7390000000000001</v>
      </c>
      <c r="L1435" s="105">
        <v>290</v>
      </c>
      <c r="M1435" s="28" t="s">
        <v>93</v>
      </c>
      <c r="N1435" s="193">
        <f t="shared" ca="1" si="339"/>
        <v>46267</v>
      </c>
      <c r="O1435" s="24" t="s">
        <v>960</v>
      </c>
      <c r="P1435" s="4"/>
      <c r="Q1435" s="4"/>
      <c r="R1435" s="4">
        <v>19.8</v>
      </c>
      <c r="S1435" s="4">
        <v>495</v>
      </c>
      <c r="T1435" s="303">
        <f t="shared" si="333"/>
        <v>-185.2</v>
      </c>
      <c r="U1435" s="88">
        <f t="shared" si="334"/>
        <v>290</v>
      </c>
      <c r="V1435" s="82">
        <v>90</v>
      </c>
      <c r="W1435" s="4">
        <v>1</v>
      </c>
      <c r="X1435" s="195">
        <f t="shared" si="335"/>
        <v>380</v>
      </c>
      <c r="Y1435" s="29" t="e">
        <f>IF(+VLOOKUP(I1435,P.Referencia!E:S,3,FALSE)&lt;=L1435,"Champion","Gerente")</f>
        <v>#N/A</v>
      </c>
      <c r="Z1435" s="30" t="e">
        <f>VLOOKUP(I1435,P.Referencia!E:S,3,0)</f>
        <v>#N/A</v>
      </c>
      <c r="AA1435" s="196" t="e">
        <f t="shared" si="336"/>
        <v>#N/A</v>
      </c>
      <c r="AB1435" s="197" t="e">
        <f t="shared" si="337"/>
        <v>#N/A</v>
      </c>
      <c r="AC1435" s="197" t="e">
        <f t="shared" si="338"/>
        <v>#N/A</v>
      </c>
    </row>
    <row r="1436" spans="1:30" hidden="1" x14ac:dyDescent="0.25">
      <c r="A1436" s="24">
        <v>1435</v>
      </c>
      <c r="B1436" s="89" t="s">
        <v>374</v>
      </c>
      <c r="C1436" s="4" t="str">
        <f t="shared" si="332"/>
        <v>LlaveD81667357762100012011</v>
      </c>
      <c r="D1436" s="25" t="str">
        <f>VLOOKUP(E1436,'NO MODIFICAR'!J:K,2,0)</f>
        <v>D816</v>
      </c>
      <c r="E1436" s="102" t="s">
        <v>15</v>
      </c>
      <c r="F1436" s="25" t="str">
        <f>VLOOKUP(D1436,'NO MODIFICAR'!F:H,3,0)</f>
        <v>NORESTE</v>
      </c>
      <c r="G1436" s="92">
        <v>67357762</v>
      </c>
      <c r="H1436" s="93" t="s">
        <v>1086</v>
      </c>
      <c r="I1436" s="94">
        <v>10001201</v>
      </c>
      <c r="J1436" s="4" t="str">
        <f>VLOOKUP(I1436,'Materiales,canteras'!C:D,2,0)</f>
        <v>No Clasificado Triturado Caliz</v>
      </c>
      <c r="K1436" s="25">
        <f>VLOOKUP(I1436,'Materiales,canteras'!C:E,3,0)</f>
        <v>1.698</v>
      </c>
      <c r="L1436" s="105">
        <v>270</v>
      </c>
      <c r="M1436" s="28" t="s">
        <v>93</v>
      </c>
      <c r="N1436" s="193">
        <f t="shared" ca="1" si="339"/>
        <v>46267</v>
      </c>
      <c r="O1436" s="24" t="s">
        <v>961</v>
      </c>
      <c r="P1436" s="4"/>
      <c r="Q1436" s="4"/>
      <c r="R1436" s="4">
        <v>14.04</v>
      </c>
      <c r="S1436" s="4">
        <v>351</v>
      </c>
      <c r="T1436" s="303">
        <f t="shared" si="333"/>
        <v>-66.95999999999998</v>
      </c>
      <c r="U1436" s="88">
        <f t="shared" si="334"/>
        <v>270</v>
      </c>
      <c r="V1436" s="82">
        <v>90</v>
      </c>
      <c r="W1436" s="4">
        <v>1</v>
      </c>
      <c r="X1436" s="195">
        <f t="shared" si="335"/>
        <v>360</v>
      </c>
      <c r="Y1436" s="29" t="e">
        <f>IF(+VLOOKUP(I1436,P.Referencia!E:S,3,FALSE)&lt;=L1436,"Champion","Gerente")</f>
        <v>#N/A</v>
      </c>
      <c r="Z1436" s="30" t="e">
        <f>VLOOKUP(I1436,P.Referencia!E:S,3,0)</f>
        <v>#N/A</v>
      </c>
      <c r="AA1436" s="196" t="e">
        <f t="shared" si="336"/>
        <v>#N/A</v>
      </c>
      <c r="AB1436" s="197" t="e">
        <f t="shared" si="337"/>
        <v>#N/A</v>
      </c>
      <c r="AC1436" s="197" t="e">
        <f t="shared" si="338"/>
        <v>#N/A</v>
      </c>
    </row>
    <row r="1437" spans="1:30" hidden="1" x14ac:dyDescent="0.25">
      <c r="A1437" s="24">
        <v>1436</v>
      </c>
      <c r="B1437" s="89" t="s">
        <v>374</v>
      </c>
      <c r="C1437" s="4" t="str">
        <f t="shared" ref="C1437:C1449" si="347">_xlfn.CONCAT($C$1,D1437,G1437,I1437,W1437)</f>
        <v>LlaveD86467220765100010732</v>
      </c>
      <c r="D1437" s="25" t="str">
        <f>VLOOKUP(E1437,'NO MODIFICAR'!J:K,2,0)</f>
        <v>D864</v>
      </c>
      <c r="E1437" s="102" t="s">
        <v>55</v>
      </c>
      <c r="F1437" s="25" t="str">
        <f>VLOOKUP(D1437,'NO MODIFICAR'!F:H,3,0)</f>
        <v xml:space="preserve">CENTRO </v>
      </c>
      <c r="G1437" s="92">
        <v>67220765</v>
      </c>
      <c r="H1437" s="93" t="s">
        <v>1087</v>
      </c>
      <c r="I1437" s="94">
        <v>10001073</v>
      </c>
      <c r="J1437" s="4" t="str">
        <f>VLOOKUP(I1437,'Materiales,canteras'!C:D,2,0)</f>
        <v>Arena Triturada Caliza Malla 4</v>
      </c>
      <c r="K1437" s="25">
        <f>VLOOKUP(I1437,'Materiales,canteras'!C:E,3,0)</f>
        <v>1.56</v>
      </c>
      <c r="L1437" s="105">
        <v>95</v>
      </c>
      <c r="M1437" s="28" t="s">
        <v>93</v>
      </c>
      <c r="N1437" s="193">
        <f t="shared" ca="1" si="339"/>
        <v>46267</v>
      </c>
      <c r="O1437" s="24" t="s">
        <v>962</v>
      </c>
      <c r="P1437" s="4"/>
      <c r="Q1437" s="4"/>
      <c r="R1437" s="4">
        <v>2.37</v>
      </c>
      <c r="S1437" s="4">
        <v>158</v>
      </c>
      <c r="T1437" s="303">
        <f t="shared" ref="T1437:T1450" si="348">L1437-((S1437-P1437)-(Q1437)-(R1437))</f>
        <v>-60.629999999999995</v>
      </c>
      <c r="U1437" s="88">
        <f t="shared" ref="U1437:U1450" si="349">L1437</f>
        <v>95</v>
      </c>
      <c r="V1437" s="82">
        <v>0</v>
      </c>
      <c r="W1437" s="4">
        <v>2</v>
      </c>
      <c r="X1437" s="195">
        <f t="shared" ref="X1437:X1450" si="350">U1437+V1437</f>
        <v>95</v>
      </c>
      <c r="Y1437" s="29" t="e">
        <f>IF(+VLOOKUP(I1437,P.Referencia!E:S,3,FALSE)&lt;=L1437,"Champion","Gerente")</f>
        <v>#N/A</v>
      </c>
      <c r="Z1437" s="30" t="e">
        <f>VLOOKUP(I1437,P.Referencia!E:S,3,0)</f>
        <v>#N/A</v>
      </c>
      <c r="AA1437" s="196" t="e">
        <f t="shared" ref="AA1437:AA1450" si="351">(Z1437-U1437)/U1437</f>
        <v>#N/A</v>
      </c>
      <c r="AB1437" s="197" t="e">
        <f t="shared" ref="AB1437:AB1450" si="352">U1437*AA1437</f>
        <v>#N/A</v>
      </c>
      <c r="AC1437" s="197" t="e">
        <f t="shared" ref="AC1437:AC1450" si="353">U1437+AB1437</f>
        <v>#N/A</v>
      </c>
    </row>
    <row r="1438" spans="1:30" hidden="1" x14ac:dyDescent="0.25">
      <c r="A1438" s="24">
        <v>1437</v>
      </c>
      <c r="B1438" s="89" t="s">
        <v>374</v>
      </c>
      <c r="C1438" s="4" t="str">
        <f t="shared" si="347"/>
        <v>LlaveD86467220765100002402</v>
      </c>
      <c r="D1438" s="25" t="str">
        <f>VLOOKUP(E1438,'NO MODIFICAR'!J:K,2,0)</f>
        <v>D864</v>
      </c>
      <c r="E1438" s="102" t="s">
        <v>55</v>
      </c>
      <c r="F1438" s="25" t="str">
        <f>VLOOKUP(D1438,'NO MODIFICAR'!F:H,3,0)</f>
        <v xml:space="preserve">CENTRO </v>
      </c>
      <c r="G1438" s="92">
        <v>67220765</v>
      </c>
      <c r="H1438" s="93" t="s">
        <v>1087</v>
      </c>
      <c r="I1438" s="94">
        <v>10000240</v>
      </c>
      <c r="J1438" s="4" t="str">
        <f>VLOOKUP(I1438,'Materiales,canteras'!C:D,2,0)</f>
        <v>Grava Triturada Caliza 20 mm -</v>
      </c>
      <c r="K1438" s="25">
        <f>VLOOKUP(I1438,'Materiales,canteras'!C:E,3,0)</f>
        <v>1.462</v>
      </c>
      <c r="L1438" s="105">
        <v>136</v>
      </c>
      <c r="M1438" s="28" t="s">
        <v>93</v>
      </c>
      <c r="N1438" s="193">
        <f t="shared" ca="1" si="339"/>
        <v>46267</v>
      </c>
      <c r="O1438" s="24" t="s">
        <v>963</v>
      </c>
      <c r="P1438" s="4"/>
      <c r="Q1438" s="4"/>
      <c r="R1438" s="4">
        <v>4.41</v>
      </c>
      <c r="S1438" s="4">
        <v>294</v>
      </c>
      <c r="T1438" s="303">
        <f t="shared" si="348"/>
        <v>-153.58999999999997</v>
      </c>
      <c r="U1438" s="88">
        <f t="shared" si="349"/>
        <v>136</v>
      </c>
      <c r="V1438" s="82">
        <v>0</v>
      </c>
      <c r="W1438" s="4">
        <v>2</v>
      </c>
      <c r="X1438" s="195">
        <f t="shared" si="350"/>
        <v>136</v>
      </c>
      <c r="Y1438" s="29" t="e">
        <f>IF(+VLOOKUP(I1438,P.Referencia!E:S,3,FALSE)&lt;=L1438,"Champion","Gerente")</f>
        <v>#N/A</v>
      </c>
      <c r="Z1438" s="30" t="e">
        <f>VLOOKUP(I1438,P.Referencia!E:S,3,0)</f>
        <v>#N/A</v>
      </c>
      <c r="AA1438" s="196" t="e">
        <f t="shared" si="351"/>
        <v>#N/A</v>
      </c>
      <c r="AB1438" s="197" t="e">
        <f t="shared" si="352"/>
        <v>#N/A</v>
      </c>
      <c r="AC1438" s="197" t="e">
        <f t="shared" si="353"/>
        <v>#N/A</v>
      </c>
    </row>
    <row r="1439" spans="1:30" hidden="1" x14ac:dyDescent="0.25">
      <c r="A1439" s="24">
        <v>1438</v>
      </c>
      <c r="B1439" s="89" t="s">
        <v>374</v>
      </c>
      <c r="C1439" s="4" t="str">
        <f t="shared" si="347"/>
        <v>LlaveD86467220765100010742</v>
      </c>
      <c r="D1439" s="25" t="str">
        <f>VLOOKUP(E1439,'NO MODIFICAR'!J:K,2,0)</f>
        <v>D864</v>
      </c>
      <c r="E1439" s="102" t="s">
        <v>55</v>
      </c>
      <c r="F1439" s="25" t="str">
        <f>VLOOKUP(D1439,'NO MODIFICAR'!F:H,3,0)</f>
        <v xml:space="preserve">CENTRO </v>
      </c>
      <c r="G1439" s="92">
        <v>67220765</v>
      </c>
      <c r="H1439" s="93" t="s">
        <v>1087</v>
      </c>
      <c r="I1439" s="94">
        <v>10001074</v>
      </c>
      <c r="J1439" s="4" t="str">
        <f>VLOOKUP(I1439,'Materiales,canteras'!C:D,2,0)</f>
        <v>Grava Triturada Caliza 40 mm -</v>
      </c>
      <c r="K1439" s="25">
        <f>VLOOKUP(I1439,'Materiales,canteras'!C:E,3,0)</f>
        <v>1.4</v>
      </c>
      <c r="L1439" s="105">
        <v>132</v>
      </c>
      <c r="M1439" s="28" t="s">
        <v>93</v>
      </c>
      <c r="N1439" s="193">
        <f t="shared" ca="1" si="339"/>
        <v>46267</v>
      </c>
      <c r="O1439" s="24" t="s">
        <v>964</v>
      </c>
      <c r="P1439" s="4"/>
      <c r="Q1439" s="4"/>
      <c r="R1439" s="4">
        <v>3.47</v>
      </c>
      <c r="S1439" s="4">
        <v>231</v>
      </c>
      <c r="T1439" s="303">
        <f t="shared" si="348"/>
        <v>-95.53</v>
      </c>
      <c r="U1439" s="88">
        <f t="shared" si="349"/>
        <v>132</v>
      </c>
      <c r="V1439" s="82">
        <v>0</v>
      </c>
      <c r="W1439" s="4">
        <v>2</v>
      </c>
      <c r="X1439" s="195">
        <f t="shared" si="350"/>
        <v>132</v>
      </c>
      <c r="Y1439" s="29" t="e">
        <f>IF(+VLOOKUP(I1439,P.Referencia!E:S,3,FALSE)&lt;=L1439,"Champion","Gerente")</f>
        <v>#N/A</v>
      </c>
      <c r="Z1439" s="30" t="e">
        <f>VLOOKUP(I1439,P.Referencia!E:S,3,0)</f>
        <v>#N/A</v>
      </c>
      <c r="AA1439" s="196" t="e">
        <f t="shared" si="351"/>
        <v>#N/A</v>
      </c>
      <c r="AB1439" s="197" t="e">
        <f t="shared" si="352"/>
        <v>#N/A</v>
      </c>
      <c r="AC1439" s="197" t="e">
        <f t="shared" si="353"/>
        <v>#N/A</v>
      </c>
    </row>
    <row r="1440" spans="1:30" hidden="1" x14ac:dyDescent="0.25">
      <c r="A1440" s="24">
        <v>1439</v>
      </c>
      <c r="B1440" s="89" t="s">
        <v>374</v>
      </c>
      <c r="C1440" s="4" t="str">
        <f t="shared" si="347"/>
        <v>LlaveD86467237930100010732</v>
      </c>
      <c r="D1440" s="25" t="str">
        <f>VLOOKUP(E1440,'NO MODIFICAR'!J:K,2,0)</f>
        <v>D864</v>
      </c>
      <c r="E1440" s="102" t="s">
        <v>55</v>
      </c>
      <c r="F1440" s="25" t="str">
        <f>VLOOKUP(D1440,'NO MODIFICAR'!F:H,3,0)</f>
        <v xml:space="preserve">CENTRO </v>
      </c>
      <c r="G1440" s="92">
        <v>67237930</v>
      </c>
      <c r="H1440" s="93" t="s">
        <v>1088</v>
      </c>
      <c r="I1440" s="94">
        <v>10001073</v>
      </c>
      <c r="J1440" s="4" t="str">
        <f>VLOOKUP(I1440,'Materiales,canteras'!C:D,2,0)</f>
        <v>Arena Triturada Caliza Malla 4</v>
      </c>
      <c r="K1440" s="25">
        <f>VLOOKUP(I1440,'Materiales,canteras'!C:E,3,0)</f>
        <v>1.56</v>
      </c>
      <c r="L1440" s="105">
        <v>95</v>
      </c>
      <c r="M1440" s="28" t="s">
        <v>93</v>
      </c>
      <c r="N1440" s="193">
        <f t="shared" ca="1" si="339"/>
        <v>46267</v>
      </c>
      <c r="O1440" s="24" t="s">
        <v>965</v>
      </c>
      <c r="P1440" s="4"/>
      <c r="Q1440" s="4"/>
      <c r="R1440" s="4">
        <v>2.37</v>
      </c>
      <c r="S1440" s="4">
        <v>158</v>
      </c>
      <c r="T1440" s="303">
        <f t="shared" si="348"/>
        <v>-60.629999999999995</v>
      </c>
      <c r="U1440" s="88">
        <f t="shared" si="349"/>
        <v>95</v>
      </c>
      <c r="V1440" s="82">
        <v>0</v>
      </c>
      <c r="W1440" s="4">
        <v>2</v>
      </c>
      <c r="X1440" s="195">
        <f t="shared" si="350"/>
        <v>95</v>
      </c>
      <c r="Y1440" s="29" t="e">
        <f>IF(+VLOOKUP(I1440,P.Referencia!E:S,3,FALSE)&lt;=L1440,"Champion","Gerente")</f>
        <v>#N/A</v>
      </c>
      <c r="Z1440" s="30" t="e">
        <f>VLOOKUP(I1440,P.Referencia!E:S,3,0)</f>
        <v>#N/A</v>
      </c>
      <c r="AA1440" s="196" t="e">
        <f t="shared" si="351"/>
        <v>#N/A</v>
      </c>
      <c r="AB1440" s="197" t="e">
        <f t="shared" si="352"/>
        <v>#N/A</v>
      </c>
      <c r="AC1440" s="197" t="e">
        <f t="shared" si="353"/>
        <v>#N/A</v>
      </c>
    </row>
    <row r="1441" spans="1:29" hidden="1" x14ac:dyDescent="0.25">
      <c r="A1441" s="24">
        <v>1440</v>
      </c>
      <c r="B1441" s="89" t="s">
        <v>374</v>
      </c>
      <c r="C1441" s="4" t="str">
        <f t="shared" si="347"/>
        <v>LlaveD86467237930100002402</v>
      </c>
      <c r="D1441" s="25" t="str">
        <f>VLOOKUP(E1441,'NO MODIFICAR'!J:K,2,0)</f>
        <v>D864</v>
      </c>
      <c r="E1441" s="102" t="s">
        <v>55</v>
      </c>
      <c r="F1441" s="25" t="str">
        <f>VLOOKUP(D1441,'NO MODIFICAR'!F:H,3,0)</f>
        <v xml:space="preserve">CENTRO </v>
      </c>
      <c r="G1441" s="92">
        <v>67237930</v>
      </c>
      <c r="H1441" s="93" t="s">
        <v>1088</v>
      </c>
      <c r="I1441" s="94">
        <v>10000240</v>
      </c>
      <c r="J1441" s="4" t="str">
        <f>VLOOKUP(I1441,'Materiales,canteras'!C:D,2,0)</f>
        <v>Grava Triturada Caliza 20 mm -</v>
      </c>
      <c r="K1441" s="25">
        <f>VLOOKUP(I1441,'Materiales,canteras'!C:E,3,0)</f>
        <v>1.462</v>
      </c>
      <c r="L1441" s="105">
        <v>136</v>
      </c>
      <c r="M1441" s="28" t="s">
        <v>93</v>
      </c>
      <c r="N1441" s="193">
        <f t="shared" ca="1" si="339"/>
        <v>46267</v>
      </c>
      <c r="O1441" s="24" t="s">
        <v>966</v>
      </c>
      <c r="P1441" s="4"/>
      <c r="Q1441" s="4"/>
      <c r="R1441" s="4">
        <v>4.41</v>
      </c>
      <c r="S1441" s="4">
        <v>294</v>
      </c>
      <c r="T1441" s="303">
        <f t="shared" si="348"/>
        <v>-153.58999999999997</v>
      </c>
      <c r="U1441" s="88">
        <f t="shared" si="349"/>
        <v>136</v>
      </c>
      <c r="V1441" s="82">
        <v>0</v>
      </c>
      <c r="W1441" s="4">
        <v>2</v>
      </c>
      <c r="X1441" s="195">
        <f t="shared" si="350"/>
        <v>136</v>
      </c>
      <c r="Y1441" s="29" t="e">
        <f>IF(+VLOOKUP(I1441,P.Referencia!E:S,3,FALSE)&lt;=L1441,"Champion","Gerente")</f>
        <v>#N/A</v>
      </c>
      <c r="Z1441" s="30" t="e">
        <f>VLOOKUP(I1441,P.Referencia!E:S,3,0)</f>
        <v>#N/A</v>
      </c>
      <c r="AA1441" s="196" t="e">
        <f t="shared" si="351"/>
        <v>#N/A</v>
      </c>
      <c r="AB1441" s="197" t="e">
        <f t="shared" si="352"/>
        <v>#N/A</v>
      </c>
      <c r="AC1441" s="197" t="e">
        <f t="shared" si="353"/>
        <v>#N/A</v>
      </c>
    </row>
    <row r="1442" spans="1:29" hidden="1" x14ac:dyDescent="0.25">
      <c r="A1442" s="24">
        <v>1441</v>
      </c>
      <c r="B1442" s="89" t="s">
        <v>374</v>
      </c>
      <c r="C1442" s="4" t="str">
        <f t="shared" si="347"/>
        <v>LlaveD86467237930100010742</v>
      </c>
      <c r="D1442" s="25" t="str">
        <f>VLOOKUP(E1442,'NO MODIFICAR'!J:K,2,0)</f>
        <v>D864</v>
      </c>
      <c r="E1442" s="102" t="s">
        <v>55</v>
      </c>
      <c r="F1442" s="25" t="str">
        <f>VLOOKUP(D1442,'NO MODIFICAR'!F:H,3,0)</f>
        <v xml:space="preserve">CENTRO </v>
      </c>
      <c r="G1442" s="92">
        <v>67237930</v>
      </c>
      <c r="H1442" s="93" t="s">
        <v>1088</v>
      </c>
      <c r="I1442" s="94">
        <v>10001074</v>
      </c>
      <c r="J1442" s="4" t="str">
        <f>VLOOKUP(I1442,'Materiales,canteras'!C:D,2,0)</f>
        <v>Grava Triturada Caliza 40 mm -</v>
      </c>
      <c r="K1442" s="25">
        <f>VLOOKUP(I1442,'Materiales,canteras'!C:E,3,0)</f>
        <v>1.4</v>
      </c>
      <c r="L1442" s="105">
        <v>132</v>
      </c>
      <c r="M1442" s="28" t="s">
        <v>93</v>
      </c>
      <c r="N1442" s="193">
        <f t="shared" ca="1" si="339"/>
        <v>46267</v>
      </c>
      <c r="O1442" s="24" t="s">
        <v>967</v>
      </c>
      <c r="P1442" s="4"/>
      <c r="Q1442" s="4"/>
      <c r="R1442" s="4">
        <v>3.47</v>
      </c>
      <c r="S1442" s="4">
        <v>231</v>
      </c>
      <c r="T1442" s="303">
        <f t="shared" si="348"/>
        <v>-95.53</v>
      </c>
      <c r="U1442" s="88">
        <f t="shared" si="349"/>
        <v>132</v>
      </c>
      <c r="V1442" s="82">
        <v>0</v>
      </c>
      <c r="W1442" s="4">
        <v>2</v>
      </c>
      <c r="X1442" s="195">
        <f t="shared" si="350"/>
        <v>132</v>
      </c>
      <c r="Y1442" s="29" t="e">
        <f>IF(+VLOOKUP(I1442,P.Referencia!E:S,3,FALSE)&lt;=L1442,"Champion","Gerente")</f>
        <v>#N/A</v>
      </c>
      <c r="Z1442" s="30" t="e">
        <f>VLOOKUP(I1442,P.Referencia!E:S,3,0)</f>
        <v>#N/A</v>
      </c>
      <c r="AA1442" s="196" t="e">
        <f t="shared" si="351"/>
        <v>#N/A</v>
      </c>
      <c r="AB1442" s="197" t="e">
        <f t="shared" si="352"/>
        <v>#N/A</v>
      </c>
      <c r="AC1442" s="197" t="e">
        <f t="shared" si="353"/>
        <v>#N/A</v>
      </c>
    </row>
    <row r="1443" spans="1:29" hidden="1" x14ac:dyDescent="0.25">
      <c r="A1443" s="24">
        <v>1442</v>
      </c>
      <c r="B1443" s="89" t="s">
        <v>374</v>
      </c>
      <c r="C1443" s="4" t="str">
        <f t="shared" si="347"/>
        <v>LlaveD86467332437100010732</v>
      </c>
      <c r="D1443" s="25" t="str">
        <f>VLOOKUP(E1443,'NO MODIFICAR'!J:K,2,0)</f>
        <v>D864</v>
      </c>
      <c r="E1443" s="102" t="s">
        <v>55</v>
      </c>
      <c r="F1443" s="25" t="str">
        <f>VLOOKUP(D1443,'NO MODIFICAR'!F:H,3,0)</f>
        <v xml:space="preserve">CENTRO </v>
      </c>
      <c r="G1443" s="92">
        <v>67332437</v>
      </c>
      <c r="H1443" s="93" t="s">
        <v>1089</v>
      </c>
      <c r="I1443" s="94">
        <v>10001073</v>
      </c>
      <c r="J1443" s="4" t="str">
        <f>VLOOKUP(I1443,'Materiales,canteras'!C:D,2,0)</f>
        <v>Arena Triturada Caliza Malla 4</v>
      </c>
      <c r="K1443" s="25">
        <f>VLOOKUP(I1443,'Materiales,canteras'!C:E,3,0)</f>
        <v>1.56</v>
      </c>
      <c r="L1443" s="105">
        <v>95</v>
      </c>
      <c r="M1443" s="28" t="s">
        <v>93</v>
      </c>
      <c r="N1443" s="193">
        <f t="shared" ca="1" si="339"/>
        <v>46267</v>
      </c>
      <c r="O1443" s="24" t="s">
        <v>968</v>
      </c>
      <c r="P1443" s="4"/>
      <c r="Q1443" s="4"/>
      <c r="R1443" s="4">
        <v>2.37</v>
      </c>
      <c r="S1443" s="4">
        <v>158</v>
      </c>
      <c r="T1443" s="303">
        <f t="shared" si="348"/>
        <v>-60.629999999999995</v>
      </c>
      <c r="U1443" s="88">
        <f t="shared" si="349"/>
        <v>95</v>
      </c>
      <c r="V1443" s="82">
        <v>0</v>
      </c>
      <c r="W1443" s="4">
        <v>2</v>
      </c>
      <c r="X1443" s="195">
        <f t="shared" si="350"/>
        <v>95</v>
      </c>
      <c r="Y1443" s="29" t="e">
        <f>IF(+VLOOKUP(I1443,P.Referencia!E:S,3,FALSE)&lt;=L1443,"Champion","Gerente")</f>
        <v>#N/A</v>
      </c>
      <c r="Z1443" s="30" t="e">
        <f>VLOOKUP(I1443,P.Referencia!E:S,3,0)</f>
        <v>#N/A</v>
      </c>
      <c r="AA1443" s="196" t="e">
        <f t="shared" si="351"/>
        <v>#N/A</v>
      </c>
      <c r="AB1443" s="197" t="e">
        <f t="shared" si="352"/>
        <v>#N/A</v>
      </c>
      <c r="AC1443" s="197" t="e">
        <f t="shared" si="353"/>
        <v>#N/A</v>
      </c>
    </row>
    <row r="1444" spans="1:29" hidden="1" x14ac:dyDescent="0.25">
      <c r="A1444" s="24">
        <v>1443</v>
      </c>
      <c r="B1444" s="89" t="s">
        <v>374</v>
      </c>
      <c r="C1444" s="4" t="str">
        <f t="shared" si="347"/>
        <v>LlaveD86467332437100002402</v>
      </c>
      <c r="D1444" s="25" t="str">
        <f>VLOOKUP(E1444,'NO MODIFICAR'!J:K,2,0)</f>
        <v>D864</v>
      </c>
      <c r="E1444" s="102" t="s">
        <v>55</v>
      </c>
      <c r="F1444" s="25" t="str">
        <f>VLOOKUP(D1444,'NO MODIFICAR'!F:H,3,0)</f>
        <v xml:space="preserve">CENTRO </v>
      </c>
      <c r="G1444" s="92">
        <v>67332437</v>
      </c>
      <c r="H1444" s="93" t="s">
        <v>1089</v>
      </c>
      <c r="I1444" s="94">
        <v>10000240</v>
      </c>
      <c r="J1444" s="4" t="str">
        <f>VLOOKUP(I1444,'Materiales,canteras'!C:D,2,0)</f>
        <v>Grava Triturada Caliza 20 mm -</v>
      </c>
      <c r="K1444" s="25">
        <f>VLOOKUP(I1444,'Materiales,canteras'!C:E,3,0)</f>
        <v>1.462</v>
      </c>
      <c r="L1444" s="105">
        <v>136</v>
      </c>
      <c r="M1444" s="28" t="s">
        <v>93</v>
      </c>
      <c r="N1444" s="193">
        <f t="shared" ca="1" si="339"/>
        <v>46267</v>
      </c>
      <c r="O1444" s="24" t="s">
        <v>969</v>
      </c>
      <c r="P1444" s="4"/>
      <c r="Q1444" s="4"/>
      <c r="R1444" s="4">
        <v>4.41</v>
      </c>
      <c r="S1444" s="4">
        <v>294</v>
      </c>
      <c r="T1444" s="303">
        <f t="shared" si="348"/>
        <v>-153.58999999999997</v>
      </c>
      <c r="U1444" s="88">
        <f t="shared" si="349"/>
        <v>136</v>
      </c>
      <c r="V1444" s="82">
        <v>0</v>
      </c>
      <c r="W1444" s="4">
        <v>2</v>
      </c>
      <c r="X1444" s="195">
        <f t="shared" si="350"/>
        <v>136</v>
      </c>
      <c r="Y1444" s="29" t="e">
        <f>IF(+VLOOKUP(I1444,P.Referencia!E:S,3,FALSE)&lt;=L1444,"Champion","Gerente")</f>
        <v>#N/A</v>
      </c>
      <c r="Z1444" s="30" t="e">
        <f>VLOOKUP(I1444,P.Referencia!E:S,3,0)</f>
        <v>#N/A</v>
      </c>
      <c r="AA1444" s="196" t="e">
        <f t="shared" si="351"/>
        <v>#N/A</v>
      </c>
      <c r="AB1444" s="197" t="e">
        <f t="shared" si="352"/>
        <v>#N/A</v>
      </c>
      <c r="AC1444" s="197" t="e">
        <f t="shared" si="353"/>
        <v>#N/A</v>
      </c>
    </row>
    <row r="1445" spans="1:29" hidden="1" x14ac:dyDescent="0.25">
      <c r="A1445" s="24">
        <v>1444</v>
      </c>
      <c r="B1445" s="89" t="s">
        <v>374</v>
      </c>
      <c r="C1445" s="4" t="str">
        <f t="shared" si="347"/>
        <v>LlaveD86467332437100010742</v>
      </c>
      <c r="D1445" s="25" t="str">
        <f>VLOOKUP(E1445,'NO MODIFICAR'!J:K,2,0)</f>
        <v>D864</v>
      </c>
      <c r="E1445" s="102" t="s">
        <v>55</v>
      </c>
      <c r="F1445" s="25" t="str">
        <f>VLOOKUP(D1445,'NO MODIFICAR'!F:H,3,0)</f>
        <v xml:space="preserve">CENTRO </v>
      </c>
      <c r="G1445" s="92">
        <v>67332437</v>
      </c>
      <c r="H1445" s="93" t="s">
        <v>1089</v>
      </c>
      <c r="I1445" s="94">
        <v>10001074</v>
      </c>
      <c r="J1445" s="4" t="str">
        <f>VLOOKUP(I1445,'Materiales,canteras'!C:D,2,0)</f>
        <v>Grava Triturada Caliza 40 mm -</v>
      </c>
      <c r="K1445" s="25">
        <f>VLOOKUP(I1445,'Materiales,canteras'!C:E,3,0)</f>
        <v>1.4</v>
      </c>
      <c r="L1445" s="105">
        <v>132</v>
      </c>
      <c r="M1445" s="28" t="s">
        <v>93</v>
      </c>
      <c r="N1445" s="193">
        <f t="shared" ca="1" si="339"/>
        <v>46267</v>
      </c>
      <c r="O1445" s="24" t="s">
        <v>970</v>
      </c>
      <c r="P1445" s="4"/>
      <c r="Q1445" s="4"/>
      <c r="R1445" s="4">
        <v>3.47</v>
      </c>
      <c r="S1445" s="4">
        <v>231</v>
      </c>
      <c r="T1445" s="303">
        <f t="shared" si="348"/>
        <v>-95.53</v>
      </c>
      <c r="U1445" s="88">
        <f t="shared" si="349"/>
        <v>132</v>
      </c>
      <c r="V1445" s="82">
        <v>0</v>
      </c>
      <c r="W1445" s="4">
        <v>2</v>
      </c>
      <c r="X1445" s="195">
        <f t="shared" si="350"/>
        <v>132</v>
      </c>
      <c r="Y1445" s="29" t="e">
        <f>IF(+VLOOKUP(I1445,P.Referencia!E:S,3,FALSE)&lt;=L1445,"Champion","Gerente")</f>
        <v>#N/A</v>
      </c>
      <c r="Z1445" s="30" t="e">
        <f>VLOOKUP(I1445,P.Referencia!E:S,3,0)</f>
        <v>#N/A</v>
      </c>
      <c r="AA1445" s="196" t="e">
        <f t="shared" si="351"/>
        <v>#N/A</v>
      </c>
      <c r="AB1445" s="197" t="e">
        <f t="shared" si="352"/>
        <v>#N/A</v>
      </c>
      <c r="AC1445" s="197" t="e">
        <f t="shared" si="353"/>
        <v>#N/A</v>
      </c>
    </row>
    <row r="1446" spans="1:29" hidden="1" x14ac:dyDescent="0.25">
      <c r="A1446" s="24">
        <v>1445</v>
      </c>
      <c r="B1446" s="89" t="s">
        <v>374</v>
      </c>
      <c r="C1446" s="4" t="str">
        <f t="shared" si="347"/>
        <v>LlaveD81667332462100364881</v>
      </c>
      <c r="D1446" s="25" t="str">
        <f>VLOOKUP(E1446,'NO MODIFICAR'!J:K,2,0)</f>
        <v>D816</v>
      </c>
      <c r="E1446" s="102" t="s">
        <v>15</v>
      </c>
      <c r="F1446" s="25" t="str">
        <f>VLOOKUP(D1446,'NO MODIFICAR'!F:H,3,0)</f>
        <v>NORESTE</v>
      </c>
      <c r="G1446" s="92">
        <v>67332462</v>
      </c>
      <c r="H1446" s="93" t="s">
        <v>1090</v>
      </c>
      <c r="I1446" s="94">
        <v>10036488</v>
      </c>
      <c r="J1446" s="4" t="str">
        <f>VLOOKUP(I1446,'Materiales,canteras'!C:D,2,0)</f>
        <v>Base H Trit Caliza 3/4" a Fino</v>
      </c>
      <c r="K1446" s="25">
        <f>VLOOKUP(I1446,'Materiales,canteras'!C:E,3,0)</f>
        <v>1.78</v>
      </c>
      <c r="L1446" s="105">
        <v>280</v>
      </c>
      <c r="M1446" s="28" t="s">
        <v>93</v>
      </c>
      <c r="N1446" s="193">
        <f t="shared" ca="1" si="339"/>
        <v>46267</v>
      </c>
      <c r="O1446" s="24" t="s">
        <v>971</v>
      </c>
      <c r="P1446" s="4"/>
      <c r="Q1446" s="4"/>
      <c r="R1446" s="4"/>
      <c r="S1446" s="4">
        <v>357</v>
      </c>
      <c r="T1446" s="303">
        <f t="shared" si="348"/>
        <v>-77</v>
      </c>
      <c r="U1446" s="88">
        <f t="shared" si="349"/>
        <v>280</v>
      </c>
      <c r="V1446" s="82">
        <v>116</v>
      </c>
      <c r="W1446" s="4">
        <v>1</v>
      </c>
      <c r="X1446" s="195">
        <f t="shared" si="350"/>
        <v>396</v>
      </c>
      <c r="Y1446" s="29" t="e">
        <f>IF(+VLOOKUP(I1446,P.Referencia!E:S,3,FALSE)&lt;=L1446,"Champion","Gerente")</f>
        <v>#N/A</v>
      </c>
      <c r="Z1446" s="30" t="e">
        <f>VLOOKUP(I1446,P.Referencia!E:S,3,0)</f>
        <v>#N/A</v>
      </c>
      <c r="AA1446" s="196" t="e">
        <f t="shared" si="351"/>
        <v>#N/A</v>
      </c>
      <c r="AB1446" s="197" t="e">
        <f t="shared" si="352"/>
        <v>#N/A</v>
      </c>
      <c r="AC1446" s="197" t="e">
        <f t="shared" si="353"/>
        <v>#N/A</v>
      </c>
    </row>
    <row r="1447" spans="1:29" hidden="1" x14ac:dyDescent="0.25">
      <c r="A1447" s="24">
        <v>1446</v>
      </c>
      <c r="B1447" s="89" t="s">
        <v>374</v>
      </c>
      <c r="C1447" s="4" t="str">
        <f t="shared" si="347"/>
        <v>LlaveD86467326978100010732</v>
      </c>
      <c r="D1447" s="25" t="str">
        <f>VLOOKUP(E1447,'NO MODIFICAR'!J:K,2,0)</f>
        <v>D864</v>
      </c>
      <c r="E1447" s="102" t="s">
        <v>55</v>
      </c>
      <c r="F1447" s="25" t="str">
        <f>VLOOKUP(D1447,'NO MODIFICAR'!F:H,3,0)</f>
        <v xml:space="preserve">CENTRO </v>
      </c>
      <c r="G1447" s="92">
        <v>67326978</v>
      </c>
      <c r="H1447" s="93" t="s">
        <v>1091</v>
      </c>
      <c r="I1447" s="94">
        <v>10001073</v>
      </c>
      <c r="J1447" s="4" t="str">
        <f>VLOOKUP(I1447,'Materiales,canteras'!C:D,2,0)</f>
        <v>Arena Triturada Caliza Malla 4</v>
      </c>
      <c r="K1447" s="25">
        <f>VLOOKUP(I1447,'Materiales,canteras'!C:E,3,0)</f>
        <v>1.56</v>
      </c>
      <c r="L1447" s="82">
        <v>115</v>
      </c>
      <c r="M1447" s="28" t="s">
        <v>93</v>
      </c>
      <c r="N1447" s="193">
        <f t="shared" ca="1" si="339"/>
        <v>46267</v>
      </c>
      <c r="O1447" s="24" t="s">
        <v>972</v>
      </c>
      <c r="P1447" s="4"/>
      <c r="Q1447" s="4"/>
      <c r="R1447" s="4">
        <v>2.37</v>
      </c>
      <c r="S1447" s="4">
        <v>158</v>
      </c>
      <c r="T1447" s="303">
        <f t="shared" si="348"/>
        <v>-40.629999999999995</v>
      </c>
      <c r="U1447" s="88">
        <f t="shared" si="349"/>
        <v>115</v>
      </c>
      <c r="V1447" s="82">
        <v>0</v>
      </c>
      <c r="W1447" s="4">
        <v>2</v>
      </c>
      <c r="X1447" s="195">
        <f t="shared" si="350"/>
        <v>115</v>
      </c>
      <c r="Y1447" s="29" t="e">
        <f>IF(+VLOOKUP(I1447,P.Referencia!E:S,3,FALSE)&lt;=L1447,"Champion","Gerente")</f>
        <v>#N/A</v>
      </c>
      <c r="Z1447" s="30" t="e">
        <f>VLOOKUP(I1447,P.Referencia!E:S,3,0)</f>
        <v>#N/A</v>
      </c>
      <c r="AA1447" s="196" t="e">
        <f t="shared" si="351"/>
        <v>#N/A</v>
      </c>
      <c r="AB1447" s="197" t="e">
        <f t="shared" si="352"/>
        <v>#N/A</v>
      </c>
      <c r="AC1447" s="197" t="e">
        <f t="shared" si="353"/>
        <v>#N/A</v>
      </c>
    </row>
    <row r="1448" spans="1:29" hidden="1" x14ac:dyDescent="0.25">
      <c r="A1448" s="24">
        <v>1447</v>
      </c>
      <c r="B1448" s="89" t="s">
        <v>374</v>
      </c>
      <c r="C1448" s="4" t="str">
        <f t="shared" si="347"/>
        <v>LlaveD86466883318100010732</v>
      </c>
      <c r="D1448" s="25" t="str">
        <f>VLOOKUP(E1448,'NO MODIFICAR'!J:K,2,0)</f>
        <v>D864</v>
      </c>
      <c r="E1448" s="102" t="s">
        <v>55</v>
      </c>
      <c r="F1448" s="25" t="str">
        <f>VLOOKUP(D1448,'NO MODIFICAR'!F:H,3,0)</f>
        <v xml:space="preserve">CENTRO </v>
      </c>
      <c r="G1448" s="92">
        <v>66883318</v>
      </c>
      <c r="H1448" s="93" t="s">
        <v>574</v>
      </c>
      <c r="I1448" s="94">
        <v>10001073</v>
      </c>
      <c r="J1448" s="4" t="str">
        <f>VLOOKUP(I1448,'Materiales,canteras'!C:D,2,0)</f>
        <v>Arena Triturada Caliza Malla 4</v>
      </c>
      <c r="K1448" s="25">
        <f>VLOOKUP(I1448,'Materiales,canteras'!C:E,3,0)</f>
        <v>1.56</v>
      </c>
      <c r="L1448" s="82">
        <v>115</v>
      </c>
      <c r="M1448" s="28" t="s">
        <v>93</v>
      </c>
      <c r="N1448" s="193">
        <f t="shared" ca="1" si="339"/>
        <v>46267</v>
      </c>
      <c r="O1448" s="24" t="s">
        <v>973</v>
      </c>
      <c r="P1448" s="4"/>
      <c r="Q1448" s="4"/>
      <c r="R1448" s="4"/>
      <c r="S1448" s="4">
        <v>158</v>
      </c>
      <c r="T1448" s="303">
        <f t="shared" si="348"/>
        <v>-43</v>
      </c>
      <c r="U1448" s="88">
        <f t="shared" si="349"/>
        <v>115</v>
      </c>
      <c r="V1448" s="82">
        <v>0</v>
      </c>
      <c r="W1448" s="4">
        <v>2</v>
      </c>
      <c r="X1448" s="195">
        <f t="shared" si="350"/>
        <v>115</v>
      </c>
      <c r="Y1448" s="29" t="e">
        <f>IF(+VLOOKUP(I1448,P.Referencia!E:S,3,FALSE)&lt;=L1448,"Champion","Gerente")</f>
        <v>#N/A</v>
      </c>
      <c r="Z1448" s="30" t="e">
        <f>VLOOKUP(I1448,P.Referencia!E:S,3,0)</f>
        <v>#N/A</v>
      </c>
      <c r="AA1448" s="196" t="e">
        <f t="shared" si="351"/>
        <v>#N/A</v>
      </c>
      <c r="AB1448" s="197" t="e">
        <f t="shared" si="352"/>
        <v>#N/A</v>
      </c>
      <c r="AC1448" s="197" t="e">
        <f t="shared" si="353"/>
        <v>#N/A</v>
      </c>
    </row>
    <row r="1449" spans="1:29" hidden="1" x14ac:dyDescent="0.25">
      <c r="A1449" s="24">
        <v>1448</v>
      </c>
      <c r="B1449" s="89" t="s">
        <v>374</v>
      </c>
      <c r="C1449" s="4" t="str">
        <f t="shared" si="347"/>
        <v>LlaveD86466883318100002362</v>
      </c>
      <c r="D1449" s="25" t="str">
        <f>VLOOKUP(E1449,'NO MODIFICAR'!J:K,2,0)</f>
        <v>D864</v>
      </c>
      <c r="E1449" s="102" t="s">
        <v>55</v>
      </c>
      <c r="F1449" s="25" t="str">
        <f>VLOOKUP(D1449,'NO MODIFICAR'!F:H,3,0)</f>
        <v xml:space="preserve">CENTRO </v>
      </c>
      <c r="G1449" s="92">
        <v>66883318</v>
      </c>
      <c r="H1449" s="93" t="s">
        <v>574</v>
      </c>
      <c r="I1449" s="94">
        <v>10000236</v>
      </c>
      <c r="J1449" s="4" t="str">
        <f>VLOOKUP(I1449,'Materiales,canteras'!C:D,2,0)</f>
        <v>Grava Triturada Caliza 10 mm -</v>
      </c>
      <c r="K1449" s="25">
        <f>VLOOKUP(I1449,'Materiales,canteras'!C:E,3,0)</f>
        <v>1.41</v>
      </c>
      <c r="L1449" s="82">
        <v>140</v>
      </c>
      <c r="M1449" s="28" t="s">
        <v>93</v>
      </c>
      <c r="N1449" s="193">
        <f t="shared" ca="1" si="339"/>
        <v>46267</v>
      </c>
      <c r="O1449" s="24" t="s">
        <v>974</v>
      </c>
      <c r="P1449" s="4"/>
      <c r="Q1449" s="4"/>
      <c r="R1449" s="4"/>
      <c r="S1449" s="4">
        <v>252</v>
      </c>
      <c r="T1449" s="303">
        <f t="shared" si="348"/>
        <v>-112</v>
      </c>
      <c r="U1449" s="88">
        <f t="shared" si="349"/>
        <v>140</v>
      </c>
      <c r="V1449" s="82">
        <v>0</v>
      </c>
      <c r="W1449" s="4">
        <v>2</v>
      </c>
      <c r="X1449" s="195">
        <f t="shared" si="350"/>
        <v>140</v>
      </c>
      <c r="Y1449" s="29" t="e">
        <f>IF(+VLOOKUP(I1449,P.Referencia!E:S,3,FALSE)&lt;=L1449,"Champion","Gerente")</f>
        <v>#N/A</v>
      </c>
      <c r="Z1449" s="30" t="e">
        <f>VLOOKUP(I1449,P.Referencia!E:S,3,0)</f>
        <v>#N/A</v>
      </c>
      <c r="AA1449" s="196" t="e">
        <f t="shared" si="351"/>
        <v>#N/A</v>
      </c>
      <c r="AB1449" s="197" t="e">
        <f t="shared" si="352"/>
        <v>#N/A</v>
      </c>
      <c r="AC1449" s="197" t="e">
        <f t="shared" si="353"/>
        <v>#N/A</v>
      </c>
    </row>
    <row r="1450" spans="1:29" hidden="1" x14ac:dyDescent="0.25">
      <c r="A1450" s="24">
        <v>1449</v>
      </c>
      <c r="B1450" s="89" t="s">
        <v>374</v>
      </c>
      <c r="C1450" s="4" t="str">
        <f t="shared" ref="C1450:C1460" si="354">_xlfn.CONCAT($C$1,D1450,G1450,I1450,W1450)</f>
        <v>LlaveD86466883318100002402</v>
      </c>
      <c r="D1450" s="25" t="str">
        <f>VLOOKUP(E1450,'NO MODIFICAR'!J:K,2,0)</f>
        <v>D864</v>
      </c>
      <c r="E1450" s="102" t="s">
        <v>55</v>
      </c>
      <c r="F1450" s="25" t="str">
        <f>VLOOKUP(D1450,'NO MODIFICAR'!F:H,3,0)</f>
        <v xml:space="preserve">CENTRO </v>
      </c>
      <c r="G1450" s="92">
        <v>66883318</v>
      </c>
      <c r="H1450" s="93" t="s">
        <v>574</v>
      </c>
      <c r="I1450" s="94">
        <v>10000240</v>
      </c>
      <c r="J1450" s="4" t="str">
        <f>VLOOKUP(I1450,'Materiales,canteras'!C:D,2,0)</f>
        <v>Grava Triturada Caliza 20 mm -</v>
      </c>
      <c r="K1450" s="25">
        <f>VLOOKUP(I1450,'Materiales,canteras'!C:E,3,0)</f>
        <v>1.462</v>
      </c>
      <c r="L1450" s="82">
        <v>148</v>
      </c>
      <c r="M1450" s="28" t="s">
        <v>93</v>
      </c>
      <c r="N1450" s="193">
        <f t="shared" ca="1" si="339"/>
        <v>46267</v>
      </c>
      <c r="O1450" s="24" t="s">
        <v>975</v>
      </c>
      <c r="P1450" s="4"/>
      <c r="Q1450" s="4"/>
      <c r="R1450" s="4"/>
      <c r="S1450" s="4">
        <v>294</v>
      </c>
      <c r="T1450" s="303">
        <f t="shared" si="348"/>
        <v>-146</v>
      </c>
      <c r="U1450" s="88">
        <f t="shared" si="349"/>
        <v>148</v>
      </c>
      <c r="V1450" s="82">
        <v>0</v>
      </c>
      <c r="W1450" s="4">
        <v>2</v>
      </c>
      <c r="X1450" s="195">
        <f t="shared" si="350"/>
        <v>148</v>
      </c>
      <c r="Y1450" s="29" t="e">
        <f>IF(+VLOOKUP(I1450,P.Referencia!E:S,3,FALSE)&lt;=L1450,"Champion","Gerente")</f>
        <v>#N/A</v>
      </c>
      <c r="Z1450" s="30" t="e">
        <f>VLOOKUP(I1450,P.Referencia!E:S,3,0)</f>
        <v>#N/A</v>
      </c>
      <c r="AA1450" s="196" t="e">
        <f t="shared" si="351"/>
        <v>#N/A</v>
      </c>
      <c r="AB1450" s="197" t="e">
        <f t="shared" si="352"/>
        <v>#N/A</v>
      </c>
      <c r="AC1450" s="197" t="e">
        <f t="shared" si="353"/>
        <v>#N/A</v>
      </c>
    </row>
    <row r="1451" spans="1:29" hidden="1" x14ac:dyDescent="0.25">
      <c r="A1451" s="24">
        <v>1450</v>
      </c>
      <c r="B1451" s="89" t="s">
        <v>374</v>
      </c>
      <c r="C1451" s="4" t="str">
        <f t="shared" si="354"/>
        <v>LlaveD86466883318100002692</v>
      </c>
      <c r="D1451" s="25" t="str">
        <f>VLOOKUP(E1451,'NO MODIFICAR'!J:K,2,0)</f>
        <v>D864</v>
      </c>
      <c r="E1451" s="102" t="s">
        <v>55</v>
      </c>
      <c r="F1451" s="25" t="str">
        <f>VLOOKUP(D1451,'NO MODIFICAR'!F:H,3,0)</f>
        <v xml:space="preserve">CENTRO </v>
      </c>
      <c r="G1451" s="92">
        <v>66883318</v>
      </c>
      <c r="H1451" s="93" t="s">
        <v>574</v>
      </c>
      <c r="I1451" s="94">
        <v>10000269</v>
      </c>
      <c r="J1451" s="4" t="str">
        <f>VLOOKUP(I1451,'Materiales,canteras'!C:D,2,0)</f>
        <v>Grava Triturada Caliza 13 mm -</v>
      </c>
      <c r="K1451" s="25">
        <f>VLOOKUP(I1451,'Materiales,canteras'!C:E,3,0)</f>
        <v>1.423</v>
      </c>
      <c r="L1451" s="82">
        <v>165</v>
      </c>
      <c r="M1451" s="28" t="s">
        <v>93</v>
      </c>
      <c r="N1451" s="193">
        <f t="shared" ca="1" si="339"/>
        <v>46267</v>
      </c>
      <c r="O1451" s="24" t="s">
        <v>1092</v>
      </c>
      <c r="P1451" s="4"/>
      <c r="Q1451" s="4"/>
      <c r="R1451" s="4"/>
      <c r="S1451" s="4">
        <v>263</v>
      </c>
      <c r="T1451" s="303">
        <f t="shared" ref="T1451:T1481" si="355">L1451-((S1451-P1451)-(Q1451)-(R1451))</f>
        <v>-98</v>
      </c>
      <c r="U1451" s="88">
        <f t="shared" ref="U1451:U1481" si="356">L1451</f>
        <v>165</v>
      </c>
      <c r="V1451" s="82">
        <v>0</v>
      </c>
      <c r="W1451" s="4">
        <v>2</v>
      </c>
      <c r="X1451" s="195">
        <f t="shared" ref="X1451:X1481" si="357">U1451+V1451</f>
        <v>165</v>
      </c>
      <c r="Y1451" s="29" t="e">
        <f>IF(+VLOOKUP(I1451,P.Referencia!E:S,3,FALSE)&lt;=L1451,"Champion","Gerente")</f>
        <v>#N/A</v>
      </c>
      <c r="Z1451" s="30" t="e">
        <f>VLOOKUP(I1451,P.Referencia!E:S,3,0)</f>
        <v>#N/A</v>
      </c>
      <c r="AA1451" s="196" t="e">
        <f t="shared" ref="AA1451:AA1481" si="358">(Z1451-U1451)/U1451</f>
        <v>#N/A</v>
      </c>
      <c r="AB1451" s="197" t="e">
        <f t="shared" ref="AB1451:AB1481" si="359">U1451*AA1451</f>
        <v>#N/A</v>
      </c>
      <c r="AC1451" s="197" t="e">
        <f t="shared" ref="AC1451:AC1481" si="360">U1451+AB1451</f>
        <v>#N/A</v>
      </c>
    </row>
    <row r="1452" spans="1:29" hidden="1" x14ac:dyDescent="0.25">
      <c r="A1452" s="24">
        <v>1451</v>
      </c>
      <c r="B1452" s="89" t="s">
        <v>374</v>
      </c>
      <c r="C1452" s="4" t="str">
        <f t="shared" si="354"/>
        <v>LlaveD86466883318100010742</v>
      </c>
      <c r="D1452" s="25" t="str">
        <f>VLOOKUP(E1452,'NO MODIFICAR'!J:K,2,0)</f>
        <v>D864</v>
      </c>
      <c r="E1452" s="102" t="s">
        <v>55</v>
      </c>
      <c r="F1452" s="25" t="str">
        <f>VLOOKUP(D1452,'NO MODIFICAR'!F:H,3,0)</f>
        <v xml:space="preserve">CENTRO </v>
      </c>
      <c r="G1452" s="92">
        <v>66883318</v>
      </c>
      <c r="H1452" s="93" t="s">
        <v>574</v>
      </c>
      <c r="I1452" s="94">
        <v>10001074</v>
      </c>
      <c r="J1452" s="4" t="str">
        <f>VLOOKUP(I1452,'Materiales,canteras'!C:D,2,0)</f>
        <v>Grava Triturada Caliza 40 mm -</v>
      </c>
      <c r="K1452" s="25">
        <f>VLOOKUP(I1452,'Materiales,canteras'!C:E,3,0)</f>
        <v>1.4</v>
      </c>
      <c r="L1452" s="82">
        <v>155</v>
      </c>
      <c r="M1452" s="28" t="s">
        <v>93</v>
      </c>
      <c r="N1452" s="193">
        <f t="shared" ca="1" si="339"/>
        <v>46267</v>
      </c>
      <c r="O1452" s="24" t="s">
        <v>1093</v>
      </c>
      <c r="P1452" s="4"/>
      <c r="Q1452" s="4"/>
      <c r="R1452" s="4"/>
      <c r="S1452" s="4">
        <v>231</v>
      </c>
      <c r="T1452" s="303">
        <f t="shared" si="355"/>
        <v>-76</v>
      </c>
      <c r="U1452" s="88">
        <f t="shared" si="356"/>
        <v>155</v>
      </c>
      <c r="V1452" s="82">
        <v>0</v>
      </c>
      <c r="W1452" s="4">
        <v>2</v>
      </c>
      <c r="X1452" s="195">
        <f t="shared" si="357"/>
        <v>155</v>
      </c>
      <c r="Y1452" s="29" t="e">
        <f>IF(+VLOOKUP(I1452,P.Referencia!E:S,3,FALSE)&lt;=L1452,"Champion","Gerente")</f>
        <v>#N/A</v>
      </c>
      <c r="Z1452" s="30" t="e">
        <f>VLOOKUP(I1452,P.Referencia!E:S,3,0)</f>
        <v>#N/A</v>
      </c>
      <c r="AA1452" s="196" t="e">
        <f t="shared" si="358"/>
        <v>#N/A</v>
      </c>
      <c r="AB1452" s="197" t="e">
        <f t="shared" si="359"/>
        <v>#N/A</v>
      </c>
      <c r="AC1452" s="197" t="e">
        <f t="shared" si="360"/>
        <v>#N/A</v>
      </c>
    </row>
    <row r="1453" spans="1:29" hidden="1" x14ac:dyDescent="0.25">
      <c r="A1453" s="24">
        <v>1452</v>
      </c>
      <c r="B1453" s="89" t="s">
        <v>374</v>
      </c>
      <c r="C1453" s="4" t="str">
        <f t="shared" si="354"/>
        <v>LlaveD86365025949100496722</v>
      </c>
      <c r="D1453" s="25" t="str">
        <f>VLOOKUP(E1453,'NO MODIFICAR'!J:K,2,0)</f>
        <v>D863</v>
      </c>
      <c r="E1453" s="102" t="s">
        <v>53</v>
      </c>
      <c r="F1453" s="25" t="str">
        <f>VLOOKUP(D1453,'NO MODIFICAR'!F:H,3,0)</f>
        <v>NORESTE</v>
      </c>
      <c r="G1453" s="92">
        <v>65025949</v>
      </c>
      <c r="H1453" s="93" t="s">
        <v>570</v>
      </c>
      <c r="I1453" s="94">
        <v>10049672</v>
      </c>
      <c r="J1453" s="4" t="s">
        <v>1123</v>
      </c>
      <c r="K1453" s="25">
        <f>VLOOKUP(I1453,'Materiales,canteras'!C:E,3,0)</f>
        <v>1.625</v>
      </c>
      <c r="L1453" s="82">
        <v>172.35</v>
      </c>
      <c r="M1453" s="28" t="s">
        <v>93</v>
      </c>
      <c r="N1453" s="193">
        <f t="shared" ca="1" si="339"/>
        <v>46267</v>
      </c>
      <c r="O1453" s="24" t="s">
        <v>1094</v>
      </c>
      <c r="P1453" s="4"/>
      <c r="Q1453" s="4"/>
      <c r="R1453" s="4">
        <v>9.1999999999999993</v>
      </c>
      <c r="S1453" s="4">
        <v>184</v>
      </c>
      <c r="T1453" s="303">
        <f t="shared" si="355"/>
        <v>-2.4500000000000171</v>
      </c>
      <c r="U1453" s="88">
        <f t="shared" si="356"/>
        <v>172.35</v>
      </c>
      <c r="V1453" s="82">
        <v>0</v>
      </c>
      <c r="W1453" s="4">
        <v>2</v>
      </c>
      <c r="X1453" s="195">
        <f t="shared" si="357"/>
        <v>172.35</v>
      </c>
      <c r="Y1453" s="29" t="e">
        <f>IF(+VLOOKUP(I1453,P.Referencia!E:S,3,FALSE)&lt;=L1453,"Champion","Gerente")</f>
        <v>#N/A</v>
      </c>
      <c r="Z1453" s="30" t="e">
        <f>VLOOKUP(I1453,P.Referencia!E:S,3,0)</f>
        <v>#N/A</v>
      </c>
      <c r="AA1453" s="196" t="e">
        <f t="shared" si="358"/>
        <v>#N/A</v>
      </c>
      <c r="AB1453" s="197" t="e">
        <f t="shared" si="359"/>
        <v>#N/A</v>
      </c>
      <c r="AC1453" s="197" t="e">
        <f t="shared" si="360"/>
        <v>#N/A</v>
      </c>
    </row>
    <row r="1454" spans="1:29" hidden="1" x14ac:dyDescent="0.25">
      <c r="A1454" s="24">
        <v>1453</v>
      </c>
      <c r="B1454" s="89" t="s">
        <v>378</v>
      </c>
      <c r="C1454" s="4" t="str">
        <f t="shared" si="354"/>
        <v>LlaveD86167330780100003112</v>
      </c>
      <c r="D1454" s="25" t="str">
        <f>VLOOKUP(E1454,'NO MODIFICAR'!J:K,2,0)</f>
        <v>D861</v>
      </c>
      <c r="E1454" s="102" t="s">
        <v>44</v>
      </c>
      <c r="F1454" s="25" t="str">
        <f>VLOOKUP(D1454,'NO MODIFICAR'!F:H,3,0)</f>
        <v xml:space="preserve">CENTRO </v>
      </c>
      <c r="G1454" s="92">
        <v>67330780</v>
      </c>
      <c r="H1454" s="93" t="s">
        <v>251</v>
      </c>
      <c r="I1454" s="94">
        <v>10000311</v>
      </c>
      <c r="J1454" s="4" t="str">
        <f>VLOOKUP(I1454,'Materiales,canteras'!C:D,2,0)</f>
        <v>Arena Triturada Basalto  Malla</v>
      </c>
      <c r="K1454" s="25">
        <f>VLOOKUP(I1454,'Materiales,canteras'!C:E,3,0)</f>
        <v>1.651</v>
      </c>
      <c r="L1454" s="82">
        <v>195</v>
      </c>
      <c r="M1454" s="28" t="s">
        <v>93</v>
      </c>
      <c r="N1454" s="193">
        <f t="shared" ca="1" si="339"/>
        <v>46267</v>
      </c>
      <c r="O1454" s="24" t="s">
        <v>1095</v>
      </c>
      <c r="P1454" s="4"/>
      <c r="Q1454" s="4"/>
      <c r="R1454" s="4"/>
      <c r="S1454" s="4">
        <v>286</v>
      </c>
      <c r="T1454" s="303">
        <f t="shared" si="355"/>
        <v>-91</v>
      </c>
      <c r="U1454" s="88">
        <f t="shared" si="356"/>
        <v>195</v>
      </c>
      <c r="V1454" s="82">
        <v>0</v>
      </c>
      <c r="W1454" s="4">
        <v>2</v>
      </c>
      <c r="X1454" s="195">
        <f t="shared" si="357"/>
        <v>195</v>
      </c>
      <c r="Y1454" s="29" t="e">
        <f>IF(+VLOOKUP(I1454,P.Referencia!E:S,3,FALSE)&lt;=L1454,"Champion","Gerente")</f>
        <v>#N/A</v>
      </c>
      <c r="Z1454" s="30" t="e">
        <f>VLOOKUP(I1454,P.Referencia!E:S,3,0)</f>
        <v>#N/A</v>
      </c>
      <c r="AA1454" s="196" t="e">
        <f t="shared" si="358"/>
        <v>#N/A</v>
      </c>
      <c r="AB1454" s="197" t="e">
        <f t="shared" si="359"/>
        <v>#N/A</v>
      </c>
      <c r="AC1454" s="197" t="e">
        <f t="shared" si="360"/>
        <v>#N/A</v>
      </c>
    </row>
    <row r="1455" spans="1:29" hidden="1" x14ac:dyDescent="0.25">
      <c r="A1455" s="24">
        <v>1454</v>
      </c>
      <c r="B1455" s="89" t="s">
        <v>378</v>
      </c>
      <c r="C1455" s="4" t="str">
        <f t="shared" si="354"/>
        <v>LlaveD86167330780100002292</v>
      </c>
      <c r="D1455" s="25" t="str">
        <f>VLOOKUP(E1455,'NO MODIFICAR'!J:K,2,0)</f>
        <v>D861</v>
      </c>
      <c r="E1455" s="102" t="s">
        <v>44</v>
      </c>
      <c r="F1455" s="25" t="str">
        <f>VLOOKUP(D1455,'NO MODIFICAR'!F:H,3,0)</f>
        <v xml:space="preserve">CENTRO </v>
      </c>
      <c r="G1455" s="92">
        <v>67330780</v>
      </c>
      <c r="H1455" s="93" t="s">
        <v>251</v>
      </c>
      <c r="I1455" s="94">
        <v>10000229</v>
      </c>
      <c r="J1455" s="4" t="str">
        <f>VLOOKUP(I1455,'Materiales,canteras'!C:D,2,0)</f>
        <v>Grava Triturada Basalto  10 mm</v>
      </c>
      <c r="K1455" s="25">
        <f>VLOOKUP(I1455,'Materiales,canteras'!C:E,3,0)</f>
        <v>1.522</v>
      </c>
      <c r="L1455" s="82">
        <v>220</v>
      </c>
      <c r="M1455" s="28" t="s">
        <v>93</v>
      </c>
      <c r="N1455" s="193">
        <f t="shared" ca="1" si="339"/>
        <v>46267</v>
      </c>
      <c r="O1455" s="24" t="s">
        <v>1096</v>
      </c>
      <c r="P1455" s="4"/>
      <c r="Q1455" s="4"/>
      <c r="R1455" s="4"/>
      <c r="S1455" s="4">
        <v>352</v>
      </c>
      <c r="T1455" s="303">
        <f t="shared" si="355"/>
        <v>-132</v>
      </c>
      <c r="U1455" s="88">
        <f t="shared" si="356"/>
        <v>220</v>
      </c>
      <c r="V1455" s="82">
        <v>0</v>
      </c>
      <c r="W1455" s="4">
        <v>2</v>
      </c>
      <c r="X1455" s="195">
        <f t="shared" si="357"/>
        <v>220</v>
      </c>
      <c r="Y1455" s="29" t="e">
        <f>IF(+VLOOKUP(I1455,P.Referencia!E:S,3,FALSE)&lt;=L1455,"Champion","Gerente")</f>
        <v>#N/A</v>
      </c>
      <c r="Z1455" s="30" t="e">
        <f>VLOOKUP(I1455,P.Referencia!E:S,3,0)</f>
        <v>#N/A</v>
      </c>
      <c r="AA1455" s="196" t="e">
        <f t="shared" si="358"/>
        <v>#N/A</v>
      </c>
      <c r="AB1455" s="197" t="e">
        <f t="shared" si="359"/>
        <v>#N/A</v>
      </c>
      <c r="AC1455" s="197" t="e">
        <f t="shared" si="360"/>
        <v>#N/A</v>
      </c>
    </row>
    <row r="1456" spans="1:29" hidden="1" x14ac:dyDescent="0.25">
      <c r="A1456" s="24">
        <v>1455</v>
      </c>
      <c r="B1456" s="89" t="s">
        <v>378</v>
      </c>
      <c r="C1456" s="4" t="str">
        <f t="shared" si="354"/>
        <v>LlaveD86167330780100002312</v>
      </c>
      <c r="D1456" s="25" t="str">
        <f>VLOOKUP(E1456,'NO MODIFICAR'!J:K,2,0)</f>
        <v>D861</v>
      </c>
      <c r="E1456" s="102" t="s">
        <v>44</v>
      </c>
      <c r="F1456" s="25" t="str">
        <f>VLOOKUP(D1456,'NO MODIFICAR'!F:H,3,0)</f>
        <v xml:space="preserve">CENTRO </v>
      </c>
      <c r="G1456" s="92">
        <v>67330780</v>
      </c>
      <c r="H1456" s="93" t="s">
        <v>251</v>
      </c>
      <c r="I1456" s="94">
        <v>10000231</v>
      </c>
      <c r="J1456" s="4" t="str">
        <f>VLOOKUP(I1456,'Materiales,canteras'!C:D,2,0)</f>
        <v>Grava Triturada Basalto 20 mm</v>
      </c>
      <c r="K1456" s="25">
        <f>VLOOKUP(I1456,'Materiales,canteras'!C:E,3,0)</f>
        <v>1.5649999999999999</v>
      </c>
      <c r="L1456" s="82">
        <v>210</v>
      </c>
      <c r="M1456" s="28" t="s">
        <v>93</v>
      </c>
      <c r="N1456" s="193">
        <f t="shared" ca="1" si="339"/>
        <v>46267</v>
      </c>
      <c r="O1456" s="24" t="s">
        <v>1097</v>
      </c>
      <c r="P1456" s="4"/>
      <c r="Q1456" s="4"/>
      <c r="R1456" s="4"/>
      <c r="S1456" s="4">
        <v>308</v>
      </c>
      <c r="T1456" s="303">
        <f t="shared" si="355"/>
        <v>-98</v>
      </c>
      <c r="U1456" s="88">
        <f t="shared" si="356"/>
        <v>210</v>
      </c>
      <c r="V1456" s="82">
        <v>0</v>
      </c>
      <c r="W1456" s="4">
        <v>2</v>
      </c>
      <c r="X1456" s="195">
        <f t="shared" si="357"/>
        <v>210</v>
      </c>
      <c r="Y1456" s="29" t="e">
        <f>IF(+VLOOKUP(I1456,P.Referencia!E:S,3,FALSE)&lt;=L1456,"Champion","Gerente")</f>
        <v>#N/A</v>
      </c>
      <c r="Z1456" s="30" t="e">
        <f>VLOOKUP(I1456,P.Referencia!E:S,3,0)</f>
        <v>#N/A</v>
      </c>
      <c r="AA1456" s="196" t="e">
        <f t="shared" si="358"/>
        <v>#N/A</v>
      </c>
      <c r="AB1456" s="197" t="e">
        <f t="shared" si="359"/>
        <v>#N/A</v>
      </c>
      <c r="AC1456" s="197" t="e">
        <f t="shared" si="360"/>
        <v>#N/A</v>
      </c>
    </row>
    <row r="1457" spans="1:29" hidden="1" x14ac:dyDescent="0.25">
      <c r="A1457" s="24">
        <v>1456</v>
      </c>
      <c r="B1457" s="89" t="s">
        <v>378</v>
      </c>
      <c r="C1457" s="4" t="str">
        <f t="shared" si="354"/>
        <v>LlaveD86167330780100002332</v>
      </c>
      <c r="D1457" s="25" t="str">
        <f>VLOOKUP(E1457,'NO MODIFICAR'!J:K,2,0)</f>
        <v>D861</v>
      </c>
      <c r="E1457" s="102" t="s">
        <v>44</v>
      </c>
      <c r="F1457" s="25" t="str">
        <f>VLOOKUP(D1457,'NO MODIFICAR'!F:H,3,0)</f>
        <v xml:space="preserve">CENTRO </v>
      </c>
      <c r="G1457" s="92">
        <v>67330780</v>
      </c>
      <c r="H1457" s="93" t="s">
        <v>251</v>
      </c>
      <c r="I1457" s="94">
        <v>10000233</v>
      </c>
      <c r="J1457" s="4" t="str">
        <f>VLOOKUP(I1457,'Materiales,canteras'!C:D,2,0)</f>
        <v>Grava Triturada Basalto  40 mm</v>
      </c>
      <c r="K1457" s="25">
        <f>VLOOKUP(I1457,'Materiales,canteras'!C:E,3,0)</f>
        <v>1.456</v>
      </c>
      <c r="L1457" s="82">
        <v>210</v>
      </c>
      <c r="M1457" s="28" t="s">
        <v>93</v>
      </c>
      <c r="N1457" s="193">
        <f t="shared" ca="1" si="339"/>
        <v>46267</v>
      </c>
      <c r="O1457" s="24" t="s">
        <v>1098</v>
      </c>
      <c r="P1457" s="4"/>
      <c r="Q1457" s="4"/>
      <c r="R1457" s="4"/>
      <c r="S1457" s="4">
        <v>310</v>
      </c>
      <c r="T1457" s="303">
        <f t="shared" si="355"/>
        <v>-100</v>
      </c>
      <c r="U1457" s="88">
        <f t="shared" si="356"/>
        <v>210</v>
      </c>
      <c r="V1457" s="82">
        <v>0</v>
      </c>
      <c r="W1457" s="4">
        <v>2</v>
      </c>
      <c r="X1457" s="195">
        <f t="shared" si="357"/>
        <v>210</v>
      </c>
      <c r="Y1457" s="29" t="e">
        <f>IF(+VLOOKUP(I1457,P.Referencia!E:S,3,FALSE)&lt;=L1457,"Champion","Gerente")</f>
        <v>#N/A</v>
      </c>
      <c r="Z1457" s="30" t="e">
        <f>VLOOKUP(I1457,P.Referencia!E:S,3,0)</f>
        <v>#N/A</v>
      </c>
      <c r="AA1457" s="196" t="e">
        <f t="shared" si="358"/>
        <v>#N/A</v>
      </c>
      <c r="AB1457" s="197" t="e">
        <f t="shared" si="359"/>
        <v>#N/A</v>
      </c>
      <c r="AC1457" s="197" t="e">
        <f t="shared" si="360"/>
        <v>#N/A</v>
      </c>
    </row>
    <row r="1458" spans="1:29" hidden="1" x14ac:dyDescent="0.25">
      <c r="A1458" s="24">
        <v>1457</v>
      </c>
      <c r="B1458" s="89" t="s">
        <v>378</v>
      </c>
      <c r="C1458" s="4" t="str">
        <f t="shared" si="354"/>
        <v>LlaveD86167012554100002292</v>
      </c>
      <c r="D1458" s="25" t="str">
        <f>VLOOKUP(E1458,'NO MODIFICAR'!J:K,2,0)</f>
        <v>D861</v>
      </c>
      <c r="E1458" s="102" t="s">
        <v>44</v>
      </c>
      <c r="F1458" s="25" t="str">
        <f>VLOOKUP(D1458,'NO MODIFICAR'!F:H,3,0)</f>
        <v xml:space="preserve">CENTRO </v>
      </c>
      <c r="G1458" s="92">
        <v>67012554</v>
      </c>
      <c r="H1458" s="93" t="s">
        <v>1124</v>
      </c>
      <c r="I1458" s="94">
        <v>10000229</v>
      </c>
      <c r="J1458" s="4" t="str">
        <f>VLOOKUP(I1458,'Materiales,canteras'!C:D,2,0)</f>
        <v>Grava Triturada Basalto  10 mm</v>
      </c>
      <c r="K1458" s="25">
        <f>VLOOKUP(I1458,'Materiales,canteras'!C:E,3,0)</f>
        <v>1.522</v>
      </c>
      <c r="L1458" s="82">
        <v>230</v>
      </c>
      <c r="M1458" s="28" t="s">
        <v>93</v>
      </c>
      <c r="N1458" s="193">
        <f t="shared" ca="1" si="339"/>
        <v>46267</v>
      </c>
      <c r="O1458" s="24" t="s">
        <v>1099</v>
      </c>
      <c r="P1458" s="4"/>
      <c r="Q1458" s="4"/>
      <c r="R1458" s="4"/>
      <c r="S1458" s="4">
        <v>352</v>
      </c>
      <c r="T1458" s="303">
        <f t="shared" si="355"/>
        <v>-122</v>
      </c>
      <c r="U1458" s="88">
        <f t="shared" si="356"/>
        <v>230</v>
      </c>
      <c r="V1458" s="82">
        <v>0</v>
      </c>
      <c r="W1458" s="4">
        <v>2</v>
      </c>
      <c r="X1458" s="195">
        <f t="shared" si="357"/>
        <v>230</v>
      </c>
      <c r="Y1458" s="29" t="e">
        <f>IF(+VLOOKUP(I1458,P.Referencia!E:S,3,FALSE)&lt;=L1458,"Champion","Gerente")</f>
        <v>#N/A</v>
      </c>
      <c r="Z1458" s="30" t="e">
        <f>VLOOKUP(I1458,P.Referencia!E:S,3,0)</f>
        <v>#N/A</v>
      </c>
      <c r="AA1458" s="196" t="e">
        <f t="shared" si="358"/>
        <v>#N/A</v>
      </c>
      <c r="AB1458" s="197" t="e">
        <f t="shared" si="359"/>
        <v>#N/A</v>
      </c>
      <c r="AC1458" s="197" t="e">
        <f t="shared" si="360"/>
        <v>#N/A</v>
      </c>
    </row>
    <row r="1459" spans="1:29" hidden="1" x14ac:dyDescent="0.25">
      <c r="A1459" s="24">
        <v>1458</v>
      </c>
      <c r="B1459" s="89" t="s">
        <v>1126</v>
      </c>
      <c r="C1459" s="4" t="str">
        <f t="shared" si="354"/>
        <v>LlaveD86167012554100003112</v>
      </c>
      <c r="D1459" s="25" t="str">
        <f>VLOOKUP(E1459,'NO MODIFICAR'!J:K,2,0)</f>
        <v>D861</v>
      </c>
      <c r="E1459" s="102" t="s">
        <v>44</v>
      </c>
      <c r="F1459" s="25" t="str">
        <f>VLOOKUP(D1459,'NO MODIFICAR'!F:H,3,0)</f>
        <v xml:space="preserve">CENTRO </v>
      </c>
      <c r="G1459" s="92">
        <v>67012554</v>
      </c>
      <c r="H1459" s="93" t="s">
        <v>1124</v>
      </c>
      <c r="I1459" s="94">
        <v>10000311</v>
      </c>
      <c r="J1459" s="4" t="str">
        <f>VLOOKUP(I1459,'Materiales,canteras'!C:D,2,0)</f>
        <v>Arena Triturada Basalto  Malla</v>
      </c>
      <c r="K1459" s="25">
        <f>VLOOKUP(I1459,'Materiales,canteras'!C:E,3,0)</f>
        <v>1.651</v>
      </c>
      <c r="L1459" s="82">
        <v>215</v>
      </c>
      <c r="M1459" s="28" t="s">
        <v>93</v>
      </c>
      <c r="N1459" s="193">
        <f t="shared" ca="1" si="339"/>
        <v>46267</v>
      </c>
      <c r="O1459" s="24" t="s">
        <v>1100</v>
      </c>
      <c r="P1459" s="4"/>
      <c r="Q1459" s="4"/>
      <c r="R1459" s="4"/>
      <c r="S1459" s="4">
        <v>286</v>
      </c>
      <c r="T1459" s="303">
        <f t="shared" si="355"/>
        <v>-71</v>
      </c>
      <c r="U1459" s="88">
        <f t="shared" si="356"/>
        <v>215</v>
      </c>
      <c r="V1459" s="82">
        <v>0</v>
      </c>
      <c r="W1459" s="4">
        <v>2</v>
      </c>
      <c r="X1459" s="195">
        <f t="shared" si="357"/>
        <v>215</v>
      </c>
      <c r="Y1459" s="29" t="e">
        <f>IF(+VLOOKUP(I1459,P.Referencia!E:S,3,FALSE)&lt;=L1459,"Champion","Gerente")</f>
        <v>#N/A</v>
      </c>
      <c r="Z1459" s="30" t="e">
        <f>VLOOKUP(I1459,P.Referencia!E:S,3,0)</f>
        <v>#N/A</v>
      </c>
      <c r="AA1459" s="196" t="e">
        <f t="shared" si="358"/>
        <v>#N/A</v>
      </c>
      <c r="AB1459" s="197" t="e">
        <f t="shared" si="359"/>
        <v>#N/A</v>
      </c>
      <c r="AC1459" s="197" t="e">
        <f t="shared" si="360"/>
        <v>#N/A</v>
      </c>
    </row>
    <row r="1460" spans="1:29" hidden="1" x14ac:dyDescent="0.25">
      <c r="A1460" s="24">
        <v>1459</v>
      </c>
      <c r="B1460" s="89" t="s">
        <v>1126</v>
      </c>
      <c r="C1460" s="4" t="str">
        <f t="shared" si="354"/>
        <v>LlaveD86467388800100002362</v>
      </c>
      <c r="D1460" s="25" t="str">
        <f>VLOOKUP(E1460,'NO MODIFICAR'!J:K,2,0)</f>
        <v>D864</v>
      </c>
      <c r="E1460" s="102" t="s">
        <v>55</v>
      </c>
      <c r="F1460" s="25" t="str">
        <f>VLOOKUP(D1460,'NO MODIFICAR'!F:H,3,0)</f>
        <v xml:space="preserve">CENTRO </v>
      </c>
      <c r="G1460" s="92">
        <v>67388800</v>
      </c>
      <c r="H1460" s="93" t="s">
        <v>1125</v>
      </c>
      <c r="I1460" s="94">
        <v>10000236</v>
      </c>
      <c r="J1460" s="4" t="str">
        <f>VLOOKUP(I1460,'Materiales,canteras'!C:D,2,0)</f>
        <v>Grava Triturada Caliza 10 mm -</v>
      </c>
      <c r="K1460" s="25">
        <f>VLOOKUP(I1460,'Materiales,canteras'!C:E,3,0)</f>
        <v>1.41</v>
      </c>
      <c r="L1460" s="82">
        <v>164.59</v>
      </c>
      <c r="M1460" s="28" t="s">
        <v>93</v>
      </c>
      <c r="N1460" s="193">
        <f t="shared" ca="1" si="339"/>
        <v>46267</v>
      </c>
      <c r="O1460" s="24" t="s">
        <v>1101</v>
      </c>
      <c r="P1460" s="4"/>
      <c r="Q1460" s="4"/>
      <c r="R1460" s="4">
        <v>3.78</v>
      </c>
      <c r="S1460" s="4">
        <v>252</v>
      </c>
      <c r="T1460" s="303">
        <f t="shared" si="355"/>
        <v>-83.63</v>
      </c>
      <c r="U1460" s="88">
        <f t="shared" si="356"/>
        <v>164.59</v>
      </c>
      <c r="V1460" s="82">
        <v>0</v>
      </c>
      <c r="W1460" s="4">
        <v>2</v>
      </c>
      <c r="X1460" s="195">
        <f t="shared" si="357"/>
        <v>164.59</v>
      </c>
      <c r="Y1460" s="29" t="e">
        <f>IF(+VLOOKUP(I1460,P.Referencia!E:S,3,FALSE)&lt;=L1460,"Champion","Gerente")</f>
        <v>#N/A</v>
      </c>
      <c r="Z1460" s="30" t="e">
        <f>VLOOKUP(I1460,P.Referencia!E:S,3,0)</f>
        <v>#N/A</v>
      </c>
      <c r="AA1460" s="196" t="e">
        <f t="shared" si="358"/>
        <v>#N/A</v>
      </c>
      <c r="AB1460" s="197" t="e">
        <f t="shared" si="359"/>
        <v>#N/A</v>
      </c>
      <c r="AC1460" s="197" t="e">
        <f t="shared" si="360"/>
        <v>#N/A</v>
      </c>
    </row>
    <row r="1461" spans="1:29" hidden="1" x14ac:dyDescent="0.25">
      <c r="A1461" s="24">
        <v>1460</v>
      </c>
      <c r="B1461" s="89" t="s">
        <v>1126</v>
      </c>
      <c r="C1461" s="4" t="str">
        <f t="shared" ref="C1461:C1465" si="361">_xlfn.CONCAT($C$1,D1461,G1461,I1461,W1461)</f>
        <v>LlaveD86167198586100002292</v>
      </c>
      <c r="D1461" s="25" t="str">
        <f>VLOOKUP(E1461,'NO MODIFICAR'!J:K,2,0)</f>
        <v>D861</v>
      </c>
      <c r="E1461" s="102" t="s">
        <v>44</v>
      </c>
      <c r="F1461" s="25" t="str">
        <f>VLOOKUP(D1461,'NO MODIFICAR'!F:H,3,0)</f>
        <v xml:space="preserve">CENTRO </v>
      </c>
      <c r="G1461" s="92">
        <v>67198586</v>
      </c>
      <c r="H1461" s="93" t="s">
        <v>1038</v>
      </c>
      <c r="I1461" s="94">
        <v>10000229</v>
      </c>
      <c r="J1461" s="4" t="str">
        <f>VLOOKUP(I1461,'Materiales,canteras'!C:D,2,0)</f>
        <v>Grava Triturada Basalto  10 mm</v>
      </c>
      <c r="K1461" s="25">
        <f>VLOOKUP(I1461,'Materiales,canteras'!C:E,3,0)</f>
        <v>1.522</v>
      </c>
      <c r="L1461" s="82">
        <v>208</v>
      </c>
      <c r="M1461" s="28" t="s">
        <v>93</v>
      </c>
      <c r="N1461" s="193">
        <f t="shared" ca="1" si="339"/>
        <v>46267</v>
      </c>
      <c r="O1461" s="24" t="s">
        <v>1102</v>
      </c>
      <c r="P1461" s="4"/>
      <c r="Q1461" s="4">
        <v>4.91</v>
      </c>
      <c r="R1461" s="4">
        <v>24.64</v>
      </c>
      <c r="S1461" s="4">
        <v>352</v>
      </c>
      <c r="T1461" s="303">
        <f t="shared" si="355"/>
        <v>-114.44999999999999</v>
      </c>
      <c r="U1461" s="88">
        <f t="shared" si="356"/>
        <v>208</v>
      </c>
      <c r="V1461" s="82">
        <v>0</v>
      </c>
      <c r="W1461" s="4">
        <v>2</v>
      </c>
      <c r="X1461" s="195">
        <f t="shared" si="357"/>
        <v>208</v>
      </c>
      <c r="Y1461" s="29" t="e">
        <f>IF(+VLOOKUP(I1461,P.Referencia!E:S,3,FALSE)&lt;=L1461,"Champion","Gerente")</f>
        <v>#N/A</v>
      </c>
      <c r="Z1461" s="30" t="e">
        <f>VLOOKUP(I1461,P.Referencia!E:S,3,0)</f>
        <v>#N/A</v>
      </c>
      <c r="AA1461" s="196" t="e">
        <f t="shared" si="358"/>
        <v>#N/A</v>
      </c>
      <c r="AB1461" s="197" t="e">
        <f t="shared" si="359"/>
        <v>#N/A</v>
      </c>
      <c r="AC1461" s="197" t="e">
        <f t="shared" si="360"/>
        <v>#N/A</v>
      </c>
    </row>
    <row r="1462" spans="1:29" hidden="1" x14ac:dyDescent="0.25">
      <c r="A1462" s="24">
        <v>1461</v>
      </c>
      <c r="B1462" s="89" t="s">
        <v>1126</v>
      </c>
      <c r="C1462" s="4" t="str">
        <f t="shared" si="361"/>
        <v>LlaveD86167198586100002312</v>
      </c>
      <c r="D1462" s="25" t="str">
        <f>VLOOKUP(E1462,'NO MODIFICAR'!J:K,2,0)</f>
        <v>D861</v>
      </c>
      <c r="E1462" s="102" t="s">
        <v>44</v>
      </c>
      <c r="F1462" s="25" t="str">
        <f>VLOOKUP(D1462,'NO MODIFICAR'!F:H,3,0)</f>
        <v xml:space="preserve">CENTRO </v>
      </c>
      <c r="G1462" s="92">
        <v>67198586</v>
      </c>
      <c r="H1462" s="93" t="s">
        <v>1038</v>
      </c>
      <c r="I1462" s="94">
        <v>10000231</v>
      </c>
      <c r="J1462" s="4" t="str">
        <f>VLOOKUP(I1462,'Materiales,canteras'!C:D,2,0)</f>
        <v>Grava Triturada Basalto 20 mm</v>
      </c>
      <c r="K1462" s="25">
        <f>VLOOKUP(I1462,'Materiales,canteras'!C:E,3,0)</f>
        <v>1.5649999999999999</v>
      </c>
      <c r="L1462" s="82">
        <v>208</v>
      </c>
      <c r="M1462" s="28" t="s">
        <v>93</v>
      </c>
      <c r="N1462" s="193">
        <f t="shared" ca="1" si="339"/>
        <v>46267</v>
      </c>
      <c r="O1462" s="24" t="s">
        <v>1103</v>
      </c>
      <c r="P1462" s="4"/>
      <c r="Q1462" s="4">
        <v>4.3</v>
      </c>
      <c r="R1462" s="4">
        <v>21.56</v>
      </c>
      <c r="S1462" s="4">
        <v>308</v>
      </c>
      <c r="T1462" s="303">
        <f t="shared" si="355"/>
        <v>-74.139999999999986</v>
      </c>
      <c r="U1462" s="88">
        <f t="shared" si="356"/>
        <v>208</v>
      </c>
      <c r="V1462" s="82">
        <v>0</v>
      </c>
      <c r="W1462" s="4">
        <v>2</v>
      </c>
      <c r="X1462" s="195">
        <f t="shared" si="357"/>
        <v>208</v>
      </c>
      <c r="Y1462" s="29" t="e">
        <f>IF(+VLOOKUP(I1462,P.Referencia!E:S,3,FALSE)&lt;=L1462,"Champion","Gerente")</f>
        <v>#N/A</v>
      </c>
      <c r="Z1462" s="30" t="e">
        <f>VLOOKUP(I1462,P.Referencia!E:S,3,0)</f>
        <v>#N/A</v>
      </c>
      <c r="AA1462" s="196" t="e">
        <f t="shared" si="358"/>
        <v>#N/A</v>
      </c>
      <c r="AB1462" s="197" t="e">
        <f t="shared" si="359"/>
        <v>#N/A</v>
      </c>
      <c r="AC1462" s="197" t="e">
        <f t="shared" si="360"/>
        <v>#N/A</v>
      </c>
    </row>
    <row r="1463" spans="1:29" hidden="1" x14ac:dyDescent="0.25">
      <c r="A1463" s="24">
        <v>1462</v>
      </c>
      <c r="B1463" s="89" t="s">
        <v>1126</v>
      </c>
      <c r="C1463" s="4" t="str">
        <f t="shared" si="361"/>
        <v>LlaveD86167198586100031532</v>
      </c>
      <c r="D1463" s="25" t="str">
        <f>VLOOKUP(E1463,'NO MODIFICAR'!J:K,2,0)</f>
        <v>D861</v>
      </c>
      <c r="E1463" s="102" t="s">
        <v>44</v>
      </c>
      <c r="F1463" s="25" t="str">
        <f>VLOOKUP(D1463,'NO MODIFICAR'!F:H,3,0)</f>
        <v xml:space="preserve">CENTRO </v>
      </c>
      <c r="G1463" s="92">
        <v>67198586</v>
      </c>
      <c r="H1463" s="93" t="s">
        <v>1038</v>
      </c>
      <c r="I1463" s="94">
        <v>10003153</v>
      </c>
      <c r="J1463" s="4" t="str">
        <f>VLOOKUP(I1463,'Materiales,canteras'!C:D,2,0)</f>
        <v>Grava Triturada Basalto 13 mm</v>
      </c>
      <c r="K1463" s="25">
        <f>VLOOKUP(I1463,'Materiales,canteras'!C:E,3,0)</f>
        <v>1.546</v>
      </c>
      <c r="L1463" s="82">
        <v>208</v>
      </c>
      <c r="M1463" s="28" t="s">
        <v>93</v>
      </c>
      <c r="N1463" s="193">
        <f t="shared" ca="1" si="339"/>
        <v>46267</v>
      </c>
      <c r="O1463" s="24" t="s">
        <v>1104</v>
      </c>
      <c r="P1463" s="4"/>
      <c r="Q1463" s="4">
        <v>4.1399999999999997</v>
      </c>
      <c r="R1463" s="4">
        <v>20.79</v>
      </c>
      <c r="S1463" s="4">
        <v>297</v>
      </c>
      <c r="T1463" s="303">
        <f t="shared" si="355"/>
        <v>-64.069999999999993</v>
      </c>
      <c r="U1463" s="88">
        <f t="shared" si="356"/>
        <v>208</v>
      </c>
      <c r="V1463" s="82">
        <v>0</v>
      </c>
      <c r="W1463" s="4">
        <v>2</v>
      </c>
      <c r="X1463" s="195">
        <f t="shared" si="357"/>
        <v>208</v>
      </c>
      <c r="Y1463" s="29" t="e">
        <f>IF(+VLOOKUP(I1463,P.Referencia!E:S,3,FALSE)&lt;=L1463,"Champion","Gerente")</f>
        <v>#N/A</v>
      </c>
      <c r="Z1463" s="30" t="e">
        <f>VLOOKUP(I1463,P.Referencia!E:S,3,0)</f>
        <v>#N/A</v>
      </c>
      <c r="AA1463" s="196" t="e">
        <f t="shared" si="358"/>
        <v>#N/A</v>
      </c>
      <c r="AB1463" s="197" t="e">
        <f t="shared" si="359"/>
        <v>#N/A</v>
      </c>
      <c r="AC1463" s="197" t="e">
        <f t="shared" si="360"/>
        <v>#N/A</v>
      </c>
    </row>
    <row r="1464" spans="1:29" hidden="1" x14ac:dyDescent="0.25">
      <c r="A1464" s="24">
        <v>1463</v>
      </c>
      <c r="B1464" s="89" t="s">
        <v>1126</v>
      </c>
      <c r="C1464" s="4" t="str">
        <f t="shared" si="361"/>
        <v>LlaveD86167198586100002332</v>
      </c>
      <c r="D1464" s="25" t="str">
        <f>VLOOKUP(E1464,'NO MODIFICAR'!J:K,2,0)</f>
        <v>D861</v>
      </c>
      <c r="E1464" s="102" t="s">
        <v>44</v>
      </c>
      <c r="F1464" s="25" t="str">
        <f>VLOOKUP(D1464,'NO MODIFICAR'!F:H,3,0)</f>
        <v xml:space="preserve">CENTRO </v>
      </c>
      <c r="G1464" s="92">
        <v>67198586</v>
      </c>
      <c r="H1464" s="93" t="s">
        <v>1038</v>
      </c>
      <c r="I1464" s="94">
        <v>10000233</v>
      </c>
      <c r="J1464" s="4" t="str">
        <f>VLOOKUP(I1464,'Materiales,canteras'!C:D,2,0)</f>
        <v>Grava Triturada Basalto  40 mm</v>
      </c>
      <c r="K1464" s="25">
        <f>VLOOKUP(I1464,'Materiales,canteras'!C:E,3,0)</f>
        <v>1.456</v>
      </c>
      <c r="L1464" s="82">
        <v>208</v>
      </c>
      <c r="M1464" s="28" t="s">
        <v>93</v>
      </c>
      <c r="N1464" s="193">
        <f t="shared" ca="1" si="339"/>
        <v>46267</v>
      </c>
      <c r="O1464" s="24" t="s">
        <v>1105</v>
      </c>
      <c r="P1464" s="4"/>
      <c r="Q1464" s="4">
        <v>4.32</v>
      </c>
      <c r="R1464" s="4">
        <v>21.7</v>
      </c>
      <c r="S1464" s="4">
        <v>310</v>
      </c>
      <c r="T1464" s="303">
        <f t="shared" si="355"/>
        <v>-75.980000000000018</v>
      </c>
      <c r="U1464" s="88">
        <f t="shared" si="356"/>
        <v>208</v>
      </c>
      <c r="V1464" s="82">
        <v>0</v>
      </c>
      <c r="W1464" s="4">
        <v>2</v>
      </c>
      <c r="X1464" s="195">
        <f t="shared" si="357"/>
        <v>208</v>
      </c>
      <c r="Y1464" s="29" t="e">
        <f>IF(+VLOOKUP(I1464,P.Referencia!E:S,3,FALSE)&lt;=L1464,"Champion","Gerente")</f>
        <v>#N/A</v>
      </c>
      <c r="Z1464" s="30" t="e">
        <f>VLOOKUP(I1464,P.Referencia!E:S,3,0)</f>
        <v>#N/A</v>
      </c>
      <c r="AA1464" s="196" t="e">
        <f t="shared" si="358"/>
        <v>#N/A</v>
      </c>
      <c r="AB1464" s="197" t="e">
        <f t="shared" si="359"/>
        <v>#N/A</v>
      </c>
      <c r="AC1464" s="197" t="e">
        <f t="shared" si="360"/>
        <v>#N/A</v>
      </c>
    </row>
    <row r="1465" spans="1:29" hidden="1" x14ac:dyDescent="0.25">
      <c r="A1465" s="24">
        <v>1464</v>
      </c>
      <c r="B1465" s="89" t="s">
        <v>1126</v>
      </c>
      <c r="C1465" s="4" t="str">
        <f t="shared" si="361"/>
        <v>LlaveD86167198586100002902</v>
      </c>
      <c r="D1465" s="25" t="str">
        <f>VLOOKUP(E1465,'NO MODIFICAR'!J:K,2,0)</f>
        <v>D861</v>
      </c>
      <c r="E1465" s="102" t="s">
        <v>44</v>
      </c>
      <c r="F1465" s="25" t="str">
        <f>VLOOKUP(D1465,'NO MODIFICAR'!F:H,3,0)</f>
        <v xml:space="preserve">CENTRO </v>
      </c>
      <c r="G1465" s="92">
        <v>67198586</v>
      </c>
      <c r="H1465" s="93" t="s">
        <v>1038</v>
      </c>
      <c r="I1465" s="94">
        <v>10000290</v>
      </c>
      <c r="J1465" s="4" t="str">
        <f>VLOOKUP(I1465,'Materiales,canteras'!C:D,2,0)</f>
        <v>Polvos Triturado Basalto 3/4"</v>
      </c>
      <c r="K1465" s="25">
        <f>VLOOKUP(I1465,'Materiales,canteras'!C:E,3,0)</f>
        <v>1.3720000000000001</v>
      </c>
      <c r="L1465" s="82">
        <v>0.5</v>
      </c>
      <c r="M1465" s="28" t="s">
        <v>93</v>
      </c>
      <c r="N1465" s="193">
        <f t="shared" ca="1" si="339"/>
        <v>46267</v>
      </c>
      <c r="O1465" s="24" t="s">
        <v>1106</v>
      </c>
      <c r="P1465" s="4"/>
      <c r="Q1465" s="4">
        <v>0.39</v>
      </c>
      <c r="R1465" s="4">
        <v>1.96</v>
      </c>
      <c r="S1465" s="4">
        <v>28</v>
      </c>
      <c r="T1465" s="303">
        <f t="shared" si="355"/>
        <v>-25.15</v>
      </c>
      <c r="U1465" s="88">
        <f t="shared" si="356"/>
        <v>0.5</v>
      </c>
      <c r="V1465" s="82">
        <v>0</v>
      </c>
      <c r="W1465" s="4">
        <v>2</v>
      </c>
      <c r="X1465" s="195">
        <f t="shared" si="357"/>
        <v>0.5</v>
      </c>
      <c r="Y1465" s="29" t="e">
        <f>IF(+VLOOKUP(I1465,P.Referencia!E:S,3,FALSE)&lt;=L1465,"Champion","Gerente")</f>
        <v>#N/A</v>
      </c>
      <c r="Z1465" s="30" t="e">
        <f>VLOOKUP(I1465,P.Referencia!E:S,3,0)</f>
        <v>#N/A</v>
      </c>
      <c r="AA1465" s="196" t="e">
        <f t="shared" si="358"/>
        <v>#N/A</v>
      </c>
      <c r="AB1465" s="197" t="e">
        <f t="shared" si="359"/>
        <v>#N/A</v>
      </c>
      <c r="AC1465" s="197" t="e">
        <f t="shared" si="360"/>
        <v>#N/A</v>
      </c>
    </row>
    <row r="1466" spans="1:29" hidden="1" x14ac:dyDescent="0.25">
      <c r="A1466" s="24">
        <v>1465</v>
      </c>
      <c r="B1466" s="89" t="s">
        <v>379</v>
      </c>
      <c r="C1466" s="4" t="str">
        <f t="shared" ref="C1466:C1482" si="362">_xlfn.CONCAT($C$1,D1466,G1466,I1466,W1466)</f>
        <v>LlaveD81667359566100002621</v>
      </c>
      <c r="D1466" s="25" t="str">
        <f>VLOOKUP(E1466,'NO MODIFICAR'!J:K,2,0)</f>
        <v>D816</v>
      </c>
      <c r="E1466" s="102" t="s">
        <v>15</v>
      </c>
      <c r="F1466" s="25" t="str">
        <f>VLOOKUP(D1466,'NO MODIFICAR'!F:H,3,0)</f>
        <v>NORESTE</v>
      </c>
      <c r="G1466" s="92">
        <v>67359566</v>
      </c>
      <c r="H1466" s="93" t="s">
        <v>1127</v>
      </c>
      <c r="I1466" s="94">
        <v>10000262</v>
      </c>
      <c r="J1466" s="4" t="str">
        <f>VLOOKUP(I1466,'Materiales,canteras'!C:D,2,0)</f>
        <v>Base H Triturada Caliza 1 1/2"</v>
      </c>
      <c r="K1466" s="25">
        <f>VLOOKUP(I1466,'Materiales,canteras'!C:E,3,0)</f>
        <v>1.821</v>
      </c>
      <c r="L1466" s="82">
        <v>275</v>
      </c>
      <c r="M1466" s="28" t="s">
        <v>93</v>
      </c>
      <c r="N1466" s="193">
        <f t="shared" ca="1" si="339"/>
        <v>46267</v>
      </c>
      <c r="O1466" s="24" t="s">
        <v>1107</v>
      </c>
      <c r="P1466" s="4"/>
      <c r="Q1466" s="4"/>
      <c r="R1466" s="4">
        <v>17.850000000000001</v>
      </c>
      <c r="S1466" s="4">
        <v>357</v>
      </c>
      <c r="T1466" s="303">
        <f t="shared" si="355"/>
        <v>-64.149999999999977</v>
      </c>
      <c r="U1466" s="88">
        <f t="shared" si="356"/>
        <v>275</v>
      </c>
      <c r="V1466" s="82">
        <v>94.65</v>
      </c>
      <c r="W1466" s="4">
        <v>1</v>
      </c>
      <c r="X1466" s="195">
        <f t="shared" si="357"/>
        <v>369.65</v>
      </c>
      <c r="Y1466" s="29" t="e">
        <f>IF(+VLOOKUP(I1466,P.Referencia!E:S,3,FALSE)&lt;=L1466,"Champion","Gerente")</f>
        <v>#N/A</v>
      </c>
      <c r="Z1466" s="30" t="e">
        <f>VLOOKUP(I1466,P.Referencia!E:S,3,0)</f>
        <v>#N/A</v>
      </c>
      <c r="AA1466" s="196" t="e">
        <f t="shared" si="358"/>
        <v>#N/A</v>
      </c>
      <c r="AB1466" s="197" t="e">
        <f t="shared" si="359"/>
        <v>#N/A</v>
      </c>
      <c r="AC1466" s="197" t="e">
        <f t="shared" si="360"/>
        <v>#N/A</v>
      </c>
    </row>
    <row r="1467" spans="1:29" hidden="1" x14ac:dyDescent="0.25">
      <c r="A1467" s="24">
        <v>1464</v>
      </c>
      <c r="B1467" s="89" t="s">
        <v>379</v>
      </c>
      <c r="C1467" s="4" t="str">
        <f t="shared" si="362"/>
        <v>LlaveD85267229525100389422</v>
      </c>
      <c r="D1467" s="25" t="str">
        <f>VLOOKUP(E1467,'NO MODIFICAR'!J:K,2,0)</f>
        <v>D852</v>
      </c>
      <c r="E1467" s="102" t="s">
        <v>36</v>
      </c>
      <c r="F1467" s="25" t="str">
        <f>VLOOKUP(D1467,'NO MODIFICAR'!F:H,3,0)</f>
        <v>NORESTE</v>
      </c>
      <c r="G1467" s="92">
        <v>67229525</v>
      </c>
      <c r="H1467" s="93" t="s">
        <v>1128</v>
      </c>
      <c r="I1467" s="94">
        <v>10038942</v>
      </c>
      <c r="J1467" s="4" t="str">
        <f>VLOOKUP(I1467,'Materiales,canteras'!C:D,2,0)</f>
        <v>Arena Triturada Caliza Malla 8</v>
      </c>
      <c r="K1467" s="25">
        <f>VLOOKUP(I1467,'Materiales,canteras'!C:E,3,0)</f>
        <v>1.629</v>
      </c>
      <c r="L1467" s="82">
        <v>125</v>
      </c>
      <c r="M1467" s="28" t="s">
        <v>93</v>
      </c>
      <c r="N1467" s="193">
        <f t="shared" ca="1" si="339"/>
        <v>46267</v>
      </c>
      <c r="O1467" s="24" t="s">
        <v>1108</v>
      </c>
      <c r="P1467" s="4"/>
      <c r="Q1467" s="4"/>
      <c r="R1467" s="4"/>
      <c r="T1467" s="303">
        <f t="shared" si="355"/>
        <v>125</v>
      </c>
      <c r="U1467" s="88">
        <f t="shared" si="356"/>
        <v>125</v>
      </c>
      <c r="V1467" s="82">
        <v>0</v>
      </c>
      <c r="W1467" s="4">
        <v>2</v>
      </c>
      <c r="X1467" s="195">
        <f t="shared" si="357"/>
        <v>125</v>
      </c>
      <c r="Y1467" s="29" t="e">
        <f>IF(+VLOOKUP(I1467,P.Referencia!E:S,3,FALSE)&lt;=L1467,"Champion","Gerente")</f>
        <v>#N/A</v>
      </c>
      <c r="Z1467" s="30" t="e">
        <f>VLOOKUP(I1467,P.Referencia!E:S,3,0)</f>
        <v>#N/A</v>
      </c>
      <c r="AA1467" s="196" t="e">
        <f t="shared" si="358"/>
        <v>#N/A</v>
      </c>
      <c r="AB1467" s="197" t="e">
        <f t="shared" si="359"/>
        <v>#N/A</v>
      </c>
      <c r="AC1467" s="197" t="e">
        <f t="shared" si="360"/>
        <v>#N/A</v>
      </c>
    </row>
    <row r="1468" spans="1:29" hidden="1" x14ac:dyDescent="0.25">
      <c r="A1468" s="24">
        <v>1464</v>
      </c>
      <c r="B1468" s="89" t="s">
        <v>379</v>
      </c>
      <c r="C1468" s="4" t="str">
        <f t="shared" si="362"/>
        <v>LlaveD85267229525100389452</v>
      </c>
      <c r="D1468" s="25" t="str">
        <f>VLOOKUP(E1468,'NO MODIFICAR'!J:K,2,0)</f>
        <v>D852</v>
      </c>
      <c r="E1468" s="102" t="s">
        <v>36</v>
      </c>
      <c r="F1468" s="25" t="str">
        <f>VLOOKUP(D1468,'NO MODIFICAR'!F:H,3,0)</f>
        <v>NORESTE</v>
      </c>
      <c r="G1468" s="92">
        <v>67229525</v>
      </c>
      <c r="H1468" s="93" t="s">
        <v>1128</v>
      </c>
      <c r="I1468" s="94">
        <v>10038945</v>
      </c>
      <c r="J1468" s="4" t="str">
        <f>VLOOKUP(I1468,'Materiales,canteras'!C:D,2,0)</f>
        <v>Grava Triturada Caliza 20 mm -</v>
      </c>
      <c r="K1468" s="25">
        <f>VLOOKUP(I1468,'Materiales,canteras'!C:E,3,0)</f>
        <v>1.54</v>
      </c>
      <c r="L1468" s="82">
        <v>120</v>
      </c>
      <c r="M1468" s="28" t="s">
        <v>93</v>
      </c>
      <c r="N1468" s="193">
        <f t="shared" ca="1" si="339"/>
        <v>46267</v>
      </c>
      <c r="O1468" s="24" t="s">
        <v>1109</v>
      </c>
      <c r="P1468" s="4"/>
      <c r="Q1468" s="4"/>
      <c r="R1468" s="4"/>
      <c r="T1468" s="303">
        <f t="shared" si="355"/>
        <v>120</v>
      </c>
      <c r="U1468" s="88">
        <f t="shared" si="356"/>
        <v>120</v>
      </c>
      <c r="V1468" s="82">
        <v>0</v>
      </c>
      <c r="W1468" s="4">
        <v>2</v>
      </c>
      <c r="X1468" s="195">
        <f t="shared" si="357"/>
        <v>120</v>
      </c>
      <c r="Y1468" s="29" t="e">
        <f>IF(+VLOOKUP(I1468,P.Referencia!E:S,3,FALSE)&lt;=L1468,"Champion","Gerente")</f>
        <v>#N/A</v>
      </c>
      <c r="Z1468" s="30" t="e">
        <f>VLOOKUP(I1468,P.Referencia!E:S,3,0)</f>
        <v>#N/A</v>
      </c>
      <c r="AA1468" s="196" t="e">
        <f t="shared" si="358"/>
        <v>#N/A</v>
      </c>
      <c r="AB1468" s="197" t="e">
        <f t="shared" si="359"/>
        <v>#N/A</v>
      </c>
      <c r="AC1468" s="197" t="e">
        <f t="shared" si="360"/>
        <v>#N/A</v>
      </c>
    </row>
    <row r="1469" spans="1:29" s="315" customFormat="1" hidden="1" x14ac:dyDescent="0.25">
      <c r="A1469" s="313">
        <v>1464</v>
      </c>
      <c r="B1469" s="314" t="s">
        <v>379</v>
      </c>
      <c r="C1469" s="315" t="str">
        <f t="shared" si="362"/>
        <v>LlaveD86167386704 100024991</v>
      </c>
      <c r="D1469" s="316" t="s">
        <v>43</v>
      </c>
      <c r="E1469" s="317" t="s">
        <v>44</v>
      </c>
      <c r="F1469" s="316" t="str">
        <f>VLOOKUP(D1469,'NO MODIFICAR'!F:H,3,0)</f>
        <v xml:space="preserve">CENTRO </v>
      </c>
      <c r="G1469" s="318" t="s">
        <v>1129</v>
      </c>
      <c r="H1469" s="319" t="s">
        <v>1130</v>
      </c>
      <c r="I1469" s="318">
        <v>10002499</v>
      </c>
      <c r="J1469" s="315" t="str">
        <f>VLOOKUP(I1469,'Materiales,canteras'!C:D,2,0)</f>
        <v>Arena Triturada Basalto Malla 4  -Mezcla</v>
      </c>
      <c r="K1469" s="316">
        <f>VLOOKUP(I1469,'Materiales,canteras'!C:E,3,0)</f>
        <v>1.6659999999999999</v>
      </c>
      <c r="L1469" s="320">
        <v>230</v>
      </c>
      <c r="M1469" s="318" t="s">
        <v>93</v>
      </c>
      <c r="N1469" s="321">
        <f t="shared" ca="1" si="339"/>
        <v>46267</v>
      </c>
      <c r="O1469" s="313" t="s">
        <v>1110</v>
      </c>
      <c r="Q1469" s="315">
        <v>23.76</v>
      </c>
      <c r="R1469" s="315">
        <v>2.61</v>
      </c>
      <c r="S1469" s="315">
        <v>198</v>
      </c>
      <c r="T1469" s="322">
        <f t="shared" si="355"/>
        <v>58.370000000000005</v>
      </c>
      <c r="U1469" s="323">
        <f t="shared" si="356"/>
        <v>230</v>
      </c>
      <c r="V1469" s="320">
        <v>77</v>
      </c>
      <c r="W1469" s="315">
        <v>1</v>
      </c>
      <c r="X1469" s="324">
        <f t="shared" si="357"/>
        <v>307</v>
      </c>
      <c r="Y1469" s="325" t="e">
        <f>IF(+VLOOKUP(I1469,P.Referencia!E:S,3,FALSE)&lt;=L1469,"Champion","Gerente")</f>
        <v>#N/A</v>
      </c>
      <c r="Z1469" s="326" t="e">
        <f>VLOOKUP(I1469,P.Referencia!E:S,3,0)</f>
        <v>#N/A</v>
      </c>
      <c r="AA1469" s="327" t="e">
        <f t="shared" si="358"/>
        <v>#N/A</v>
      </c>
      <c r="AB1469" s="328" t="e">
        <f t="shared" si="359"/>
        <v>#N/A</v>
      </c>
      <c r="AC1469" s="328" t="e">
        <f t="shared" si="360"/>
        <v>#N/A</v>
      </c>
    </row>
    <row r="1470" spans="1:29" hidden="1" x14ac:dyDescent="0.25">
      <c r="A1470" s="24">
        <v>1464</v>
      </c>
      <c r="B1470" s="89" t="s">
        <v>379</v>
      </c>
      <c r="C1470" s="4" t="str">
        <f t="shared" si="362"/>
        <v>LlaveD86167390629100003112</v>
      </c>
      <c r="D1470" s="25" t="s">
        <v>43</v>
      </c>
      <c r="E1470" s="102" t="s">
        <v>44</v>
      </c>
      <c r="F1470" s="25" t="str">
        <f>VLOOKUP(D1470,'NO MODIFICAR'!F:H,3,0)</f>
        <v xml:space="preserve">CENTRO </v>
      </c>
      <c r="G1470" s="28">
        <v>67390629</v>
      </c>
      <c r="H1470" s="97" t="s">
        <v>1132</v>
      </c>
      <c r="I1470" s="28">
        <v>10000311</v>
      </c>
      <c r="J1470" s="4" t="str">
        <f>VLOOKUP(I1470,'Materiales,canteras'!C:D,2,0)</f>
        <v>Arena Triturada Basalto  Malla</v>
      </c>
      <c r="K1470" s="25">
        <f>VLOOKUP(I1470,'Materiales,canteras'!C:E,3,0)</f>
        <v>1.651</v>
      </c>
      <c r="L1470" s="82">
        <v>210</v>
      </c>
      <c r="M1470" s="28" t="s">
        <v>93</v>
      </c>
      <c r="N1470" s="193">
        <f t="shared" ca="1" si="339"/>
        <v>46267</v>
      </c>
      <c r="O1470" s="24" t="s">
        <v>1111</v>
      </c>
      <c r="P1470" s="4"/>
      <c r="Q1470" s="4">
        <v>4.29</v>
      </c>
      <c r="R1470" s="4">
        <v>4.29</v>
      </c>
      <c r="S1470" s="303">
        <v>286</v>
      </c>
      <c r="T1470" s="303">
        <f t="shared" si="355"/>
        <v>-67.419999999999959</v>
      </c>
      <c r="U1470" s="88">
        <f t="shared" si="356"/>
        <v>210</v>
      </c>
      <c r="V1470" s="82">
        <v>0</v>
      </c>
      <c r="W1470" s="4">
        <v>2</v>
      </c>
      <c r="X1470" s="195">
        <f t="shared" si="357"/>
        <v>210</v>
      </c>
      <c r="Y1470" s="29" t="e">
        <f>IF(+VLOOKUP(I1470,P.Referencia!E:S,3,FALSE)&lt;=L1470,"Champion","Gerente")</f>
        <v>#N/A</v>
      </c>
      <c r="Z1470" s="30" t="e">
        <f>VLOOKUP(I1470,P.Referencia!E:S,3,0)</f>
        <v>#N/A</v>
      </c>
      <c r="AA1470" s="196" t="e">
        <f t="shared" si="358"/>
        <v>#N/A</v>
      </c>
      <c r="AB1470" s="197" t="e">
        <f t="shared" si="359"/>
        <v>#N/A</v>
      </c>
      <c r="AC1470" s="197" t="e">
        <f t="shared" si="360"/>
        <v>#N/A</v>
      </c>
    </row>
    <row r="1471" spans="1:29" hidden="1" x14ac:dyDescent="0.25">
      <c r="A1471" s="24">
        <v>1464</v>
      </c>
      <c r="B1471" s="89" t="s">
        <v>379</v>
      </c>
      <c r="C1471" s="4" t="str">
        <f t="shared" si="362"/>
        <v>LlaveD86167390629100002312</v>
      </c>
      <c r="D1471" s="25" t="s">
        <v>43</v>
      </c>
      <c r="E1471" s="102" t="s">
        <v>44</v>
      </c>
      <c r="F1471" s="25" t="str">
        <f>VLOOKUP(D1471,'NO MODIFICAR'!F:H,3,0)</f>
        <v xml:space="preserve">CENTRO </v>
      </c>
      <c r="G1471" s="28">
        <v>67390629</v>
      </c>
      <c r="H1471" s="97" t="s">
        <v>1132</v>
      </c>
      <c r="I1471" s="28">
        <v>10000231</v>
      </c>
      <c r="J1471" s="4" t="str">
        <f>VLOOKUP(I1471,'Materiales,canteras'!C:D,2,0)</f>
        <v>Grava Triturada Basalto 20 mm</v>
      </c>
      <c r="K1471" s="25">
        <f>VLOOKUP(I1471,'Materiales,canteras'!C:E,3,0)</f>
        <v>1.5649999999999999</v>
      </c>
      <c r="L1471" s="82">
        <v>215</v>
      </c>
      <c r="M1471" s="28" t="s">
        <v>93</v>
      </c>
      <c r="N1471" s="193">
        <f t="shared" ca="1" si="339"/>
        <v>46267</v>
      </c>
      <c r="O1471" s="24" t="s">
        <v>1112</v>
      </c>
      <c r="P1471" s="4"/>
      <c r="Q1471" s="4">
        <v>4.62</v>
      </c>
      <c r="R1471" s="4">
        <v>4.62</v>
      </c>
      <c r="S1471" s="303">
        <v>308</v>
      </c>
      <c r="T1471" s="303">
        <f t="shared" si="355"/>
        <v>-83.759999999999991</v>
      </c>
      <c r="U1471" s="88">
        <f t="shared" si="356"/>
        <v>215</v>
      </c>
      <c r="V1471" s="82">
        <v>0</v>
      </c>
      <c r="W1471" s="4">
        <v>2</v>
      </c>
      <c r="X1471" s="195">
        <f t="shared" si="357"/>
        <v>215</v>
      </c>
      <c r="Y1471" s="29" t="e">
        <f>IF(+VLOOKUP(I1471,P.Referencia!E:S,3,FALSE)&lt;=L1471,"Champion","Gerente")</f>
        <v>#N/A</v>
      </c>
      <c r="Z1471" s="30" t="e">
        <f>VLOOKUP(I1471,P.Referencia!E:S,3,0)</f>
        <v>#N/A</v>
      </c>
      <c r="AA1471" s="196" t="e">
        <f t="shared" si="358"/>
        <v>#N/A</v>
      </c>
      <c r="AB1471" s="197" t="e">
        <f t="shared" si="359"/>
        <v>#N/A</v>
      </c>
      <c r="AC1471" s="197" t="e">
        <f t="shared" si="360"/>
        <v>#N/A</v>
      </c>
    </row>
    <row r="1472" spans="1:29" hidden="1" x14ac:dyDescent="0.25">
      <c r="B1472" s="89" t="s">
        <v>379</v>
      </c>
      <c r="C1472" s="4" t="str">
        <f t="shared" si="362"/>
        <v>LlaveD81666844727100002371</v>
      </c>
      <c r="D1472" s="25" t="s">
        <v>14</v>
      </c>
      <c r="E1472" s="102" t="s">
        <v>15</v>
      </c>
      <c r="F1472" s="25" t="str">
        <f>VLOOKUP(D1472,'NO MODIFICAR'!F:H,3,0)</f>
        <v>NORESTE</v>
      </c>
      <c r="G1472" s="28">
        <v>66844727</v>
      </c>
      <c r="H1472" s="97" t="s">
        <v>1133</v>
      </c>
      <c r="I1472" s="28">
        <v>10000237</v>
      </c>
      <c r="J1472" s="4" t="str">
        <f>VLOOKUP(I1472,'Materiales,canteras'!C:D,2,0)</f>
        <v>Grava Triturada Caliza 10 mm -</v>
      </c>
      <c r="K1472" s="25">
        <f>VLOOKUP(I1472,'Materiales,canteras'!C:E,3,0)</f>
        <v>1.5620000000000001</v>
      </c>
      <c r="L1472" s="82">
        <v>277.56</v>
      </c>
      <c r="M1472" s="28" t="s">
        <v>93</v>
      </c>
      <c r="N1472" s="193">
        <f t="shared" ca="1" si="339"/>
        <v>46267</v>
      </c>
      <c r="O1472" s="24" t="s">
        <v>1113</v>
      </c>
      <c r="P1472" s="4"/>
      <c r="Q1472" s="4">
        <v>16.559999999999999</v>
      </c>
      <c r="R1472" s="4"/>
      <c r="S1472" s="303">
        <v>414</v>
      </c>
      <c r="T1472" s="303">
        <f t="shared" si="355"/>
        <v>-119.88</v>
      </c>
      <c r="U1472" s="88">
        <f t="shared" si="356"/>
        <v>277.56</v>
      </c>
      <c r="V1472" s="82">
        <v>82.44</v>
      </c>
      <c r="W1472" s="329">
        <v>1</v>
      </c>
      <c r="X1472" s="195">
        <f t="shared" si="357"/>
        <v>360</v>
      </c>
      <c r="Y1472" s="29" t="e">
        <f>IF(+VLOOKUP(I1472,P.Referencia!E:S,3,FALSE)&lt;=L1472,"Champion","Gerente")</f>
        <v>#N/A</v>
      </c>
      <c r="Z1472" s="30" t="e">
        <f>VLOOKUP(I1472,P.Referencia!E:S,3,0)</f>
        <v>#N/A</v>
      </c>
      <c r="AA1472" s="196" t="e">
        <f t="shared" si="358"/>
        <v>#N/A</v>
      </c>
      <c r="AB1472" s="197" t="e">
        <f t="shared" si="359"/>
        <v>#N/A</v>
      </c>
      <c r="AC1472" s="197" t="e">
        <f t="shared" si="360"/>
        <v>#N/A</v>
      </c>
    </row>
    <row r="1473" spans="2:29" hidden="1" x14ac:dyDescent="0.25">
      <c r="B1473" s="89" t="s">
        <v>379</v>
      </c>
      <c r="C1473" s="4" t="str">
        <f t="shared" si="362"/>
        <v>LlaveD81666844727100002601</v>
      </c>
      <c r="D1473" s="25" t="s">
        <v>14</v>
      </c>
      <c r="E1473" s="102" t="s">
        <v>15</v>
      </c>
      <c r="F1473" s="25" t="str">
        <f>VLOOKUP(D1473,'NO MODIFICAR'!F:H,3,0)</f>
        <v>NORESTE</v>
      </c>
      <c r="G1473" s="28">
        <v>66844727</v>
      </c>
      <c r="H1473" s="97" t="s">
        <v>1133</v>
      </c>
      <c r="I1473" s="28">
        <v>10000260</v>
      </c>
      <c r="J1473" s="4" t="str">
        <f>VLOOKUP(I1473,'Materiales,canteras'!C:D,2,0)</f>
        <v>Arena Triturada Caliza Malla 5</v>
      </c>
      <c r="K1473" s="25">
        <f>VLOOKUP(I1473,'Materiales,canteras'!C:E,3,0)</f>
        <v>1.72</v>
      </c>
      <c r="L1473" s="82">
        <v>339.56</v>
      </c>
      <c r="M1473" s="28" t="s">
        <v>93</v>
      </c>
      <c r="N1473" s="193">
        <f t="shared" ca="1" si="339"/>
        <v>46267</v>
      </c>
      <c r="O1473" s="24" t="s">
        <v>1114</v>
      </c>
      <c r="P1473" s="4"/>
      <c r="Q1473" s="4">
        <v>19.8</v>
      </c>
      <c r="R1473" s="4"/>
      <c r="S1473" s="4">
        <v>495</v>
      </c>
      <c r="T1473" s="303">
        <f>L1473-((S1473-P1473)-(Q1473)-(R1473))</f>
        <v>-135.63999999999999</v>
      </c>
      <c r="U1473" s="88">
        <f t="shared" si="356"/>
        <v>339.56</v>
      </c>
      <c r="V1473" s="82">
        <v>82.44</v>
      </c>
      <c r="W1473" s="329">
        <v>1</v>
      </c>
      <c r="X1473" s="195">
        <f t="shared" si="357"/>
        <v>422</v>
      </c>
      <c r="Y1473" s="29" t="e">
        <f>IF(+VLOOKUP(I1473,P.Referencia!E:S,3,FALSE)&lt;=L1473,"Champion","Gerente")</f>
        <v>#N/A</v>
      </c>
      <c r="Z1473" s="30" t="e">
        <f>VLOOKUP(I1473,P.Referencia!E:S,3,0)</f>
        <v>#N/A</v>
      </c>
      <c r="AA1473" s="196" t="e">
        <f t="shared" si="358"/>
        <v>#N/A</v>
      </c>
      <c r="AB1473" s="197" t="e">
        <f t="shared" si="359"/>
        <v>#N/A</v>
      </c>
      <c r="AC1473" s="197" t="e">
        <f t="shared" si="360"/>
        <v>#N/A</v>
      </c>
    </row>
    <row r="1474" spans="2:29" hidden="1" x14ac:dyDescent="0.25">
      <c r="B1474" s="89" t="s">
        <v>379</v>
      </c>
      <c r="C1474" s="4" t="str">
        <f t="shared" si="362"/>
        <v>LlaveD81666844727100001241</v>
      </c>
      <c r="D1474" s="25" t="s">
        <v>14</v>
      </c>
      <c r="E1474" s="102" t="s">
        <v>15</v>
      </c>
      <c r="F1474" s="25" t="str">
        <f>VLOOKUP(D1474,'NO MODIFICAR'!F:H,3,0)</f>
        <v>NORESTE</v>
      </c>
      <c r="G1474" s="28">
        <v>66844727</v>
      </c>
      <c r="H1474" s="97" t="s">
        <v>1133</v>
      </c>
      <c r="I1474" s="28">
        <v>10000124</v>
      </c>
      <c r="J1474" s="4" t="str">
        <f>VLOOKUP(I1474,'Materiales,canteras'!C:D,2,0)</f>
        <v>Arena Triturada Caliza Malla 4</v>
      </c>
      <c r="K1474" s="25">
        <f>VLOOKUP(I1474,'Materiales,canteras'!C:E,3,0)</f>
        <v>1.7390000000000001</v>
      </c>
      <c r="L1474" s="82">
        <v>245.56</v>
      </c>
      <c r="M1474" s="28" t="s">
        <v>93</v>
      </c>
      <c r="N1474" s="193">
        <f t="shared" ca="1" si="339"/>
        <v>46267</v>
      </c>
      <c r="O1474" s="24" t="s">
        <v>1115</v>
      </c>
      <c r="P1474" s="4"/>
      <c r="Q1474" s="4">
        <v>19.8</v>
      </c>
      <c r="R1474" s="4"/>
      <c r="S1474" s="4">
        <v>495</v>
      </c>
      <c r="T1474" s="303">
        <f>L1474-((S1474-P1474)-(Q1474)-(R1474))</f>
        <v>-229.64</v>
      </c>
      <c r="U1474" s="88">
        <f t="shared" si="356"/>
        <v>245.56</v>
      </c>
      <c r="V1474" s="82">
        <v>82.44</v>
      </c>
      <c r="W1474" s="329">
        <v>1</v>
      </c>
      <c r="X1474" s="195">
        <f t="shared" si="357"/>
        <v>328</v>
      </c>
      <c r="Y1474" s="29" t="e">
        <f>IF(+VLOOKUP(I1474,P.Referencia!E:S,3,FALSE)&lt;=L1474,"Champion","Gerente")</f>
        <v>#N/A</v>
      </c>
      <c r="Z1474" s="30" t="e">
        <f>VLOOKUP(I1474,P.Referencia!E:S,3,0)</f>
        <v>#N/A</v>
      </c>
      <c r="AA1474" s="196" t="e">
        <f t="shared" si="358"/>
        <v>#N/A</v>
      </c>
      <c r="AB1474" s="197" t="e">
        <f t="shared" si="359"/>
        <v>#N/A</v>
      </c>
      <c r="AC1474" s="197" t="e">
        <f t="shared" si="360"/>
        <v>#N/A</v>
      </c>
    </row>
    <row r="1475" spans="2:29" hidden="1" x14ac:dyDescent="0.25">
      <c r="B1475" s="314" t="s">
        <v>379</v>
      </c>
      <c r="C1475" s="4" t="str">
        <f t="shared" si="362"/>
        <v>LlaveD81666844727100002411</v>
      </c>
      <c r="D1475" s="25" t="s">
        <v>14</v>
      </c>
      <c r="E1475" s="102" t="s">
        <v>15</v>
      </c>
      <c r="F1475" s="25" t="str">
        <f>VLOOKUP(D1475,'NO MODIFICAR'!F:H,3,0)</f>
        <v>NORESTE</v>
      </c>
      <c r="G1475" s="28">
        <v>66844727</v>
      </c>
      <c r="H1475" s="97" t="s">
        <v>1133</v>
      </c>
      <c r="I1475" s="28">
        <v>10000241</v>
      </c>
      <c r="J1475" s="4" t="str">
        <f>VLOOKUP(I1475,'Materiales,canteras'!C:D,2,0)</f>
        <v>Grava Triturada Caliza 20 mm -</v>
      </c>
      <c r="K1475" s="25">
        <f>VLOOKUP(I1475,'Materiales,canteras'!C:E,3,0)</f>
        <v>1.43</v>
      </c>
      <c r="L1475" s="82">
        <v>238.56</v>
      </c>
      <c r="M1475" s="28" t="s">
        <v>93</v>
      </c>
      <c r="N1475" s="193">
        <f t="shared" ca="1" si="339"/>
        <v>46267</v>
      </c>
      <c r="O1475" s="24" t="s">
        <v>1116</v>
      </c>
      <c r="P1475" s="4"/>
      <c r="Q1475" s="4"/>
      <c r="R1475" s="4"/>
      <c r="S1475" s="4">
        <v>414</v>
      </c>
      <c r="T1475" s="303">
        <f t="shared" si="355"/>
        <v>-175.44</v>
      </c>
      <c r="U1475" s="88">
        <f t="shared" si="356"/>
        <v>238.56</v>
      </c>
      <c r="V1475" s="82">
        <v>82.44</v>
      </c>
      <c r="W1475" s="329">
        <v>1</v>
      </c>
      <c r="X1475" s="195">
        <f t="shared" si="357"/>
        <v>321</v>
      </c>
      <c r="Y1475" s="29" t="e">
        <f>IF(+VLOOKUP(I1475,P.Referencia!E:S,3,FALSE)&lt;=L1475,"Champion","Gerente")</f>
        <v>#N/A</v>
      </c>
      <c r="Z1475" s="30" t="e">
        <f>VLOOKUP(I1475,P.Referencia!E:S,3,0)</f>
        <v>#N/A</v>
      </c>
      <c r="AA1475" s="196" t="e">
        <f t="shared" si="358"/>
        <v>#N/A</v>
      </c>
      <c r="AB1475" s="197" t="e">
        <f t="shared" si="359"/>
        <v>#N/A</v>
      </c>
      <c r="AC1475" s="197" t="e">
        <f t="shared" si="360"/>
        <v>#N/A</v>
      </c>
    </row>
    <row r="1476" spans="2:29" hidden="1" x14ac:dyDescent="0.25">
      <c r="B1476" s="89" t="s">
        <v>379</v>
      </c>
      <c r="C1476" s="4" t="str">
        <f t="shared" si="362"/>
        <v>LlaveD86167391093100003112</v>
      </c>
      <c r="D1476" s="25" t="str">
        <f>VLOOKUP(E1476,'NO MODIFICAR'!J:K,2,0)</f>
        <v>D861</v>
      </c>
      <c r="E1476" s="102" t="s">
        <v>44</v>
      </c>
      <c r="F1476" s="25" t="str">
        <f>VLOOKUP(D1476,'NO MODIFICAR'!F:H,3,0)</f>
        <v xml:space="preserve">CENTRO </v>
      </c>
      <c r="G1476" s="28">
        <v>67391093</v>
      </c>
      <c r="H1476" s="330" t="s">
        <v>1134</v>
      </c>
      <c r="I1476" s="331">
        <v>10000311</v>
      </c>
      <c r="J1476" s="332" t="str">
        <f>VLOOKUP(I1476,'Materiales,canteras'!C:D,2,0)</f>
        <v>Arena Triturada Basalto  Malla</v>
      </c>
      <c r="K1476" s="333">
        <f>VLOOKUP(I1476,'Materiales,canteras'!C:E,3,0)</f>
        <v>1.651</v>
      </c>
      <c r="L1476" s="334">
        <v>215</v>
      </c>
      <c r="M1476" s="331" t="s">
        <v>93</v>
      </c>
      <c r="N1476" s="335">
        <f t="shared" ca="1" si="339"/>
        <v>46267</v>
      </c>
      <c r="O1476" s="336" t="s">
        <v>1117</v>
      </c>
      <c r="P1476" s="4"/>
      <c r="Q1476" s="4"/>
      <c r="R1476" s="4">
        <v>4.29</v>
      </c>
      <c r="S1476" s="4">
        <v>286</v>
      </c>
      <c r="T1476" s="303">
        <f t="shared" si="355"/>
        <v>-66.70999999999998</v>
      </c>
      <c r="U1476" s="88">
        <f t="shared" si="356"/>
        <v>215</v>
      </c>
      <c r="V1476" s="82">
        <v>0</v>
      </c>
      <c r="W1476" s="4">
        <v>2</v>
      </c>
      <c r="X1476" s="195">
        <f t="shared" si="357"/>
        <v>215</v>
      </c>
      <c r="Y1476" s="29" t="e">
        <f>IF(+VLOOKUP(I1476,P.Referencia!E:S,3,FALSE)&lt;=L1476,"Champion","Gerente")</f>
        <v>#N/A</v>
      </c>
      <c r="Z1476" s="30" t="e">
        <f>VLOOKUP(I1476,P.Referencia!E:S,3,0)</f>
        <v>#N/A</v>
      </c>
      <c r="AA1476" s="196" t="e">
        <f t="shared" si="358"/>
        <v>#N/A</v>
      </c>
      <c r="AB1476" s="197" t="e">
        <f t="shared" si="359"/>
        <v>#N/A</v>
      </c>
      <c r="AC1476" s="197" t="e">
        <f t="shared" si="360"/>
        <v>#N/A</v>
      </c>
    </row>
    <row r="1477" spans="2:29" hidden="1" x14ac:dyDescent="0.25">
      <c r="B1477" s="89" t="s">
        <v>379</v>
      </c>
      <c r="C1477" s="4" t="str">
        <f t="shared" si="362"/>
        <v>LlaveD86167391093100002292</v>
      </c>
      <c r="D1477" s="25" t="str">
        <f>VLOOKUP(E1477,'NO MODIFICAR'!J:K,2,0)</f>
        <v>D861</v>
      </c>
      <c r="E1477" s="102" t="s">
        <v>44</v>
      </c>
      <c r="F1477" s="25" t="str">
        <f>VLOOKUP(D1477,'NO MODIFICAR'!F:H,3,0)</f>
        <v xml:space="preserve">CENTRO </v>
      </c>
      <c r="G1477" s="28">
        <v>67391093</v>
      </c>
      <c r="H1477" s="97" t="s">
        <v>1134</v>
      </c>
      <c r="I1477" s="28">
        <v>10000229</v>
      </c>
      <c r="J1477" s="4" t="str">
        <f>VLOOKUP(I1477,'Materiales,canteras'!C:D,2,0)</f>
        <v>Grava Triturada Basalto  10 mm</v>
      </c>
      <c r="K1477" s="25">
        <f>VLOOKUP(I1477,'Materiales,canteras'!C:E,3,0)</f>
        <v>1.522</v>
      </c>
      <c r="L1477" s="82">
        <v>225</v>
      </c>
      <c r="M1477" s="28" t="s">
        <v>93</v>
      </c>
      <c r="N1477" s="193">
        <f t="shared" ca="1" si="339"/>
        <v>46267</v>
      </c>
      <c r="O1477" s="24" t="s">
        <v>1118</v>
      </c>
      <c r="P1477" s="4"/>
      <c r="Q1477" s="4"/>
      <c r="R1477" s="4">
        <v>5.28</v>
      </c>
      <c r="S1477" s="4">
        <v>352</v>
      </c>
      <c r="T1477" s="303">
        <f t="shared" si="355"/>
        <v>-121.72000000000003</v>
      </c>
      <c r="U1477" s="88">
        <f t="shared" si="356"/>
        <v>225</v>
      </c>
      <c r="V1477" s="82">
        <v>0</v>
      </c>
      <c r="W1477" s="4">
        <v>2</v>
      </c>
      <c r="X1477" s="195">
        <f t="shared" si="357"/>
        <v>225</v>
      </c>
      <c r="Y1477" s="29" t="e">
        <f>IF(+VLOOKUP(I1477,P.Referencia!E:S,3,FALSE)&lt;=L1477,"Champion","Gerente")</f>
        <v>#N/A</v>
      </c>
      <c r="Z1477" s="30" t="e">
        <f>VLOOKUP(I1477,P.Referencia!E:S,3,0)</f>
        <v>#N/A</v>
      </c>
      <c r="AA1477" s="196" t="e">
        <f t="shared" si="358"/>
        <v>#N/A</v>
      </c>
      <c r="AB1477" s="197" t="e">
        <f t="shared" si="359"/>
        <v>#N/A</v>
      </c>
      <c r="AC1477" s="197" t="e">
        <f t="shared" si="360"/>
        <v>#N/A</v>
      </c>
    </row>
    <row r="1478" spans="2:29" hidden="1" x14ac:dyDescent="0.25">
      <c r="B1478" s="89" t="s">
        <v>379</v>
      </c>
      <c r="C1478" s="4" t="str">
        <f t="shared" si="362"/>
        <v>LlaveD86167391093100002312</v>
      </c>
      <c r="D1478" s="25" t="str">
        <f>VLOOKUP(E1478,'NO MODIFICAR'!J:K,2,0)</f>
        <v>D861</v>
      </c>
      <c r="E1478" s="102" t="s">
        <v>44</v>
      </c>
      <c r="F1478" s="25" t="str">
        <f>VLOOKUP(D1478,'NO MODIFICAR'!F:H,3,0)</f>
        <v xml:space="preserve">CENTRO </v>
      </c>
      <c r="G1478" s="28">
        <v>67391093</v>
      </c>
      <c r="H1478" s="97" t="s">
        <v>1134</v>
      </c>
      <c r="I1478" s="28">
        <v>10000231</v>
      </c>
      <c r="J1478" s="4" t="str">
        <f>VLOOKUP(I1478,'Materiales,canteras'!C:D,2,0)</f>
        <v>Grava Triturada Basalto 20 mm</v>
      </c>
      <c r="K1478" s="25">
        <f>VLOOKUP(I1478,'Materiales,canteras'!C:E,3,0)</f>
        <v>1.5649999999999999</v>
      </c>
      <c r="L1478" s="82">
        <v>220</v>
      </c>
      <c r="M1478" s="28" t="s">
        <v>93</v>
      </c>
      <c r="N1478" s="193">
        <f t="shared" ca="1" si="339"/>
        <v>46267</v>
      </c>
      <c r="O1478" s="24" t="s">
        <v>1119</v>
      </c>
      <c r="P1478" s="4"/>
      <c r="Q1478" s="4"/>
      <c r="R1478" s="4">
        <v>4.62</v>
      </c>
      <c r="S1478" s="4">
        <v>308</v>
      </c>
      <c r="T1478" s="303">
        <f t="shared" si="355"/>
        <v>-83.38</v>
      </c>
      <c r="U1478" s="88">
        <f t="shared" si="356"/>
        <v>220</v>
      </c>
      <c r="V1478" s="82">
        <v>0</v>
      </c>
      <c r="W1478" s="4">
        <v>2</v>
      </c>
      <c r="X1478" s="195">
        <f t="shared" si="357"/>
        <v>220</v>
      </c>
      <c r="Y1478" s="29" t="e">
        <f>IF(+VLOOKUP(I1478,P.Referencia!E:S,3,FALSE)&lt;=L1478,"Champion","Gerente")</f>
        <v>#N/A</v>
      </c>
      <c r="Z1478" s="30" t="e">
        <f>VLOOKUP(I1478,P.Referencia!E:S,3,0)</f>
        <v>#N/A</v>
      </c>
      <c r="AA1478" s="196" t="e">
        <f t="shared" si="358"/>
        <v>#N/A</v>
      </c>
      <c r="AB1478" s="197" t="e">
        <f t="shared" si="359"/>
        <v>#N/A</v>
      </c>
      <c r="AC1478" s="197" t="e">
        <f t="shared" si="360"/>
        <v>#N/A</v>
      </c>
    </row>
    <row r="1479" spans="2:29" hidden="1" x14ac:dyDescent="0.25">
      <c r="B1479" s="89" t="s">
        <v>379</v>
      </c>
      <c r="C1479" s="4" t="str">
        <f t="shared" si="362"/>
        <v>LlaveD86167391093100031532</v>
      </c>
      <c r="D1479" s="25" t="str">
        <f>VLOOKUP(E1479,'NO MODIFICAR'!J:K,2,0)</f>
        <v>D861</v>
      </c>
      <c r="E1479" s="102" t="s">
        <v>44</v>
      </c>
      <c r="F1479" s="25" t="str">
        <f>VLOOKUP(D1479,'NO MODIFICAR'!F:H,3,0)</f>
        <v xml:space="preserve">CENTRO </v>
      </c>
      <c r="G1479" s="28">
        <v>67391093</v>
      </c>
      <c r="H1479" s="97" t="s">
        <v>1134</v>
      </c>
      <c r="I1479" s="28">
        <v>10003153</v>
      </c>
      <c r="J1479" s="4" t="str">
        <f>VLOOKUP(I1479,'Materiales,canteras'!C:D,2,0)</f>
        <v>Grava Triturada Basalto 13 mm</v>
      </c>
      <c r="K1479" s="25">
        <f>VLOOKUP(I1479,'Materiales,canteras'!C:E,3,0)</f>
        <v>1.546</v>
      </c>
      <c r="L1479" s="82">
        <v>225</v>
      </c>
      <c r="M1479" s="28" t="s">
        <v>93</v>
      </c>
      <c r="N1479" s="193">
        <f t="shared" ref="N1479:N1481" ca="1" si="363">TODAY()</f>
        <v>46267</v>
      </c>
      <c r="O1479" s="24" t="s">
        <v>1120</v>
      </c>
      <c r="P1479" s="4"/>
      <c r="Q1479" s="4"/>
      <c r="R1479" s="4">
        <v>4.46</v>
      </c>
      <c r="S1479" s="4">
        <v>297</v>
      </c>
      <c r="T1479" s="303">
        <f t="shared" si="355"/>
        <v>-67.54000000000002</v>
      </c>
      <c r="U1479" s="88">
        <f t="shared" si="356"/>
        <v>225</v>
      </c>
      <c r="V1479" s="82">
        <v>0</v>
      </c>
      <c r="W1479" s="4">
        <v>2</v>
      </c>
      <c r="X1479" s="195">
        <f t="shared" si="357"/>
        <v>225</v>
      </c>
      <c r="Y1479" s="29" t="e">
        <f>IF(+VLOOKUP(I1479,P.Referencia!E:S,3,FALSE)&lt;=L1479,"Champion","Gerente")</f>
        <v>#N/A</v>
      </c>
      <c r="Z1479" s="30" t="e">
        <f>VLOOKUP(I1479,P.Referencia!E:S,3,0)</f>
        <v>#N/A</v>
      </c>
      <c r="AA1479" s="196" t="e">
        <f t="shared" si="358"/>
        <v>#N/A</v>
      </c>
      <c r="AB1479" s="197" t="e">
        <f t="shared" si="359"/>
        <v>#N/A</v>
      </c>
      <c r="AC1479" s="197" t="e">
        <f t="shared" si="360"/>
        <v>#N/A</v>
      </c>
    </row>
    <row r="1480" spans="2:29" hidden="1" x14ac:dyDescent="0.25">
      <c r="B1480" s="89" t="s">
        <v>379</v>
      </c>
      <c r="C1480" s="4" t="e">
        <f t="shared" si="362"/>
        <v>#N/A</v>
      </c>
      <c r="D1480" s="25" t="e">
        <f>VLOOKUP(E1480,'NO MODIFICAR'!J:K,2,0)</f>
        <v>#N/A</v>
      </c>
      <c r="F1480" s="25" t="e">
        <f>VLOOKUP(D1480,'NO MODIFICAR'!F:H,3,0)</f>
        <v>#N/A</v>
      </c>
      <c r="J1480" s="4" t="e">
        <f>VLOOKUP(I1480,'Materiales,canteras'!C:D,2,0)</f>
        <v>#N/A</v>
      </c>
      <c r="K1480" s="25" t="e">
        <f>VLOOKUP(I1480,'Materiales,canteras'!C:E,3,0)</f>
        <v>#N/A</v>
      </c>
      <c r="L1480" s="82"/>
      <c r="M1480" s="28" t="s">
        <v>93</v>
      </c>
      <c r="N1480" s="193">
        <f t="shared" ca="1" si="363"/>
        <v>46267</v>
      </c>
      <c r="O1480" s="24" t="s">
        <v>1121</v>
      </c>
      <c r="P1480" s="4"/>
      <c r="Q1480" s="4"/>
      <c r="R1480" s="4"/>
      <c r="T1480" s="303">
        <f t="shared" si="355"/>
        <v>0</v>
      </c>
      <c r="U1480" s="88">
        <f t="shared" si="356"/>
        <v>0</v>
      </c>
      <c r="V1480" s="82"/>
      <c r="X1480" s="195">
        <f t="shared" si="357"/>
        <v>0</v>
      </c>
      <c r="Y1480" s="29" t="e">
        <f>IF(+VLOOKUP(I1480,P.Referencia!E:S,3,FALSE)&lt;=L1480,"Champion","Gerente")</f>
        <v>#N/A</v>
      </c>
      <c r="Z1480" s="30" t="e">
        <f>VLOOKUP(I1480,P.Referencia!E:S,3,0)</f>
        <v>#N/A</v>
      </c>
      <c r="AA1480" s="196" t="e">
        <f t="shared" si="358"/>
        <v>#N/A</v>
      </c>
      <c r="AB1480" s="197" t="e">
        <f t="shared" si="359"/>
        <v>#N/A</v>
      </c>
      <c r="AC1480" s="197" t="e">
        <f t="shared" si="360"/>
        <v>#N/A</v>
      </c>
    </row>
    <row r="1481" spans="2:29" x14ac:dyDescent="0.25">
      <c r="B1481" s="314" t="s">
        <v>375</v>
      </c>
      <c r="C1481" s="4" t="str">
        <f>_xlfn.CONCAT($C$1,D1481,G1481,I1481,W1481)</f>
        <v>LlaveD866D218100002932</v>
      </c>
      <c r="D1481" s="25" t="str">
        <f>VLOOKUP(E1481,'NO MODIFICAR'!J:K,2,0)</f>
        <v>D866</v>
      </c>
      <c r="E1481" s="102" t="s">
        <v>62</v>
      </c>
      <c r="F1481" s="25" t="str">
        <f>VLOOKUP(D1481,'NO MODIFICAR'!F:H,3,0)</f>
        <v>NORESTE</v>
      </c>
      <c r="G1481" s="28" t="s">
        <v>1135</v>
      </c>
      <c r="H1481" s="97" t="s">
        <v>1136</v>
      </c>
      <c r="I1481" s="28">
        <v>10000293</v>
      </c>
      <c r="J1481" s="4" t="str">
        <f>VLOOKUP(I1481,'Materiales,canteras'!C:D,2,0)</f>
        <v>Grava Triturada Basalto 10mm -</v>
      </c>
      <c r="K1481" s="25">
        <f>VLOOKUP(I1481,'Materiales,canteras'!C:E,3,0)</f>
        <v>1.5549999999999999</v>
      </c>
      <c r="L1481" s="82">
        <v>267.54000000000002</v>
      </c>
      <c r="M1481" s="28" t="s">
        <v>93</v>
      </c>
      <c r="N1481" s="193">
        <f t="shared" ca="1" si="363"/>
        <v>46267</v>
      </c>
      <c r="O1481" s="24" t="s">
        <v>1122</v>
      </c>
      <c r="P1481" s="4"/>
      <c r="Q1481" s="4"/>
      <c r="R1481" s="4"/>
      <c r="S1481" s="340">
        <v>266.07833333333332</v>
      </c>
      <c r="T1481" s="303">
        <f t="shared" si="355"/>
        <v>1.4616666666667015</v>
      </c>
      <c r="U1481" s="88">
        <f t="shared" si="356"/>
        <v>267.54000000000002</v>
      </c>
      <c r="V1481" s="88">
        <v>386.28250000000003</v>
      </c>
      <c r="W1481" s="4">
        <v>2</v>
      </c>
      <c r="X1481" s="195">
        <f t="shared" si="357"/>
        <v>653.82249999999999</v>
      </c>
      <c r="Y1481" s="29" t="e">
        <f>IF(+VLOOKUP(I1481,P.Referencia!E:S,3,FALSE)&lt;=L1481,"Champion","Gerente")</f>
        <v>#N/A</v>
      </c>
      <c r="Z1481" s="30" t="e">
        <f>VLOOKUP(I1481,P.Referencia!E:S,3,0)</f>
        <v>#N/A</v>
      </c>
      <c r="AA1481" s="196" t="e">
        <f t="shared" si="358"/>
        <v>#N/A</v>
      </c>
      <c r="AB1481" s="197" t="e">
        <f t="shared" si="359"/>
        <v>#N/A</v>
      </c>
      <c r="AC1481" s="197" t="e">
        <f t="shared" si="360"/>
        <v>#N/A</v>
      </c>
    </row>
    <row r="1482" spans="2:29" hidden="1" x14ac:dyDescent="0.25">
      <c r="B1482" s="89" t="s">
        <v>379</v>
      </c>
      <c r="C1482" s="4" t="e">
        <f t="shared" si="362"/>
        <v>#N/A</v>
      </c>
      <c r="D1482" s="25" t="e">
        <f>VLOOKUP(E1482,'NO MODIFICAR'!J:K,2,0)</f>
        <v>#N/A</v>
      </c>
      <c r="F1482" s="25" t="e">
        <f>VLOOKUP(D1482,'NO MODIFICAR'!F:H,3,0)</f>
        <v>#N/A</v>
      </c>
    </row>
    <row r="1483" spans="2:29" hidden="1" x14ac:dyDescent="0.25">
      <c r="B1483" s="89" t="s">
        <v>379</v>
      </c>
    </row>
  </sheetData>
  <protectedRanges>
    <protectedRange sqref="G179" name="Rango1_4_1"/>
  </protectedRanges>
  <autoFilter ref="A1:AM1483" xr:uid="{18F67D69-6081-4FE5-ADC6-584F76DF0A6A}">
    <filterColumn colId="3">
      <filters>
        <filter val="D866"/>
      </filters>
    </filterColumn>
  </autoFilter>
  <phoneticPr fontId="1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62A9-D868-4CEB-85E5-1DBA88BC8824}">
  <sheetPr codeName="Hoja2">
    <tabColor rgb="FF00B050"/>
  </sheetPr>
  <dimension ref="C2:M21"/>
  <sheetViews>
    <sheetView showGridLines="0" topLeftCell="A5" workbookViewId="0">
      <selection activeCell="G39" sqref="G39"/>
    </sheetView>
  </sheetViews>
  <sheetFormatPr baseColWidth="10" defaultColWidth="9.140625" defaultRowHeight="15" x14ac:dyDescent="0.25"/>
  <cols>
    <col min="4" max="4" width="12.7109375" bestFit="1" customWidth="1"/>
    <col min="7" max="7" width="10" customWidth="1"/>
    <col min="8" max="8" width="14.85546875" bestFit="1" customWidth="1"/>
    <col min="11" max="11" width="14.140625" customWidth="1"/>
    <col min="260" max="260" width="12.7109375" bestFit="1" customWidth="1"/>
    <col min="263" max="263" width="10" customWidth="1"/>
    <col min="264" max="264" width="14.85546875" bestFit="1" customWidth="1"/>
    <col min="267" max="267" width="14.140625" customWidth="1"/>
    <col min="516" max="516" width="12.7109375" bestFit="1" customWidth="1"/>
    <col min="519" max="519" width="10" customWidth="1"/>
    <col min="520" max="520" width="14.85546875" bestFit="1" customWidth="1"/>
    <col min="523" max="523" width="14.140625" customWidth="1"/>
    <col min="772" max="772" width="12.7109375" bestFit="1" customWidth="1"/>
    <col min="775" max="775" width="10" customWidth="1"/>
    <col min="776" max="776" width="14.85546875" bestFit="1" customWidth="1"/>
    <col min="779" max="779" width="14.140625" customWidth="1"/>
    <col min="1028" max="1028" width="12.7109375" bestFit="1" customWidth="1"/>
    <col min="1031" max="1031" width="10" customWidth="1"/>
    <col min="1032" max="1032" width="14.85546875" bestFit="1" customWidth="1"/>
    <col min="1035" max="1035" width="14.140625" customWidth="1"/>
    <col min="1284" max="1284" width="12.7109375" bestFit="1" customWidth="1"/>
    <col min="1287" max="1287" width="10" customWidth="1"/>
    <col min="1288" max="1288" width="14.85546875" bestFit="1" customWidth="1"/>
    <col min="1291" max="1291" width="14.140625" customWidth="1"/>
    <col min="1540" max="1540" width="12.7109375" bestFit="1" customWidth="1"/>
    <col min="1543" max="1543" width="10" customWidth="1"/>
    <col min="1544" max="1544" width="14.85546875" bestFit="1" customWidth="1"/>
    <col min="1547" max="1547" width="14.140625" customWidth="1"/>
    <col min="1796" max="1796" width="12.7109375" bestFit="1" customWidth="1"/>
    <col min="1799" max="1799" width="10" customWidth="1"/>
    <col min="1800" max="1800" width="14.85546875" bestFit="1" customWidth="1"/>
    <col min="1803" max="1803" width="14.140625" customWidth="1"/>
    <col min="2052" max="2052" width="12.7109375" bestFit="1" customWidth="1"/>
    <col min="2055" max="2055" width="10" customWidth="1"/>
    <col min="2056" max="2056" width="14.85546875" bestFit="1" customWidth="1"/>
    <col min="2059" max="2059" width="14.140625" customWidth="1"/>
    <col min="2308" max="2308" width="12.7109375" bestFit="1" customWidth="1"/>
    <col min="2311" max="2311" width="10" customWidth="1"/>
    <col min="2312" max="2312" width="14.85546875" bestFit="1" customWidth="1"/>
    <col min="2315" max="2315" width="14.140625" customWidth="1"/>
    <col min="2564" max="2564" width="12.7109375" bestFit="1" customWidth="1"/>
    <col min="2567" max="2567" width="10" customWidth="1"/>
    <col min="2568" max="2568" width="14.85546875" bestFit="1" customWidth="1"/>
    <col min="2571" max="2571" width="14.140625" customWidth="1"/>
    <col min="2820" max="2820" width="12.7109375" bestFit="1" customWidth="1"/>
    <col min="2823" max="2823" width="10" customWidth="1"/>
    <col min="2824" max="2824" width="14.85546875" bestFit="1" customWidth="1"/>
    <col min="2827" max="2827" width="14.140625" customWidth="1"/>
    <col min="3076" max="3076" width="12.7109375" bestFit="1" customWidth="1"/>
    <col min="3079" max="3079" width="10" customWidth="1"/>
    <col min="3080" max="3080" width="14.85546875" bestFit="1" customWidth="1"/>
    <col min="3083" max="3083" width="14.140625" customWidth="1"/>
    <col min="3332" max="3332" width="12.7109375" bestFit="1" customWidth="1"/>
    <col min="3335" max="3335" width="10" customWidth="1"/>
    <col min="3336" max="3336" width="14.85546875" bestFit="1" customWidth="1"/>
    <col min="3339" max="3339" width="14.140625" customWidth="1"/>
    <col min="3588" max="3588" width="12.7109375" bestFit="1" customWidth="1"/>
    <col min="3591" max="3591" width="10" customWidth="1"/>
    <col min="3592" max="3592" width="14.85546875" bestFit="1" customWidth="1"/>
    <col min="3595" max="3595" width="14.140625" customWidth="1"/>
    <col min="3844" max="3844" width="12.7109375" bestFit="1" customWidth="1"/>
    <col min="3847" max="3847" width="10" customWidth="1"/>
    <col min="3848" max="3848" width="14.85546875" bestFit="1" customWidth="1"/>
    <col min="3851" max="3851" width="14.140625" customWidth="1"/>
    <col min="4100" max="4100" width="12.7109375" bestFit="1" customWidth="1"/>
    <col min="4103" max="4103" width="10" customWidth="1"/>
    <col min="4104" max="4104" width="14.85546875" bestFit="1" customWidth="1"/>
    <col min="4107" max="4107" width="14.140625" customWidth="1"/>
    <col min="4356" max="4356" width="12.7109375" bestFit="1" customWidth="1"/>
    <col min="4359" max="4359" width="10" customWidth="1"/>
    <col min="4360" max="4360" width="14.85546875" bestFit="1" customWidth="1"/>
    <col min="4363" max="4363" width="14.140625" customWidth="1"/>
    <col min="4612" max="4612" width="12.7109375" bestFit="1" customWidth="1"/>
    <col min="4615" max="4615" width="10" customWidth="1"/>
    <col min="4616" max="4616" width="14.85546875" bestFit="1" customWidth="1"/>
    <col min="4619" max="4619" width="14.140625" customWidth="1"/>
    <col min="4868" max="4868" width="12.7109375" bestFit="1" customWidth="1"/>
    <col min="4871" max="4871" width="10" customWidth="1"/>
    <col min="4872" max="4872" width="14.85546875" bestFit="1" customWidth="1"/>
    <col min="4875" max="4875" width="14.140625" customWidth="1"/>
    <col min="5124" max="5124" width="12.7109375" bestFit="1" customWidth="1"/>
    <col min="5127" max="5127" width="10" customWidth="1"/>
    <col min="5128" max="5128" width="14.85546875" bestFit="1" customWidth="1"/>
    <col min="5131" max="5131" width="14.140625" customWidth="1"/>
    <col min="5380" max="5380" width="12.7109375" bestFit="1" customWidth="1"/>
    <col min="5383" max="5383" width="10" customWidth="1"/>
    <col min="5384" max="5384" width="14.85546875" bestFit="1" customWidth="1"/>
    <col min="5387" max="5387" width="14.140625" customWidth="1"/>
    <col min="5636" max="5636" width="12.7109375" bestFit="1" customWidth="1"/>
    <col min="5639" max="5639" width="10" customWidth="1"/>
    <col min="5640" max="5640" width="14.85546875" bestFit="1" customWidth="1"/>
    <col min="5643" max="5643" width="14.140625" customWidth="1"/>
    <col min="5892" max="5892" width="12.7109375" bestFit="1" customWidth="1"/>
    <col min="5895" max="5895" width="10" customWidth="1"/>
    <col min="5896" max="5896" width="14.85546875" bestFit="1" customWidth="1"/>
    <col min="5899" max="5899" width="14.140625" customWidth="1"/>
    <col min="6148" max="6148" width="12.7109375" bestFit="1" customWidth="1"/>
    <col min="6151" max="6151" width="10" customWidth="1"/>
    <col min="6152" max="6152" width="14.85546875" bestFit="1" customWidth="1"/>
    <col min="6155" max="6155" width="14.140625" customWidth="1"/>
    <col min="6404" max="6404" width="12.7109375" bestFit="1" customWidth="1"/>
    <col min="6407" max="6407" width="10" customWidth="1"/>
    <col min="6408" max="6408" width="14.85546875" bestFit="1" customWidth="1"/>
    <col min="6411" max="6411" width="14.140625" customWidth="1"/>
    <col min="6660" max="6660" width="12.7109375" bestFit="1" customWidth="1"/>
    <col min="6663" max="6663" width="10" customWidth="1"/>
    <col min="6664" max="6664" width="14.85546875" bestFit="1" customWidth="1"/>
    <col min="6667" max="6667" width="14.140625" customWidth="1"/>
    <col min="6916" max="6916" width="12.7109375" bestFit="1" customWidth="1"/>
    <col min="6919" max="6919" width="10" customWidth="1"/>
    <col min="6920" max="6920" width="14.85546875" bestFit="1" customWidth="1"/>
    <col min="6923" max="6923" width="14.140625" customWidth="1"/>
    <col min="7172" max="7172" width="12.7109375" bestFit="1" customWidth="1"/>
    <col min="7175" max="7175" width="10" customWidth="1"/>
    <col min="7176" max="7176" width="14.85546875" bestFit="1" customWidth="1"/>
    <col min="7179" max="7179" width="14.140625" customWidth="1"/>
    <col min="7428" max="7428" width="12.7109375" bestFit="1" customWidth="1"/>
    <col min="7431" max="7431" width="10" customWidth="1"/>
    <col min="7432" max="7432" width="14.85546875" bestFit="1" customWidth="1"/>
    <col min="7435" max="7435" width="14.140625" customWidth="1"/>
    <col min="7684" max="7684" width="12.7109375" bestFit="1" customWidth="1"/>
    <col min="7687" max="7687" width="10" customWidth="1"/>
    <col min="7688" max="7688" width="14.85546875" bestFit="1" customWidth="1"/>
    <col min="7691" max="7691" width="14.140625" customWidth="1"/>
    <col min="7940" max="7940" width="12.7109375" bestFit="1" customWidth="1"/>
    <col min="7943" max="7943" width="10" customWidth="1"/>
    <col min="7944" max="7944" width="14.85546875" bestFit="1" customWidth="1"/>
    <col min="7947" max="7947" width="14.140625" customWidth="1"/>
    <col min="8196" max="8196" width="12.7109375" bestFit="1" customWidth="1"/>
    <col min="8199" max="8199" width="10" customWidth="1"/>
    <col min="8200" max="8200" width="14.85546875" bestFit="1" customWidth="1"/>
    <col min="8203" max="8203" width="14.140625" customWidth="1"/>
    <col min="8452" max="8452" width="12.7109375" bestFit="1" customWidth="1"/>
    <col min="8455" max="8455" width="10" customWidth="1"/>
    <col min="8456" max="8456" width="14.85546875" bestFit="1" customWidth="1"/>
    <col min="8459" max="8459" width="14.140625" customWidth="1"/>
    <col min="8708" max="8708" width="12.7109375" bestFit="1" customWidth="1"/>
    <col min="8711" max="8711" width="10" customWidth="1"/>
    <col min="8712" max="8712" width="14.85546875" bestFit="1" customWidth="1"/>
    <col min="8715" max="8715" width="14.140625" customWidth="1"/>
    <col min="8964" max="8964" width="12.7109375" bestFit="1" customWidth="1"/>
    <col min="8967" max="8967" width="10" customWidth="1"/>
    <col min="8968" max="8968" width="14.85546875" bestFit="1" customWidth="1"/>
    <col min="8971" max="8971" width="14.140625" customWidth="1"/>
    <col min="9220" max="9220" width="12.7109375" bestFit="1" customWidth="1"/>
    <col min="9223" max="9223" width="10" customWidth="1"/>
    <col min="9224" max="9224" width="14.85546875" bestFit="1" customWidth="1"/>
    <col min="9227" max="9227" width="14.140625" customWidth="1"/>
    <col min="9476" max="9476" width="12.7109375" bestFit="1" customWidth="1"/>
    <col min="9479" max="9479" width="10" customWidth="1"/>
    <col min="9480" max="9480" width="14.85546875" bestFit="1" customWidth="1"/>
    <col min="9483" max="9483" width="14.140625" customWidth="1"/>
    <col min="9732" max="9732" width="12.7109375" bestFit="1" customWidth="1"/>
    <col min="9735" max="9735" width="10" customWidth="1"/>
    <col min="9736" max="9736" width="14.85546875" bestFit="1" customWidth="1"/>
    <col min="9739" max="9739" width="14.140625" customWidth="1"/>
    <col min="9988" max="9988" width="12.7109375" bestFit="1" customWidth="1"/>
    <col min="9991" max="9991" width="10" customWidth="1"/>
    <col min="9992" max="9992" width="14.85546875" bestFit="1" customWidth="1"/>
    <col min="9995" max="9995" width="14.140625" customWidth="1"/>
    <col min="10244" max="10244" width="12.7109375" bestFit="1" customWidth="1"/>
    <col min="10247" max="10247" width="10" customWidth="1"/>
    <col min="10248" max="10248" width="14.85546875" bestFit="1" customWidth="1"/>
    <col min="10251" max="10251" width="14.140625" customWidth="1"/>
    <col min="10500" max="10500" width="12.7109375" bestFit="1" customWidth="1"/>
    <col min="10503" max="10503" width="10" customWidth="1"/>
    <col min="10504" max="10504" width="14.85546875" bestFit="1" customWidth="1"/>
    <col min="10507" max="10507" width="14.140625" customWidth="1"/>
    <col min="10756" max="10756" width="12.7109375" bestFit="1" customWidth="1"/>
    <col min="10759" max="10759" width="10" customWidth="1"/>
    <col min="10760" max="10760" width="14.85546875" bestFit="1" customWidth="1"/>
    <col min="10763" max="10763" width="14.140625" customWidth="1"/>
    <col min="11012" max="11012" width="12.7109375" bestFit="1" customWidth="1"/>
    <col min="11015" max="11015" width="10" customWidth="1"/>
    <col min="11016" max="11016" width="14.85546875" bestFit="1" customWidth="1"/>
    <col min="11019" max="11019" width="14.140625" customWidth="1"/>
    <col min="11268" max="11268" width="12.7109375" bestFit="1" customWidth="1"/>
    <col min="11271" max="11271" width="10" customWidth="1"/>
    <col min="11272" max="11272" width="14.85546875" bestFit="1" customWidth="1"/>
    <col min="11275" max="11275" width="14.140625" customWidth="1"/>
    <col min="11524" max="11524" width="12.7109375" bestFit="1" customWidth="1"/>
    <col min="11527" max="11527" width="10" customWidth="1"/>
    <col min="11528" max="11528" width="14.85546875" bestFit="1" customWidth="1"/>
    <col min="11531" max="11531" width="14.140625" customWidth="1"/>
    <col min="11780" max="11780" width="12.7109375" bestFit="1" customWidth="1"/>
    <col min="11783" max="11783" width="10" customWidth="1"/>
    <col min="11784" max="11784" width="14.85546875" bestFit="1" customWidth="1"/>
    <col min="11787" max="11787" width="14.140625" customWidth="1"/>
    <col min="12036" max="12036" width="12.7109375" bestFit="1" customWidth="1"/>
    <col min="12039" max="12039" width="10" customWidth="1"/>
    <col min="12040" max="12040" width="14.85546875" bestFit="1" customWidth="1"/>
    <col min="12043" max="12043" width="14.140625" customWidth="1"/>
    <col min="12292" max="12292" width="12.7109375" bestFit="1" customWidth="1"/>
    <col min="12295" max="12295" width="10" customWidth="1"/>
    <col min="12296" max="12296" width="14.85546875" bestFit="1" customWidth="1"/>
    <col min="12299" max="12299" width="14.140625" customWidth="1"/>
    <col min="12548" max="12548" width="12.7109375" bestFit="1" customWidth="1"/>
    <col min="12551" max="12551" width="10" customWidth="1"/>
    <col min="12552" max="12552" width="14.85546875" bestFit="1" customWidth="1"/>
    <col min="12555" max="12555" width="14.140625" customWidth="1"/>
    <col min="12804" max="12804" width="12.7109375" bestFit="1" customWidth="1"/>
    <col min="12807" max="12807" width="10" customWidth="1"/>
    <col min="12808" max="12808" width="14.85546875" bestFit="1" customWidth="1"/>
    <col min="12811" max="12811" width="14.140625" customWidth="1"/>
    <col min="13060" max="13060" width="12.7109375" bestFit="1" customWidth="1"/>
    <col min="13063" max="13063" width="10" customWidth="1"/>
    <col min="13064" max="13064" width="14.85546875" bestFit="1" customWidth="1"/>
    <col min="13067" max="13067" width="14.140625" customWidth="1"/>
    <col min="13316" max="13316" width="12.7109375" bestFit="1" customWidth="1"/>
    <col min="13319" max="13319" width="10" customWidth="1"/>
    <col min="13320" max="13320" width="14.85546875" bestFit="1" customWidth="1"/>
    <col min="13323" max="13323" width="14.140625" customWidth="1"/>
    <col min="13572" max="13572" width="12.7109375" bestFit="1" customWidth="1"/>
    <col min="13575" max="13575" width="10" customWidth="1"/>
    <col min="13576" max="13576" width="14.85546875" bestFit="1" customWidth="1"/>
    <col min="13579" max="13579" width="14.140625" customWidth="1"/>
    <col min="13828" max="13828" width="12.7109375" bestFit="1" customWidth="1"/>
    <col min="13831" max="13831" width="10" customWidth="1"/>
    <col min="13832" max="13832" width="14.85546875" bestFit="1" customWidth="1"/>
    <col min="13835" max="13835" width="14.140625" customWidth="1"/>
    <col min="14084" max="14084" width="12.7109375" bestFit="1" customWidth="1"/>
    <col min="14087" max="14087" width="10" customWidth="1"/>
    <col min="14088" max="14088" width="14.85546875" bestFit="1" customWidth="1"/>
    <col min="14091" max="14091" width="14.140625" customWidth="1"/>
    <col min="14340" max="14340" width="12.7109375" bestFit="1" customWidth="1"/>
    <col min="14343" max="14343" width="10" customWidth="1"/>
    <col min="14344" max="14344" width="14.85546875" bestFit="1" customWidth="1"/>
    <col min="14347" max="14347" width="14.140625" customWidth="1"/>
    <col min="14596" max="14596" width="12.7109375" bestFit="1" customWidth="1"/>
    <col min="14599" max="14599" width="10" customWidth="1"/>
    <col min="14600" max="14600" width="14.85546875" bestFit="1" customWidth="1"/>
    <col min="14603" max="14603" width="14.140625" customWidth="1"/>
    <col min="14852" max="14852" width="12.7109375" bestFit="1" customWidth="1"/>
    <col min="14855" max="14855" width="10" customWidth="1"/>
    <col min="14856" max="14856" width="14.85546875" bestFit="1" customWidth="1"/>
    <col min="14859" max="14859" width="14.140625" customWidth="1"/>
    <col min="15108" max="15108" width="12.7109375" bestFit="1" customWidth="1"/>
    <col min="15111" max="15111" width="10" customWidth="1"/>
    <col min="15112" max="15112" width="14.85546875" bestFit="1" customWidth="1"/>
    <col min="15115" max="15115" width="14.140625" customWidth="1"/>
    <col min="15364" max="15364" width="12.7109375" bestFit="1" customWidth="1"/>
    <col min="15367" max="15367" width="10" customWidth="1"/>
    <col min="15368" max="15368" width="14.85546875" bestFit="1" customWidth="1"/>
    <col min="15371" max="15371" width="14.140625" customWidth="1"/>
    <col min="15620" max="15620" width="12.7109375" bestFit="1" customWidth="1"/>
    <col min="15623" max="15623" width="10" customWidth="1"/>
    <col min="15624" max="15624" width="14.85546875" bestFit="1" customWidth="1"/>
    <col min="15627" max="15627" width="14.140625" customWidth="1"/>
    <col min="15876" max="15876" width="12.7109375" bestFit="1" customWidth="1"/>
    <col min="15879" max="15879" width="10" customWidth="1"/>
    <col min="15880" max="15880" width="14.85546875" bestFit="1" customWidth="1"/>
    <col min="15883" max="15883" width="14.140625" customWidth="1"/>
    <col min="16132" max="16132" width="12.7109375" bestFit="1" customWidth="1"/>
    <col min="16135" max="16135" width="10" customWidth="1"/>
    <col min="16136" max="16136" width="14.85546875" bestFit="1" customWidth="1"/>
    <col min="16139" max="16139" width="14.140625" customWidth="1"/>
  </cols>
  <sheetData>
    <row r="2" spans="3:13" ht="18.75" x14ac:dyDescent="0.3">
      <c r="D2" s="337" t="s">
        <v>190</v>
      </c>
      <c r="E2" s="337"/>
      <c r="F2" s="337"/>
      <c r="G2" s="337"/>
      <c r="H2" s="337"/>
      <c r="I2" s="337"/>
    </row>
    <row r="7" spans="3:13" x14ac:dyDescent="0.25">
      <c r="C7" t="s">
        <v>191</v>
      </c>
    </row>
    <row r="8" spans="3:13" ht="24" x14ac:dyDescent="0.25">
      <c r="C8" s="307" t="s">
        <v>192</v>
      </c>
      <c r="D8" s="307" t="s">
        <v>193</v>
      </c>
      <c r="E8" s="307" t="s">
        <v>194</v>
      </c>
      <c r="F8" s="307" t="s">
        <v>2</v>
      </c>
      <c r="G8" s="307" t="s">
        <v>195</v>
      </c>
      <c r="H8" s="307" t="s">
        <v>196</v>
      </c>
      <c r="I8" s="307" t="s">
        <v>197</v>
      </c>
      <c r="J8" s="307" t="s">
        <v>198</v>
      </c>
      <c r="K8" s="307" t="s">
        <v>199</v>
      </c>
    </row>
    <row r="9" spans="3:13" x14ac:dyDescent="0.25">
      <c r="C9" s="308">
        <v>7180</v>
      </c>
      <c r="D9" s="28">
        <v>66823169</v>
      </c>
      <c r="E9" s="25" t="s">
        <v>14</v>
      </c>
      <c r="F9" s="94">
        <v>10001170</v>
      </c>
      <c r="G9" s="308">
        <v>-45.21999999999997</v>
      </c>
      <c r="H9" s="308" t="str">
        <f>IF(G9&lt;0,"YMC8","YMC9")</f>
        <v>YMC8</v>
      </c>
      <c r="I9" s="308">
        <v>0</v>
      </c>
      <c r="J9" s="308" t="str">
        <f>IF(I9&gt;0,"ZMP1","0")</f>
        <v>0</v>
      </c>
      <c r="K9" s="308" t="str">
        <f>IF(I9&gt;0,"01","02")</f>
        <v>02</v>
      </c>
    </row>
    <row r="10" spans="3:13" x14ac:dyDescent="0.25">
      <c r="C10" s="308">
        <v>7180</v>
      </c>
      <c r="D10" s="28">
        <v>66862802</v>
      </c>
      <c r="E10" s="25" t="s">
        <v>14</v>
      </c>
      <c r="F10" s="94">
        <v>10001170</v>
      </c>
      <c r="G10" s="308">
        <v>-45.21999999999997</v>
      </c>
      <c r="H10" s="308" t="str">
        <f>IF(G10&lt;0,"YMC8","YMC9")</f>
        <v>YMC8</v>
      </c>
      <c r="I10" s="308">
        <v>0</v>
      </c>
      <c r="J10" s="308" t="str">
        <f>IF(I10&gt;0,"ZMP1","0")</f>
        <v>0</v>
      </c>
      <c r="K10" s="308" t="str">
        <f>IF(I10&gt;0,"01","02")</f>
        <v>02</v>
      </c>
      <c r="M10" s="309"/>
    </row>
    <row r="11" spans="3:13" x14ac:dyDescent="0.25">
      <c r="C11" s="308"/>
      <c r="D11" s="308"/>
      <c r="E11" s="308"/>
      <c r="F11" s="308"/>
      <c r="G11" s="308"/>
      <c r="H11" s="308"/>
      <c r="I11" s="308"/>
      <c r="J11" s="308"/>
      <c r="K11" s="308"/>
    </row>
    <row r="12" spans="3:13" x14ac:dyDescent="0.25">
      <c r="C12" s="308"/>
      <c r="D12" s="308"/>
      <c r="E12" s="308"/>
      <c r="F12" s="308"/>
      <c r="G12" s="308"/>
      <c r="H12" s="308"/>
      <c r="I12" s="308"/>
      <c r="J12" s="308"/>
      <c r="K12" s="308"/>
      <c r="L12" s="309"/>
    </row>
    <row r="13" spans="3:13" x14ac:dyDescent="0.25">
      <c r="C13" s="308"/>
      <c r="D13" s="308"/>
      <c r="E13" s="308"/>
      <c r="F13" s="308"/>
      <c r="G13" s="308"/>
      <c r="H13" s="308"/>
      <c r="I13" s="308"/>
      <c r="J13" s="308"/>
      <c r="K13" s="308"/>
    </row>
    <row r="14" spans="3:13" x14ac:dyDescent="0.25">
      <c r="C14" s="308"/>
      <c r="D14" s="308"/>
      <c r="E14" s="308"/>
      <c r="F14" s="308"/>
      <c r="G14" s="308"/>
      <c r="H14" s="308"/>
      <c r="I14" s="308"/>
      <c r="J14" s="308"/>
      <c r="K14" s="308"/>
    </row>
    <row r="15" spans="3:13" x14ac:dyDescent="0.25">
      <c r="C15" s="308"/>
      <c r="D15" s="308"/>
      <c r="E15" s="308"/>
      <c r="F15" s="308"/>
      <c r="G15" s="308"/>
      <c r="H15" s="308"/>
      <c r="I15" s="308"/>
      <c r="J15" s="308"/>
      <c r="K15" s="308"/>
    </row>
    <row r="16" spans="3:13" x14ac:dyDescent="0.25">
      <c r="C16" s="308"/>
      <c r="D16" s="308"/>
      <c r="E16" s="308"/>
      <c r="F16" s="308"/>
      <c r="G16" s="308"/>
      <c r="H16" s="308"/>
      <c r="I16" s="308"/>
      <c r="J16" s="308"/>
      <c r="K16" s="308"/>
    </row>
    <row r="17" spans="3:13" x14ac:dyDescent="0.25">
      <c r="C17" s="308"/>
      <c r="D17" s="308"/>
      <c r="E17" s="308"/>
      <c r="F17" s="308"/>
      <c r="G17" s="308"/>
      <c r="H17" s="308"/>
      <c r="I17" s="308"/>
      <c r="J17" s="308"/>
      <c r="K17" s="308"/>
    </row>
    <row r="18" spans="3:13" x14ac:dyDescent="0.25">
      <c r="C18" s="308"/>
      <c r="D18" s="308"/>
      <c r="E18" s="308"/>
      <c r="F18" s="308"/>
      <c r="G18" s="308"/>
      <c r="H18" s="308"/>
      <c r="I18" s="308"/>
      <c r="J18" s="308"/>
      <c r="K18" s="308"/>
    </row>
    <row r="19" spans="3:13" x14ac:dyDescent="0.25">
      <c r="C19" s="308"/>
      <c r="D19" s="308"/>
      <c r="E19" s="308"/>
      <c r="F19" s="308"/>
      <c r="G19" s="308"/>
      <c r="H19" s="308"/>
      <c r="I19" s="308"/>
      <c r="J19" s="308"/>
      <c r="K19" s="308"/>
    </row>
    <row r="20" spans="3:13" x14ac:dyDescent="0.25">
      <c r="C20" s="308"/>
      <c r="D20" s="308"/>
      <c r="E20" s="308"/>
      <c r="F20" s="308"/>
      <c r="G20" s="308"/>
      <c r="H20" s="308"/>
      <c r="I20" s="308"/>
      <c r="J20" s="308"/>
      <c r="K20" s="308"/>
    </row>
    <row r="21" spans="3:13" x14ac:dyDescent="0.25">
      <c r="M21" s="309"/>
    </row>
  </sheetData>
  <mergeCells count="2">
    <mergeCell ref="D2:F2"/>
    <mergeCell ref="G2:I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E8CA-DBC8-4509-A942-D2E3ABA74B0A}">
  <sheetPr codeName="Hoja5"/>
  <dimension ref="A1:AA86"/>
  <sheetViews>
    <sheetView zoomScale="62" zoomScaleNormal="77" workbookViewId="0">
      <selection activeCell="H49" sqref="H49"/>
    </sheetView>
  </sheetViews>
  <sheetFormatPr baseColWidth="10" defaultColWidth="8.7109375" defaultRowHeight="15" x14ac:dyDescent="0.25"/>
  <cols>
    <col min="2" max="2" width="53.85546875" bestFit="1" customWidth="1"/>
    <col min="4" max="4" width="24.7109375" customWidth="1"/>
    <col min="5" max="5" width="14.28515625" bestFit="1" customWidth="1"/>
    <col min="6" max="6" width="42.42578125" customWidth="1"/>
    <col min="7" max="7" width="9.140625" bestFit="1" customWidth="1"/>
    <col min="8" max="8" width="17.85546875" style="13" bestFit="1" customWidth="1"/>
    <col min="9" max="9" width="12.42578125" style="13" customWidth="1"/>
    <col min="10" max="10" width="14.42578125" customWidth="1"/>
    <col min="11" max="11" width="16" style="13" bestFit="1" customWidth="1"/>
    <col min="12" max="12" width="14" bestFit="1" customWidth="1"/>
    <col min="13" max="13" width="9.140625" bestFit="1" customWidth="1"/>
    <col min="14" max="14" width="9.140625" style="13" bestFit="1" customWidth="1"/>
    <col min="15" max="15" width="12.7109375" bestFit="1" customWidth="1"/>
    <col min="16" max="17" width="18.42578125" bestFit="1" customWidth="1"/>
    <col min="18" max="18" width="18.85546875" bestFit="1" customWidth="1"/>
    <col min="19" max="19" width="17.85546875" bestFit="1" customWidth="1"/>
    <col min="20" max="20" width="18.85546875" bestFit="1" customWidth="1"/>
    <col min="21" max="21" width="9.5703125" bestFit="1" customWidth="1"/>
    <col min="22" max="23" width="11.85546875" bestFit="1" customWidth="1"/>
    <col min="24" max="24" width="9.85546875" bestFit="1" customWidth="1"/>
    <col min="25" max="25" width="11.85546875" bestFit="1" customWidth="1"/>
    <col min="26" max="26" width="9.85546875" bestFit="1" customWidth="1"/>
  </cols>
  <sheetData>
    <row r="1" spans="1:27" ht="15.75" x14ac:dyDescent="0.25">
      <c r="J1" s="252">
        <v>0.04</v>
      </c>
      <c r="T1" s="9" t="s">
        <v>143</v>
      </c>
      <c r="U1" s="9" t="s">
        <v>144</v>
      </c>
      <c r="V1" s="7" t="s">
        <v>140</v>
      </c>
      <c r="W1" s="338" t="s">
        <v>141</v>
      </c>
      <c r="X1" s="339"/>
      <c r="Y1" s="338" t="s">
        <v>203</v>
      </c>
      <c r="Z1" s="339"/>
    </row>
    <row r="2" spans="1:27" ht="15.75" x14ac:dyDescent="0.25">
      <c r="A2" s="6" t="s">
        <v>115</v>
      </c>
      <c r="B2" s="6" t="s">
        <v>116</v>
      </c>
      <c r="C2" s="6" t="s">
        <v>117</v>
      </c>
      <c r="D2" s="6" t="s">
        <v>118</v>
      </c>
      <c r="E2" s="6" t="s">
        <v>2</v>
      </c>
      <c r="F2" s="6" t="s">
        <v>2</v>
      </c>
      <c r="G2" s="6"/>
      <c r="H2" s="304">
        <v>46235</v>
      </c>
      <c r="I2" s="304">
        <v>46113</v>
      </c>
      <c r="J2" s="203" t="s">
        <v>611</v>
      </c>
      <c r="K2" s="203" t="s">
        <v>550</v>
      </c>
      <c r="L2" s="15" t="s">
        <v>415</v>
      </c>
      <c r="M2" s="15" t="s">
        <v>369</v>
      </c>
      <c r="N2" s="15" t="s">
        <v>323</v>
      </c>
      <c r="O2" s="15" t="s">
        <v>312</v>
      </c>
      <c r="P2" s="15" t="s">
        <v>267</v>
      </c>
      <c r="Q2" s="15" t="s">
        <v>243</v>
      </c>
      <c r="R2" s="15" t="s">
        <v>217</v>
      </c>
      <c r="S2" s="15" t="s">
        <v>184</v>
      </c>
      <c r="T2" s="11">
        <v>0.05</v>
      </c>
      <c r="U2" s="11">
        <v>0.1</v>
      </c>
      <c r="V2" s="11" t="s">
        <v>139</v>
      </c>
      <c r="W2" s="11" t="s">
        <v>139</v>
      </c>
      <c r="X2" s="12" t="s">
        <v>142</v>
      </c>
      <c r="Y2" s="11" t="s">
        <v>139</v>
      </c>
      <c r="Z2" s="12" t="s">
        <v>142</v>
      </c>
    </row>
    <row r="3" spans="1:27" x14ac:dyDescent="0.25">
      <c r="A3" s="8" t="s">
        <v>119</v>
      </c>
      <c r="B3" s="8" t="str">
        <f>+C3&amp;E3</f>
        <v>D86410001073</v>
      </c>
      <c r="C3" s="8" t="s">
        <v>54</v>
      </c>
      <c r="D3" s="8" t="s">
        <v>55</v>
      </c>
      <c r="E3" s="8">
        <v>10001073</v>
      </c>
      <c r="F3" t="s">
        <v>16</v>
      </c>
      <c r="G3" s="312" t="e">
        <f>H3-I3</f>
        <v>#N/A</v>
      </c>
      <c r="H3" s="13" t="e">
        <f>VLOOKUP(E3,[2]Conciliacion!$H:$AC,22,0)</f>
        <v>#N/A</v>
      </c>
      <c r="I3" s="13">
        <f>VLOOKUP(B3,'[3]Hoja2 (2)'!$A:$E,5,0)</f>
        <v>91</v>
      </c>
      <c r="J3" s="10">
        <f>(L3*4%)+L3</f>
        <v>91</v>
      </c>
      <c r="K3" s="13">
        <v>91</v>
      </c>
      <c r="L3" s="13">
        <f>VLOOKUP(E3,[4]TRABAJO!$H:$S,9,0)</f>
        <v>87.5</v>
      </c>
      <c r="M3" s="13">
        <f>VLOOKUP(E3,[5]TRABAJO!$F:$S,11,0)</f>
        <v>87.5</v>
      </c>
      <c r="N3" s="13">
        <f>VLOOKUP(E3,[6]TRABAJO!$H:$S,9,0)</f>
        <v>87.5</v>
      </c>
      <c r="O3" s="13">
        <f>VLOOKUP(B3,[7]TRABAJO!$C:$S,14,0)</f>
        <v>87.5</v>
      </c>
      <c r="P3" s="19">
        <f>VLOOKUP(B3,[8]TRABAJO!$C:$S,14,0)</f>
        <v>87.5</v>
      </c>
      <c r="Q3" s="19">
        <f>VLOOKUP(B3,[9]TRABAJO!$C:$S,14,0)</f>
        <v>87.5</v>
      </c>
      <c r="R3" s="19">
        <f>VLOOKUP(B3,[10]TRABAJO!$C:$Q,15,0)</f>
        <v>87.5</v>
      </c>
      <c r="S3" s="19">
        <v>87.48</v>
      </c>
      <c r="T3" s="10">
        <f>S3-(S3*5%)</f>
        <v>83.106000000000009</v>
      </c>
      <c r="U3" s="10">
        <f>S3-(S3*10%)</f>
        <v>78.731999999999999</v>
      </c>
      <c r="V3">
        <f>VLOOKUP(B3,'[11]ZICP-MARZO'!$B:$P,15,0)</f>
        <v>91.48</v>
      </c>
      <c r="W3">
        <f>VLOOKUP(B3,[11]CONSOLIDADO_ABRIL!$B:$J,9,0)</f>
        <v>91.48</v>
      </c>
      <c r="X3">
        <f>V3-W3</f>
        <v>0</v>
      </c>
      <c r="Y3">
        <f>VLOOKUP(B3,[11]CONSOLIDADO_MAYO!$B:$J,9,0)</f>
        <v>87.48</v>
      </c>
      <c r="Z3" s="10">
        <f>S3-Y3</f>
        <v>0</v>
      </c>
      <c r="AA3" s="10"/>
    </row>
    <row r="4" spans="1:27" x14ac:dyDescent="0.25">
      <c r="A4" s="8" t="s">
        <v>119</v>
      </c>
      <c r="B4" s="8" t="str">
        <f t="shared" ref="B4:B64" si="0">+C4&amp;E4</f>
        <v>D86410000236</v>
      </c>
      <c r="C4" s="8" t="s">
        <v>54</v>
      </c>
      <c r="D4" s="8" t="s">
        <v>55</v>
      </c>
      <c r="E4" s="8">
        <v>10000236</v>
      </c>
      <c r="F4" t="s">
        <v>120</v>
      </c>
      <c r="G4" s="312" t="e">
        <f t="shared" ref="G4:G67" si="1">H4-I4</f>
        <v>#N/A</v>
      </c>
      <c r="H4" s="13" t="e">
        <f>VLOOKUP(E4,[2]Conciliacion!$H:$AC,22,0)</f>
        <v>#N/A</v>
      </c>
      <c r="I4" s="13">
        <f>VLOOKUP(B4,'[3]Hoja2 (2)'!$A:$E,5,0)</f>
        <v>124.8</v>
      </c>
      <c r="J4" s="10">
        <f t="shared" ref="J4:J66" si="2">(L4*4%)+L4</f>
        <v>124.8</v>
      </c>
      <c r="K4" s="13">
        <v>124.8</v>
      </c>
      <c r="L4" s="13">
        <f>VLOOKUP(E4,[4]TRABAJO!$H:$S,9,0)</f>
        <v>120</v>
      </c>
      <c r="M4" s="13">
        <f>VLOOKUP(E4,[5]TRABAJO!$F:$S,11,0)</f>
        <v>120</v>
      </c>
      <c r="N4" s="13">
        <f>VLOOKUP(E4,[6]TRABAJO!$H:$S,9,0)</f>
        <v>120</v>
      </c>
      <c r="O4" s="13">
        <f>VLOOKUP(B4,[7]TRABAJO!$C:$S,14,0)</f>
        <v>120</v>
      </c>
      <c r="P4" s="19">
        <f>VLOOKUP(B4,[8]TRABAJO!$C:$S,14,0)</f>
        <v>120</v>
      </c>
      <c r="Q4" s="19">
        <f>VLOOKUP(B4,[9]TRABAJO!$C:$S,14,0)</f>
        <v>120</v>
      </c>
      <c r="R4" s="19">
        <f>VLOOKUP(B4,[10]TRABAJO!$C:$Q,15,0)</f>
        <v>120</v>
      </c>
      <c r="S4" s="19">
        <v>120.44</v>
      </c>
      <c r="T4" s="10">
        <f t="shared" ref="T4:T16" si="3">S4-(S4*5%)</f>
        <v>114.41799999999999</v>
      </c>
      <c r="U4" s="10">
        <f t="shared" ref="U4:U16" si="4">S4-(S4*10%)</f>
        <v>108.396</v>
      </c>
      <c r="V4">
        <f>VLOOKUP(B4,'[11]ZICP-MARZO'!$B:$P,15,0)</f>
        <v>143.96</v>
      </c>
      <c r="W4">
        <f>VLOOKUP(B4,[11]CONSOLIDADO_ABRIL!$B:$J,9,0)</f>
        <v>150.44</v>
      </c>
      <c r="X4">
        <f t="shared" ref="X4:X42" si="5">V4-W4</f>
        <v>-6.4799999999999898</v>
      </c>
      <c r="Y4">
        <f>VLOOKUP(B4,[11]CONSOLIDADO_MAYO!$B:$J,9,0)</f>
        <v>120.44</v>
      </c>
      <c r="Z4" s="10">
        <f t="shared" ref="Z4:Z42" si="6">S4-Y4</f>
        <v>0</v>
      </c>
      <c r="AA4" s="10"/>
    </row>
    <row r="5" spans="1:27" x14ac:dyDescent="0.25">
      <c r="A5" s="8" t="s">
        <v>119</v>
      </c>
      <c r="B5" s="8" t="str">
        <f t="shared" si="0"/>
        <v>D86410000269</v>
      </c>
      <c r="C5" s="8" t="s">
        <v>54</v>
      </c>
      <c r="D5" s="8" t="s">
        <v>55</v>
      </c>
      <c r="E5" s="8">
        <v>10000269</v>
      </c>
      <c r="F5" t="s">
        <v>132</v>
      </c>
      <c r="G5" s="312" t="e">
        <f t="shared" si="1"/>
        <v>#N/A</v>
      </c>
      <c r="H5" s="13" t="e">
        <f>VLOOKUP(E5,[2]Conciliacion!$H:$AC,22,0)</f>
        <v>#N/A</v>
      </c>
      <c r="I5" s="13">
        <f>VLOOKUP(B5,'[3]Hoja2 (2)'!$A:$E,5,0)</f>
        <v>142.48000000000002</v>
      </c>
      <c r="J5" s="10">
        <f t="shared" si="2"/>
        <v>142.47999999999999</v>
      </c>
      <c r="K5" s="13">
        <v>142.47999999999999</v>
      </c>
      <c r="L5" s="13">
        <f>VLOOKUP(E5,[4]TRABAJO!$H:$S,9,0)</f>
        <v>137</v>
      </c>
      <c r="M5" s="13">
        <f>VLOOKUP(E5,[5]TRABAJO!$F:$S,11,0)</f>
        <v>137</v>
      </c>
      <c r="N5" s="13">
        <f>VLOOKUP(E5,[6]TRABAJO!$H:$S,9,0)</f>
        <v>137</v>
      </c>
      <c r="O5" s="13">
        <v>137</v>
      </c>
      <c r="P5" s="19">
        <v>137</v>
      </c>
      <c r="Q5" s="19">
        <f>VLOOKUP(B5,[9]TRABAJO!$C:$S,14,0)</f>
        <v>137</v>
      </c>
      <c r="R5" s="19">
        <f>VLOOKUP(B5,[10]TRABAJO!$C:$Q,15,0)</f>
        <v>137</v>
      </c>
      <c r="S5" s="19">
        <v>131.19999999999999</v>
      </c>
      <c r="T5" s="10">
        <f t="shared" si="3"/>
        <v>124.63999999999999</v>
      </c>
      <c r="U5" s="10">
        <f t="shared" si="4"/>
        <v>118.07999999999998</v>
      </c>
      <c r="V5">
        <f>VLOOKUP(B5,'[11]ZICP-MARZO'!$B:$P,15,0)</f>
        <v>151.80000000000001</v>
      </c>
      <c r="W5">
        <f>VLOOKUP(B5,[11]CONSOLIDADO_ABRIL!$B:$J,9,0)</f>
        <v>167.34</v>
      </c>
      <c r="X5">
        <f t="shared" si="5"/>
        <v>-15.539999999999992</v>
      </c>
      <c r="Y5">
        <f>VLOOKUP(B5,[11]CONSOLIDADO_MAYO!$B:$J,9,0)</f>
        <v>131.19999999999999</v>
      </c>
      <c r="Z5" s="10">
        <f t="shared" si="6"/>
        <v>0</v>
      </c>
      <c r="AA5" s="10"/>
    </row>
    <row r="6" spans="1:27" x14ac:dyDescent="0.25">
      <c r="A6" s="8" t="s">
        <v>119</v>
      </c>
      <c r="B6" s="8" t="str">
        <f t="shared" si="0"/>
        <v>D86410000240</v>
      </c>
      <c r="C6" s="8" t="s">
        <v>54</v>
      </c>
      <c r="D6" s="8" t="s">
        <v>55</v>
      </c>
      <c r="E6" s="8">
        <v>10000240</v>
      </c>
      <c r="F6" t="s">
        <v>90</v>
      </c>
      <c r="G6" s="312" t="e">
        <f t="shared" si="1"/>
        <v>#N/A</v>
      </c>
      <c r="H6" s="13" t="e">
        <f>VLOOKUP(E6,[2]Conciliacion!$H:$AC,22,0)</f>
        <v>#N/A</v>
      </c>
      <c r="I6" s="13">
        <f>VLOOKUP(B6,'[3]Hoja2 (2)'!$A:$E,5,0)</f>
        <v>132.07999999999998</v>
      </c>
      <c r="J6" s="10">
        <f t="shared" si="2"/>
        <v>132.08000000000001</v>
      </c>
      <c r="K6" s="13">
        <v>132.08000000000001</v>
      </c>
      <c r="L6" s="13">
        <f>VLOOKUP(E6,[4]TRABAJO!$H:$S,9,0)</f>
        <v>127</v>
      </c>
      <c r="M6" s="13">
        <f>VLOOKUP(E6,[5]TRABAJO!$F:$S,11,0)</f>
        <v>127</v>
      </c>
      <c r="N6" s="13">
        <f>VLOOKUP(E6,[6]TRABAJO!$H:$S,9,0)</f>
        <v>127</v>
      </c>
      <c r="O6" s="13">
        <f>VLOOKUP(B6,[7]TRABAJO!$C:$S,14,0)</f>
        <v>127</v>
      </c>
      <c r="P6" s="19">
        <f>VLOOKUP(B6,[8]TRABAJO!$C:$S,14,0)</f>
        <v>127</v>
      </c>
      <c r="Q6" s="19">
        <f>VLOOKUP(B6,[9]TRABAJO!$C:$S,14,0)</f>
        <v>127</v>
      </c>
      <c r="R6" s="19">
        <f>VLOOKUP(B6,[10]TRABAJO!$C:$Q,15,0)</f>
        <v>127</v>
      </c>
      <c r="S6" s="19">
        <v>127.17</v>
      </c>
      <c r="T6" s="10">
        <f t="shared" si="3"/>
        <v>120.8115</v>
      </c>
      <c r="U6" s="10">
        <f t="shared" si="4"/>
        <v>114.453</v>
      </c>
      <c r="V6">
        <f>VLOOKUP(B6,'[11]ZICP-MARZO'!$B:$P,15,0)</f>
        <v>150.4</v>
      </c>
      <c r="W6">
        <f>VLOOKUP(B6,[11]CONSOLIDADO_ABRIL!$B:$J,9,0)</f>
        <v>157.17000000000002</v>
      </c>
      <c r="X6">
        <f t="shared" si="5"/>
        <v>-6.7700000000000102</v>
      </c>
      <c r="Y6">
        <f>VLOOKUP(B6,[11]CONSOLIDADO_MAYO!$B:$J,9,0)</f>
        <v>127.17</v>
      </c>
      <c r="Z6" s="10">
        <f t="shared" si="6"/>
        <v>0</v>
      </c>
      <c r="AA6" s="10"/>
    </row>
    <row r="7" spans="1:27" x14ac:dyDescent="0.25">
      <c r="A7" s="8" t="s">
        <v>119</v>
      </c>
      <c r="B7" s="8" t="str">
        <f t="shared" si="0"/>
        <v>D86410001074</v>
      </c>
      <c r="C7" s="8" t="s">
        <v>54</v>
      </c>
      <c r="D7" s="8" t="s">
        <v>55</v>
      </c>
      <c r="E7" s="8">
        <v>10001074</v>
      </c>
      <c r="F7" t="s">
        <v>121</v>
      </c>
      <c r="G7" s="312" t="e">
        <f t="shared" si="1"/>
        <v>#N/A</v>
      </c>
      <c r="H7" s="13" t="e">
        <f>VLOOKUP(E7,[2]Conciliacion!$H:$AC,22,0)</f>
        <v>#N/A</v>
      </c>
      <c r="I7" s="13">
        <f>VLOOKUP(B7,'[3]Hoja2 (2)'!$A:$E,5,0)</f>
        <v>142.48000000000002</v>
      </c>
      <c r="J7" s="10">
        <f t="shared" si="2"/>
        <v>142.47999999999999</v>
      </c>
      <c r="K7" s="13">
        <v>142.47999999999999</v>
      </c>
      <c r="L7" s="13">
        <f>VLOOKUP(E7,[4]TRABAJO!$H:$S,9,0)</f>
        <v>137</v>
      </c>
      <c r="M7" s="13">
        <f>VLOOKUP(E7,[5]TRABAJO!$F:$S,11,0)</f>
        <v>137</v>
      </c>
      <c r="N7" s="13">
        <f>VLOOKUP(E7,[6]TRABAJO!$H:$S,9,0)</f>
        <v>137</v>
      </c>
      <c r="O7" s="13">
        <f>VLOOKUP(B7,[7]TRABAJO!$C:$S,14,0)</f>
        <v>137</v>
      </c>
      <c r="P7" s="19">
        <f>VLOOKUP(B7,[8]TRABAJO!$C:$S,14,0)</f>
        <v>137</v>
      </c>
      <c r="Q7" s="19">
        <f>VLOOKUP(B7,[9]TRABAJO!$C:$S,14,0)</f>
        <v>137</v>
      </c>
      <c r="R7" s="19">
        <f>VLOOKUP(B7,[10]TRABAJO!$C:$Q,15,0)</f>
        <v>137</v>
      </c>
      <c r="S7" s="19">
        <v>136.63999999999999</v>
      </c>
      <c r="T7" s="10">
        <f t="shared" si="3"/>
        <v>129.80799999999999</v>
      </c>
      <c r="U7" s="10">
        <f t="shared" si="4"/>
        <v>122.97599999999998</v>
      </c>
      <c r="V7">
        <f>VLOOKUP(B7,'[11]ZICP-MARZO'!$B:$P,15,0)</f>
        <v>177.75</v>
      </c>
      <c r="W7">
        <f>VLOOKUP(B7,[11]CONSOLIDADO_ABRIL!$B:$J,9,0)</f>
        <v>186.64</v>
      </c>
      <c r="X7">
        <f t="shared" si="5"/>
        <v>-8.8899999999999864</v>
      </c>
      <c r="Y7">
        <f>VLOOKUP(B7,[11]CONSOLIDADO_MAYO!$B:$J,9,0)</f>
        <v>136.63999999999999</v>
      </c>
      <c r="Z7" s="10">
        <f t="shared" si="6"/>
        <v>0</v>
      </c>
      <c r="AA7" s="10"/>
    </row>
    <row r="8" spans="1:27" x14ac:dyDescent="0.25">
      <c r="A8" s="8" t="s">
        <v>119</v>
      </c>
      <c r="B8" s="8" t="str">
        <f t="shared" si="0"/>
        <v>D86110000311</v>
      </c>
      <c r="C8" s="8" t="s">
        <v>43</v>
      </c>
      <c r="D8" s="9" t="s">
        <v>44</v>
      </c>
      <c r="E8" s="9">
        <v>10000311</v>
      </c>
      <c r="F8" t="s">
        <v>122</v>
      </c>
      <c r="G8" s="312" t="e">
        <f t="shared" si="1"/>
        <v>#N/A</v>
      </c>
      <c r="H8" s="13" t="e">
        <f>VLOOKUP(E8,[2]Conciliacion!$H:$AC,22,0)</f>
        <v>#N/A</v>
      </c>
      <c r="I8" s="13">
        <f>VLOOKUP(B8,'[3]Hoja2 (2)'!$A:$E,5,0)</f>
        <v>191.26</v>
      </c>
      <c r="J8" s="10">
        <v>191.26</v>
      </c>
      <c r="K8" s="13">
        <v>191.26</v>
      </c>
      <c r="L8" s="13" t="e">
        <f>VLOOKUP(E8,[4]TRABAJO!$H:$S,9,0)</f>
        <v>#N/A</v>
      </c>
      <c r="M8" s="13">
        <f>VLOOKUP(E8,[5]TRABAJO!$F:$S,11,0)</f>
        <v>183.90001831703114</v>
      </c>
      <c r="N8" s="13">
        <f>VLOOKUP(E8,[6]TRABAJO!$H:$S,9,0)</f>
        <v>180</v>
      </c>
      <c r="O8" s="13">
        <v>180.59044304510576</v>
      </c>
      <c r="P8" s="19">
        <v>180.59044304510576</v>
      </c>
      <c r="Q8" s="19">
        <f>VLOOKUP(B8,[9]TRABAJO!$C:$S,14,0)</f>
        <v>180.59044304510576</v>
      </c>
      <c r="R8" s="19">
        <f>VLOOKUP(B8,[10]TRABAJO!$C:$Q,15,0)</f>
        <v>184.00000000000003</v>
      </c>
      <c r="S8" s="19">
        <v>188</v>
      </c>
      <c r="T8" s="10">
        <f t="shared" si="3"/>
        <v>178.6</v>
      </c>
      <c r="U8" s="10">
        <f t="shared" si="4"/>
        <v>169.2</v>
      </c>
      <c r="V8">
        <f>VLOOKUP(B8,'[11]ZICP-MARZO'!$B:$P,15,0)</f>
        <v>171.19</v>
      </c>
      <c r="W8">
        <f>VLOOKUP(B8,[11]CONSOLIDADO_ABRIL!$B:$J,9,0)</f>
        <v>203.78</v>
      </c>
      <c r="X8">
        <f t="shared" si="5"/>
        <v>-32.590000000000003</v>
      </c>
      <c r="Y8">
        <f>VLOOKUP(B8,[11]CONSOLIDADO_MAYO!$B:$J,9,0)</f>
        <v>188</v>
      </c>
      <c r="Z8" s="10">
        <f t="shared" si="6"/>
        <v>0</v>
      </c>
      <c r="AA8" s="10"/>
    </row>
    <row r="9" spans="1:27" x14ac:dyDescent="0.25">
      <c r="A9" s="8" t="s">
        <v>119</v>
      </c>
      <c r="B9" s="8" t="str">
        <f t="shared" si="0"/>
        <v>D86110000229</v>
      </c>
      <c r="C9" s="8" t="s">
        <v>43</v>
      </c>
      <c r="D9" s="9" t="s">
        <v>44</v>
      </c>
      <c r="E9" s="9">
        <v>10000229</v>
      </c>
      <c r="F9" t="s">
        <v>123</v>
      </c>
      <c r="G9" s="312" t="e">
        <f t="shared" si="1"/>
        <v>#N/A</v>
      </c>
      <c r="H9" s="13" t="e">
        <f>VLOOKUP(E9,[2]Conciliacion!$H:$AC,22,0)</f>
        <v>#N/A</v>
      </c>
      <c r="I9" s="13">
        <f>VLOOKUP(B9,'[3]Hoja2 (2)'!$A:$E,5,0)</f>
        <v>249.35999999999999</v>
      </c>
      <c r="J9" s="10">
        <f t="shared" si="2"/>
        <v>249.36080138907445</v>
      </c>
      <c r="K9" s="13">
        <v>249.39</v>
      </c>
      <c r="L9" s="13">
        <f>VLOOKUP(E9,[4]TRABAJO!$H:$S,9,0)</f>
        <v>239.77000133564852</v>
      </c>
      <c r="M9" s="13">
        <f>VLOOKUP(E9,[5]TRABAJO!$F:$S,11,0)</f>
        <v>239.77003581493659</v>
      </c>
      <c r="N9" s="13">
        <f>VLOOKUP(E9,[6]TRABAJO!$H:$S,9,0)</f>
        <v>239.76994973295629</v>
      </c>
      <c r="O9" s="13">
        <f>VLOOKUP(B9,[7]TRABAJO!$C:$S,14,0)</f>
        <v>239.76999702013535</v>
      </c>
      <c r="P9" s="19">
        <f>VLOOKUP(B9,[8]TRABAJO!$C:$S,14,0)</f>
        <v>216</v>
      </c>
      <c r="Q9" s="19">
        <f>VLOOKUP(B9,[9]TRABAJO!$C:$S,14,0)</f>
        <v>239.76995327102802</v>
      </c>
      <c r="R9" s="19">
        <f>VLOOKUP(B9,[10]TRABAJO!$C:$Q,15,0)</f>
        <v>239.77002181364909</v>
      </c>
      <c r="S9" s="19">
        <v>216</v>
      </c>
      <c r="T9" s="10">
        <f t="shared" si="3"/>
        <v>205.2</v>
      </c>
      <c r="U9" s="10">
        <f t="shared" si="4"/>
        <v>194.4</v>
      </c>
      <c r="V9">
        <f>VLOOKUP(B9,'[11]ZICP-MARZO'!$B:$P,15,0)</f>
        <v>225.14</v>
      </c>
      <c r="W9">
        <f>VLOOKUP(B9,[11]CONSOLIDADO_ABRIL!$B:$J,9,0)</f>
        <v>239.76999999999998</v>
      </c>
      <c r="X9">
        <f t="shared" si="5"/>
        <v>-14.629999999999995</v>
      </c>
      <c r="Y9">
        <f>VLOOKUP(B9,[11]CONSOLIDADO_MAYO!$B:$J,9,0)</f>
        <v>216</v>
      </c>
      <c r="Z9" s="10">
        <f t="shared" si="6"/>
        <v>0</v>
      </c>
      <c r="AA9" s="10"/>
    </row>
    <row r="10" spans="1:27" x14ac:dyDescent="0.25">
      <c r="A10" s="8" t="s">
        <v>119</v>
      </c>
      <c r="B10" s="8" t="str">
        <f t="shared" si="0"/>
        <v>D86110000231</v>
      </c>
      <c r="C10" s="8" t="s">
        <v>43</v>
      </c>
      <c r="D10" s="9" t="s">
        <v>44</v>
      </c>
      <c r="E10" s="9">
        <v>10000231</v>
      </c>
      <c r="F10" t="s">
        <v>124</v>
      </c>
      <c r="G10" s="312" t="e">
        <f t="shared" si="1"/>
        <v>#N/A</v>
      </c>
      <c r="H10" s="13" t="e">
        <f>VLOOKUP(E10,[2]Conciliacion!$H:$AC,22,0)</f>
        <v>#N/A</v>
      </c>
      <c r="I10" s="13">
        <f>VLOOKUP(B10,'[3]Hoja2 (2)'!$A:$E,5,0)</f>
        <v>224.62</v>
      </c>
      <c r="J10" s="10">
        <f t="shared" si="2"/>
        <v>224.61919541129677</v>
      </c>
      <c r="K10" s="13">
        <v>224.64</v>
      </c>
      <c r="L10" s="13">
        <f>VLOOKUP(E10,[4]TRABAJO!$H:$S,9,0)</f>
        <v>215.97999558778537</v>
      </c>
      <c r="M10" s="13">
        <f>VLOOKUP(E10,[5]TRABAJO!$F:$S,11,0)</f>
        <v>215.98000034498389</v>
      </c>
      <c r="N10" s="13">
        <f>VLOOKUP(E10,[6]TRABAJO!$H:$S,9,0)</f>
        <v>215.97999989651558</v>
      </c>
      <c r="O10" s="13">
        <f>VLOOKUP(B10,[7]TRABAJO!$C:$S,14,0)</f>
        <v>215.98000174075989</v>
      </c>
      <c r="P10" s="19">
        <f>VLOOKUP(B10,[8]TRABAJO!$C:$S,14,0)</f>
        <v>215.98000216231802</v>
      </c>
      <c r="Q10" s="19">
        <f>VLOOKUP(B10,[9]TRABAJO!$C:$S,14,0)</f>
        <v>215.98000536452918</v>
      </c>
      <c r="R10" s="19">
        <f>VLOOKUP(B10,[10]TRABAJO!$C:$Q,15,0)</f>
        <v>215.97999448596525</v>
      </c>
      <c r="S10" s="19">
        <v>215.97999592875317</v>
      </c>
      <c r="T10" s="10">
        <f t="shared" si="3"/>
        <v>205.1809961323155</v>
      </c>
      <c r="U10" s="10">
        <f t="shared" si="4"/>
        <v>194.38199633587786</v>
      </c>
      <c r="V10">
        <f>VLOOKUP(B10,'[11]ZICP-MARZO'!$B:$P,15,0)</f>
        <v>205.70999999999998</v>
      </c>
      <c r="W10">
        <f>VLOOKUP(B10,[11]CONSOLIDADO_ABRIL!$B:$J,9,0)</f>
        <v>215.98000000000002</v>
      </c>
      <c r="X10">
        <f t="shared" si="5"/>
        <v>-10.270000000000039</v>
      </c>
      <c r="Y10">
        <f>VLOOKUP(B10,[11]CONSOLIDADO_MAYO!$B:$J,9,0)</f>
        <v>215.98000000000002</v>
      </c>
      <c r="Z10" s="10">
        <f t="shared" si="6"/>
        <v>-4.0712468489800813E-6</v>
      </c>
      <c r="AA10" s="10"/>
    </row>
    <row r="11" spans="1:27" x14ac:dyDescent="0.25">
      <c r="A11" s="8" t="s">
        <v>119</v>
      </c>
      <c r="B11" s="8" t="str">
        <f t="shared" si="0"/>
        <v>D86110000233</v>
      </c>
      <c r="C11" s="8" t="s">
        <v>43</v>
      </c>
      <c r="D11" s="9" t="s">
        <v>44</v>
      </c>
      <c r="E11" s="9">
        <v>10000233</v>
      </c>
      <c r="F11" t="s">
        <v>125</v>
      </c>
      <c r="G11" s="312" t="e">
        <f t="shared" si="1"/>
        <v>#N/A</v>
      </c>
      <c r="H11" s="13" t="e">
        <f>VLOOKUP(E11,[2]Conciliacion!$H:$AC,22,0)</f>
        <v>#N/A</v>
      </c>
      <c r="I11" s="13">
        <f>VLOOKUP(B11,'[3]Hoja2 (2)'!$A:$E,5,0)</f>
        <v>224.62</v>
      </c>
      <c r="J11" s="10">
        <f t="shared" si="2"/>
        <v>224.6191900526064</v>
      </c>
      <c r="K11" s="13">
        <v>224.64</v>
      </c>
      <c r="L11" s="13">
        <f>VLOOKUP(E11,[4]TRABAJO!$H:$S,9,0)</f>
        <v>215.97999043519846</v>
      </c>
      <c r="M11" s="13">
        <f>VLOOKUP(E11,[5]TRABAJO!$F:$S,11,0)</f>
        <v>215.97998029444102</v>
      </c>
      <c r="N11" s="13">
        <f>VLOOKUP(E11,[6]TRABAJO!$H:$S,9,0)</f>
        <v>178</v>
      </c>
      <c r="O11" s="13">
        <f>VLOOKUP(B11,[7]TRABAJO!$C:$S,14,0)</f>
        <v>178</v>
      </c>
      <c r="P11" s="19">
        <f>VLOOKUP(B11,[8]TRABAJO!$C:$S,14,0)</f>
        <v>178</v>
      </c>
      <c r="Q11" s="19">
        <f>VLOOKUP(B11,[9]TRABAJO!$C:$S,14,0)</f>
        <v>215.98000515331103</v>
      </c>
      <c r="R11" s="19">
        <f>VLOOKUP(B11,[10]TRABAJO!$C:$Q,15,0)</f>
        <v>215.97997882957804</v>
      </c>
      <c r="S11" s="19">
        <v>215.97999910988472</v>
      </c>
      <c r="T11" s="10">
        <f t="shared" si="3"/>
        <v>205.18099915439049</v>
      </c>
      <c r="U11" s="10">
        <f t="shared" si="4"/>
        <v>194.38199919889624</v>
      </c>
      <c r="V11">
        <f>VLOOKUP(B11,'[11]ZICP-MARZO'!$B:$P,15,0)</f>
        <v>208.25</v>
      </c>
      <c r="W11">
        <f>VLOOKUP(B11,[11]CONSOLIDADO_ABRIL!$B:$J,9,0)</f>
        <v>178</v>
      </c>
      <c r="X11">
        <f t="shared" si="5"/>
        <v>30.25</v>
      </c>
      <c r="Y11">
        <f>VLOOKUP(B11,[11]CONSOLIDADO_MAYO!$B:$J,9,0)</f>
        <v>215.98000000000002</v>
      </c>
      <c r="Z11" s="10">
        <f t="shared" si="6"/>
        <v>-8.901153023543884E-7</v>
      </c>
      <c r="AA11" s="10"/>
    </row>
    <row r="12" spans="1:27" x14ac:dyDescent="0.25">
      <c r="A12" s="8" t="s">
        <v>119</v>
      </c>
      <c r="B12" s="8" t="str">
        <f t="shared" si="0"/>
        <v>D81310000255</v>
      </c>
      <c r="C12" s="8" t="s">
        <v>5</v>
      </c>
      <c r="D12" s="9" t="s">
        <v>6</v>
      </c>
      <c r="E12" s="9">
        <v>10000255</v>
      </c>
      <c r="F12" t="s">
        <v>126</v>
      </c>
      <c r="G12" s="312" t="e">
        <f t="shared" si="1"/>
        <v>#N/A</v>
      </c>
      <c r="H12" s="13" t="e">
        <f>VLOOKUP(E12,[2]Conciliacion!$H:$AC,22,0)</f>
        <v>#N/A</v>
      </c>
      <c r="I12" s="13">
        <f>VLOOKUP(B12,'[3]Hoja2 (2)'!$A:$E,5,0)</f>
        <v>108.31</v>
      </c>
      <c r="J12" s="10">
        <f t="shared" si="2"/>
        <v>108.30559850385272</v>
      </c>
      <c r="K12" s="13">
        <v>108.26</v>
      </c>
      <c r="L12" s="13">
        <f>VLOOKUP(E12,[4]TRABAJO!$H:$S,9,0)</f>
        <v>104.13999856139685</v>
      </c>
      <c r="M12" s="13">
        <f>VLOOKUP(E12,[5]TRABAJO!$F:$S,11,0)</f>
        <v>104.14000525834714</v>
      </c>
      <c r="N12" s="13">
        <f>VLOOKUP(E12,[6]TRABAJO!$H:$S,9,0)</f>
        <v>104.1400012356315</v>
      </c>
      <c r="O12" s="13">
        <f>VLOOKUP(B12,[7]TRABAJO!$C:$S,14,0)</f>
        <v>104.1</v>
      </c>
      <c r="P12" s="19">
        <f>VLOOKUP(B12,[8]TRABAJO!$C:$S,14,0)</f>
        <v>104.1400056701213</v>
      </c>
      <c r="Q12" s="19">
        <f>VLOOKUP(B12,[9]TRABAJO!$C:$S,14,0)</f>
        <v>104.1400023286091</v>
      </c>
      <c r="R12" s="19">
        <f>VLOOKUP(B12,[10]TRABAJO!$C:$Q,15,0)</f>
        <v>104.14</v>
      </c>
      <c r="S12" s="19">
        <v>104.14</v>
      </c>
      <c r="T12" s="10">
        <f t="shared" si="3"/>
        <v>98.932999999999993</v>
      </c>
      <c r="U12" s="10">
        <f t="shared" si="4"/>
        <v>93.725999999999999</v>
      </c>
      <c r="V12">
        <f>VLOOKUP(B12,'[11]ZICP-MARZO'!$B:$P,15,0)</f>
        <v>104.07</v>
      </c>
      <c r="W12">
        <f>VLOOKUP(B12,[11]CONSOLIDADO_ABRIL!$B:$J,9,0)</f>
        <v>104.14</v>
      </c>
      <c r="X12">
        <f t="shared" si="5"/>
        <v>-7.000000000000739E-2</v>
      </c>
      <c r="Y12">
        <f>VLOOKUP(B12,[11]CONSOLIDADO_MAYO!$B:$J,9,0)</f>
        <v>104.14</v>
      </c>
      <c r="Z12" s="10">
        <f t="shared" si="6"/>
        <v>0</v>
      </c>
      <c r="AA12" s="10"/>
    </row>
    <row r="13" spans="1:27" x14ac:dyDescent="0.25">
      <c r="A13" s="8" t="s">
        <v>119</v>
      </c>
      <c r="B13" s="8" t="str">
        <f t="shared" si="0"/>
        <v>D81310002350</v>
      </c>
      <c r="C13" s="8" t="s">
        <v>5</v>
      </c>
      <c r="D13" s="9" t="s">
        <v>6</v>
      </c>
      <c r="E13" s="9">
        <v>10002350</v>
      </c>
      <c r="F13" t="s">
        <v>183</v>
      </c>
      <c r="G13" s="312" t="e">
        <f t="shared" si="1"/>
        <v>#N/A</v>
      </c>
      <c r="H13" s="13" t="e">
        <f>VLOOKUP(E13,[2]Conciliacion!$H:$AC,22,0)</f>
        <v>#N/A</v>
      </c>
      <c r="I13" s="13">
        <f>VLOOKUP(B13,'[3]Hoja2 (2)'!$A:$E,5,0)</f>
        <v>125.31</v>
      </c>
      <c r="J13" s="10">
        <f t="shared" si="2"/>
        <v>125.3094945300647</v>
      </c>
      <c r="K13" s="13">
        <v>125.32</v>
      </c>
      <c r="L13" s="13">
        <f>VLOOKUP(E13,[4]TRABAJO!$H:$S,9,0)</f>
        <v>120.48989858660067</v>
      </c>
      <c r="M13" s="13">
        <f>VLOOKUP(E13,[5]TRABAJO!$F:$S,11,0)</f>
        <v>120.49001325673883</v>
      </c>
      <c r="N13" s="13">
        <f>VLOOKUP(E13,[6]TRABAJO!$H:$S,9,0)</f>
        <v>134.60002506108643</v>
      </c>
      <c r="O13" s="13">
        <f>VLOOKUP(B13,[7]TRABAJO!$C:$S,14,0)</f>
        <v>134.59999476878008</v>
      </c>
      <c r="P13" s="19">
        <f>VLOOKUP(B13,[8]TRABAJO!$C:$S,14,0)</f>
        <v>120.49002822201319</v>
      </c>
      <c r="Q13" s="19">
        <f>VLOOKUP(B13,[9]TRABAJO!$C:$S,14,0)</f>
        <v>120.48998739672314</v>
      </c>
      <c r="R13" s="19">
        <f>VLOOKUP(B13,[10]TRABAJO!$C:$Q,15,0)</f>
        <v>120.48997886061383</v>
      </c>
      <c r="S13" s="19">
        <v>134.6</v>
      </c>
      <c r="T13" s="10">
        <f t="shared" si="3"/>
        <v>127.86999999999999</v>
      </c>
      <c r="U13" s="10">
        <f t="shared" si="4"/>
        <v>121.13999999999999</v>
      </c>
      <c r="V13">
        <f>VLOOKUP(B13,'[11]ZICP-MARZO'!$B:$P,15,0)</f>
        <v>120.49000000000001</v>
      </c>
      <c r="W13">
        <f>VLOOKUP(B13,[11]CONSOLIDADO_ABRIL!$B:$J,9,0)</f>
        <v>120.49</v>
      </c>
      <c r="X13">
        <f t="shared" si="5"/>
        <v>0</v>
      </c>
      <c r="Y13">
        <f>VLOOKUP(B13,[11]CONSOLIDADO_MAYO!$B:$J,9,0)</f>
        <v>134.6</v>
      </c>
      <c r="Z13" s="10">
        <f t="shared" si="6"/>
        <v>0</v>
      </c>
      <c r="AA13" s="10"/>
    </row>
    <row r="14" spans="1:27" x14ac:dyDescent="0.25">
      <c r="A14" s="8" t="s">
        <v>119</v>
      </c>
      <c r="B14" s="8" t="str">
        <f t="shared" si="0"/>
        <v>D81310000253</v>
      </c>
      <c r="C14" s="8" t="s">
        <v>5</v>
      </c>
      <c r="D14" s="9" t="s">
        <v>6</v>
      </c>
      <c r="E14" s="9">
        <v>10000253</v>
      </c>
      <c r="F14" t="s">
        <v>127</v>
      </c>
      <c r="G14" s="312" t="e">
        <f t="shared" si="1"/>
        <v>#N/A</v>
      </c>
      <c r="H14" s="13" t="e">
        <f>VLOOKUP(E14,[2]Conciliacion!$H:$AC,22,0)</f>
        <v>#N/A</v>
      </c>
      <c r="I14" s="13">
        <f>VLOOKUP(B14,'[3]Hoja2 (2)'!$A:$E,5,0)</f>
        <v>108.16</v>
      </c>
      <c r="J14" s="10">
        <f t="shared" si="2"/>
        <v>108.15999602976152</v>
      </c>
      <c r="K14" s="13">
        <v>108.16</v>
      </c>
      <c r="L14" s="13">
        <f>VLOOKUP(E14,[4]TRABAJO!$H:$S,9,0)</f>
        <v>103.99999618246299</v>
      </c>
      <c r="M14" s="13">
        <f>VLOOKUP(E14,[5]TRABAJO!$F:$S,11,0)</f>
        <v>104</v>
      </c>
      <c r="N14" s="13">
        <f>VLOOKUP(E14,[6]TRABAJO!$H:$S,9,0)</f>
        <v>104.00000000000003</v>
      </c>
      <c r="O14" s="13">
        <f>VLOOKUP(B14,[7]TRABAJO!$C:$S,14,0)</f>
        <v>103.9000266101135</v>
      </c>
      <c r="P14" s="19">
        <f>VLOOKUP(B14,[8]TRABAJO!$C:$S,14,0)</f>
        <v>103.90000809751906</v>
      </c>
      <c r="Q14" s="19">
        <f>VLOOKUP(B14,[9]TRABAJO!$C:$S,14,0)</f>
        <v>103.90001813655175</v>
      </c>
      <c r="R14" s="19">
        <f>VLOOKUP(B14,[10]TRABAJO!$C:$Q,15,0)</f>
        <v>103.89999896210645</v>
      </c>
      <c r="S14" s="19">
        <v>103.90001470278011</v>
      </c>
      <c r="T14" s="10">
        <f t="shared" si="3"/>
        <v>98.705013967641108</v>
      </c>
      <c r="U14" s="10">
        <f t="shared" si="4"/>
        <v>93.510013232502104</v>
      </c>
      <c r="V14">
        <f>VLOOKUP(B14,'[11]ZICP-MARZO'!$B:$P,15,0)</f>
        <v>103.52000000000001</v>
      </c>
      <c r="W14">
        <f>VLOOKUP(B14,[11]CONSOLIDADO_ABRIL!$B:$J,9,0)</f>
        <v>104</v>
      </c>
      <c r="X14">
        <f t="shared" si="5"/>
        <v>-0.47999999999998977</v>
      </c>
      <c r="Y14">
        <f>VLOOKUP(B14,[11]CONSOLIDADO_MAYO!$B:$J,9,0)</f>
        <v>103.9</v>
      </c>
      <c r="Z14" s="10">
        <f t="shared" si="6"/>
        <v>1.4702780106290447E-5</v>
      </c>
      <c r="AA14" s="10"/>
    </row>
    <row r="15" spans="1:27" x14ac:dyDescent="0.25">
      <c r="A15" s="8" t="s">
        <v>119</v>
      </c>
      <c r="B15" s="8" t="str">
        <f t="shared" si="0"/>
        <v>D87310001073</v>
      </c>
      <c r="C15" s="8" t="s">
        <v>66</v>
      </c>
      <c r="D15" s="9" t="s">
        <v>67</v>
      </c>
      <c r="E15" s="9">
        <v>10001073</v>
      </c>
      <c r="F15" t="s">
        <v>16</v>
      </c>
      <c r="G15" s="312" t="e">
        <f t="shared" si="1"/>
        <v>#N/A</v>
      </c>
      <c r="H15" s="13" t="e">
        <f>VLOOKUP(E15,[2]Conciliacion!$H:$AC,22,0)</f>
        <v>#N/A</v>
      </c>
      <c r="I15" s="13">
        <f>VLOOKUP(B15,'[3]Hoja2 (2)'!$A:$E,5,0)</f>
        <v>208.28</v>
      </c>
      <c r="J15" s="10">
        <v>208.28</v>
      </c>
      <c r="L15" s="13">
        <f>VLOOKUP(E15,[4]TRABAJO!$H:$S,9,0)</f>
        <v>87.5</v>
      </c>
      <c r="M15" s="13">
        <f>VLOOKUP(E15,[5]TRABAJO!$F:$S,11,0)</f>
        <v>87.5</v>
      </c>
      <c r="N15" s="13">
        <f>VLOOKUP(E15,[6]TRABAJO!$H:$S,9,0)</f>
        <v>87.5</v>
      </c>
      <c r="O15" s="13">
        <f>VLOOKUP(B15,[7]TRABAJO!$C:$S,14,0)</f>
        <v>197.8</v>
      </c>
      <c r="P15" s="19">
        <f>VLOOKUP(B15,[8]TRABAJO!$C:$S,14,0)</f>
        <v>197.8</v>
      </c>
      <c r="Q15" s="19">
        <f>VLOOKUP(B15,[9]TRABAJO!$C:$S,14,0)</f>
        <v>197.8</v>
      </c>
      <c r="R15" s="19">
        <f>VLOOKUP(B15,[10]TRABAJO!$C:$Q,15,0)</f>
        <v>197.8</v>
      </c>
      <c r="S15" s="19">
        <v>196.88</v>
      </c>
      <c r="T15" s="10">
        <f t="shared" si="3"/>
        <v>187.036</v>
      </c>
      <c r="U15" s="10">
        <f t="shared" si="4"/>
        <v>177.19200000000001</v>
      </c>
      <c r="V15">
        <f>VLOOKUP(B15,'[11]ZICP-MARZO'!$B:$P,15,0)</f>
        <v>200.94</v>
      </c>
      <c r="W15">
        <f>VLOOKUP(B15,[11]CONSOLIDADO_ABRIL!$B:$J,9,0)</f>
        <v>200.88</v>
      </c>
      <c r="X15">
        <f t="shared" si="5"/>
        <v>6.0000000000002274E-2</v>
      </c>
      <c r="Y15">
        <f>VLOOKUP(B15,[11]CONSOLIDADO_MAYO!$B:$J,9,0)</f>
        <v>196.88</v>
      </c>
      <c r="Z15" s="10">
        <f t="shared" si="6"/>
        <v>0</v>
      </c>
      <c r="AA15" s="10"/>
    </row>
    <row r="16" spans="1:27" x14ac:dyDescent="0.25">
      <c r="A16" s="8" t="s">
        <v>119</v>
      </c>
      <c r="B16" s="8" t="str">
        <f t="shared" si="0"/>
        <v>D87310000240</v>
      </c>
      <c r="C16" s="8" t="s">
        <v>66</v>
      </c>
      <c r="D16" s="9" t="s">
        <v>67</v>
      </c>
      <c r="E16" s="9">
        <v>10000240</v>
      </c>
      <c r="F16" t="s">
        <v>90</v>
      </c>
      <c r="G16" s="312" t="e">
        <f t="shared" si="1"/>
        <v>#N/A</v>
      </c>
      <c r="H16" s="13" t="e">
        <f>VLOOKUP(E16,[2]Conciliacion!$H:$AC,22,0)</f>
        <v>#N/A</v>
      </c>
      <c r="I16" s="13">
        <f>VLOOKUP(B16,'[3]Hoja2 (2)'!$A:$E,5,0)</f>
        <v>271.69</v>
      </c>
      <c r="J16" s="10">
        <v>271.69</v>
      </c>
      <c r="L16" s="13">
        <f>VLOOKUP(E16,[4]TRABAJO!$H:$S,9,0)</f>
        <v>127</v>
      </c>
      <c r="M16" s="13">
        <f>VLOOKUP(E16,[5]TRABAJO!$F:$S,11,0)</f>
        <v>127</v>
      </c>
      <c r="N16" s="13">
        <f>VLOOKUP(E16,[6]TRABAJO!$H:$S,9,0)</f>
        <v>127</v>
      </c>
      <c r="O16" s="13">
        <f>VLOOKUP(B16,[7]TRABAJO!$C:$S,14,0)</f>
        <v>258.77</v>
      </c>
      <c r="P16" s="19">
        <f>VLOOKUP(B16,[8]TRABAJO!$C:$S,14,0)</f>
        <v>258.77</v>
      </c>
      <c r="Q16" s="19">
        <f>VLOOKUP(B16,[9]TRABAJO!$C:$S,14,0)</f>
        <v>258.77</v>
      </c>
      <c r="R16" s="19">
        <f>VLOOKUP(B16,[10]TRABAJO!$C:$Q,15,0)</f>
        <v>258.77</v>
      </c>
      <c r="S16" s="19">
        <v>259.67</v>
      </c>
      <c r="T16" s="10">
        <f t="shared" si="3"/>
        <v>246.68650000000002</v>
      </c>
      <c r="U16" s="10">
        <f t="shared" si="4"/>
        <v>233.703</v>
      </c>
      <c r="V16">
        <f>VLOOKUP(B16,'[11]ZICP-MARZO'!$B:$P,15,0)</f>
        <v>289.68</v>
      </c>
      <c r="W16">
        <f>VLOOKUP(B16,[11]CONSOLIDADO_ABRIL!$B:$J,9,0)</f>
        <v>289.67</v>
      </c>
      <c r="X16">
        <f t="shared" si="5"/>
        <v>9.9999999999909051E-3</v>
      </c>
      <c r="Y16">
        <f>VLOOKUP(B16,[11]CONSOLIDADO_MAYO!$B:$J,9,0)</f>
        <v>259.67</v>
      </c>
      <c r="Z16" s="10">
        <f t="shared" si="6"/>
        <v>0</v>
      </c>
      <c r="AA16" s="10"/>
    </row>
    <row r="17" spans="1:26" x14ac:dyDescent="0.25">
      <c r="A17" s="8" t="s">
        <v>128</v>
      </c>
      <c r="B17" s="8" t="str">
        <f t="shared" si="0"/>
        <v>D82410000234</v>
      </c>
      <c r="C17" s="8" t="s">
        <v>27</v>
      </c>
      <c r="D17" s="9" t="s">
        <v>28</v>
      </c>
      <c r="E17" s="9">
        <v>10000234</v>
      </c>
      <c r="F17" t="s">
        <v>122</v>
      </c>
      <c r="G17" s="312" t="e">
        <f t="shared" si="1"/>
        <v>#N/A</v>
      </c>
      <c r="H17" s="13" t="e">
        <f>VLOOKUP(E17,[2]Conciliacion!$H:$AC,22,0)</f>
        <v>#N/A</v>
      </c>
      <c r="I17" s="13">
        <f>VLOOKUP(B17,'[3]Hoja2 (2)'!$A:$E,5,0)</f>
        <v>165.36</v>
      </c>
      <c r="J17" s="10">
        <f t="shared" si="2"/>
        <v>165.36</v>
      </c>
      <c r="K17" s="13">
        <v>165.36</v>
      </c>
      <c r="L17" s="13">
        <f>VLOOKUP(E17,[4]TRABAJO!$H:$S,9,0)</f>
        <v>159</v>
      </c>
      <c r="M17" s="13">
        <f>VLOOKUP(E17,[5]TRABAJO!$F:$S,11,0)</f>
        <v>158.99999999999997</v>
      </c>
      <c r="N17" s="13">
        <f>VLOOKUP(E17,[6]TRABAJO!$H:$S,9,0)</f>
        <v>158.99999999999997</v>
      </c>
      <c r="O17" s="13">
        <f>VLOOKUP(B17,[7]TRABAJO!$C:$S,14,0)</f>
        <v>159.00000000000003</v>
      </c>
      <c r="P17" s="19">
        <f>VLOOKUP(B17,[8]TRABAJO!$C:$S,14,0)</f>
        <v>159</v>
      </c>
      <c r="Q17" s="19">
        <f>VLOOKUP(B17,[9]TRABAJO!$C:$S,14,0)</f>
        <v>158.99999999999997</v>
      </c>
      <c r="R17" s="19">
        <f>VLOOKUP(B17,[10]TRABAJO!$C:$Q,15,0)</f>
        <v>159</v>
      </c>
      <c r="S17" s="19">
        <v>159.00000000000009</v>
      </c>
      <c r="T17" s="10">
        <f t="shared" ref="T17:T42" si="7">(S17*5%)+S17</f>
        <v>166.9500000000001</v>
      </c>
      <c r="U17" s="10">
        <f t="shared" ref="U17:U42" si="8">(S17*10%)+S17</f>
        <v>174.90000000000009</v>
      </c>
      <c r="V17" t="e">
        <f>VLOOKUP(B17,'[11]ZICP-MARZO'!$B:$P,15,0)</f>
        <v>#N/A</v>
      </c>
      <c r="W17" t="e">
        <f>VLOOKUP(B17,[11]CONSOLIDADO_ABRIL!$B:$J,9,0)</f>
        <v>#N/A</v>
      </c>
      <c r="X17" t="e">
        <f t="shared" si="5"/>
        <v>#N/A</v>
      </c>
      <c r="Y17" t="e">
        <f>VLOOKUP(B17,[11]CONSOLIDADO_MAYO!$B:$J,9,0)</f>
        <v>#N/A</v>
      </c>
      <c r="Z17" s="10" t="e">
        <f t="shared" si="6"/>
        <v>#N/A</v>
      </c>
    </row>
    <row r="18" spans="1:26" x14ac:dyDescent="0.25">
      <c r="A18" s="8" t="s">
        <v>128</v>
      </c>
      <c r="B18" s="8" t="str">
        <f t="shared" si="0"/>
        <v>D82410000285</v>
      </c>
      <c r="C18" s="8" t="s">
        <v>27</v>
      </c>
      <c r="D18" s="9" t="s">
        <v>28</v>
      </c>
      <c r="E18" s="9">
        <v>10000285</v>
      </c>
      <c r="F18" t="s">
        <v>123</v>
      </c>
      <c r="G18" s="312" t="e">
        <f t="shared" si="1"/>
        <v>#N/A</v>
      </c>
      <c r="H18" s="13" t="e">
        <f>VLOOKUP(E18,[2]Conciliacion!$H:$AC,22,0)</f>
        <v>#N/A</v>
      </c>
      <c r="I18" s="13">
        <f>VLOOKUP(B18,'[3]Hoja2 (2)'!$A:$E,5,0)</f>
        <v>182</v>
      </c>
      <c r="J18" s="10">
        <f t="shared" si="2"/>
        <v>182</v>
      </c>
      <c r="K18" s="13">
        <v>182</v>
      </c>
      <c r="L18" s="13">
        <f>VLOOKUP(E18,[4]TRABAJO!$H:$S,9,0)</f>
        <v>175</v>
      </c>
      <c r="M18" s="13">
        <f>VLOOKUP(E18,[5]TRABAJO!$F:$S,11,0)</f>
        <v>174.99999999999997</v>
      </c>
      <c r="N18" s="13">
        <f>VLOOKUP(E18,[6]TRABAJO!$H:$S,9,0)</f>
        <v>175.00000000000003</v>
      </c>
      <c r="O18" s="13">
        <f>VLOOKUP(B18,[7]TRABAJO!$C:$S,14,0)</f>
        <v>175</v>
      </c>
      <c r="P18" s="19">
        <f>VLOOKUP(B18,[8]TRABAJO!$C:$S,14,0)</f>
        <v>175</v>
      </c>
      <c r="Q18" s="19">
        <f>VLOOKUP(B18,[9]TRABAJO!$C:$S,14,0)</f>
        <v>175</v>
      </c>
      <c r="R18" s="19">
        <f>VLOOKUP(B18,[10]TRABAJO!$C:$Q,15,0)</f>
        <v>175</v>
      </c>
      <c r="S18" s="19">
        <v>175</v>
      </c>
      <c r="T18" s="10">
        <f t="shared" si="7"/>
        <v>183.75</v>
      </c>
      <c r="U18" s="10">
        <f t="shared" si="8"/>
        <v>192.5</v>
      </c>
      <c r="V18" t="e">
        <f>VLOOKUP(B18,'[11]ZICP-MARZO'!$B:$P,15,0)</f>
        <v>#N/A</v>
      </c>
      <c r="W18" t="e">
        <f>VLOOKUP(B18,[11]CONSOLIDADO_ABRIL!$B:$J,9,0)</f>
        <v>#N/A</v>
      </c>
      <c r="X18" t="e">
        <f t="shared" si="5"/>
        <v>#N/A</v>
      </c>
      <c r="Y18" t="e">
        <f>VLOOKUP(B18,[11]CONSOLIDADO_MAYO!$B:$J,9,0)</f>
        <v>#N/A</v>
      </c>
      <c r="Z18" s="10" t="e">
        <f t="shared" si="6"/>
        <v>#N/A</v>
      </c>
    </row>
    <row r="19" spans="1:26" x14ac:dyDescent="0.25">
      <c r="A19" s="8" t="s">
        <v>128</v>
      </c>
      <c r="B19" s="8" t="str">
        <f t="shared" si="0"/>
        <v>D82410000284</v>
      </c>
      <c r="C19" s="8" t="s">
        <v>27</v>
      </c>
      <c r="D19" s="9" t="s">
        <v>28</v>
      </c>
      <c r="E19" s="9">
        <v>10000284</v>
      </c>
      <c r="F19" t="s">
        <v>124</v>
      </c>
      <c r="G19" s="312" t="e">
        <f t="shared" si="1"/>
        <v>#N/A</v>
      </c>
      <c r="H19" s="13" t="e">
        <f>VLOOKUP(E19,[2]Conciliacion!$H:$AC,22,0)</f>
        <v>#N/A</v>
      </c>
      <c r="I19" s="13">
        <f>VLOOKUP(B19,'[3]Hoja2 (2)'!$A:$E,5,0)</f>
        <v>182</v>
      </c>
      <c r="J19" s="10">
        <f t="shared" si="2"/>
        <v>182</v>
      </c>
      <c r="K19" s="201">
        <v>182</v>
      </c>
      <c r="L19" s="13">
        <f>VLOOKUP(E19,[4]TRABAJO!$H:$S,9,0)</f>
        <v>175</v>
      </c>
      <c r="M19" s="13">
        <f>VLOOKUP(E19,[5]TRABAJO!$F:$S,11,0)</f>
        <v>175</v>
      </c>
      <c r="N19" s="13">
        <f>VLOOKUP(E19,[6]TRABAJO!$H:$S,9,0)</f>
        <v>175</v>
      </c>
      <c r="O19" s="13">
        <f>VLOOKUP(B19,[7]TRABAJO!$C:$S,14,0)</f>
        <v>175.00000000000003</v>
      </c>
      <c r="P19" s="19">
        <f>VLOOKUP(B19,[8]TRABAJO!$C:$S,14,0)</f>
        <v>174.99999999999994</v>
      </c>
      <c r="Q19" s="19">
        <f>VLOOKUP(B19,[9]TRABAJO!$C:$S,14,0)</f>
        <v>175</v>
      </c>
      <c r="R19" s="19">
        <f>VLOOKUP(B19,[10]TRABAJO!$C:$Q,15,0)</f>
        <v>175.00000000000003</v>
      </c>
      <c r="S19" s="19">
        <v>174.99999999999997</v>
      </c>
      <c r="T19" s="10">
        <f t="shared" si="7"/>
        <v>183.74999999999997</v>
      </c>
      <c r="U19" s="10">
        <f t="shared" si="8"/>
        <v>192.49999999999997</v>
      </c>
      <c r="V19" t="e">
        <f>VLOOKUP(B19,'[11]ZICP-MARZO'!$B:$P,15,0)</f>
        <v>#N/A</v>
      </c>
      <c r="W19" t="e">
        <f>VLOOKUP(B19,[11]CONSOLIDADO_ABRIL!$B:$J,9,0)</f>
        <v>#N/A</v>
      </c>
      <c r="X19" t="e">
        <f t="shared" si="5"/>
        <v>#N/A</v>
      </c>
      <c r="Y19" t="e">
        <f>VLOOKUP(B19,[11]CONSOLIDADO_MAYO!$B:$J,9,0)</f>
        <v>#N/A</v>
      </c>
      <c r="Z19" s="10" t="e">
        <f t="shared" si="6"/>
        <v>#N/A</v>
      </c>
    </row>
    <row r="20" spans="1:26" x14ac:dyDescent="0.25">
      <c r="A20" s="8" t="s">
        <v>128</v>
      </c>
      <c r="B20" s="8" t="str">
        <f t="shared" si="0"/>
        <v>D82410000287</v>
      </c>
      <c r="C20" s="8" t="s">
        <v>27</v>
      </c>
      <c r="D20" s="9" t="s">
        <v>28</v>
      </c>
      <c r="E20" s="9">
        <v>10000287</v>
      </c>
      <c r="F20" t="s">
        <v>125</v>
      </c>
      <c r="G20" s="312" t="e">
        <f t="shared" si="1"/>
        <v>#N/A</v>
      </c>
      <c r="H20" s="13" t="e">
        <f>VLOOKUP(E20,[2]Conciliacion!$H:$AC,22,0)</f>
        <v>#N/A</v>
      </c>
      <c r="I20" s="13">
        <f>VLOOKUP(B20,'[3]Hoja2 (2)'!$A:$E,5,0)</f>
        <v>182</v>
      </c>
      <c r="J20" s="10">
        <f t="shared" si="2"/>
        <v>182</v>
      </c>
      <c r="K20" s="200">
        <v>182</v>
      </c>
      <c r="L20" s="13">
        <f>VLOOKUP(E20,[4]TRABAJO!$H:$S,9,0)</f>
        <v>175</v>
      </c>
      <c r="M20" s="13">
        <f>VLOOKUP(E20,[5]TRABAJO!$F:$S,11,0)</f>
        <v>175.00000000000003</v>
      </c>
      <c r="N20" s="13">
        <f>VLOOKUP(E20,[6]TRABAJO!$H:$S,9,0)</f>
        <v>174.99999999999997</v>
      </c>
      <c r="O20" s="13">
        <f>VLOOKUP(B20,[7]TRABAJO!$C:$S,14,0)</f>
        <v>211</v>
      </c>
      <c r="P20" s="19">
        <f>VLOOKUP(B20,[8]TRABAJO!$C:$S,14,0)</f>
        <v>211.04</v>
      </c>
      <c r="Q20" s="19">
        <f>VLOOKUP(B20,[9]TRABAJO!$C:$S,14,0)</f>
        <v>175</v>
      </c>
      <c r="R20" s="19">
        <f>VLOOKUP(B20,[10]TRABAJO!$C:$Q,15,0)</f>
        <v>175</v>
      </c>
      <c r="S20" s="19">
        <v>175</v>
      </c>
      <c r="T20" s="10">
        <f t="shared" si="7"/>
        <v>183.75</v>
      </c>
      <c r="U20" s="10">
        <f t="shared" si="8"/>
        <v>192.5</v>
      </c>
      <c r="V20" t="e">
        <f>VLOOKUP(B20,'[11]ZICP-MARZO'!$B:$P,15,0)</f>
        <v>#N/A</v>
      </c>
      <c r="W20" t="e">
        <f>VLOOKUP(B20,[11]CONSOLIDADO_ABRIL!$B:$J,9,0)</f>
        <v>#N/A</v>
      </c>
      <c r="X20" t="e">
        <f t="shared" si="5"/>
        <v>#N/A</v>
      </c>
      <c r="Y20" t="e">
        <f>VLOOKUP(B20,[11]CONSOLIDADO_MAYO!$B:$J,9,0)</f>
        <v>#N/A</v>
      </c>
      <c r="Z20" s="10" t="e">
        <f t="shared" si="6"/>
        <v>#N/A</v>
      </c>
    </row>
    <row r="21" spans="1:26" x14ac:dyDescent="0.25">
      <c r="A21" s="8" t="s">
        <v>128</v>
      </c>
      <c r="B21" s="8" t="str">
        <f t="shared" si="0"/>
        <v>D81610000124</v>
      </c>
      <c r="C21" s="8" t="s">
        <v>14</v>
      </c>
      <c r="D21" s="9" t="s">
        <v>15</v>
      </c>
      <c r="E21" s="9">
        <v>10000124</v>
      </c>
      <c r="F21" t="s">
        <v>16</v>
      </c>
      <c r="G21" s="312" t="e">
        <f t="shared" si="1"/>
        <v>#N/A</v>
      </c>
      <c r="H21" s="13" t="e">
        <f>VLOOKUP(E21,[2]Conciliacion!$H:$AC,22,0)</f>
        <v>#N/A</v>
      </c>
      <c r="I21" s="13">
        <f>VLOOKUP(B21,'[3]Hoja2 (2)'!$A:$E,5,0)</f>
        <v>284.44</v>
      </c>
      <c r="J21" s="10">
        <f t="shared" si="2"/>
        <v>284.44</v>
      </c>
      <c r="K21" s="13">
        <v>283.92</v>
      </c>
      <c r="L21" s="13">
        <f>VLOOKUP(E21,[4]TRABAJO!$H:$S,9,0)</f>
        <v>273.5</v>
      </c>
      <c r="M21" s="13">
        <f>VLOOKUP(E21,[5]TRABAJO!$F:$S,11,0)</f>
        <v>273.5</v>
      </c>
      <c r="N21" s="13">
        <f>VLOOKUP(E21,[6]TRABAJO!$H:$S,9,0)</f>
        <v>273.5</v>
      </c>
      <c r="O21" s="13">
        <f>VLOOKUP(B21,[7]TRABAJO!$C:$S,14,0)</f>
        <v>273.5</v>
      </c>
      <c r="P21" s="19">
        <v>339.91</v>
      </c>
      <c r="Q21" s="19" t="e">
        <f>VLOOKUP(B21,[9]TRABAJO!$C:$S,14,0)</f>
        <v>#N/A</v>
      </c>
      <c r="R21" s="19">
        <f>VLOOKUP(B21,[10]TRABAJO!$C:$Q,15,0)</f>
        <v>273.5</v>
      </c>
      <c r="S21" s="19">
        <v>273.5</v>
      </c>
      <c r="T21" s="10">
        <f t="shared" si="7"/>
        <v>287.17500000000001</v>
      </c>
      <c r="U21" s="10">
        <f t="shared" si="8"/>
        <v>300.85000000000002</v>
      </c>
      <c r="V21" t="e">
        <f>VLOOKUP(B21,'[11]ZICP-MARZO'!$B:$P,15,0)</f>
        <v>#N/A</v>
      </c>
      <c r="W21" t="e">
        <f>VLOOKUP(B21,[11]CONSOLIDADO_ABRIL!$B:$J,9,0)</f>
        <v>#N/A</v>
      </c>
      <c r="X21" t="e">
        <f t="shared" si="5"/>
        <v>#N/A</v>
      </c>
      <c r="Y21" t="e">
        <f>VLOOKUP(B21,[11]CONSOLIDADO_MAYO!$B:$J,9,0)</f>
        <v>#N/A</v>
      </c>
      <c r="Z21" s="10" t="e">
        <f t="shared" si="6"/>
        <v>#N/A</v>
      </c>
    </row>
    <row r="22" spans="1:26" x14ac:dyDescent="0.25">
      <c r="A22" s="8" t="s">
        <v>128</v>
      </c>
      <c r="B22" s="8" t="str">
        <f t="shared" si="0"/>
        <v>D81610164169</v>
      </c>
      <c r="C22" s="8" t="s">
        <v>14</v>
      </c>
      <c r="D22" s="9" t="s">
        <v>15</v>
      </c>
      <c r="E22" s="9">
        <v>10164169</v>
      </c>
      <c r="F22" t="s">
        <v>129</v>
      </c>
      <c r="G22" s="312" t="e">
        <f t="shared" si="1"/>
        <v>#N/A</v>
      </c>
      <c r="H22" s="13" t="e">
        <f>VLOOKUP(E22,[2]Conciliacion!$H:$AC,22,0)</f>
        <v>#N/A</v>
      </c>
      <c r="I22" s="13">
        <f>VLOOKUP(B22,'[3]Hoja2 (2)'!$A:$E,5,0)</f>
        <v>284.44</v>
      </c>
      <c r="J22" s="10">
        <f t="shared" si="2"/>
        <v>284.44</v>
      </c>
      <c r="K22" s="13">
        <v>337.48</v>
      </c>
      <c r="L22" s="13">
        <v>273.5</v>
      </c>
      <c r="M22" s="13">
        <f>VLOOKUP(E22,[5]TRABAJO!$F:$S,11,0)</f>
        <v>273.5</v>
      </c>
      <c r="N22" s="13" t="e">
        <f>VLOOKUP(E22,[6]TRABAJO!$H:$S,9,0)</f>
        <v>#N/A</v>
      </c>
      <c r="O22" s="13">
        <f>VLOOKUP(B22,[7]TRABAJO!$C:$S,14,0)</f>
        <v>273.5</v>
      </c>
      <c r="P22" s="19">
        <f>VLOOKUP(B22,[8]TRABAJO!$C:$S,14,0)</f>
        <v>273.5</v>
      </c>
      <c r="Q22" s="19">
        <f>VLOOKUP(B22,[9]TRABAJO!$C:$S,14,0)</f>
        <v>273.5</v>
      </c>
      <c r="R22" s="19" t="s">
        <v>309</v>
      </c>
      <c r="S22" s="19">
        <v>273.5</v>
      </c>
      <c r="T22" s="10">
        <f t="shared" si="7"/>
        <v>287.17500000000001</v>
      </c>
      <c r="U22" s="10">
        <f t="shared" si="8"/>
        <v>300.85000000000002</v>
      </c>
      <c r="V22" t="e">
        <f>VLOOKUP(B22,'[11]ZICP-MARZO'!$B:$P,15,0)</f>
        <v>#N/A</v>
      </c>
      <c r="W22" t="e">
        <f>VLOOKUP(B22,[11]CONSOLIDADO_ABRIL!$B:$J,9,0)</f>
        <v>#N/A</v>
      </c>
      <c r="X22" t="e">
        <f t="shared" si="5"/>
        <v>#N/A</v>
      </c>
      <c r="Y22" t="e">
        <f>VLOOKUP(B22,[11]CONSOLIDADO_MAYO!$B:$J,9,0)</f>
        <v>#N/A</v>
      </c>
      <c r="Z22" s="10" t="e">
        <f t="shared" si="6"/>
        <v>#N/A</v>
      </c>
    </row>
    <row r="23" spans="1:26" x14ac:dyDescent="0.25">
      <c r="A23" s="8" t="s">
        <v>128</v>
      </c>
      <c r="B23" s="8" t="str">
        <f t="shared" si="0"/>
        <v>D81610000260</v>
      </c>
      <c r="C23" s="8" t="s">
        <v>14</v>
      </c>
      <c r="D23" s="9" t="s">
        <v>15</v>
      </c>
      <c r="E23" s="9">
        <v>10000260</v>
      </c>
      <c r="F23" t="s">
        <v>20</v>
      </c>
      <c r="G23" s="312" t="e">
        <f t="shared" si="1"/>
        <v>#N/A</v>
      </c>
      <c r="H23" s="13" t="e">
        <f>VLOOKUP(E23,[2]Conciliacion!$H:$AC,22,0)</f>
        <v>#N/A</v>
      </c>
      <c r="I23" s="13">
        <f>VLOOKUP(B23,'[3]Hoja2 (2)'!$A:$E,5,0)</f>
        <v>320.32</v>
      </c>
      <c r="J23" s="10">
        <f t="shared" si="2"/>
        <v>320.31999999999994</v>
      </c>
      <c r="K23" s="13">
        <v>320.32</v>
      </c>
      <c r="L23" s="13">
        <f>VLOOKUP(E23,[4]TRABAJO!$H:$S,9,0)</f>
        <v>307.99999999999994</v>
      </c>
      <c r="M23" s="13">
        <f>VLOOKUP(E23,[5]TRABAJO!$F:$S,11,0)</f>
        <v>308.00000000000006</v>
      </c>
      <c r="N23" s="23">
        <v>308.00000000000006</v>
      </c>
      <c r="O23" s="13">
        <f>VLOOKUP(B23,[7]TRABAJO!$C:$S,14,0)</f>
        <v>395.87464461101058</v>
      </c>
      <c r="P23" s="19">
        <f>VLOOKUP(B23,[8]TRABAJO!$C:$S,14,0)</f>
        <v>379.08993094588089</v>
      </c>
      <c r="Q23" s="19">
        <f>VLOOKUP(B23,[9]TRABAJO!$C:$S,14,0)</f>
        <v>395.87464461101058</v>
      </c>
      <c r="R23" s="19">
        <f>VLOOKUP(B23,[10]TRABAJO!$C:$Q,15,0)</f>
        <v>388.22985370691799</v>
      </c>
      <c r="S23" s="19">
        <v>388</v>
      </c>
      <c r="T23" s="10">
        <f t="shared" si="7"/>
        <v>407.4</v>
      </c>
      <c r="U23" s="10">
        <f t="shared" si="8"/>
        <v>426.8</v>
      </c>
      <c r="V23" t="e">
        <f>VLOOKUP(B23,'[11]ZICP-MARZO'!$B:$P,15,0)</f>
        <v>#N/A</v>
      </c>
      <c r="W23" t="e">
        <f>VLOOKUP(B23,[11]CONSOLIDADO_ABRIL!$B:$J,9,0)</f>
        <v>#N/A</v>
      </c>
      <c r="X23" t="e">
        <f t="shared" si="5"/>
        <v>#N/A</v>
      </c>
      <c r="Y23" t="e">
        <f>VLOOKUP(B23,[11]CONSOLIDADO_MAYO!$B:$J,9,0)</f>
        <v>#N/A</v>
      </c>
      <c r="Z23" s="10" t="e">
        <f t="shared" si="6"/>
        <v>#N/A</v>
      </c>
    </row>
    <row r="24" spans="1:26" x14ac:dyDescent="0.25">
      <c r="A24" s="8" t="s">
        <v>128</v>
      </c>
      <c r="B24" s="8" t="str">
        <f t="shared" si="0"/>
        <v>D81610000237</v>
      </c>
      <c r="C24" s="8" t="s">
        <v>14</v>
      </c>
      <c r="D24" s="9" t="s">
        <v>15</v>
      </c>
      <c r="E24" s="9">
        <v>10000237</v>
      </c>
      <c r="F24" t="s">
        <v>120</v>
      </c>
      <c r="G24" s="312" t="e">
        <f t="shared" si="1"/>
        <v>#N/A</v>
      </c>
      <c r="H24" s="13" t="e">
        <f>VLOOKUP(E24,[2]Conciliacion!$H:$AC,22,0)</f>
        <v>#N/A</v>
      </c>
      <c r="I24" s="13">
        <f>VLOOKUP(B24,'[3]Hoja2 (2)'!$A:$E,5,0)</f>
        <v>294.32</v>
      </c>
      <c r="J24" s="10">
        <f t="shared" si="2"/>
        <v>294.32</v>
      </c>
      <c r="K24" s="13">
        <v>280.8</v>
      </c>
      <c r="L24" s="13">
        <f>VLOOKUP(E24,[4]TRABAJO!$H:$S,9,0)</f>
        <v>283</v>
      </c>
      <c r="M24" s="13">
        <f>VLOOKUP(E24,[5]TRABAJO!$F:$S,11,0)</f>
        <v>270</v>
      </c>
      <c r="N24" s="13">
        <f>VLOOKUP(E24,[6]TRABAJO!$H:$S,9,0)</f>
        <v>283</v>
      </c>
      <c r="O24" s="13">
        <f>VLOOKUP(B24,[7]TRABAJO!$C:$S,14,0)</f>
        <v>335.60999560310717</v>
      </c>
      <c r="P24" s="19">
        <f>VLOOKUP(B24,[8]TRABAJO!$C:$S,14,0)</f>
        <v>282.60000000000002</v>
      </c>
      <c r="Q24" s="19">
        <f>VLOOKUP(B24,[9]TRABAJO!$C:$S,14,0)</f>
        <v>282.60000000000002</v>
      </c>
      <c r="R24" s="19">
        <f>VLOOKUP(B24,[10]TRABAJO!$C:$Q,15,0)</f>
        <v>282.60000000000002</v>
      </c>
      <c r="S24" s="19">
        <v>282.60000000000002</v>
      </c>
      <c r="T24" s="10">
        <f t="shared" si="7"/>
        <v>296.73</v>
      </c>
      <c r="U24" s="10">
        <f t="shared" si="8"/>
        <v>310.86</v>
      </c>
      <c r="V24" t="e">
        <f>VLOOKUP(B24,'[11]ZICP-MARZO'!$B:$P,15,0)</f>
        <v>#N/A</v>
      </c>
      <c r="W24" t="e">
        <f>VLOOKUP(B24,[11]CONSOLIDADO_ABRIL!$B:$J,9,0)</f>
        <v>#N/A</v>
      </c>
      <c r="X24" t="e">
        <f t="shared" si="5"/>
        <v>#N/A</v>
      </c>
      <c r="Y24" t="e">
        <f>VLOOKUP(B24,[11]CONSOLIDADO_MAYO!$B:$J,9,0)</f>
        <v>#N/A</v>
      </c>
      <c r="Z24" s="10" t="e">
        <f t="shared" si="6"/>
        <v>#N/A</v>
      </c>
    </row>
    <row r="25" spans="1:26" x14ac:dyDescent="0.25">
      <c r="A25" s="8" t="s">
        <v>128</v>
      </c>
      <c r="B25" s="8" t="str">
        <f t="shared" si="0"/>
        <v>D81610000241</v>
      </c>
      <c r="C25" s="8" t="s">
        <v>14</v>
      </c>
      <c r="D25" s="9" t="s">
        <v>15</v>
      </c>
      <c r="E25" s="9">
        <v>10000241</v>
      </c>
      <c r="F25" t="s">
        <v>90</v>
      </c>
      <c r="G25" s="312" t="e">
        <f t="shared" si="1"/>
        <v>#N/A</v>
      </c>
      <c r="H25" s="13" t="e">
        <f>VLOOKUP(E25,[2]Conciliacion!$H:$AC,22,0)</f>
        <v>#N/A</v>
      </c>
      <c r="I25" s="13">
        <f>VLOOKUP(B25,'[3]Hoja2 (2)'!$A:$E,5,0)</f>
        <v>284.44</v>
      </c>
      <c r="J25" s="10">
        <f t="shared" si="2"/>
        <v>284.44</v>
      </c>
      <c r="K25" s="13">
        <v>284.44</v>
      </c>
      <c r="L25" s="13">
        <f>VLOOKUP(E25,[4]TRABAJO!$H:$S,9,0)</f>
        <v>273.5</v>
      </c>
      <c r="M25" s="13">
        <f>VLOOKUP(E25,[5]TRABAJO!$F:$S,11,0)</f>
        <v>273.5</v>
      </c>
      <c r="N25" s="13">
        <f>VLOOKUP(E25,[6]TRABAJO!$H:$S,9,0)</f>
        <v>273.5</v>
      </c>
      <c r="O25" s="13">
        <f>VLOOKUP(B25,[7]TRABAJO!$C:$S,14,0)</f>
        <v>273.5</v>
      </c>
      <c r="P25" s="19">
        <f>VLOOKUP(B25,[8]TRABAJO!$C:$S,14,0)</f>
        <v>273.5</v>
      </c>
      <c r="Q25" s="19">
        <f>VLOOKUP(B25,[9]TRABAJO!$C:$S,14,0)</f>
        <v>273.5</v>
      </c>
      <c r="R25" s="19">
        <f>VLOOKUP(B25,[10]TRABAJO!$C:$Q,15,0)</f>
        <v>273.5</v>
      </c>
      <c r="S25" s="19">
        <v>273.5</v>
      </c>
      <c r="T25" s="10">
        <f t="shared" si="7"/>
        <v>287.17500000000001</v>
      </c>
      <c r="U25" s="10">
        <f t="shared" si="8"/>
        <v>300.85000000000002</v>
      </c>
      <c r="V25" t="e">
        <f>VLOOKUP(B25,'[11]ZICP-MARZO'!$B:$P,15,0)</f>
        <v>#N/A</v>
      </c>
      <c r="W25" t="e">
        <f>VLOOKUP(B25,[11]CONSOLIDADO_ABRIL!$B:$J,9,0)</f>
        <v>#N/A</v>
      </c>
      <c r="X25" t="e">
        <f t="shared" si="5"/>
        <v>#N/A</v>
      </c>
      <c r="Y25" t="e">
        <f>VLOOKUP(B25,[11]CONSOLIDADO_MAYO!$B:$J,9,0)</f>
        <v>#N/A</v>
      </c>
      <c r="Z25" s="10" t="e">
        <f t="shared" si="6"/>
        <v>#N/A</v>
      </c>
    </row>
    <row r="26" spans="1:26" x14ac:dyDescent="0.25">
      <c r="A26" s="8" t="s">
        <v>128</v>
      </c>
      <c r="B26" s="8" t="str">
        <f t="shared" si="0"/>
        <v>D86310038952</v>
      </c>
      <c r="C26" s="8" t="s">
        <v>52</v>
      </c>
      <c r="D26" s="9" t="s">
        <v>53</v>
      </c>
      <c r="E26" s="9">
        <v>10038952</v>
      </c>
      <c r="F26" t="s">
        <v>16</v>
      </c>
      <c r="G26" s="312" t="e">
        <f t="shared" si="1"/>
        <v>#N/A</v>
      </c>
      <c r="H26" s="13" t="e">
        <f>VLOOKUP(E26,[2]Conciliacion!$H:$AC,22,0)</f>
        <v>#N/A</v>
      </c>
      <c r="I26" s="13">
        <f>VLOOKUP(B26,'[3]Hoja2 (2)'!$A:$E,5,0)</f>
        <v>160.04</v>
      </c>
      <c r="J26" s="10">
        <f t="shared" si="2"/>
        <v>160.03515123346804</v>
      </c>
      <c r="K26" s="13">
        <v>167.23</v>
      </c>
      <c r="L26" s="13">
        <f>VLOOKUP(E26,[4]TRABAJO!$H:$S,9,0)</f>
        <v>153.87995310910389</v>
      </c>
      <c r="M26" s="13">
        <f>VLOOKUP(E26,[5]TRABAJO!$F:$S,11,0)</f>
        <v>153.87994803513953</v>
      </c>
      <c r="N26" s="13">
        <f>VLOOKUP(E26,[6]TRABAJO!$H:$S,9,0)</f>
        <v>153.8799561622431</v>
      </c>
      <c r="O26" s="13">
        <f>VLOOKUP(B26,[7]TRABAJO!$C:$S,14,0)</f>
        <v>153.8799422090861</v>
      </c>
      <c r="P26" s="19">
        <f>VLOOKUP(B26,[8]TRABAJO!$C:$S,14,0)</f>
        <v>153.87994510757937</v>
      </c>
      <c r="Q26" s="19">
        <f>VLOOKUP(B26,[9]TRABAJO!$C:$S,14,0)</f>
        <v>153.87993600677908</v>
      </c>
      <c r="R26" s="19">
        <f>VLOOKUP(B26,[10]TRABAJO!$C:$Q,15,0)</f>
        <v>153.88</v>
      </c>
      <c r="S26" s="19">
        <v>153.88</v>
      </c>
      <c r="T26" s="10">
        <f t="shared" si="7"/>
        <v>161.57399999999998</v>
      </c>
      <c r="U26" s="10">
        <f t="shared" si="8"/>
        <v>169.268</v>
      </c>
      <c r="V26" t="e">
        <f>VLOOKUP(B26,'[11]ZICP-MARZO'!$B:$P,15,0)</f>
        <v>#N/A</v>
      </c>
      <c r="W26" t="e">
        <f>VLOOKUP(B26,[11]CONSOLIDADO_ABRIL!$B:$J,9,0)</f>
        <v>#N/A</v>
      </c>
      <c r="X26" t="e">
        <f t="shared" si="5"/>
        <v>#N/A</v>
      </c>
      <c r="Y26" t="e">
        <f>VLOOKUP(B26,[11]CONSOLIDADO_MAYO!$B:$J,9,0)</f>
        <v>#N/A</v>
      </c>
      <c r="Z26" s="10" t="e">
        <f t="shared" si="6"/>
        <v>#N/A</v>
      </c>
    </row>
    <row r="27" spans="1:26" x14ac:dyDescent="0.25">
      <c r="A27" s="8" t="s">
        <v>128</v>
      </c>
      <c r="B27" s="8" t="str">
        <f t="shared" si="0"/>
        <v>D86310038949</v>
      </c>
      <c r="C27" s="8" t="s">
        <v>52</v>
      </c>
      <c r="D27" s="9" t="s">
        <v>53</v>
      </c>
      <c r="E27" s="9">
        <v>10038949</v>
      </c>
      <c r="F27" t="s">
        <v>120</v>
      </c>
      <c r="G27" s="312" t="e">
        <f t="shared" si="1"/>
        <v>#N/A</v>
      </c>
      <c r="H27" s="13" t="e">
        <f>VLOOKUP(E27,[2]Conciliacion!$H:$AC,22,0)</f>
        <v>#N/A</v>
      </c>
      <c r="I27" s="13">
        <f>VLOOKUP(B27,'[3]Hoja2 (2)'!$A:$E,5,0)</f>
        <v>166.97</v>
      </c>
      <c r="J27" s="10">
        <f t="shared" si="2"/>
        <v>166.97195895031459</v>
      </c>
      <c r="K27" s="13">
        <v>147.08000000000001</v>
      </c>
      <c r="L27" s="13">
        <f>VLOOKUP(E27,[4]TRABAJO!$H:$S,9,0)</f>
        <v>160.54996052914865</v>
      </c>
      <c r="M27" s="13" t="e">
        <f>VLOOKUP(E27,[5]TRABAJO!$F:$S,11,0)</f>
        <v>#N/A</v>
      </c>
      <c r="N27" s="13">
        <f>VLOOKUP(E27,[6]TRABAJO!$H:$S,9,0)</f>
        <v>139.30000000000001</v>
      </c>
      <c r="O27" s="13">
        <f>VLOOKUP(B27,[7]TRABAJO!$C:$S,14,0)</f>
        <v>168.50000000000003</v>
      </c>
      <c r="P27" s="19">
        <f>VLOOKUP(B27,[8]TRABAJO!$C:$S,14,0)</f>
        <v>169.99999999999997</v>
      </c>
      <c r="Q27" s="19">
        <f>VLOOKUP(B27,[9]TRABAJO!$C:$S,14,0)</f>
        <v>170</v>
      </c>
      <c r="R27" s="19">
        <f>VLOOKUP(B27,[10]TRABAJO!$C:$Q,15,0)</f>
        <v>168.49997265368629</v>
      </c>
      <c r="S27" s="19">
        <v>168.49996382142251</v>
      </c>
      <c r="T27" s="10">
        <f t="shared" si="7"/>
        <v>176.92496201249364</v>
      </c>
      <c r="U27" s="10">
        <f t="shared" si="8"/>
        <v>185.34996020356476</v>
      </c>
      <c r="V27" t="e">
        <f>VLOOKUP(B27,'[11]ZICP-MARZO'!$B:$P,15,0)</f>
        <v>#N/A</v>
      </c>
      <c r="W27" t="e">
        <f>VLOOKUP(B27,[11]CONSOLIDADO_ABRIL!$B:$J,9,0)</f>
        <v>#N/A</v>
      </c>
      <c r="X27" t="e">
        <f t="shared" si="5"/>
        <v>#N/A</v>
      </c>
      <c r="Y27" t="e">
        <f>VLOOKUP(B27,[11]CONSOLIDADO_MAYO!$B:$J,9,0)</f>
        <v>#N/A</v>
      </c>
      <c r="Z27" s="10" t="e">
        <f t="shared" si="6"/>
        <v>#N/A</v>
      </c>
    </row>
    <row r="28" spans="1:26" x14ac:dyDescent="0.25">
      <c r="A28" s="8" t="s">
        <v>128</v>
      </c>
      <c r="B28" s="8" t="str">
        <f t="shared" si="0"/>
        <v>D86310038950</v>
      </c>
      <c r="C28" s="8" t="s">
        <v>52</v>
      </c>
      <c r="D28" s="9" t="s">
        <v>53</v>
      </c>
      <c r="E28" s="9">
        <v>10038950</v>
      </c>
      <c r="F28" t="s">
        <v>90</v>
      </c>
      <c r="G28" s="312" t="e">
        <f t="shared" si="1"/>
        <v>#N/A</v>
      </c>
      <c r="H28" s="13" t="e">
        <f>VLOOKUP(E28,[2]Conciliacion!$H:$AC,22,0)</f>
        <v>#N/A</v>
      </c>
      <c r="I28" s="13">
        <f>VLOOKUP(B28,'[3]Hoja2 (2)'!$A:$E,5,0)</f>
        <v>160.04000000000002</v>
      </c>
      <c r="J28" s="10">
        <f t="shared" si="2"/>
        <v>160.03523210224847</v>
      </c>
      <c r="K28" s="13">
        <v>161.41</v>
      </c>
      <c r="L28" s="13">
        <f>VLOOKUP(E28,[4]TRABAJO!$H:$S,9,0)</f>
        <v>153.88003086754659</v>
      </c>
      <c r="M28" s="13">
        <f>VLOOKUP(E28,[5]TRABAJO!$F:$S,11,0)</f>
        <v>153.87996072422797</v>
      </c>
      <c r="N28" s="13">
        <f>VLOOKUP(E28,[6]TRABAJO!$H:$S,9,0)</f>
        <v>153.87996956837347</v>
      </c>
      <c r="O28" s="13">
        <f>VLOOKUP(B28,[7]TRABAJO!$C:$S,14,0)</f>
        <v>153.87996005774426</v>
      </c>
      <c r="P28" s="19">
        <f>VLOOKUP(B28,[8]TRABAJO!$C:$S,14,0)</f>
        <v>141.29000599840037</v>
      </c>
      <c r="Q28" s="19">
        <f>VLOOKUP(B28,[9]TRABAJO!$C:$S,14,0)</f>
        <v>153.8799855295288</v>
      </c>
      <c r="R28" s="19">
        <f>VLOOKUP(B28,[10]TRABAJO!$C:$Q,15,0)</f>
        <v>153.88</v>
      </c>
      <c r="S28" s="19">
        <v>153.88</v>
      </c>
      <c r="T28" s="10">
        <f t="shared" si="7"/>
        <v>161.57399999999998</v>
      </c>
      <c r="U28" s="10">
        <f t="shared" si="8"/>
        <v>169.268</v>
      </c>
      <c r="V28" t="e">
        <f>VLOOKUP(B28,'[11]ZICP-MARZO'!$B:$P,15,0)</f>
        <v>#N/A</v>
      </c>
      <c r="W28" t="e">
        <f>VLOOKUP(B28,[11]CONSOLIDADO_ABRIL!$B:$J,9,0)</f>
        <v>#N/A</v>
      </c>
      <c r="X28" t="e">
        <f t="shared" si="5"/>
        <v>#N/A</v>
      </c>
      <c r="Y28" t="e">
        <f>VLOOKUP(B28,[11]CONSOLIDADO_MAYO!$B:$J,9,0)</f>
        <v>#N/A</v>
      </c>
      <c r="Z28" s="10" t="e">
        <f t="shared" si="6"/>
        <v>#N/A</v>
      </c>
    </row>
    <row r="29" spans="1:26" x14ac:dyDescent="0.25">
      <c r="A29" s="8" t="s">
        <v>128</v>
      </c>
      <c r="B29" s="8" t="str">
        <f t="shared" si="0"/>
        <v>D86310049672</v>
      </c>
      <c r="C29" s="8" t="s">
        <v>52</v>
      </c>
      <c r="D29" s="9" t="s">
        <v>53</v>
      </c>
      <c r="E29" s="9">
        <v>10049672</v>
      </c>
      <c r="F29" t="s">
        <v>121</v>
      </c>
      <c r="G29" s="312" t="e">
        <f t="shared" si="1"/>
        <v>#N/A</v>
      </c>
      <c r="H29" s="13" t="e">
        <f>VLOOKUP(E29,[2]Conciliacion!$H:$AC,22,0)</f>
        <v>#N/A</v>
      </c>
      <c r="I29" s="13">
        <f>VLOOKUP(B29,'[3]Hoja2 (2)'!$A:$E,5,0)</f>
        <v>166.4</v>
      </c>
      <c r="J29" s="10">
        <f t="shared" si="2"/>
        <v>166.4</v>
      </c>
      <c r="K29" s="13">
        <v>166.4</v>
      </c>
      <c r="L29" s="13">
        <f>VLOOKUP(E29,[4]TRABAJO!$H:$S,9,0)</f>
        <v>160</v>
      </c>
      <c r="M29" s="13">
        <f>VLOOKUP(E29,[5]TRABAJO!$F:$S,11,0)</f>
        <v>160</v>
      </c>
      <c r="N29" s="13">
        <f>VLOOKUP(E29,[6]TRABAJO!$H:$S,9,0)</f>
        <v>160</v>
      </c>
      <c r="O29" s="13">
        <f>VLOOKUP(B29,[7]TRABAJO!$C:$S,14,0)</f>
        <v>160</v>
      </c>
      <c r="P29" s="19">
        <f>VLOOKUP(B29,[8]TRABAJO!$C:$S,14,0)</f>
        <v>160</v>
      </c>
      <c r="Q29" s="19">
        <f>VLOOKUP(B29,[9]TRABAJO!$C:$S,14,0)</f>
        <v>105</v>
      </c>
      <c r="R29" s="19">
        <f>VLOOKUP(B29,[10]TRABAJO!$C:$Q,15,0)</f>
        <v>160</v>
      </c>
      <c r="S29" s="19">
        <v>160</v>
      </c>
      <c r="T29" s="10">
        <f t="shared" si="7"/>
        <v>168</v>
      </c>
      <c r="U29" s="10">
        <f t="shared" si="8"/>
        <v>176</v>
      </c>
      <c r="V29" t="e">
        <f>VLOOKUP(B29,'[11]ZICP-MARZO'!$B:$P,15,0)</f>
        <v>#N/A</v>
      </c>
      <c r="W29" t="e">
        <f>VLOOKUP(B29,[11]CONSOLIDADO_ABRIL!$B:$J,9,0)</f>
        <v>#N/A</v>
      </c>
      <c r="X29" t="e">
        <f t="shared" si="5"/>
        <v>#N/A</v>
      </c>
      <c r="Y29" t="e">
        <f>VLOOKUP(B29,[11]CONSOLIDADO_MAYO!$B:$J,9,0)</f>
        <v>#N/A</v>
      </c>
      <c r="Z29" s="10" t="e">
        <f t="shared" si="6"/>
        <v>#N/A</v>
      </c>
    </row>
    <row r="30" spans="1:26" x14ac:dyDescent="0.25">
      <c r="A30" s="8" t="s">
        <v>128</v>
      </c>
      <c r="B30" s="8" t="str">
        <f t="shared" si="0"/>
        <v>D85210038942</v>
      </c>
      <c r="C30" s="8" t="s">
        <v>35</v>
      </c>
      <c r="D30" s="9" t="s">
        <v>36</v>
      </c>
      <c r="E30" s="9">
        <v>10038942</v>
      </c>
      <c r="F30" t="s">
        <v>38</v>
      </c>
      <c r="G30" s="312" t="e">
        <f t="shared" si="1"/>
        <v>#N/A</v>
      </c>
      <c r="H30" s="13" t="e">
        <f>VLOOKUP(E30,[2]Conciliacion!$H:$AC,22,0)</f>
        <v>#N/A</v>
      </c>
      <c r="I30" s="13">
        <f>VLOOKUP(B30,'[3]Hoja2 (2)'!$A:$E,5,0)</f>
        <v>131.56</v>
      </c>
      <c r="J30" s="10">
        <f t="shared" si="2"/>
        <v>131.55999507160374</v>
      </c>
      <c r="K30" s="13">
        <v>187.2</v>
      </c>
      <c r="L30" s="13">
        <f>VLOOKUP(E30,[4]TRABAJO!$H:$S,9,0)</f>
        <v>126.49999526115744</v>
      </c>
      <c r="M30" s="13">
        <f>VLOOKUP(E30,[5]TRABAJO!$F:$S,11,0)</f>
        <v>126.49999434517989</v>
      </c>
      <c r="N30" s="13">
        <f>VLOOKUP(E30,[6]TRABAJO!$H:$S,9,0)</f>
        <v>126.49999434517989</v>
      </c>
      <c r="O30" s="13">
        <f>VLOOKUP(B30,[7]TRABAJO!$C:$S,14,0)</f>
        <v>126.49998859118215</v>
      </c>
      <c r="P30" s="19">
        <f>VLOOKUP(B30,[8]TRABAJO!$C:$S,14,0)</f>
        <v>126.49998102839304</v>
      </c>
      <c r="Q30" s="19">
        <f>VLOOKUP(B30,[9]TRABAJO!$C:$S,14,0)</f>
        <v>127.3344195259089</v>
      </c>
      <c r="R30" s="19">
        <f>VLOOKUP(B30,[10]TRABAJO!$C:$Q,15,0)</f>
        <v>128.80000000000001</v>
      </c>
      <c r="S30" s="19">
        <v>128.80000000000001</v>
      </c>
      <c r="T30" s="10">
        <f t="shared" si="7"/>
        <v>135.24</v>
      </c>
      <c r="U30" s="10">
        <f t="shared" si="8"/>
        <v>141.68</v>
      </c>
      <c r="V30" t="e">
        <f>VLOOKUP(B30,'[11]ZICP-MARZO'!$B:$P,15,0)</f>
        <v>#N/A</v>
      </c>
      <c r="W30" t="e">
        <f>VLOOKUP(B30,[11]CONSOLIDADO_ABRIL!$B:$J,9,0)</f>
        <v>#N/A</v>
      </c>
      <c r="X30" t="e">
        <f t="shared" si="5"/>
        <v>#N/A</v>
      </c>
      <c r="Y30" t="e">
        <f>VLOOKUP(B30,[11]CONSOLIDADO_MAYO!$B:$J,9,0)</f>
        <v>#N/A</v>
      </c>
      <c r="Z30" s="10" t="e">
        <f t="shared" si="6"/>
        <v>#N/A</v>
      </c>
    </row>
    <row r="31" spans="1:26" x14ac:dyDescent="0.25">
      <c r="A31" s="8" t="s">
        <v>128</v>
      </c>
      <c r="B31" s="8" t="str">
        <f t="shared" si="0"/>
        <v>D85210038947</v>
      </c>
      <c r="C31" s="8" t="s">
        <v>35</v>
      </c>
      <c r="D31" s="9" t="s">
        <v>36</v>
      </c>
      <c r="E31" s="9">
        <v>10038947</v>
      </c>
      <c r="F31" t="s">
        <v>120</v>
      </c>
      <c r="G31" s="312" t="e">
        <f t="shared" si="1"/>
        <v>#N/A</v>
      </c>
      <c r="H31" s="13" t="e">
        <f>VLOOKUP(E31,[2]Conciliacion!$H:$AC,22,0)</f>
        <v>#N/A</v>
      </c>
      <c r="I31" s="13">
        <f>VLOOKUP(B31,'[3]Hoja2 (2)'!$A:$E,5,0)</f>
        <v>115.44</v>
      </c>
      <c r="J31" s="10">
        <f t="shared" si="2"/>
        <v>115.44</v>
      </c>
      <c r="K31" s="13">
        <v>115.44</v>
      </c>
      <c r="L31" s="13">
        <f>VLOOKUP(E31,[4]TRABAJO!$H:$S,9,0)</f>
        <v>111</v>
      </c>
      <c r="M31" s="13">
        <f>VLOOKUP(E31,[5]TRABAJO!$F:$S,11,0)</f>
        <v>111</v>
      </c>
      <c r="N31" s="13">
        <f>VLOOKUP(E31,[6]TRABAJO!$H:$S,9,0)</f>
        <v>111</v>
      </c>
      <c r="O31" s="13">
        <f>VLOOKUP(B31,[7]TRABAJO!$C:$S,14,0)</f>
        <v>111</v>
      </c>
      <c r="P31" s="19">
        <f>VLOOKUP(B31,[8]TRABAJO!$C:$S,14,0)</f>
        <v>111</v>
      </c>
      <c r="Q31" s="19">
        <f>VLOOKUP(B31,[9]TRABAJO!$C:$S,14,0)</f>
        <v>110.9</v>
      </c>
      <c r="R31" s="19">
        <f>VLOOKUP(B31,[10]TRABAJO!$C:$Q,15,0)</f>
        <v>110.9</v>
      </c>
      <c r="S31" s="19">
        <v>110.9</v>
      </c>
      <c r="T31" s="10">
        <f t="shared" si="7"/>
        <v>116.44500000000001</v>
      </c>
      <c r="U31" s="10">
        <f t="shared" si="8"/>
        <v>121.99000000000001</v>
      </c>
      <c r="V31" t="e">
        <f>VLOOKUP(B31,'[11]ZICP-MARZO'!$B:$P,15,0)</f>
        <v>#N/A</v>
      </c>
      <c r="W31" t="e">
        <f>VLOOKUP(B31,[11]CONSOLIDADO_ABRIL!$B:$J,9,0)</f>
        <v>#N/A</v>
      </c>
      <c r="X31" t="e">
        <f t="shared" si="5"/>
        <v>#N/A</v>
      </c>
      <c r="Y31" t="e">
        <f>VLOOKUP(B31,[11]CONSOLIDADO_MAYO!$B:$J,9,0)</f>
        <v>#N/A</v>
      </c>
      <c r="Z31" s="10" t="e">
        <f t="shared" si="6"/>
        <v>#N/A</v>
      </c>
    </row>
    <row r="32" spans="1:26" x14ac:dyDescent="0.25">
      <c r="A32" s="8" t="s">
        <v>128</v>
      </c>
      <c r="B32" s="8" t="str">
        <f t="shared" si="0"/>
        <v>D85210038945</v>
      </c>
      <c r="C32" s="8" t="s">
        <v>35</v>
      </c>
      <c r="D32" s="9" t="s">
        <v>36</v>
      </c>
      <c r="E32" s="9">
        <v>10038945</v>
      </c>
      <c r="F32" t="s">
        <v>90</v>
      </c>
      <c r="G32" s="312" t="e">
        <f t="shared" si="1"/>
        <v>#N/A</v>
      </c>
      <c r="H32" s="13" t="e">
        <f>VLOOKUP(E32,[2]Conciliacion!$H:$AC,22,0)</f>
        <v>#N/A</v>
      </c>
      <c r="I32" s="13">
        <f>VLOOKUP(B32,'[3]Hoja2 (2)'!$A:$E,5,0)</f>
        <v>118.56</v>
      </c>
      <c r="J32" s="10">
        <f t="shared" si="2"/>
        <v>118.56</v>
      </c>
      <c r="K32" s="13">
        <v>139.78</v>
      </c>
      <c r="L32" s="13">
        <f>VLOOKUP(E32,[4]TRABAJO!$H:$S,9,0)</f>
        <v>114</v>
      </c>
      <c r="M32" s="13">
        <f>VLOOKUP(E32,[5]TRABAJO!$F:$S,11,0)</f>
        <v>134.39999798403355</v>
      </c>
      <c r="N32" s="13">
        <f>VLOOKUP(E32,[6]TRABAJO!$H:$S,9,0)</f>
        <v>134.39997290858238</v>
      </c>
      <c r="O32" s="13">
        <f>VLOOKUP(B32,[7]TRABAJO!$C:$S,14,0)</f>
        <v>134.40000185040415</v>
      </c>
      <c r="P32" s="19">
        <f>VLOOKUP(B32,[8]TRABAJO!$C:$S,14,0)</f>
        <v>134.3999877847676</v>
      </c>
      <c r="Q32" s="19">
        <f>VLOOKUP(B32,[9]TRABAJO!$C:$S,14,0)</f>
        <v>134.40000692517771</v>
      </c>
      <c r="R32" s="19">
        <f>VLOOKUP(B32,[10]TRABAJO!$C:$Q,15,0)</f>
        <v>134.40001798757575</v>
      </c>
      <c r="S32" s="19">
        <v>123.19998356355769</v>
      </c>
      <c r="T32" s="10">
        <f t="shared" si="7"/>
        <v>129.35998274173559</v>
      </c>
      <c r="U32" s="10">
        <f t="shared" si="8"/>
        <v>135.51998191991348</v>
      </c>
      <c r="V32" t="e">
        <f>VLOOKUP(B32,'[11]ZICP-MARZO'!$B:$P,15,0)</f>
        <v>#N/A</v>
      </c>
      <c r="W32" t="e">
        <f>VLOOKUP(B32,[11]CONSOLIDADO_ABRIL!$B:$J,9,0)</f>
        <v>#N/A</v>
      </c>
      <c r="X32" t="e">
        <f t="shared" si="5"/>
        <v>#N/A</v>
      </c>
      <c r="Y32" t="e">
        <f>VLOOKUP(B32,[11]CONSOLIDADO_MAYO!$B:$J,9,0)</f>
        <v>#N/A</v>
      </c>
      <c r="Z32" s="10" t="e">
        <f t="shared" si="6"/>
        <v>#N/A</v>
      </c>
    </row>
    <row r="33" spans="1:26" x14ac:dyDescent="0.25">
      <c r="A33" s="8" t="s">
        <v>128</v>
      </c>
      <c r="B33" s="8" t="str">
        <f t="shared" si="0"/>
        <v>D85210038659</v>
      </c>
      <c r="C33" s="8" t="s">
        <v>35</v>
      </c>
      <c r="D33" s="9" t="s">
        <v>36</v>
      </c>
      <c r="E33" s="9">
        <v>10038659</v>
      </c>
      <c r="F33" t="s">
        <v>121</v>
      </c>
      <c r="G33" s="312" t="e">
        <f t="shared" si="1"/>
        <v>#N/A</v>
      </c>
      <c r="H33" s="13" t="e">
        <f>VLOOKUP(E33,[2]Conciliacion!$H:$AC,22,0)</f>
        <v>#N/A</v>
      </c>
      <c r="I33" s="13">
        <f>VLOOKUP(B33,'[3]Hoja2 (2)'!$A:$E,5,0)</f>
        <v>139.78</v>
      </c>
      <c r="J33" s="10">
        <f t="shared" si="2"/>
        <v>139.77596542265815</v>
      </c>
      <c r="K33" s="13">
        <v>139.78</v>
      </c>
      <c r="L33" s="13">
        <f>VLOOKUP(E33,[4]TRABAJO!$H:$S,9,0)</f>
        <v>134.39996675255591</v>
      </c>
      <c r="M33" s="13">
        <f>VLOOKUP(E33,[5]TRABAJO!$F:$S,11,0)</f>
        <v>134.39996675255591</v>
      </c>
      <c r="N33" s="13">
        <f>VLOOKUP(E33,[6]TRABAJO!$H:$S,9,0)</f>
        <v>113.99999999999991</v>
      </c>
      <c r="O33" s="13">
        <f>VLOOKUP(B33,[7]TRABAJO!$C:$S,14,0)</f>
        <v>131</v>
      </c>
      <c r="P33" s="19">
        <f>VLOOKUP(B33,[8]TRABAJO!$C:$S,14,0)</f>
        <v>114</v>
      </c>
      <c r="Q33" s="19">
        <f>VLOOKUP(B33,[9]TRABAJO!$C:$S,14,0)</f>
        <v>114</v>
      </c>
      <c r="R33" s="19">
        <f>VLOOKUP(B33,[10]TRABAJO!$C:$Q,15,0)</f>
        <v>114</v>
      </c>
      <c r="S33" s="19">
        <v>114</v>
      </c>
      <c r="T33" s="10">
        <f t="shared" si="7"/>
        <v>119.7</v>
      </c>
      <c r="U33" s="10">
        <f t="shared" si="8"/>
        <v>125.4</v>
      </c>
      <c r="V33" t="e">
        <f>VLOOKUP(B33,'[11]ZICP-MARZO'!$B:$P,15,0)</f>
        <v>#N/A</v>
      </c>
      <c r="W33" t="e">
        <f>VLOOKUP(B33,[11]CONSOLIDADO_ABRIL!$B:$J,9,0)</f>
        <v>#N/A</v>
      </c>
      <c r="X33" t="e">
        <f t="shared" si="5"/>
        <v>#N/A</v>
      </c>
      <c r="Y33" t="e">
        <f>VLOOKUP(B33,[11]CONSOLIDADO_MAYO!$B:$J,9,0)</f>
        <v>#N/A</v>
      </c>
      <c r="Z33" s="10" t="e">
        <f t="shared" si="6"/>
        <v>#N/A</v>
      </c>
    </row>
    <row r="34" spans="1:26" x14ac:dyDescent="0.25">
      <c r="A34" s="8" t="s">
        <v>130</v>
      </c>
      <c r="B34" s="8" t="str">
        <f t="shared" si="0"/>
        <v>D86610000266</v>
      </c>
      <c r="C34" s="8" t="s">
        <v>61</v>
      </c>
      <c r="D34" s="9" t="s">
        <v>62</v>
      </c>
      <c r="E34" s="9">
        <v>10000266</v>
      </c>
      <c r="F34" t="s">
        <v>131</v>
      </c>
      <c r="G34" s="312" t="e">
        <f t="shared" si="1"/>
        <v>#N/A</v>
      </c>
      <c r="H34" s="13" t="e">
        <f>VLOOKUP(E34,[2]Conciliacion!$H:$AC,22,0)</f>
        <v>#N/A</v>
      </c>
      <c r="I34" s="13">
        <f>VLOOKUP(B34,'[3]Hoja2 (2)'!$A:$E,5,0)</f>
        <v>206.91000000000003</v>
      </c>
      <c r="J34" s="10">
        <f t="shared" si="2"/>
        <v>206.90800551607072</v>
      </c>
      <c r="K34" s="13">
        <v>206.86</v>
      </c>
      <c r="L34" s="13">
        <f>VLOOKUP(E34,[4]TRABAJO!$H:$S,9,0)</f>
        <v>198.95000530391414</v>
      </c>
      <c r="M34" s="13">
        <f>VLOOKUP(E34,[5]TRABAJO!$F:$S,11,0)</f>
        <v>198.95000530391414</v>
      </c>
      <c r="N34" s="13">
        <f>VLOOKUP(E34,[6]TRABAJO!$H:$S,9,0)</f>
        <v>198.95000530391414</v>
      </c>
      <c r="O34" s="13">
        <f>VLOOKUP(B34,[7]TRABAJO!$C:$S,14,0)</f>
        <v>198.95000400136476</v>
      </c>
      <c r="P34" s="19">
        <f>VLOOKUP(B34,[8]TRABAJO!$C:$S,14,0)</f>
        <v>198.94999290723271</v>
      </c>
      <c r="Q34" s="19">
        <f>VLOOKUP(B34,[9]TRABAJO!$C:$S,14,0)</f>
        <v>198.9500006484665</v>
      </c>
      <c r="R34" s="19">
        <f>VLOOKUP(B34,[10]TRABAJO!$C:$Q,15,0)</f>
        <v>198.95</v>
      </c>
      <c r="S34" s="19">
        <v>198.95</v>
      </c>
      <c r="T34" s="10">
        <f t="shared" si="7"/>
        <v>208.89749999999998</v>
      </c>
      <c r="U34" s="10">
        <f t="shared" si="8"/>
        <v>218.845</v>
      </c>
      <c r="V34" t="e">
        <f>VLOOKUP(B34,'[11]ZICP-MARZO'!$B:$P,15,0)</f>
        <v>#N/A</v>
      </c>
      <c r="W34" t="e">
        <f>VLOOKUP(B34,[11]CONSOLIDADO_ABRIL!$B:$J,9,0)</f>
        <v>#N/A</v>
      </c>
      <c r="X34" t="e">
        <f t="shared" si="5"/>
        <v>#N/A</v>
      </c>
      <c r="Y34" t="e">
        <f>VLOOKUP(B34,[11]CONSOLIDADO_MAYO!$B:$J,9,0)</f>
        <v>#N/A</v>
      </c>
      <c r="Z34" s="10" t="e">
        <f t="shared" si="6"/>
        <v>#N/A</v>
      </c>
    </row>
    <row r="35" spans="1:26" x14ac:dyDescent="0.25">
      <c r="A35" s="8" t="s">
        <v>130</v>
      </c>
      <c r="B35" s="8" t="str">
        <f t="shared" si="0"/>
        <v>D86610000293</v>
      </c>
      <c r="C35" s="8" t="s">
        <v>61</v>
      </c>
      <c r="D35" s="9" t="s">
        <v>62</v>
      </c>
      <c r="E35" s="9">
        <v>10000293</v>
      </c>
      <c r="F35" t="s">
        <v>123</v>
      </c>
      <c r="G35" s="312" t="e">
        <f t="shared" si="1"/>
        <v>#N/A</v>
      </c>
      <c r="H35" s="13" t="e">
        <f>VLOOKUP(E35,[2]Conciliacion!$H:$AC,22,0)</f>
        <v>#N/A</v>
      </c>
      <c r="I35" s="13">
        <f>VLOOKUP(B35,'[3]Hoja2 (2)'!$A:$E,5,0)</f>
        <v>267.53999999999996</v>
      </c>
      <c r="J35" s="10">
        <f t="shared" si="2"/>
        <v>267.53999494605887</v>
      </c>
      <c r="K35" s="13">
        <v>267.58999999999997</v>
      </c>
      <c r="L35" s="13">
        <f>VLOOKUP(E35,[4]TRABAJO!$H:$S,9,0)</f>
        <v>257.24999514044123</v>
      </c>
      <c r="M35" s="13">
        <f>VLOOKUP(E35,[5]TRABAJO!$F:$S,11,0)</f>
        <v>257.2500356094921</v>
      </c>
      <c r="N35" s="13">
        <f>VLOOKUP(E35,[6]TRABAJO!$H:$S,9,0)</f>
        <v>257.2500356094921</v>
      </c>
      <c r="O35" s="13">
        <f>VLOOKUP(B35,[7]TRABAJO!$C:$S,14,0)</f>
        <v>257.2500356094921</v>
      </c>
      <c r="P35" s="19">
        <f>VLOOKUP(B35,[8]TRABAJO!$C:$S,14,0)</f>
        <v>257.25003823214558</v>
      </c>
      <c r="Q35" s="19">
        <f>VLOOKUP(B35,[9]TRABAJO!$C:$S,14,0)</f>
        <v>257.24999566792007</v>
      </c>
      <c r="R35" s="19">
        <f>VLOOKUP(B35,[10]TRABAJO!$C:$Q,15,0)</f>
        <v>257.25001177190751</v>
      </c>
      <c r="S35" s="19">
        <v>257.2500272084165</v>
      </c>
      <c r="T35" s="10">
        <f t="shared" si="7"/>
        <v>270.11252856883732</v>
      </c>
      <c r="U35" s="10">
        <f t="shared" si="8"/>
        <v>282.97502992925814</v>
      </c>
      <c r="V35" t="e">
        <f>VLOOKUP(B35,'[11]ZICP-MARZO'!$B:$P,15,0)</f>
        <v>#N/A</v>
      </c>
      <c r="W35" t="e">
        <f>VLOOKUP(B35,[11]CONSOLIDADO_ABRIL!$B:$J,9,0)</f>
        <v>#N/A</v>
      </c>
      <c r="X35" t="e">
        <f t="shared" si="5"/>
        <v>#N/A</v>
      </c>
      <c r="Y35" t="e">
        <f>VLOOKUP(B35,[11]CONSOLIDADO_MAYO!$B:$J,9,0)</f>
        <v>#N/A</v>
      </c>
      <c r="Z35" s="10" t="e">
        <f t="shared" si="6"/>
        <v>#N/A</v>
      </c>
    </row>
    <row r="36" spans="1:26" x14ac:dyDescent="0.25">
      <c r="A36" s="8" t="s">
        <v>130</v>
      </c>
      <c r="B36" s="8" t="str">
        <f t="shared" si="0"/>
        <v>D86610000274</v>
      </c>
      <c r="C36" s="8" t="s">
        <v>61</v>
      </c>
      <c r="D36" s="9" t="s">
        <v>62</v>
      </c>
      <c r="E36" s="9">
        <v>10000274</v>
      </c>
      <c r="F36" t="s">
        <v>124</v>
      </c>
      <c r="G36" s="312" t="e">
        <f t="shared" si="1"/>
        <v>#N/A</v>
      </c>
      <c r="H36" s="13" t="e">
        <f>VLOOKUP(E36,[2]Conciliacion!$H:$AC,22,0)</f>
        <v>#N/A</v>
      </c>
      <c r="I36" s="13">
        <f>VLOOKUP(B36,'[3]Hoja2 (2)'!$A:$E,5,0)</f>
        <v>184.59</v>
      </c>
      <c r="J36" s="10">
        <f t="shared" si="2"/>
        <v>184.5896023949731</v>
      </c>
      <c r="K36" s="13">
        <v>177.42</v>
      </c>
      <c r="L36" s="13">
        <f>VLOOKUP(E36,[4]TRABAJO!$H:$S,9,0)</f>
        <v>177.49000230285876</v>
      </c>
      <c r="M36" s="13">
        <f>VLOOKUP(E36,[5]TRABAJO!$F:$S,11,0)</f>
        <v>177.48999533464223</v>
      </c>
      <c r="N36" s="13">
        <f>VLOOKUP(E36,[6]TRABAJO!$H:$S,9,0)</f>
        <v>177.48999841706592</v>
      </c>
      <c r="O36" s="13">
        <f>VLOOKUP(B36,[7]TRABAJO!$C:$S,14,0)</f>
        <v>177.49000751176524</v>
      </c>
      <c r="P36" s="19">
        <f>VLOOKUP(B36,[8]TRABAJO!$C:$S,14,0)</f>
        <v>177.49000201230692</v>
      </c>
      <c r="Q36" s="19">
        <f>VLOOKUP(B36,[9]TRABAJO!$C:$S,14,0)</f>
        <v>177.48999869886299</v>
      </c>
      <c r="R36" s="19">
        <f>VLOOKUP(B36,[10]TRABAJO!$C:$Q,15,0)</f>
        <v>177.48999788117109</v>
      </c>
      <c r="S36" s="19">
        <v>177.48999976421962</v>
      </c>
      <c r="T36" s="10">
        <f t="shared" si="7"/>
        <v>186.36449975243059</v>
      </c>
      <c r="U36" s="10">
        <f t="shared" si="8"/>
        <v>195.23899974064159</v>
      </c>
      <c r="V36" t="e">
        <f>VLOOKUP(B36,'[11]ZICP-MARZO'!$B:$P,15,0)</f>
        <v>#N/A</v>
      </c>
      <c r="W36" t="e">
        <f>VLOOKUP(B36,[11]CONSOLIDADO_ABRIL!$B:$J,9,0)</f>
        <v>#N/A</v>
      </c>
      <c r="X36" t="e">
        <f t="shared" si="5"/>
        <v>#N/A</v>
      </c>
      <c r="Y36" t="e">
        <f>VLOOKUP(B36,[11]CONSOLIDADO_MAYO!$B:$J,9,0)</f>
        <v>#N/A</v>
      </c>
      <c r="Z36" s="10" t="e">
        <f t="shared" si="6"/>
        <v>#N/A</v>
      </c>
    </row>
    <row r="37" spans="1:26" x14ac:dyDescent="0.25">
      <c r="A37" s="8" t="s">
        <v>130</v>
      </c>
      <c r="B37" s="8" t="str">
        <f t="shared" si="0"/>
        <v>D89310051295</v>
      </c>
      <c r="C37" s="8" t="s">
        <v>70</v>
      </c>
      <c r="D37" s="9" t="s">
        <v>71</v>
      </c>
      <c r="E37" s="9">
        <v>10051295</v>
      </c>
      <c r="F37" t="s">
        <v>123</v>
      </c>
      <c r="G37" s="312" t="e">
        <f t="shared" si="1"/>
        <v>#N/A</v>
      </c>
      <c r="H37" s="13" t="e">
        <f>VLOOKUP(E37,[2]Conciliacion!$H:$AC,22,0)</f>
        <v>#N/A</v>
      </c>
      <c r="I37" s="13">
        <f>VLOOKUP(B37,'[3]Hoja2 (2)'!$A:$E,5,0)</f>
        <v>339.26</v>
      </c>
      <c r="J37" s="10">
        <f t="shared" si="2"/>
        <v>339.25836995229457</v>
      </c>
      <c r="K37" s="13">
        <v>338.52</v>
      </c>
      <c r="L37" s="13">
        <f>VLOOKUP(E37,[4]TRABAJO!$H:$S,9,0)</f>
        <v>326.20997110797555</v>
      </c>
      <c r="M37" s="13">
        <f>VLOOKUP(E37,[5]TRABAJO!$F:$S,11,0)</f>
        <v>325.49993521805618</v>
      </c>
      <c r="N37" s="13">
        <f>VLOOKUP(E37,[6]TRABAJO!$H:$S,9,0)</f>
        <v>325.49993521805618</v>
      </c>
      <c r="O37" s="13">
        <f>VLOOKUP(B37,[7]TRABAJO!$C:$S,14,0)</f>
        <v>325.49994842465986</v>
      </c>
      <c r="P37" s="19">
        <f>VLOOKUP(B37,[8]TRABAJO!$C:$S,14,0)</f>
        <v>325.4999395799598</v>
      </c>
      <c r="Q37" s="19">
        <f>VLOOKUP(B37,[9]TRABAJO!$C:$S,14,0)</f>
        <v>325.49993229166671</v>
      </c>
      <c r="R37" s="19">
        <f>VLOOKUP(B37,[10]TRABAJO!$C:$Q,15,0)</f>
        <v>325.49994064879331</v>
      </c>
      <c r="S37" s="19">
        <v>325.5</v>
      </c>
      <c r="T37" s="10">
        <f t="shared" si="7"/>
        <v>341.77499999999998</v>
      </c>
      <c r="U37" s="10">
        <f t="shared" si="8"/>
        <v>358.05</v>
      </c>
      <c r="V37" t="e">
        <f>VLOOKUP(B37,'[11]ZICP-MARZO'!$B:$P,15,0)</f>
        <v>#N/A</v>
      </c>
      <c r="W37" t="e">
        <f>VLOOKUP(B37,[11]CONSOLIDADO_ABRIL!$B:$J,9,0)</f>
        <v>#N/A</v>
      </c>
      <c r="X37" t="e">
        <f t="shared" si="5"/>
        <v>#N/A</v>
      </c>
      <c r="Y37" t="e">
        <f>VLOOKUP(B37,[11]CONSOLIDADO_MAYO!$B:$J,9,0)</f>
        <v>#N/A</v>
      </c>
      <c r="Z37" s="10" t="e">
        <f t="shared" si="6"/>
        <v>#N/A</v>
      </c>
    </row>
    <row r="38" spans="1:26" x14ac:dyDescent="0.25">
      <c r="A38" s="8" t="s">
        <v>130</v>
      </c>
      <c r="B38" s="8" t="str">
        <f t="shared" si="0"/>
        <v>D89310051293</v>
      </c>
      <c r="C38" s="8" t="s">
        <v>70</v>
      </c>
      <c r="D38" s="9" t="s">
        <v>71</v>
      </c>
      <c r="E38" s="9">
        <v>10051293</v>
      </c>
      <c r="F38" t="s">
        <v>124</v>
      </c>
      <c r="G38" s="312" t="e">
        <f t="shared" si="1"/>
        <v>#N/A</v>
      </c>
      <c r="H38" s="13" t="e">
        <f>VLOOKUP(E38,[2]Conciliacion!$H:$AC,22,0)</f>
        <v>#N/A</v>
      </c>
      <c r="I38" s="13">
        <f>VLOOKUP(B38,'[3]Hoja2 (2)'!$A:$E,5,0)</f>
        <v>239.86999999999998</v>
      </c>
      <c r="J38" s="10">
        <f t="shared" si="2"/>
        <v>239.86559999999997</v>
      </c>
      <c r="K38" s="13">
        <v>242.22</v>
      </c>
      <c r="L38" s="13">
        <f>VLOOKUP(E38,[4]TRABAJO!$H:$S,9,0)</f>
        <v>230.64</v>
      </c>
      <c r="M38" s="13">
        <f>VLOOKUP(E38,[5]TRABAJO!$F:$S,11,0)</f>
        <v>232.91999846349765</v>
      </c>
      <c r="N38" s="13">
        <f>VLOOKUP(E38,[6]TRABAJO!$H:$S,9,0)</f>
        <v>232.92000841750846</v>
      </c>
      <c r="O38" s="13">
        <f>VLOOKUP(B38,[7]TRABAJO!$C:$S,14,0)</f>
        <v>232.91998849961956</v>
      </c>
      <c r="P38" s="19">
        <f>VLOOKUP(B38,[8]TRABAJO!$C:$S,14,0)</f>
        <v>232.92001038922496</v>
      </c>
      <c r="Q38" s="19">
        <f>VLOOKUP(B38,[9]TRABAJO!$C:$S,14,0)</f>
        <v>235.19996282527887</v>
      </c>
      <c r="R38" s="19">
        <f>VLOOKUP(B38,[10]TRABAJO!$C:$Q,15,0)</f>
        <v>236.24998140641847</v>
      </c>
      <c r="S38" s="19">
        <v>232.92</v>
      </c>
      <c r="T38" s="10">
        <f t="shared" si="7"/>
        <v>244.56599999999997</v>
      </c>
      <c r="U38" s="10">
        <f t="shared" si="8"/>
        <v>256.21199999999999</v>
      </c>
      <c r="V38" t="e">
        <f>VLOOKUP(B38,'[11]ZICP-MARZO'!$B:$P,15,0)</f>
        <v>#N/A</v>
      </c>
      <c r="W38" t="e">
        <f>VLOOKUP(B38,[11]CONSOLIDADO_ABRIL!$B:$J,9,0)</f>
        <v>#N/A</v>
      </c>
      <c r="X38" t="e">
        <f t="shared" si="5"/>
        <v>#N/A</v>
      </c>
      <c r="Y38" t="e">
        <f>VLOOKUP(B38,[11]CONSOLIDADO_MAYO!$B:$J,9,0)</f>
        <v>#N/A</v>
      </c>
      <c r="Z38" s="10" t="e">
        <f t="shared" si="6"/>
        <v>#N/A</v>
      </c>
    </row>
    <row r="39" spans="1:26" x14ac:dyDescent="0.25">
      <c r="A39" s="8" t="s">
        <v>130</v>
      </c>
      <c r="B39" s="8" t="str">
        <f t="shared" si="0"/>
        <v>D89310199160</v>
      </c>
      <c r="C39" s="8" t="s">
        <v>70</v>
      </c>
      <c r="D39" s="9" t="s">
        <v>71</v>
      </c>
      <c r="E39" s="9">
        <v>10199160</v>
      </c>
      <c r="F39" t="s">
        <v>125</v>
      </c>
      <c r="G39" s="312" t="e">
        <f t="shared" si="1"/>
        <v>#N/A</v>
      </c>
      <c r="H39" s="13" t="e">
        <f>VLOOKUP(E39,[2]Conciliacion!$H:$AC,22,0)</f>
        <v>#N/A</v>
      </c>
      <c r="I39" s="13">
        <f>VLOOKUP(B39,'[3]Hoja2 (2)'!$A:$E,5,0)</f>
        <v>237.42</v>
      </c>
      <c r="J39" s="10">
        <f t="shared" si="2"/>
        <v>237.42160681364564</v>
      </c>
      <c r="K39" s="13">
        <v>237.43</v>
      </c>
      <c r="L39" s="13">
        <f>VLOOKUP(E39,[4]TRABAJO!$H:$S,9,0)</f>
        <v>228.29000655158234</v>
      </c>
      <c r="M39" s="13">
        <f>VLOOKUP(E39,[5]TRABAJO!$F:$S,11,0)</f>
        <v>228.28996291538405</v>
      </c>
      <c r="N39" s="13">
        <f>VLOOKUP(E39,[6]TRABAJO!$H:$S,9,0)</f>
        <v>228.29001673870135</v>
      </c>
      <c r="O39" s="13">
        <f>VLOOKUP(B39,[7]TRABAJO!$C:$S,14,0)</f>
        <v>228.28999619787919</v>
      </c>
      <c r="P39" s="19">
        <f>VLOOKUP(B39,[8]TRABAJO!$C:$S,14,0)</f>
        <v>231.00000000000009</v>
      </c>
      <c r="Q39" s="19">
        <f>VLOOKUP(B39,[9]TRABAJO!$C:$S,14,0)</f>
        <v>229.36999132697309</v>
      </c>
      <c r="R39" s="19">
        <f>VLOOKUP(B39,[10]TRABAJO!$C:$Q,15,0)</f>
        <v>228.28998684053118</v>
      </c>
      <c r="S39" s="19">
        <v>228.29</v>
      </c>
      <c r="T39" s="10">
        <f t="shared" si="7"/>
        <v>239.7045</v>
      </c>
      <c r="U39" s="10">
        <f t="shared" si="8"/>
        <v>251.119</v>
      </c>
      <c r="V39" t="e">
        <f>VLOOKUP(B39,'[11]ZICP-MARZO'!$B:$P,15,0)</f>
        <v>#N/A</v>
      </c>
      <c r="W39" t="e">
        <f>VLOOKUP(B39,[11]CONSOLIDADO_ABRIL!$B:$J,9,0)</f>
        <v>#N/A</v>
      </c>
      <c r="X39" t="e">
        <f t="shared" si="5"/>
        <v>#N/A</v>
      </c>
      <c r="Y39" t="e">
        <f>VLOOKUP(B39,[11]CONSOLIDADO_MAYO!$B:$J,9,0)</f>
        <v>#N/A</v>
      </c>
      <c r="Z39" s="10" t="e">
        <f t="shared" si="6"/>
        <v>#N/A</v>
      </c>
    </row>
    <row r="40" spans="1:26" x14ac:dyDescent="0.25">
      <c r="A40" s="8" t="s">
        <v>114</v>
      </c>
      <c r="B40" s="8" t="str">
        <f t="shared" si="0"/>
        <v>DU0710000101</v>
      </c>
      <c r="C40" s="8" t="s">
        <v>86</v>
      </c>
      <c r="D40" s="9" t="s">
        <v>87</v>
      </c>
      <c r="E40" s="9">
        <v>10000101</v>
      </c>
      <c r="F40" t="s">
        <v>228</v>
      </c>
      <c r="G40" s="312" t="e">
        <f t="shared" si="1"/>
        <v>#N/A</v>
      </c>
      <c r="H40" s="13" t="e">
        <f>VLOOKUP(E40,[2]Conciliacion!$H:$AC,22,0)</f>
        <v>#N/A</v>
      </c>
      <c r="I40" s="13">
        <f>VLOOKUP(B40,'[3]Hoja2 (2)'!$A:$E,5,0)</f>
        <v>306.89999999999998</v>
      </c>
      <c r="J40" s="10">
        <f t="shared" si="2"/>
        <v>306.904</v>
      </c>
      <c r="K40" s="13">
        <v>292.66000000000003</v>
      </c>
      <c r="L40" s="13">
        <f>VLOOKUP(E40,[4]TRABAJO!$H:$S,9,0)</f>
        <v>295.10000000000002</v>
      </c>
      <c r="M40" s="13">
        <f>VLOOKUP(E40,[5]TRABAJO!$F:$S,11,0)</f>
        <v>295.10000000000002</v>
      </c>
      <c r="N40" s="13">
        <f>VLOOKUP(E40,[6]TRABAJO!$H:$S,9,0)</f>
        <v>295.10000000000002</v>
      </c>
      <c r="O40" s="13">
        <f>VLOOKUP(B40,[7]TRABAJO!$C:$S,14,0)</f>
        <v>295.10000000000002</v>
      </c>
      <c r="P40" s="19">
        <f>VLOOKUP(B40,[8]TRABAJO!$C:$S,14,0)</f>
        <v>310.10000000000002</v>
      </c>
      <c r="Q40" s="19">
        <f>VLOOKUP(B40,[9]TRABAJO!$C:$S,14,0)</f>
        <v>310.10000000000002</v>
      </c>
      <c r="R40" s="19">
        <f>VLOOKUP(B40,[10]TRABAJO!$C:$Q,15,0)</f>
        <v>310.10000000000002</v>
      </c>
      <c r="S40" s="19">
        <v>310.10000000000002</v>
      </c>
      <c r="T40" s="10">
        <f t="shared" si="7"/>
        <v>325.60500000000002</v>
      </c>
      <c r="U40" s="10">
        <f t="shared" si="8"/>
        <v>341.11</v>
      </c>
      <c r="V40">
        <f>VLOOKUP(B40,'[11]ZICP-MARZO'!$B:$P,15,0)</f>
        <v>310.10000000000002</v>
      </c>
      <c r="W40">
        <f>VLOOKUP(B40,[11]CONSOLIDADO_ABRIL!$B:$J,9,0)</f>
        <v>310.10000000000002</v>
      </c>
      <c r="X40">
        <f t="shared" si="5"/>
        <v>0</v>
      </c>
      <c r="Y40">
        <f>VLOOKUP(B40,[11]CONSOLIDADO_MAYO!$B:$J,9,0)</f>
        <v>310.10000000000002</v>
      </c>
      <c r="Z40" s="10">
        <f t="shared" si="6"/>
        <v>0</v>
      </c>
    </row>
    <row r="41" spans="1:26" x14ac:dyDescent="0.25">
      <c r="A41" s="8" t="s">
        <v>114</v>
      </c>
      <c r="B41" s="8" t="str">
        <f t="shared" si="0"/>
        <v>DU0710000112</v>
      </c>
      <c r="C41" s="8" t="s">
        <v>86</v>
      </c>
      <c r="D41" s="9" t="s">
        <v>87</v>
      </c>
      <c r="E41" s="9">
        <v>10000112</v>
      </c>
      <c r="F41" t="s">
        <v>132</v>
      </c>
      <c r="G41" s="312" t="e">
        <f t="shared" si="1"/>
        <v>#N/A</v>
      </c>
      <c r="H41" s="13" t="e">
        <f>VLOOKUP(E41,[2]Conciliacion!$H:$AC,22,0)</f>
        <v>#N/A</v>
      </c>
      <c r="I41" s="13">
        <f>VLOOKUP(B41,'[3]Hoja2 (2)'!$A:$E,5,0)</f>
        <v>242.32</v>
      </c>
      <c r="J41" s="10">
        <f t="shared" si="2"/>
        <v>242.32</v>
      </c>
      <c r="L41" s="13">
        <f>VLOOKUP(E41,[4]TRABAJO!$H:$S,9,0)</f>
        <v>233</v>
      </c>
      <c r="M41" s="13">
        <f>VLOOKUP(E41,[5]TRABAJO!$F:$S,11,0)</f>
        <v>233</v>
      </c>
      <c r="N41" s="13">
        <f>VLOOKUP(E41,[6]TRABAJO!$H:$S,9,0)</f>
        <v>233</v>
      </c>
      <c r="O41" s="13">
        <f>VLOOKUP(B41,[7]TRABAJO!$C:$S,14,0)</f>
        <v>233</v>
      </c>
      <c r="P41" s="19">
        <v>265.30149549720511</v>
      </c>
      <c r="Q41" s="19" t="e">
        <f>VLOOKUP(B41,[9]TRABAJO!$C:$S,14,0)</f>
        <v>#N/A</v>
      </c>
      <c r="R41" s="19">
        <f>VLOOKUP(B41,[10]TRABAJO!$C:$Q,15,0)</f>
        <v>248</v>
      </c>
      <c r="S41" s="19">
        <v>248</v>
      </c>
      <c r="T41" s="10">
        <f t="shared" si="7"/>
        <v>260.39999999999998</v>
      </c>
      <c r="U41" s="10">
        <f t="shared" si="8"/>
        <v>272.8</v>
      </c>
      <c r="V41">
        <f>VLOOKUP(B41,'[11]ZICP-MARZO'!$B:$P,15,0)</f>
        <v>218</v>
      </c>
      <c r="W41">
        <f>VLOOKUP(B41,[11]CONSOLIDADO_ABRIL!$B:$J,9,0)</f>
        <v>248</v>
      </c>
      <c r="X41">
        <f t="shared" si="5"/>
        <v>-30</v>
      </c>
      <c r="Y41">
        <f>VLOOKUP(B41,[11]CONSOLIDADO_MAYO!$B:$J,9,0)</f>
        <v>248</v>
      </c>
      <c r="Z41" s="10">
        <f t="shared" si="6"/>
        <v>0</v>
      </c>
    </row>
    <row r="42" spans="1:26" x14ac:dyDescent="0.25">
      <c r="A42" s="8" t="s">
        <v>114</v>
      </c>
      <c r="B42" s="8" t="str">
        <f t="shared" si="0"/>
        <v>DU0710000110</v>
      </c>
      <c r="C42" s="8" t="s">
        <v>86</v>
      </c>
      <c r="D42" s="9" t="s">
        <v>87</v>
      </c>
      <c r="E42" s="9">
        <v>10000110</v>
      </c>
      <c r="F42" t="s">
        <v>229</v>
      </c>
      <c r="G42" s="312" t="e">
        <f t="shared" si="1"/>
        <v>#N/A</v>
      </c>
      <c r="H42" s="13" t="e">
        <f>VLOOKUP(E42,[2]Conciliacion!$H:$AC,22,0)</f>
        <v>#N/A</v>
      </c>
      <c r="I42" s="13">
        <f>VLOOKUP(B42,'[3]Hoja2 (2)'!$A:$E,5,0)</f>
        <v>294.10000000000002</v>
      </c>
      <c r="J42" s="10">
        <f t="shared" si="2"/>
        <v>294.10319836350379</v>
      </c>
      <c r="K42" s="13">
        <v>269.14999999999998</v>
      </c>
      <c r="L42" s="13">
        <f>VLOOKUP(E42,[4]TRABAJO!$H:$S,9,0)</f>
        <v>282.79153688798442</v>
      </c>
      <c r="M42" s="13">
        <f>VLOOKUP(E42,[5]TRABAJO!$F:$S,11,0)</f>
        <v>268</v>
      </c>
      <c r="N42" s="13">
        <f>VLOOKUP(E42,[6]TRABAJO!$H:$S,9,0)</f>
        <v>268</v>
      </c>
      <c r="O42" s="13">
        <f>VLOOKUP(B42,[7]TRABAJO!$C:$S,14,0)</f>
        <v>268</v>
      </c>
      <c r="P42" s="19">
        <v>289.66130999452224</v>
      </c>
      <c r="Q42" s="19">
        <f>VLOOKUP(B42,[9]TRABAJO!$C:$S,14,0)</f>
        <v>283.10005550929776</v>
      </c>
      <c r="R42" s="19">
        <f>VLOOKUP(B42,[10]TRABAJO!$C:$Q,15,0)</f>
        <v>283.10001979816076</v>
      </c>
      <c r="S42" s="19">
        <v>283.09998748990006</v>
      </c>
      <c r="T42" s="10">
        <f t="shared" si="7"/>
        <v>297.25498686439505</v>
      </c>
      <c r="U42" s="10">
        <f t="shared" si="8"/>
        <v>311.40998623889004</v>
      </c>
      <c r="V42">
        <f>VLOOKUP(B42,'[11]ZICP-MARZO'!$B:$P,15,0)</f>
        <v>266.68</v>
      </c>
      <c r="W42">
        <f>VLOOKUP(B42,[11]CONSOLIDADO_ABRIL!$B:$J,9,0)</f>
        <v>283.10000000000002</v>
      </c>
      <c r="X42">
        <f t="shared" si="5"/>
        <v>-16.420000000000016</v>
      </c>
      <c r="Y42">
        <f>VLOOKUP(B42,[11]CONSOLIDADO_MAYO!$B:$J,9,0)</f>
        <v>283.10000000000002</v>
      </c>
      <c r="Z42" s="10">
        <f t="shared" si="6"/>
        <v>-1.2510099963947141E-5</v>
      </c>
    </row>
    <row r="43" spans="1:26" x14ac:dyDescent="0.25">
      <c r="A43" s="8" t="s">
        <v>119</v>
      </c>
      <c r="B43" s="8" t="str">
        <f t="shared" si="0"/>
        <v>D86110003153</v>
      </c>
      <c r="C43" s="8" t="s">
        <v>43</v>
      </c>
      <c r="D43" s="9" t="s">
        <v>44</v>
      </c>
      <c r="E43" s="9">
        <v>10003153</v>
      </c>
      <c r="F43" t="s">
        <v>46</v>
      </c>
      <c r="G43" s="312" t="e">
        <f t="shared" si="1"/>
        <v>#N/A</v>
      </c>
      <c r="H43" s="13" t="e">
        <f>VLOOKUP(E43,[2]Conciliacion!$H:$AC,22,0)</f>
        <v>#N/A</v>
      </c>
      <c r="I43" s="13">
        <v>211.99</v>
      </c>
      <c r="J43" s="10" t="e">
        <f t="shared" si="2"/>
        <v>#N/A</v>
      </c>
      <c r="L43" s="13" t="e">
        <f>VLOOKUP(E43,[4]TRABAJO!$H:$S,9,0)</f>
        <v>#N/A</v>
      </c>
      <c r="M43" s="13" t="e">
        <f>VLOOKUP(E43,[5]TRABAJO!$F:$S,11,0)</f>
        <v>#N/A</v>
      </c>
      <c r="N43" s="13">
        <v>198.38</v>
      </c>
      <c r="O43" s="13">
        <v>225.12594625122213</v>
      </c>
      <c r="P43" s="19">
        <v>225.12594625122213</v>
      </c>
      <c r="Q43" s="19">
        <v>225.12594625122213</v>
      </c>
      <c r="R43" s="20">
        <v>225.12594625122213</v>
      </c>
      <c r="S43" s="21">
        <v>221.92</v>
      </c>
      <c r="T43" s="20">
        <v>225.12594625122213</v>
      </c>
      <c r="V43" s="17"/>
    </row>
    <row r="44" spans="1:26" x14ac:dyDescent="0.25">
      <c r="A44" s="8" t="s">
        <v>119</v>
      </c>
      <c r="B44" s="8" t="str">
        <f t="shared" si="0"/>
        <v>D86110001450</v>
      </c>
      <c r="C44" s="8" t="s">
        <v>43</v>
      </c>
      <c r="D44" s="9" t="s">
        <v>44</v>
      </c>
      <c r="E44" s="9">
        <v>10001450</v>
      </c>
      <c r="F44" t="s">
        <v>138</v>
      </c>
      <c r="G44" s="312" t="e">
        <f t="shared" si="1"/>
        <v>#N/A</v>
      </c>
      <c r="H44" s="13" t="e">
        <f>VLOOKUP(E44,[2]Conciliacion!$H:$AC,22,0)</f>
        <v>#N/A</v>
      </c>
      <c r="I44" s="13">
        <v>202.59</v>
      </c>
      <c r="J44" s="13">
        <v>195.46</v>
      </c>
      <c r="K44" s="13">
        <v>195.46</v>
      </c>
      <c r="L44" s="13" t="e">
        <f>VLOOKUP(E44,[4]TRABAJO!$H:$S,9,0)</f>
        <v>#N/A</v>
      </c>
      <c r="M44" s="13">
        <v>195.21</v>
      </c>
      <c r="N44" s="13">
        <v>196.27</v>
      </c>
      <c r="O44" s="13">
        <v>198.64</v>
      </c>
      <c r="P44" s="19">
        <v>198.64</v>
      </c>
      <c r="Q44" s="19">
        <v>236.50949918936493</v>
      </c>
      <c r="R44" s="20">
        <v>236.50949918936493</v>
      </c>
      <c r="S44" s="21">
        <v>203.36</v>
      </c>
      <c r="T44" s="20">
        <v>236.50949918936493</v>
      </c>
      <c r="V44" s="17"/>
    </row>
    <row r="45" spans="1:26" x14ac:dyDescent="0.25">
      <c r="A45" s="8" t="s">
        <v>114</v>
      </c>
      <c r="B45" s="8" t="str">
        <f t="shared" si="0"/>
        <v>DU0710000103</v>
      </c>
      <c r="C45" s="8" t="s">
        <v>86</v>
      </c>
      <c r="D45" s="9" t="s">
        <v>87</v>
      </c>
      <c r="E45" s="9">
        <v>10000103</v>
      </c>
      <c r="F45" t="s">
        <v>160</v>
      </c>
      <c r="G45" s="312" t="e">
        <f t="shared" si="1"/>
        <v>#N/A</v>
      </c>
      <c r="H45" s="13" t="e">
        <f>VLOOKUP(E45,[2]Conciliacion!$H:$AC,22,0)</f>
        <v>#N/A</v>
      </c>
      <c r="I45" s="13">
        <v>149.86000000000001</v>
      </c>
      <c r="J45" s="10">
        <f t="shared" si="2"/>
        <v>113.8592</v>
      </c>
      <c r="K45" s="13">
        <v>110.11</v>
      </c>
      <c r="L45" s="13">
        <v>109.48</v>
      </c>
      <c r="M45" s="13">
        <v>109.48</v>
      </c>
      <c r="N45" s="13">
        <v>110.82364676037044</v>
      </c>
      <c r="O45" s="13">
        <v>115.915372538344</v>
      </c>
      <c r="P45" s="19">
        <v>115.915372538344</v>
      </c>
      <c r="Q45" s="19">
        <v>116.89</v>
      </c>
      <c r="R45" s="20">
        <v>116.84</v>
      </c>
      <c r="S45" s="20">
        <v>110.95161319589411</v>
      </c>
      <c r="T45" s="20">
        <v>183.71</v>
      </c>
      <c r="V45" s="17"/>
    </row>
    <row r="46" spans="1:26" x14ac:dyDescent="0.25">
      <c r="A46" s="8" t="s">
        <v>119</v>
      </c>
      <c r="B46" s="8" t="str">
        <f t="shared" si="0"/>
        <v>D86110002499</v>
      </c>
      <c r="C46" s="8" t="s">
        <v>43</v>
      </c>
      <c r="D46" s="9" t="s">
        <v>44</v>
      </c>
      <c r="E46" s="9">
        <v>10002499</v>
      </c>
      <c r="F46" t="s">
        <v>167</v>
      </c>
      <c r="G46" s="312" t="e">
        <f t="shared" si="1"/>
        <v>#N/A</v>
      </c>
      <c r="H46" s="13">
        <v>174.1</v>
      </c>
      <c r="I46" s="13" t="e">
        <f>VLOOKUP(B46,'[3]Hoja2 (2)'!$A:$E,5,0)</f>
        <v>#N/A</v>
      </c>
      <c r="J46" s="10" t="s">
        <v>1131</v>
      </c>
      <c r="K46" s="13">
        <v>167.78</v>
      </c>
      <c r="L46" s="13" t="e">
        <f>VLOOKUP(E46,[4]TRABAJO!$H:$S,9,0)</f>
        <v>#N/A</v>
      </c>
      <c r="M46" s="13" t="e">
        <f>VLOOKUP(E46,[5]TRABAJO!$F:$S,11,0)</f>
        <v>#N/A</v>
      </c>
      <c r="N46" s="13">
        <v>168.52</v>
      </c>
      <c r="O46" s="13">
        <v>156.32</v>
      </c>
      <c r="P46" s="19">
        <v>156.32</v>
      </c>
      <c r="Q46" s="19">
        <v>219.03089573184619</v>
      </c>
      <c r="R46" s="20">
        <v>219.03089573184619</v>
      </c>
      <c r="S46" s="22">
        <v>172</v>
      </c>
      <c r="T46" s="20">
        <v>219.03089573184619</v>
      </c>
      <c r="V46" s="17"/>
    </row>
    <row r="47" spans="1:26" x14ac:dyDescent="0.25">
      <c r="A47" s="8" t="s">
        <v>119</v>
      </c>
      <c r="B47" s="8" t="str">
        <f t="shared" si="0"/>
        <v>D86410001203</v>
      </c>
      <c r="C47" s="8" t="s">
        <v>54</v>
      </c>
      <c r="D47" s="9" t="s">
        <v>55</v>
      </c>
      <c r="E47" s="9">
        <v>10001203</v>
      </c>
      <c r="F47" t="s">
        <v>56</v>
      </c>
      <c r="G47" s="312" t="e">
        <f t="shared" si="1"/>
        <v>#N/A</v>
      </c>
      <c r="H47" s="13" t="e">
        <f>VLOOKUP(E47,[2]Conciliacion!$H:$AC,22,0)</f>
        <v>#N/A</v>
      </c>
      <c r="I47" s="13">
        <f>VLOOKUP(B47,'[3]Hoja2 (2)'!$A:$E,5,0)</f>
        <v>23.459999999999997</v>
      </c>
      <c r="J47" s="10" t="e">
        <f t="shared" si="2"/>
        <v>#N/A</v>
      </c>
      <c r="K47" s="13">
        <v>23.46</v>
      </c>
      <c r="L47" s="13" t="e">
        <f>VLOOKUP(E47,[4]TRABAJO!$H:$S,9,0)</f>
        <v>#N/A</v>
      </c>
      <c r="M47" s="13" t="e">
        <f>VLOOKUP(E47,[5]TRABAJO!$F:$S,11,0)</f>
        <v>#N/A</v>
      </c>
      <c r="N47" s="19">
        <v>17.849</v>
      </c>
      <c r="O47" s="13">
        <v>1.36</v>
      </c>
      <c r="P47" s="19">
        <v>1.36</v>
      </c>
      <c r="Q47" s="19">
        <v>17.849</v>
      </c>
      <c r="R47" s="20">
        <v>17.849</v>
      </c>
      <c r="S47" s="20">
        <v>17.849</v>
      </c>
      <c r="T47" s="20">
        <v>17.849</v>
      </c>
    </row>
    <row r="48" spans="1:26" x14ac:dyDescent="0.25">
      <c r="A48" s="8" t="s">
        <v>119</v>
      </c>
      <c r="B48" s="8" t="str">
        <f t="shared" si="0"/>
        <v>D86110066861</v>
      </c>
      <c r="C48" s="8" t="s">
        <v>43</v>
      </c>
      <c r="D48" s="9" t="s">
        <v>44</v>
      </c>
      <c r="E48" s="9">
        <v>10066861</v>
      </c>
      <c r="F48" t="s">
        <v>216</v>
      </c>
      <c r="G48" s="312" t="e">
        <f t="shared" si="1"/>
        <v>#N/A</v>
      </c>
      <c r="H48" s="13" t="e">
        <f>VLOOKUP(E48,[2]Conciliacion!$H:$AC,22,0)</f>
        <v>#N/A</v>
      </c>
      <c r="I48" s="13">
        <f>VLOOKUP(B48,'[3]Hoja2 (2)'!$A:$E,5,0)</f>
        <v>224.62</v>
      </c>
      <c r="J48" s="10" t="e">
        <f t="shared" si="2"/>
        <v>#N/A</v>
      </c>
      <c r="K48" s="13">
        <v>200</v>
      </c>
      <c r="L48" s="13" t="e">
        <f>VLOOKUP(E48,[4]TRABAJO!$H:$S,9,0)</f>
        <v>#N/A</v>
      </c>
      <c r="M48" s="13">
        <f>VLOOKUP(E48,[5]TRABAJO!$F:$S,11,0)</f>
        <v>215.97998029444102</v>
      </c>
      <c r="N48" s="13" t="e">
        <f>VLOOKUP(E48,[6]TRABAJO!$H:$S,9,0)</f>
        <v>#N/A</v>
      </c>
      <c r="O48" s="13">
        <v>178</v>
      </c>
      <c r="P48" s="19">
        <f>VLOOKUP(B48,[8]TRABAJO!$C:$S,14,0)</f>
        <v>178</v>
      </c>
      <c r="Q48" s="19">
        <f>VLOOKUP(B48,[9]TRABAJO!$C:$S,14,0)</f>
        <v>215.98000515331103</v>
      </c>
      <c r="R48" s="20">
        <v>215.97997882957804</v>
      </c>
      <c r="T48" s="23">
        <v>215.97997882957804</v>
      </c>
    </row>
    <row r="49" spans="1:20" x14ac:dyDescent="0.25">
      <c r="A49" s="8" t="s">
        <v>119</v>
      </c>
      <c r="B49" s="8" t="str">
        <f t="shared" si="0"/>
        <v>D86110002497</v>
      </c>
      <c r="C49" s="8" t="s">
        <v>43</v>
      </c>
      <c r="D49" s="9" t="s">
        <v>44</v>
      </c>
      <c r="E49" s="9">
        <v>10002497</v>
      </c>
      <c r="F49" t="s">
        <v>219</v>
      </c>
      <c r="G49" s="312" t="e">
        <f t="shared" si="1"/>
        <v>#N/A</v>
      </c>
      <c r="H49" s="13" t="e">
        <f>VLOOKUP(E49,[2]Conciliacion!$H:$AC,22,0)</f>
        <v>#N/A</v>
      </c>
      <c r="I49" s="13" t="e">
        <f>VLOOKUP(B49,'[3]Hoja2 (2)'!$A:$E,5,0)</f>
        <v>#N/A</v>
      </c>
      <c r="J49" s="10" t="e">
        <f t="shared" si="2"/>
        <v>#N/A</v>
      </c>
      <c r="L49" s="13" t="e">
        <f>VLOOKUP(E49,[4]TRABAJO!$H:$S,9,0)</f>
        <v>#N/A</v>
      </c>
      <c r="M49" s="13" t="e">
        <f>VLOOKUP(E49,[5]TRABAJO!$F:$S,11,0)</f>
        <v>#N/A</v>
      </c>
      <c r="N49" s="13" t="e">
        <f>VLOOKUP(E49,[6]TRABAJO!$H:$S,9,0)</f>
        <v>#N/A</v>
      </c>
      <c r="O49" s="13">
        <v>240.32</v>
      </c>
      <c r="P49" s="19">
        <v>240.32</v>
      </c>
      <c r="Q49" s="19">
        <v>247.74386861721479</v>
      </c>
      <c r="R49" s="20">
        <v>247.74386861721479</v>
      </c>
      <c r="S49">
        <v>247.74386861721479</v>
      </c>
      <c r="T49">
        <v>247.74386861721479</v>
      </c>
    </row>
    <row r="50" spans="1:20" x14ac:dyDescent="0.25">
      <c r="A50" s="8" t="s">
        <v>119</v>
      </c>
      <c r="B50" s="8" t="str">
        <f t="shared" si="0"/>
        <v>D86410172785</v>
      </c>
      <c r="C50" s="8" t="s">
        <v>54</v>
      </c>
      <c r="D50" s="9" t="s">
        <v>55</v>
      </c>
      <c r="E50" s="9">
        <v>10172785</v>
      </c>
      <c r="F50" t="s">
        <v>59</v>
      </c>
      <c r="G50" s="312" t="e">
        <f t="shared" si="1"/>
        <v>#N/A</v>
      </c>
      <c r="H50" s="13" t="e">
        <f>VLOOKUP(E50,[2]Conciliacion!$H:$AC,22,0)</f>
        <v>#N/A</v>
      </c>
      <c r="I50" s="13">
        <v>56.94</v>
      </c>
      <c r="J50" s="10" t="e">
        <f t="shared" si="2"/>
        <v>#N/A</v>
      </c>
      <c r="L50" s="13" t="e">
        <f>VLOOKUP(E50,[4]TRABAJO!$H:$S,9,0)</f>
        <v>#N/A</v>
      </c>
      <c r="M50" s="13" t="e">
        <f>VLOOKUP(E50,[5]TRABAJO!$F:$S,11,0)</f>
        <v>#N/A</v>
      </c>
      <c r="N50" s="13">
        <v>55.602201592317996</v>
      </c>
      <c r="O50" s="13">
        <v>54.99</v>
      </c>
      <c r="P50" s="19">
        <v>54.99</v>
      </c>
      <c r="Q50" s="19">
        <v>54.99</v>
      </c>
      <c r="R50" s="20">
        <v>54.99</v>
      </c>
    </row>
    <row r="51" spans="1:20" x14ac:dyDescent="0.25">
      <c r="A51" s="8" t="s">
        <v>119</v>
      </c>
      <c r="B51" s="8" t="str">
        <f t="shared" si="0"/>
        <v>D86410173784</v>
      </c>
      <c r="C51" s="8" t="s">
        <v>54</v>
      </c>
      <c r="D51" s="9" t="s">
        <v>55</v>
      </c>
      <c r="E51" s="9">
        <v>10173784</v>
      </c>
      <c r="F51" t="s">
        <v>60</v>
      </c>
      <c r="G51" s="312" t="e">
        <f t="shared" si="1"/>
        <v>#N/A</v>
      </c>
      <c r="H51" s="13" t="e">
        <f>VLOOKUP(E51,[2]Conciliacion!$H:$AC,22,0)</f>
        <v>#N/A</v>
      </c>
      <c r="I51" s="13">
        <v>41.05</v>
      </c>
      <c r="J51" s="10" t="e">
        <f t="shared" si="2"/>
        <v>#N/A</v>
      </c>
      <c r="L51" s="13" t="e">
        <f>VLOOKUP(E51,[4]TRABAJO!$H:$S,9,0)</f>
        <v>#N/A</v>
      </c>
      <c r="M51" s="13" t="e">
        <f>VLOOKUP(E51,[5]TRABAJO!$F:$S,11,0)</f>
        <v>#N/A</v>
      </c>
      <c r="N51" s="13">
        <v>38.51</v>
      </c>
      <c r="O51" s="13">
        <v>38.51</v>
      </c>
      <c r="P51" s="19">
        <v>38.51</v>
      </c>
      <c r="Q51" s="19">
        <v>38.61</v>
      </c>
      <c r="R51" s="20">
        <v>38.61</v>
      </c>
    </row>
    <row r="52" spans="1:20" x14ac:dyDescent="0.25">
      <c r="A52" s="8" t="s">
        <v>114</v>
      </c>
      <c r="B52" s="8" t="str">
        <f t="shared" si="0"/>
        <v>DU0710264038</v>
      </c>
      <c r="C52" s="8" t="s">
        <v>86</v>
      </c>
      <c r="D52" s="9" t="s">
        <v>87</v>
      </c>
      <c r="E52" s="9">
        <v>10264038</v>
      </c>
      <c r="F52" t="s">
        <v>230</v>
      </c>
      <c r="G52" s="312" t="e">
        <f t="shared" si="1"/>
        <v>#N/A</v>
      </c>
      <c r="H52" s="13" t="e">
        <f>VLOOKUP(E52,[2]Conciliacion!$H:$AC,22,0)</f>
        <v>#N/A</v>
      </c>
      <c r="I52" s="13">
        <f>VLOOKUP(B52,'[3]Hoja2 (2)'!$A:$E,5,0)</f>
        <v>306.89999999999998</v>
      </c>
      <c r="J52" s="10" t="e">
        <f t="shared" si="2"/>
        <v>#N/A</v>
      </c>
      <c r="L52" s="13" t="e">
        <f>VLOOKUP(E52,[4]TRABAJO!$H:$S,9,0)</f>
        <v>#N/A</v>
      </c>
      <c r="M52" s="13">
        <f>VLOOKUP(E52,[5]TRABAJO!$F:$S,11,0)</f>
        <v>295.10000000000002</v>
      </c>
      <c r="N52" s="13" t="e">
        <f>VLOOKUP(E52,[6]TRABAJO!$H:$S,9,0)</f>
        <v>#N/A</v>
      </c>
      <c r="O52" s="13">
        <f>VLOOKUP(B52,[7]TRABAJO!$C:$S,14,0)</f>
        <v>295.10000000000002</v>
      </c>
      <c r="P52" s="19">
        <v>310.10000000000002</v>
      </c>
      <c r="Q52" s="19" t="e">
        <f>VLOOKUP(B52,[9]TRABAJO!$C:$S,14,0)</f>
        <v>#N/A</v>
      </c>
      <c r="R52">
        <v>310.10000000000002</v>
      </c>
    </row>
    <row r="53" spans="1:20" x14ac:dyDescent="0.25">
      <c r="A53" s="8" t="s">
        <v>114</v>
      </c>
      <c r="B53" s="8" t="str">
        <f t="shared" si="0"/>
        <v>DU0710264039</v>
      </c>
      <c r="C53" s="8" t="s">
        <v>86</v>
      </c>
      <c r="D53" s="9" t="s">
        <v>87</v>
      </c>
      <c r="E53" s="9">
        <v>10264039</v>
      </c>
      <c r="F53" t="s">
        <v>227</v>
      </c>
      <c r="G53" s="312" t="e">
        <f t="shared" si="1"/>
        <v>#N/A</v>
      </c>
      <c r="H53" s="13" t="e">
        <f>VLOOKUP(E53,[2]Conciliacion!$H:$AC,22,0)</f>
        <v>#N/A</v>
      </c>
      <c r="I53" s="13">
        <f>VLOOKUP(B53,'[3]Hoja2 (2)'!$A:$E,5,0)</f>
        <v>294.10000000000002</v>
      </c>
      <c r="J53" s="10" t="e">
        <f t="shared" si="2"/>
        <v>#N/A</v>
      </c>
      <c r="L53" s="13" t="e">
        <f>VLOOKUP(E53,[4]TRABAJO!$H:$S,9,0)</f>
        <v>#N/A</v>
      </c>
      <c r="M53" s="13">
        <f>VLOOKUP(E53,[5]TRABAJO!$F:$S,11,0)</f>
        <v>268</v>
      </c>
      <c r="N53" s="13" t="e">
        <f>VLOOKUP(E53,[6]TRABAJO!$H:$S,9,0)</f>
        <v>#N/A</v>
      </c>
      <c r="O53" s="13">
        <f>VLOOKUP(B53,[7]TRABAJO!$C:$S,14,0)</f>
        <v>268</v>
      </c>
      <c r="P53" s="19">
        <v>289.66130999452224</v>
      </c>
      <c r="Q53" s="19" t="e">
        <f>VLOOKUP(B53,[9]TRABAJO!$C:$S,14,0)</f>
        <v>#N/A</v>
      </c>
      <c r="R53" s="19">
        <v>283.10001979816076</v>
      </c>
    </row>
    <row r="54" spans="1:20" x14ac:dyDescent="0.25">
      <c r="A54" s="8" t="s">
        <v>119</v>
      </c>
      <c r="B54" s="8" t="str">
        <f t="shared" si="0"/>
        <v>D86110000290</v>
      </c>
      <c r="C54" s="8" t="s">
        <v>43</v>
      </c>
      <c r="D54" s="9" t="s">
        <v>44</v>
      </c>
      <c r="E54" s="9">
        <v>10000290</v>
      </c>
      <c r="F54" t="s">
        <v>47</v>
      </c>
      <c r="G54" s="312" t="e">
        <f t="shared" si="1"/>
        <v>#N/A</v>
      </c>
      <c r="H54" s="13" t="e">
        <f>VLOOKUP(E54,[2]Conciliacion!$H:$AC,22,0)</f>
        <v>#N/A</v>
      </c>
      <c r="I54" s="13" t="e">
        <f>VLOOKUP(B54,'[3]Hoja2 (2)'!$A:$E,5,0)</f>
        <v>#N/A</v>
      </c>
      <c r="J54" s="10">
        <f>(N54*4%)+N54</f>
        <v>4.6903999999999995</v>
      </c>
      <c r="L54" s="13" t="e">
        <f>VLOOKUP(E54,[4]TRABAJO!$H:$S,9,0)</f>
        <v>#N/A</v>
      </c>
      <c r="M54" s="13" t="e">
        <f>VLOOKUP(E54,[5]TRABAJO!$F:$S,11,0)</f>
        <v>#N/A</v>
      </c>
      <c r="N54" s="13">
        <v>4.51</v>
      </c>
      <c r="O54" s="13">
        <v>4.51</v>
      </c>
      <c r="P54" s="19">
        <v>4.51</v>
      </c>
      <c r="Q54" s="19">
        <v>13.326102960085002</v>
      </c>
      <c r="R54" s="13">
        <v>13.326102960085002</v>
      </c>
    </row>
    <row r="55" spans="1:20" x14ac:dyDescent="0.25">
      <c r="A55" s="8" t="s">
        <v>114</v>
      </c>
      <c r="B55" s="8" t="str">
        <f t="shared" si="0"/>
        <v>DU0710264103</v>
      </c>
      <c r="C55" s="8" t="s">
        <v>86</v>
      </c>
      <c r="D55" s="9" t="s">
        <v>87</v>
      </c>
      <c r="E55" s="9">
        <v>10264103</v>
      </c>
      <c r="F55" t="s">
        <v>234</v>
      </c>
      <c r="G55" s="312" t="e">
        <f t="shared" si="1"/>
        <v>#N/A</v>
      </c>
      <c r="H55" s="13" t="e">
        <f>VLOOKUP(E55,[2]Conciliacion!$H:$AC,22,0)</f>
        <v>#N/A</v>
      </c>
      <c r="I55" s="13" t="str">
        <f>VLOOKUP(B55,'[3]Hoja2 (2)'!$A:$E,5,0)</f>
        <v>#N/D</v>
      </c>
      <c r="J55" s="10">
        <f t="shared" si="2"/>
        <v>113.8592</v>
      </c>
      <c r="K55" s="13">
        <v>110.11</v>
      </c>
      <c r="L55" s="13">
        <v>109.48</v>
      </c>
      <c r="M55" s="13">
        <v>109.48</v>
      </c>
      <c r="N55" s="13">
        <v>110.82364676037044</v>
      </c>
      <c r="O55" s="13">
        <v>115.915372538344</v>
      </c>
      <c r="P55" s="19">
        <v>115.915372538344</v>
      </c>
      <c r="Q55" s="19" t="e">
        <f>VLOOKUP(B55,[9]TRABAJO!$C:$S,14,0)</f>
        <v>#N/A</v>
      </c>
      <c r="R55" s="20">
        <v>116.84</v>
      </c>
    </row>
    <row r="56" spans="1:20" x14ac:dyDescent="0.25">
      <c r="A56" s="8" t="s">
        <v>114</v>
      </c>
      <c r="B56" s="8" t="str">
        <f t="shared" si="0"/>
        <v>DU0710000355</v>
      </c>
      <c r="C56" s="8" t="s">
        <v>86</v>
      </c>
      <c r="D56" s="9" t="s">
        <v>87</v>
      </c>
      <c r="E56" s="9">
        <v>10000355</v>
      </c>
      <c r="F56" t="s">
        <v>132</v>
      </c>
      <c r="G56" s="312" t="e">
        <f t="shared" si="1"/>
        <v>#N/A</v>
      </c>
      <c r="H56" s="13" t="e">
        <f>VLOOKUP(E56,[2]Conciliacion!$H:$AC,22,0)</f>
        <v>#N/A</v>
      </c>
      <c r="I56" s="13" t="e">
        <f>VLOOKUP(B56,'[3]Hoja2 (2)'!$A:$E,5,0)</f>
        <v>#N/A</v>
      </c>
      <c r="J56" s="10" t="e">
        <f t="shared" si="2"/>
        <v>#N/A</v>
      </c>
      <c r="L56" s="13" t="e">
        <f>VLOOKUP(E56,[4]TRABAJO!$H:$S,9,0)</f>
        <v>#N/A</v>
      </c>
      <c r="M56" s="13" t="e">
        <f>VLOOKUP(E56,[5]TRABAJO!$F:$S,11,0)</f>
        <v>#N/A</v>
      </c>
      <c r="N56" s="13" t="e">
        <f>VLOOKUP(E56,[6]TRABAJO!$H:$S,9,0)</f>
        <v>#N/A</v>
      </c>
      <c r="O56" s="13">
        <v>265.30149549720511</v>
      </c>
      <c r="P56" s="19">
        <v>265.30149549720511</v>
      </c>
      <c r="Q56" s="19">
        <v>248</v>
      </c>
    </row>
    <row r="57" spans="1:20" x14ac:dyDescent="0.25">
      <c r="A57" s="8" t="s">
        <v>128</v>
      </c>
      <c r="B57" s="8" t="str">
        <f t="shared" si="0"/>
        <v>D81610001170</v>
      </c>
      <c r="C57" s="8" t="s">
        <v>14</v>
      </c>
      <c r="D57" s="9" t="s">
        <v>15</v>
      </c>
      <c r="E57" s="9">
        <v>10001170</v>
      </c>
      <c r="F57" t="s">
        <v>292</v>
      </c>
      <c r="G57" s="312" t="e">
        <f t="shared" si="1"/>
        <v>#N/A</v>
      </c>
      <c r="H57" s="13" t="e">
        <f>VLOOKUP(E57,[2]Conciliacion!$H:$AC,22,0)</f>
        <v>#N/A</v>
      </c>
      <c r="I57" s="13">
        <v>282.94950538320438</v>
      </c>
      <c r="J57" s="10">
        <f t="shared" si="2"/>
        <v>288.28800000000001</v>
      </c>
      <c r="L57" s="13">
        <v>277.2</v>
      </c>
      <c r="M57" s="13" t="e">
        <f>VLOOKUP(E57,[5]TRABAJO!$F:$S,11,0)</f>
        <v>#N/A</v>
      </c>
      <c r="N57" s="13" t="e">
        <f>VLOOKUP(E57,[6]TRABAJO!$H:$S,9,0)</f>
        <v>#N/A</v>
      </c>
      <c r="O57" s="13">
        <v>300</v>
      </c>
      <c r="P57">
        <v>300</v>
      </c>
    </row>
    <row r="58" spans="1:20" x14ac:dyDescent="0.25">
      <c r="A58" s="8" t="s">
        <v>114</v>
      </c>
      <c r="B58" s="8" t="str">
        <f t="shared" si="0"/>
        <v>DU0710271224</v>
      </c>
      <c r="C58" s="8" t="s">
        <v>86</v>
      </c>
      <c r="D58" s="9" t="s">
        <v>87</v>
      </c>
      <c r="E58" s="9">
        <v>10271224</v>
      </c>
      <c r="F58" t="s">
        <v>313</v>
      </c>
      <c r="G58" s="312" t="e">
        <f t="shared" si="1"/>
        <v>#N/A</v>
      </c>
      <c r="H58" s="13" t="e">
        <f>VLOOKUP(E58,[2]Conciliacion!$H:$AC,22,0)</f>
        <v>#N/A</v>
      </c>
      <c r="I58" s="13" t="str">
        <f>VLOOKUP(B58,'[3]Hoja2 (2)'!$A:$E,5,0)</f>
        <v>#N/D</v>
      </c>
      <c r="J58" s="10" t="e">
        <f t="shared" si="2"/>
        <v>#N/A</v>
      </c>
      <c r="L58" s="13" t="e">
        <f>VLOOKUP(E58,[4]TRABAJO!$H:$S,9,0)</f>
        <v>#N/A</v>
      </c>
      <c r="M58" s="13" t="e">
        <f>VLOOKUP(E58,[5]TRABAJO!$F:$S,11,0)</f>
        <v>#N/A</v>
      </c>
      <c r="N58" s="13" t="e">
        <f>VLOOKUP(E58,[6]TRABAJO!$H:$S,9,0)</f>
        <v>#N/A</v>
      </c>
    </row>
    <row r="59" spans="1:20" x14ac:dyDescent="0.25">
      <c r="A59" s="8" t="s">
        <v>128</v>
      </c>
      <c r="B59" s="8" t="str">
        <f t="shared" si="0"/>
        <v>D81610000262</v>
      </c>
      <c r="C59" s="8" t="s">
        <v>14</v>
      </c>
      <c r="D59" s="9" t="s">
        <v>15</v>
      </c>
      <c r="E59" s="9">
        <v>10000262</v>
      </c>
      <c r="F59" t="s">
        <v>25</v>
      </c>
      <c r="G59" s="312" t="e">
        <f t="shared" si="1"/>
        <v>#N/A</v>
      </c>
      <c r="H59" s="13" t="e">
        <f>VLOOKUP(E59,[2]Conciliacion!$H:$AC,22,0)</f>
        <v>#N/A</v>
      </c>
      <c r="I59" s="13">
        <v>310.44</v>
      </c>
      <c r="J59" s="10">
        <f t="shared" si="2"/>
        <v>285.68799999999999</v>
      </c>
      <c r="K59" s="13">
        <v>273.20999999999998</v>
      </c>
      <c r="L59" s="13">
        <v>274.7</v>
      </c>
      <c r="M59" s="13">
        <v>274.7</v>
      </c>
    </row>
    <row r="60" spans="1:20" x14ac:dyDescent="0.25">
      <c r="A60" s="8" t="s">
        <v>128</v>
      </c>
      <c r="B60" s="8" t="str">
        <f t="shared" si="0"/>
        <v>D917 10263701</v>
      </c>
      <c r="C60" s="8" t="s">
        <v>360</v>
      </c>
      <c r="D60" s="9" t="s">
        <v>361</v>
      </c>
      <c r="E60" s="9">
        <v>10263701</v>
      </c>
      <c r="F60" t="s">
        <v>365</v>
      </c>
      <c r="G60" s="312" t="e">
        <f t="shared" si="1"/>
        <v>#N/A</v>
      </c>
      <c r="H60" s="13" t="e">
        <f>VLOOKUP(E60,[2]Conciliacion!$H:$AC,22,0)</f>
        <v>#N/A</v>
      </c>
      <c r="I60" s="13" t="e">
        <f>VLOOKUP(B60,'[3]Hoja2 (2)'!$A:$E,5,0)</f>
        <v>#N/A</v>
      </c>
      <c r="J60" s="10" t="e">
        <f t="shared" si="2"/>
        <v>#N/A</v>
      </c>
      <c r="L60" s="13" t="e">
        <f>VLOOKUP(E60,[4]TRABAJO!$H:$S,9,0)</f>
        <v>#N/A</v>
      </c>
      <c r="M60" s="13">
        <v>158</v>
      </c>
    </row>
    <row r="61" spans="1:20" x14ac:dyDescent="0.25">
      <c r="A61" s="8" t="s">
        <v>128</v>
      </c>
      <c r="B61" s="8" t="str">
        <f t="shared" si="0"/>
        <v>D917 10248659</v>
      </c>
      <c r="C61" s="8" t="s">
        <v>360</v>
      </c>
      <c r="D61" s="9" t="s">
        <v>361</v>
      </c>
      <c r="E61" s="9">
        <v>10248659</v>
      </c>
      <c r="F61" t="s">
        <v>384</v>
      </c>
      <c r="G61" s="312" t="e">
        <f t="shared" si="1"/>
        <v>#N/A</v>
      </c>
      <c r="H61" s="13" t="e">
        <f>VLOOKUP(E61,[2]Conciliacion!$H:$AC,22,0)</f>
        <v>#N/A</v>
      </c>
      <c r="I61" s="13" t="e">
        <f>VLOOKUP(B61,'[3]Hoja2 (2)'!$A:$E,5,0)</f>
        <v>#N/A</v>
      </c>
      <c r="J61" s="10" t="e">
        <f t="shared" si="2"/>
        <v>#N/A</v>
      </c>
      <c r="L61" s="13" t="e">
        <f>VLOOKUP(E61,[4]TRABAJO!$H:$S,9,0)</f>
        <v>#N/A</v>
      </c>
      <c r="M61" s="13">
        <v>158</v>
      </c>
    </row>
    <row r="62" spans="1:20" x14ac:dyDescent="0.25">
      <c r="A62" s="8" t="s">
        <v>114</v>
      </c>
      <c r="B62" s="8" t="str">
        <f t="shared" si="0"/>
        <v>DU0710000195</v>
      </c>
      <c r="C62" s="8" t="s">
        <v>86</v>
      </c>
      <c r="D62" s="9" t="s">
        <v>87</v>
      </c>
      <c r="E62" s="9">
        <v>10000195</v>
      </c>
      <c r="F62" t="s">
        <v>402</v>
      </c>
      <c r="G62" s="312" t="e">
        <f t="shared" si="1"/>
        <v>#N/A</v>
      </c>
      <c r="H62" s="13" t="e">
        <f>VLOOKUP(E62,[2]Conciliacion!$H:$AC,22,0)</f>
        <v>#N/A</v>
      </c>
      <c r="I62" s="13" t="e">
        <f>VLOOKUP(B62,'[3]Hoja2 (2)'!$A:$E,5,0)</f>
        <v>#N/A</v>
      </c>
      <c r="J62" s="10">
        <f t="shared" si="2"/>
        <v>278.72000000000003</v>
      </c>
      <c r="L62" s="13">
        <v>268</v>
      </c>
      <c r="M62" s="13">
        <v>268</v>
      </c>
      <c r="O62" s="13"/>
      <c r="P62" s="19"/>
      <c r="Q62" s="19"/>
    </row>
    <row r="63" spans="1:20" x14ac:dyDescent="0.25">
      <c r="A63" s="8" t="s">
        <v>114</v>
      </c>
      <c r="B63" s="8" t="str">
        <f t="shared" ref="B63" si="9">+C63&amp;E63</f>
        <v>DU0710000115</v>
      </c>
      <c r="C63" s="8" t="s">
        <v>86</v>
      </c>
      <c r="D63" s="9" t="s">
        <v>87</v>
      </c>
      <c r="E63" s="9">
        <v>10000115</v>
      </c>
      <c r="F63" t="s">
        <v>17</v>
      </c>
      <c r="G63" s="312" t="e">
        <f t="shared" si="1"/>
        <v>#N/A</v>
      </c>
      <c r="H63" s="13" t="e">
        <f>VLOOKUP(E63,[2]Conciliacion!$H:$AC,22,0)</f>
        <v>#N/A</v>
      </c>
      <c r="I63" s="13">
        <v>384.45710369487489</v>
      </c>
      <c r="J63" s="10">
        <f t="shared" si="2"/>
        <v>340.06960000000004</v>
      </c>
      <c r="L63" s="13">
        <v>326.99</v>
      </c>
      <c r="M63" s="13">
        <v>326.99</v>
      </c>
    </row>
    <row r="64" spans="1:20" x14ac:dyDescent="0.25">
      <c r="A64" s="8" t="s">
        <v>128</v>
      </c>
      <c r="B64" s="8" t="str">
        <f t="shared" si="0"/>
        <v>D81610036488</v>
      </c>
      <c r="C64" s="8" t="s">
        <v>14</v>
      </c>
      <c r="D64" s="9" t="s">
        <v>15</v>
      </c>
      <c r="E64" s="9">
        <v>10036488</v>
      </c>
      <c r="F64" t="s">
        <v>26</v>
      </c>
      <c r="G64" s="312" t="e">
        <f t="shared" si="1"/>
        <v>#N/A</v>
      </c>
      <c r="H64" s="13" t="e">
        <f>VLOOKUP(E64,[2]Conciliacion!$H:$AC,22,0)</f>
        <v>#N/A</v>
      </c>
      <c r="I64" s="13">
        <v>310.64</v>
      </c>
      <c r="J64" s="10">
        <f t="shared" si="2"/>
        <v>292.11520000000002</v>
      </c>
      <c r="K64" s="13">
        <v>281.76</v>
      </c>
      <c r="L64" s="13">
        <v>280.88</v>
      </c>
      <c r="M64">
        <v>280.88</v>
      </c>
    </row>
    <row r="65" spans="1:16" x14ac:dyDescent="0.25">
      <c r="A65" s="8" t="s">
        <v>128</v>
      </c>
      <c r="B65" s="8" t="str">
        <f t="shared" ref="B65:B79" si="10">+C65&amp;E65</f>
        <v>D81610000248</v>
      </c>
      <c r="C65" s="8" t="s">
        <v>14</v>
      </c>
      <c r="D65" s="9" t="s">
        <v>15</v>
      </c>
      <c r="E65" s="9">
        <v>10000248</v>
      </c>
      <c r="F65" t="s">
        <v>410</v>
      </c>
      <c r="G65" s="312" t="e">
        <f t="shared" si="1"/>
        <v>#N/A</v>
      </c>
      <c r="H65" s="13" t="e">
        <f>VLOOKUP(E65,[2]Conciliacion!$H:$AC,22,0)</f>
        <v>#N/A</v>
      </c>
      <c r="I65" s="13">
        <v>300.01893789034733</v>
      </c>
      <c r="J65" s="10">
        <f t="shared" si="2"/>
        <v>274.28960000000001</v>
      </c>
      <c r="K65" s="13">
        <v>265.7</v>
      </c>
      <c r="L65" s="13">
        <v>263.74</v>
      </c>
      <c r="M65">
        <v>263.74</v>
      </c>
    </row>
    <row r="66" spans="1:16" x14ac:dyDescent="0.25">
      <c r="A66" s="8" t="s">
        <v>128</v>
      </c>
      <c r="B66" s="8" t="str">
        <f t="shared" si="10"/>
        <v>D81610148825</v>
      </c>
      <c r="C66" s="8" t="s">
        <v>14</v>
      </c>
      <c r="D66" s="9" t="s">
        <v>15</v>
      </c>
      <c r="E66" s="9">
        <v>10148825</v>
      </c>
      <c r="F66" t="s">
        <v>429</v>
      </c>
      <c r="G66" s="312" t="e">
        <f t="shared" si="1"/>
        <v>#N/A</v>
      </c>
      <c r="H66" s="13" t="e">
        <f>VLOOKUP(E66,[2]Conciliacion!$H:$AC,22,0)</f>
        <v>#N/A</v>
      </c>
      <c r="I66" s="13" t="e">
        <f>VLOOKUP(B66,'[3]Hoja2 (2)'!$A:$E,5,0)</f>
        <v>#N/A</v>
      </c>
      <c r="J66" s="10">
        <f t="shared" si="2"/>
        <v>277.98160000000001</v>
      </c>
      <c r="L66" s="13">
        <v>267.29000000000002</v>
      </c>
    </row>
    <row r="67" spans="1:16" x14ac:dyDescent="0.25">
      <c r="A67" s="8" t="s">
        <v>128</v>
      </c>
      <c r="B67" s="8" t="str">
        <f t="shared" si="10"/>
        <v>D81610148824</v>
      </c>
      <c r="C67" s="8" t="s">
        <v>14</v>
      </c>
      <c r="D67" s="9" t="s">
        <v>15</v>
      </c>
      <c r="E67" s="9">
        <v>10148824</v>
      </c>
      <c r="F67" t="s">
        <v>430</v>
      </c>
      <c r="G67" s="312" t="e">
        <f t="shared" si="1"/>
        <v>#N/A</v>
      </c>
      <c r="H67" s="13" t="e">
        <f>VLOOKUP(E67,[2]Conciliacion!$H:$AC,22,0)</f>
        <v>#N/A</v>
      </c>
      <c r="I67" s="13" t="e">
        <f>VLOOKUP(B67,'[3]Hoja2 (2)'!$A:$E,5,0)</f>
        <v>#N/A</v>
      </c>
      <c r="J67" s="10">
        <f t="shared" ref="J67:J81" si="11">(L67*4%)+L67</f>
        <v>251.55519999999999</v>
      </c>
      <c r="L67" s="13">
        <v>241.88</v>
      </c>
    </row>
    <row r="68" spans="1:16" x14ac:dyDescent="0.25">
      <c r="A68" s="8" t="s">
        <v>128</v>
      </c>
      <c r="B68" s="8" t="str">
        <f t="shared" si="10"/>
        <v>D81610001222</v>
      </c>
      <c r="C68" s="8" t="s">
        <v>14</v>
      </c>
      <c r="D68" s="9" t="s">
        <v>15</v>
      </c>
      <c r="E68" s="9">
        <v>10001222</v>
      </c>
      <c r="F68" t="s">
        <v>431</v>
      </c>
      <c r="G68" s="312" t="e">
        <f t="shared" ref="G68:G86" si="12">H68-I68</f>
        <v>#N/A</v>
      </c>
      <c r="H68" s="13" t="e">
        <f>VLOOKUP(E68,[2]Conciliacion!$H:$AC,22,0)</f>
        <v>#N/A</v>
      </c>
      <c r="I68" s="13">
        <v>294.25</v>
      </c>
      <c r="J68" s="10">
        <f t="shared" si="11"/>
        <v>292.14640000000003</v>
      </c>
      <c r="K68" s="13">
        <v>281.91000000000003</v>
      </c>
      <c r="L68" s="13">
        <v>280.91000000000003</v>
      </c>
    </row>
    <row r="69" spans="1:16" x14ac:dyDescent="0.25">
      <c r="A69" s="8" t="s">
        <v>128</v>
      </c>
      <c r="B69" s="8" t="str">
        <f t="shared" si="10"/>
        <v>D81610001201</v>
      </c>
      <c r="C69" s="8" t="s">
        <v>14</v>
      </c>
      <c r="D69" s="9" t="s">
        <v>15</v>
      </c>
      <c r="E69" s="9">
        <v>10001201</v>
      </c>
      <c r="F69" t="s">
        <v>432</v>
      </c>
      <c r="G69" s="312" t="e">
        <f t="shared" si="12"/>
        <v>#N/A</v>
      </c>
      <c r="H69" s="13" t="e">
        <f>VLOOKUP(E69,[2]Conciliacion!$H:$AC,22,0)</f>
        <v>#N/A</v>
      </c>
      <c r="I69" s="13">
        <v>279.10000000000002</v>
      </c>
      <c r="J69" s="10">
        <f t="shared" si="11"/>
        <v>265.16879999999998</v>
      </c>
      <c r="K69" s="13">
        <v>254.97</v>
      </c>
      <c r="L69" s="13">
        <v>254.97</v>
      </c>
    </row>
    <row r="70" spans="1:16" x14ac:dyDescent="0.25">
      <c r="A70" s="8" t="s">
        <v>128</v>
      </c>
      <c r="B70" s="8" t="str">
        <f t="shared" si="10"/>
        <v>D82410023108</v>
      </c>
      <c r="C70" s="8" t="s">
        <v>27</v>
      </c>
      <c r="D70" s="9" t="s">
        <v>28</v>
      </c>
      <c r="E70" s="9">
        <v>10023108</v>
      </c>
      <c r="F70" t="s">
        <v>391</v>
      </c>
      <c r="G70" s="312" t="e">
        <f t="shared" si="12"/>
        <v>#N/A</v>
      </c>
      <c r="H70" s="13" t="e">
        <f>VLOOKUP(E70,[2]Conciliacion!$H:$AC,22,0)</f>
        <v>#N/A</v>
      </c>
      <c r="I70" s="13" t="e">
        <f>VLOOKUP(B70,'[3]Hoja2 (2)'!$A:$E,5,0)</f>
        <v>#N/A</v>
      </c>
      <c r="J70" s="10">
        <f t="shared" si="11"/>
        <v>173.34720000000002</v>
      </c>
      <c r="K70" s="13">
        <v>166.9</v>
      </c>
      <c r="L70" s="13">
        <v>166.68</v>
      </c>
    </row>
    <row r="71" spans="1:16" x14ac:dyDescent="0.25">
      <c r="A71" s="8" t="s">
        <v>128</v>
      </c>
      <c r="B71" s="8" t="str">
        <f t="shared" si="10"/>
        <v>D82410001077</v>
      </c>
      <c r="C71" s="8" t="s">
        <v>27</v>
      </c>
      <c r="D71" s="9" t="s">
        <v>28</v>
      </c>
      <c r="E71" s="9">
        <v>10001077</v>
      </c>
      <c r="F71" t="s">
        <v>386</v>
      </c>
      <c r="G71" s="312" t="e">
        <f t="shared" si="12"/>
        <v>#N/A</v>
      </c>
      <c r="H71" s="13" t="e">
        <f>VLOOKUP(E71,[2]Conciliacion!$H:$AC,22,0)</f>
        <v>#N/A</v>
      </c>
      <c r="I71" s="13" t="e">
        <f>VLOOKUP(B71,'[3]Hoja2 (2)'!$A:$E,5,0)</f>
        <v>#N/A</v>
      </c>
      <c r="J71" s="10">
        <f t="shared" si="11"/>
        <v>119.6</v>
      </c>
      <c r="L71" s="13">
        <v>115</v>
      </c>
      <c r="M71" s="13">
        <v>110</v>
      </c>
    </row>
    <row r="72" spans="1:16" x14ac:dyDescent="0.25">
      <c r="A72" s="8" t="s">
        <v>128</v>
      </c>
      <c r="B72" s="8" t="str">
        <f t="shared" si="10"/>
        <v>D82410191647</v>
      </c>
      <c r="C72" s="8" t="s">
        <v>27</v>
      </c>
      <c r="D72" s="9" t="s">
        <v>28</v>
      </c>
      <c r="E72" s="9">
        <v>10191647</v>
      </c>
      <c r="F72" t="s">
        <v>387</v>
      </c>
      <c r="G72" s="312" t="e">
        <f t="shared" si="12"/>
        <v>#N/A</v>
      </c>
      <c r="H72" s="13" t="e">
        <f>VLOOKUP(E72,[2]Conciliacion!$H:$AC,22,0)</f>
        <v>#N/A</v>
      </c>
      <c r="I72" s="13" t="e">
        <f>VLOOKUP(B72,'[3]Hoja2 (2)'!$A:$E,5,0)</f>
        <v>#N/A</v>
      </c>
      <c r="J72" s="10">
        <f t="shared" si="11"/>
        <v>145.17359999999999</v>
      </c>
      <c r="K72" s="13">
        <v>138.80000000000001</v>
      </c>
      <c r="L72" s="13">
        <v>139.59</v>
      </c>
      <c r="M72" s="13">
        <v>139.58000000000001</v>
      </c>
    </row>
    <row r="73" spans="1:16" x14ac:dyDescent="0.25">
      <c r="A73" s="8" t="s">
        <v>128</v>
      </c>
      <c r="B73" s="8" t="str">
        <f t="shared" si="10"/>
        <v>D82410000289</v>
      </c>
      <c r="C73" s="8" t="s">
        <v>27</v>
      </c>
      <c r="D73" s="9" t="s">
        <v>28</v>
      </c>
      <c r="E73" s="9">
        <v>10000289</v>
      </c>
      <c r="F73" t="s">
        <v>388</v>
      </c>
      <c r="G73" s="312" t="e">
        <f t="shared" si="12"/>
        <v>#N/A</v>
      </c>
      <c r="H73" s="13" t="e">
        <f>VLOOKUP(E73,[2]Conciliacion!$H:$AC,22,0)</f>
        <v>#N/A</v>
      </c>
      <c r="I73" s="13" t="e">
        <f>VLOOKUP(B73,'[3]Hoja2 (2)'!$A:$E,5,0)</f>
        <v>#N/A</v>
      </c>
      <c r="J73" s="10">
        <f t="shared" si="11"/>
        <v>51.885600000000004</v>
      </c>
      <c r="K73" s="13">
        <v>51.09</v>
      </c>
      <c r="L73" s="13">
        <v>49.89</v>
      </c>
      <c r="M73" s="13">
        <v>49.76</v>
      </c>
    </row>
    <row r="74" spans="1:16" x14ac:dyDescent="0.25">
      <c r="A74" s="8" t="s">
        <v>128</v>
      </c>
      <c r="B74" s="8" t="str">
        <f t="shared" si="10"/>
        <v>D86310038957</v>
      </c>
      <c r="C74" s="8" t="s">
        <v>52</v>
      </c>
      <c r="D74" s="9" t="s">
        <v>53</v>
      </c>
      <c r="E74" s="9">
        <v>10038957</v>
      </c>
      <c r="F74" t="s">
        <v>292</v>
      </c>
      <c r="G74" s="312" t="e">
        <f t="shared" si="12"/>
        <v>#N/A</v>
      </c>
      <c r="H74" s="13" t="e">
        <f>VLOOKUP(E74,[2]Conciliacion!$H:$AC,22,0)</f>
        <v>#N/A</v>
      </c>
      <c r="I74" s="13">
        <v>92</v>
      </c>
      <c r="J74" s="10">
        <f t="shared" si="11"/>
        <v>0</v>
      </c>
      <c r="K74" s="27"/>
    </row>
    <row r="75" spans="1:16" x14ac:dyDescent="0.25">
      <c r="A75" s="8" t="s">
        <v>128</v>
      </c>
      <c r="B75" s="8" t="str">
        <f t="shared" si="10"/>
        <v>D917 10258182</v>
      </c>
      <c r="C75" s="8" t="s">
        <v>360</v>
      </c>
      <c r="D75" s="9" t="s">
        <v>361</v>
      </c>
      <c r="E75" s="9">
        <v>10258182</v>
      </c>
      <c r="F75" t="s">
        <v>476</v>
      </c>
      <c r="G75" s="312" t="e">
        <f t="shared" si="12"/>
        <v>#N/A</v>
      </c>
      <c r="H75" s="13" t="e">
        <f>VLOOKUP(E75,[2]Conciliacion!$H:$AC,22,0)</f>
        <v>#N/A</v>
      </c>
      <c r="I75" s="13" t="e">
        <f>VLOOKUP(B75,'[3]Hoja2 (2)'!$A:$E,5,0)</f>
        <v>#N/A</v>
      </c>
      <c r="J75" s="10">
        <f t="shared" si="11"/>
        <v>0</v>
      </c>
      <c r="K75" s="13">
        <v>127.22</v>
      </c>
      <c r="L75" s="10"/>
    </row>
    <row r="76" spans="1:16" x14ac:dyDescent="0.25">
      <c r="A76" s="8" t="s">
        <v>128</v>
      </c>
      <c r="B76" s="8" t="str">
        <f t="shared" si="10"/>
        <v>D917 10258183</v>
      </c>
      <c r="C76" s="8" t="s">
        <v>360</v>
      </c>
      <c r="D76" s="9" t="s">
        <v>361</v>
      </c>
      <c r="E76" s="9">
        <v>10258183</v>
      </c>
      <c r="F76" t="s">
        <v>477</v>
      </c>
      <c r="G76" s="312" t="e">
        <f t="shared" si="12"/>
        <v>#N/A</v>
      </c>
      <c r="H76" s="13" t="e">
        <f>VLOOKUP(E76,[2]Conciliacion!$H:$AC,22,0)</f>
        <v>#N/A</v>
      </c>
      <c r="I76" s="13" t="e">
        <f>VLOOKUP(B76,'[3]Hoja2 (2)'!$A:$E,5,0)</f>
        <v>#N/A</v>
      </c>
      <c r="J76" s="10">
        <f t="shared" si="11"/>
        <v>0</v>
      </c>
      <c r="K76" s="13">
        <v>127.22</v>
      </c>
      <c r="M76" s="10"/>
      <c r="P76" s="10">
        <f>(P15*4%)</f>
        <v>7.9120000000000008</v>
      </c>
    </row>
    <row r="77" spans="1:16" x14ac:dyDescent="0.25">
      <c r="A77" s="8" t="s">
        <v>128</v>
      </c>
      <c r="B77" s="8" t="str">
        <f t="shared" si="10"/>
        <v>D917 10258184</v>
      </c>
      <c r="C77" s="8" t="s">
        <v>360</v>
      </c>
      <c r="D77" s="9" t="s">
        <v>361</v>
      </c>
      <c r="E77" s="9">
        <v>10258184</v>
      </c>
      <c r="F77" t="s">
        <v>478</v>
      </c>
      <c r="G77" s="312" t="e">
        <f t="shared" si="12"/>
        <v>#N/A</v>
      </c>
      <c r="H77" s="13" t="e">
        <f>VLOOKUP(E77,[2]Conciliacion!$H:$AC,22,0)</f>
        <v>#N/A</v>
      </c>
      <c r="I77" s="13" t="e">
        <f>VLOOKUP(B77,'[3]Hoja2 (2)'!$A:$E,5,0)</f>
        <v>#N/A</v>
      </c>
      <c r="J77" s="10">
        <f t="shared" si="11"/>
        <v>0</v>
      </c>
      <c r="M77" s="202"/>
      <c r="P77" s="10">
        <f>P15+P76</f>
        <v>205.71200000000002</v>
      </c>
    </row>
    <row r="78" spans="1:16" x14ac:dyDescent="0.25">
      <c r="A78" s="8" t="s">
        <v>128</v>
      </c>
      <c r="B78" s="8" t="str">
        <f t="shared" si="10"/>
        <v>D917 10258185</v>
      </c>
      <c r="C78" s="8" t="s">
        <v>360</v>
      </c>
      <c r="D78" s="9" t="s">
        <v>361</v>
      </c>
      <c r="E78" s="9">
        <v>10258185</v>
      </c>
      <c r="F78" t="s">
        <v>479</v>
      </c>
      <c r="G78" s="312" t="e">
        <f t="shared" si="12"/>
        <v>#N/A</v>
      </c>
      <c r="H78" s="13" t="e">
        <f>VLOOKUP(E78,[2]Conciliacion!$H:$AC,22,0)</f>
        <v>#N/A</v>
      </c>
      <c r="I78" s="13" t="e">
        <f>VLOOKUP(B78,'[3]Hoja2 (2)'!$A:$E,5,0)</f>
        <v>#N/A</v>
      </c>
      <c r="J78" s="10">
        <f t="shared" si="11"/>
        <v>0</v>
      </c>
      <c r="M78" s="10"/>
    </row>
    <row r="79" spans="1:16" x14ac:dyDescent="0.25">
      <c r="A79" s="8" t="s">
        <v>128</v>
      </c>
      <c r="B79" s="8" t="str">
        <f t="shared" si="10"/>
        <v>D85210038943</v>
      </c>
      <c r="C79" s="8" t="s">
        <v>35</v>
      </c>
      <c r="D79" s="9" t="s">
        <v>36</v>
      </c>
      <c r="E79" s="9">
        <v>10038943</v>
      </c>
      <c r="F79" t="s">
        <v>16</v>
      </c>
      <c r="G79" s="312" t="e">
        <f t="shared" si="12"/>
        <v>#N/A</v>
      </c>
      <c r="H79" s="13" t="e">
        <f>VLOOKUP(E79,[2]Conciliacion!$H:$AC,22,0)</f>
        <v>#N/A</v>
      </c>
      <c r="I79" s="13">
        <v>135.24</v>
      </c>
      <c r="J79" s="10">
        <f t="shared" si="11"/>
        <v>0</v>
      </c>
      <c r="K79" s="13">
        <v>127.69</v>
      </c>
      <c r="M79" s="202"/>
    </row>
    <row r="80" spans="1:16" x14ac:dyDescent="0.25">
      <c r="A80" s="8" t="s">
        <v>128</v>
      </c>
      <c r="B80" s="8" t="str">
        <f t="shared" ref="B80" si="13">+C80&amp;E80</f>
        <v>D85210152582</v>
      </c>
      <c r="C80" s="8" t="s">
        <v>35</v>
      </c>
      <c r="D80" s="9" t="s">
        <v>36</v>
      </c>
      <c r="E80" s="9">
        <v>10152582</v>
      </c>
      <c r="F80" t="s">
        <v>551</v>
      </c>
      <c r="G80" s="312" t="e">
        <f t="shared" si="12"/>
        <v>#N/A</v>
      </c>
      <c r="H80" s="13" t="e">
        <f>VLOOKUP(E80,[2]Conciliacion!$H:$AC,22,0)</f>
        <v>#N/A</v>
      </c>
      <c r="I80" s="13" t="e">
        <f>VLOOKUP(B80,'[3]Hoja2 (2)'!$A:$E,5,0)</f>
        <v>#N/A</v>
      </c>
      <c r="J80" s="10">
        <f t="shared" si="11"/>
        <v>0</v>
      </c>
      <c r="K80" s="13">
        <v>137.63999999999999</v>
      </c>
      <c r="L80" s="10"/>
      <c r="M80" s="10"/>
    </row>
    <row r="81" spans="1:13" x14ac:dyDescent="0.25">
      <c r="A81" s="8" t="s">
        <v>114</v>
      </c>
      <c r="B81" s="8" t="str">
        <f t="shared" ref="B81" si="14">+C81&amp;E81</f>
        <v>DU0710000579</v>
      </c>
      <c r="C81" s="8" t="s">
        <v>86</v>
      </c>
      <c r="D81" s="9" t="s">
        <v>87</v>
      </c>
      <c r="E81" s="9">
        <v>10000579</v>
      </c>
      <c r="F81" t="s">
        <v>37</v>
      </c>
      <c r="G81" s="312" t="e">
        <f t="shared" si="12"/>
        <v>#N/A</v>
      </c>
      <c r="H81" s="13" t="e">
        <f>VLOOKUP(E81,[2]Conciliacion!$H:$AC,22,0)</f>
        <v>#N/A</v>
      </c>
      <c r="I81" s="13">
        <f>VLOOKUP(B81,'[3]Hoja2 (2)'!$A:$E,5,0)</f>
        <v>227.11</v>
      </c>
      <c r="J81" s="10">
        <f t="shared" si="11"/>
        <v>0</v>
      </c>
      <c r="L81" s="10"/>
      <c r="M81" s="10"/>
    </row>
    <row r="82" spans="1:13" x14ac:dyDescent="0.25">
      <c r="A82" s="8" t="s">
        <v>119</v>
      </c>
      <c r="B82" s="8" t="str">
        <f t="shared" ref="B82:B83" si="15">+C82&amp;E82</f>
        <v>D87310000236</v>
      </c>
      <c r="C82" s="8" t="s">
        <v>66</v>
      </c>
      <c r="D82" s="9" t="s">
        <v>67</v>
      </c>
      <c r="E82" s="9">
        <v>10000236</v>
      </c>
      <c r="F82" t="s">
        <v>120</v>
      </c>
      <c r="G82" s="312" t="e">
        <f t="shared" si="12"/>
        <v>#N/A</v>
      </c>
      <c r="H82" s="13" t="e">
        <f>VLOOKUP(E82,[2]Conciliacion!$H:$AC,22,0)</f>
        <v>#N/A</v>
      </c>
      <c r="I82" s="13">
        <f>VLOOKUP(B82,'[3]Hoja2 (2)'!$A:$E,5,0)</f>
        <v>299.45</v>
      </c>
      <c r="J82">
        <v>299.45</v>
      </c>
    </row>
    <row r="83" spans="1:13" x14ac:dyDescent="0.25">
      <c r="A83" s="8" t="s">
        <v>128</v>
      </c>
      <c r="B83" s="8" t="str">
        <f t="shared" si="15"/>
        <v>D81610148825</v>
      </c>
      <c r="C83" s="8" t="s">
        <v>14</v>
      </c>
      <c r="D83" s="9" t="s">
        <v>15</v>
      </c>
      <c r="E83" s="9">
        <v>10148825</v>
      </c>
      <c r="F83" t="s">
        <v>429</v>
      </c>
      <c r="G83" s="312" t="e">
        <f t="shared" si="12"/>
        <v>#N/A</v>
      </c>
      <c r="H83" s="13" t="e">
        <f>VLOOKUP(E83,[2]Conciliacion!$H:$AC,22,0)</f>
        <v>#N/A</v>
      </c>
      <c r="I83" s="13" t="e">
        <f>VLOOKUP(B83,'[3]Hoja2 (2)'!$A:$E,5,0)</f>
        <v>#N/A</v>
      </c>
      <c r="J83">
        <v>270.77999999999997</v>
      </c>
    </row>
    <row r="84" spans="1:13" x14ac:dyDescent="0.25">
      <c r="A84" s="8" t="s">
        <v>128</v>
      </c>
      <c r="B84" s="8" t="str">
        <f t="shared" ref="B84:B86" si="16">+C84&amp;E84</f>
        <v>D81610269042</v>
      </c>
      <c r="C84" s="8" t="s">
        <v>14</v>
      </c>
      <c r="D84" s="9" t="s">
        <v>15</v>
      </c>
      <c r="E84" s="9">
        <v>10269042</v>
      </c>
      <c r="F84" t="s">
        <v>457</v>
      </c>
      <c r="G84" s="312" t="e">
        <f t="shared" si="12"/>
        <v>#N/A</v>
      </c>
      <c r="H84" s="13" t="e">
        <f>VLOOKUP(E84,[2]Conciliacion!$H:$AC,22,0)</f>
        <v>#N/A</v>
      </c>
      <c r="I84" s="13">
        <v>290.76</v>
      </c>
    </row>
    <row r="85" spans="1:13" x14ac:dyDescent="0.25">
      <c r="A85" s="8" t="s">
        <v>114</v>
      </c>
      <c r="B85" s="8" t="str">
        <f t="shared" si="16"/>
        <v>DU0710000149</v>
      </c>
      <c r="C85" s="8" t="s">
        <v>86</v>
      </c>
      <c r="D85" s="9" t="s">
        <v>87</v>
      </c>
      <c r="E85" s="9">
        <v>10000149</v>
      </c>
      <c r="F85" t="s">
        <v>120</v>
      </c>
      <c r="G85" s="312" t="e">
        <f t="shared" si="12"/>
        <v>#N/A</v>
      </c>
      <c r="H85" s="13" t="e">
        <f>VLOOKUP(E85,[2]Conciliacion!$H:$AC,22,0)</f>
        <v>#N/A</v>
      </c>
    </row>
    <row r="86" spans="1:13" x14ac:dyDescent="0.25">
      <c r="A86" s="8" t="s">
        <v>114</v>
      </c>
      <c r="B86" s="8" t="str">
        <f t="shared" si="16"/>
        <v>DU0710000106</v>
      </c>
      <c r="C86" s="8" t="s">
        <v>86</v>
      </c>
      <c r="D86" s="9" t="s">
        <v>87</v>
      </c>
      <c r="E86" s="9">
        <v>10000106</v>
      </c>
      <c r="F86" t="s">
        <v>615</v>
      </c>
      <c r="G86" s="312" t="e">
        <f t="shared" si="12"/>
        <v>#N/A</v>
      </c>
      <c r="H86" s="13" t="e">
        <f>VLOOKUP(E86,[2]Conciliacion!$H:$AC,22,0)</f>
        <v>#N/A</v>
      </c>
      <c r="I86" s="13">
        <v>92</v>
      </c>
    </row>
  </sheetData>
  <autoFilter ref="A2:AA86" xr:uid="{00F5E8CA-DBC8-4509-A942-D2E3ABA74B0A}"/>
  <mergeCells count="2">
    <mergeCell ref="W1:X1"/>
    <mergeCell ref="Y1:Z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A0B7-7FE5-4F73-8533-1C928159A75A}">
  <sheetPr codeName="Hoja6"/>
  <dimension ref="A1:J73"/>
  <sheetViews>
    <sheetView workbookViewId="0">
      <selection activeCell="G1" sqref="G1:J73"/>
    </sheetView>
  </sheetViews>
  <sheetFormatPr baseColWidth="10" defaultRowHeight="15" x14ac:dyDescent="0.25"/>
  <cols>
    <col min="2" max="2" width="32.85546875" bestFit="1" customWidth="1"/>
    <col min="3" max="3" width="15" bestFit="1" customWidth="1"/>
    <col min="7" max="7" width="5.42578125" bestFit="1" customWidth="1"/>
    <col min="10" max="10" width="39.140625" bestFit="1" customWidth="1"/>
  </cols>
  <sheetData>
    <row r="1" spans="1:10" x14ac:dyDescent="0.25">
      <c r="A1" s="186" t="s">
        <v>412</v>
      </c>
      <c r="B1" s="189" t="s">
        <v>414</v>
      </c>
      <c r="C1" s="189" t="s">
        <v>413</v>
      </c>
      <c r="E1" s="186" t="s">
        <v>412</v>
      </c>
      <c r="G1" s="6" t="s">
        <v>117</v>
      </c>
      <c r="H1" s="6" t="s">
        <v>118</v>
      </c>
      <c r="I1" s="6" t="s">
        <v>2</v>
      </c>
      <c r="J1" s="6" t="s">
        <v>2</v>
      </c>
    </row>
    <row r="2" spans="1:10" x14ac:dyDescent="0.25">
      <c r="A2" s="187">
        <v>10001170</v>
      </c>
      <c r="B2" s="190" t="str">
        <f>VLOOKUP(A2,P.Referencia!E:F,2,0)</f>
        <v>Arena Triturada Caliza Block</v>
      </c>
      <c r="C2" t="e">
        <v>#N/A</v>
      </c>
      <c r="E2" s="187">
        <v>10001170</v>
      </c>
      <c r="G2" s="8" t="s">
        <v>54</v>
      </c>
      <c r="H2" s="8" t="s">
        <v>55</v>
      </c>
      <c r="I2" s="8">
        <v>10001073</v>
      </c>
      <c r="J2" t="s">
        <v>16</v>
      </c>
    </row>
    <row r="3" spans="1:10" x14ac:dyDescent="0.25">
      <c r="A3" s="188">
        <v>10001864</v>
      </c>
      <c r="B3" s="190" t="e">
        <f>VLOOKUP(A3,P.Referencia!E:F,2,0)</f>
        <v>#N/A</v>
      </c>
      <c r="C3" t="e">
        <v>#N/A</v>
      </c>
      <c r="E3" s="188">
        <v>10001864</v>
      </c>
      <c r="G3" s="8" t="s">
        <v>54</v>
      </c>
      <c r="H3" s="8" t="s">
        <v>55</v>
      </c>
      <c r="I3" s="8">
        <v>10000236</v>
      </c>
      <c r="J3" t="s">
        <v>120</v>
      </c>
    </row>
    <row r="4" spans="1:10" x14ac:dyDescent="0.25">
      <c r="A4" s="188">
        <v>10000124</v>
      </c>
      <c r="B4" s="190" t="str">
        <f>VLOOKUP(A4,P.Referencia!E:F,2,0)</f>
        <v>Arena Triturada Caliza Malla 4</v>
      </c>
      <c r="C4">
        <v>273.5</v>
      </c>
      <c r="E4" s="188">
        <v>10000124</v>
      </c>
      <c r="G4" s="8" t="s">
        <v>54</v>
      </c>
      <c r="H4" s="8" t="s">
        <v>55</v>
      </c>
      <c r="I4" s="8">
        <v>10000269</v>
      </c>
      <c r="J4" t="s">
        <v>132</v>
      </c>
    </row>
    <row r="5" spans="1:10" x14ac:dyDescent="0.25">
      <c r="A5" s="187">
        <v>10000260</v>
      </c>
      <c r="B5" s="190" t="str">
        <f>VLOOKUP(A5,P.Referencia!E:F,2,0)</f>
        <v>Arena Triturada Caliza Malla 5</v>
      </c>
      <c r="C5">
        <v>308.00000000000006</v>
      </c>
      <c r="E5" s="187">
        <v>10000260</v>
      </c>
      <c r="G5" s="8" t="s">
        <v>54</v>
      </c>
      <c r="H5" s="8" t="s">
        <v>55</v>
      </c>
      <c r="I5" s="8">
        <v>10000240</v>
      </c>
      <c r="J5" t="s">
        <v>90</v>
      </c>
    </row>
    <row r="6" spans="1:10" x14ac:dyDescent="0.25">
      <c r="A6" s="187">
        <v>10000241</v>
      </c>
      <c r="B6" s="190" t="str">
        <f>VLOOKUP(A6,P.Referencia!E:F,2,0)</f>
        <v>Grava Triturada Caliza 20 mm - 3/4"</v>
      </c>
      <c r="C6">
        <v>273.5</v>
      </c>
      <c r="E6" s="187">
        <v>10000241</v>
      </c>
      <c r="G6" s="8" t="s">
        <v>54</v>
      </c>
      <c r="H6" s="8" t="s">
        <v>55</v>
      </c>
      <c r="I6" s="8">
        <v>10001074</v>
      </c>
      <c r="J6" t="s">
        <v>121</v>
      </c>
    </row>
    <row r="7" spans="1:10" x14ac:dyDescent="0.25">
      <c r="A7" s="188">
        <v>10000237</v>
      </c>
      <c r="B7" s="190" t="str">
        <f>VLOOKUP(A7,P.Referencia!E:F,2,0)</f>
        <v>Grava Triturada Caliza 10 mm - 3/8"</v>
      </c>
      <c r="C7">
        <v>270</v>
      </c>
      <c r="E7" s="188">
        <v>10000237</v>
      </c>
      <c r="G7" s="8" t="s">
        <v>43</v>
      </c>
      <c r="H7" s="9" t="s">
        <v>44</v>
      </c>
      <c r="I7" s="9">
        <v>10000311</v>
      </c>
      <c r="J7" t="s">
        <v>122</v>
      </c>
    </row>
    <row r="8" spans="1:10" x14ac:dyDescent="0.25">
      <c r="A8" s="188">
        <v>10000262</v>
      </c>
      <c r="B8" s="190" t="str">
        <f>VLOOKUP(A8,P.Referencia!E:F,2,0)</f>
        <v>Base H Triturada Caliza 1 1/2"</v>
      </c>
      <c r="C8">
        <v>274.7</v>
      </c>
      <c r="E8" s="188">
        <v>10000262</v>
      </c>
      <c r="G8" s="8" t="s">
        <v>43</v>
      </c>
      <c r="H8" s="9" t="s">
        <v>44</v>
      </c>
      <c r="I8" s="9">
        <v>10000229</v>
      </c>
      <c r="J8" t="s">
        <v>123</v>
      </c>
    </row>
    <row r="9" spans="1:10" x14ac:dyDescent="0.25">
      <c r="A9" s="187">
        <v>10036488</v>
      </c>
      <c r="B9" s="190" t="str">
        <f>VLOOKUP(A9,P.Referencia!E:F,2,0)</f>
        <v>Base H Trit Caliza 3/4" a Fino</v>
      </c>
      <c r="C9">
        <v>280.88</v>
      </c>
      <c r="E9" s="187">
        <v>10036488</v>
      </c>
      <c r="G9" s="8" t="s">
        <v>43</v>
      </c>
      <c r="H9" s="9" t="s">
        <v>44</v>
      </c>
      <c r="I9" s="9">
        <v>10000231</v>
      </c>
      <c r="J9" t="s">
        <v>124</v>
      </c>
    </row>
    <row r="10" spans="1:10" x14ac:dyDescent="0.25">
      <c r="A10" s="188">
        <v>10000248</v>
      </c>
      <c r="B10" s="190" t="str">
        <f>VLOOKUP(A10,P.Referencia!E:F,2,0)</f>
        <v>Sub-base Triturado Caliza 1 1/2" a Finos</v>
      </c>
      <c r="C10">
        <v>263.74</v>
      </c>
      <c r="E10" s="188">
        <v>10000248</v>
      </c>
      <c r="G10" s="8" t="s">
        <v>43</v>
      </c>
      <c r="H10" s="9" t="s">
        <v>44</v>
      </c>
      <c r="I10" s="9">
        <v>10000233</v>
      </c>
      <c r="J10" t="s">
        <v>125</v>
      </c>
    </row>
    <row r="11" spans="1:10" x14ac:dyDescent="0.25">
      <c r="A11" s="188">
        <v>10001222</v>
      </c>
      <c r="B11" s="190" t="str">
        <f>VLOOKUP(A11,P.Referencia!E:F,2,0)</f>
        <v>Mixto Grava 3/4 - Arena 4</v>
      </c>
      <c r="C11" t="e">
        <v>#N/A</v>
      </c>
      <c r="E11" s="188">
        <v>10001222</v>
      </c>
      <c r="G11" s="8" t="s">
        <v>5</v>
      </c>
      <c r="H11" s="9" t="s">
        <v>6</v>
      </c>
      <c r="I11" s="9">
        <v>10000255</v>
      </c>
      <c r="J11" t="s">
        <v>126</v>
      </c>
    </row>
    <row r="12" spans="1:10" x14ac:dyDescent="0.25">
      <c r="A12" s="187">
        <v>10001201</v>
      </c>
      <c r="B12" s="190" t="str">
        <f>VLOOKUP(A12,P.Referencia!E:F,2,0)</f>
        <v>No Clasificado Triturado Caliza</v>
      </c>
      <c r="C12" t="e">
        <v>#N/A</v>
      </c>
      <c r="E12" s="187">
        <v>10001201</v>
      </c>
      <c r="G12" s="8" t="s">
        <v>5</v>
      </c>
      <c r="H12" s="9" t="s">
        <v>6</v>
      </c>
      <c r="I12" s="9">
        <v>10002350</v>
      </c>
      <c r="J12" t="s">
        <v>183</v>
      </c>
    </row>
    <row r="13" spans="1:10" x14ac:dyDescent="0.25">
      <c r="A13" s="188">
        <v>10148825</v>
      </c>
      <c r="B13" s="190" t="str">
        <f>VLOOKUP(A13,P.Referencia!E:F,2,0)</f>
        <v>BALASTO PIEDRA CALIZA 2"-4"</v>
      </c>
      <c r="C13" t="e">
        <v>#N/A</v>
      </c>
      <c r="E13" s="188">
        <v>10148825</v>
      </c>
      <c r="G13" s="8" t="s">
        <v>5</v>
      </c>
      <c r="H13" s="9" t="s">
        <v>6</v>
      </c>
      <c r="I13" s="9">
        <v>10000253</v>
      </c>
      <c r="J13" t="s">
        <v>127</v>
      </c>
    </row>
    <row r="14" spans="1:10" x14ac:dyDescent="0.25">
      <c r="A14" s="187">
        <v>10148824</v>
      </c>
      <c r="B14" s="190" t="str">
        <f>VLOOKUP(A14,P.Referencia!E:F,2,0)</f>
        <v>BALASTO PIEDRA CALIZA 4"-6"</v>
      </c>
      <c r="C14" t="e">
        <v>#N/A</v>
      </c>
      <c r="E14" s="187">
        <v>10148824</v>
      </c>
      <c r="G14" s="8" t="s">
        <v>66</v>
      </c>
      <c r="H14" s="9" t="s">
        <v>67</v>
      </c>
      <c r="I14" s="9">
        <v>10001073</v>
      </c>
      <c r="J14" t="s">
        <v>16</v>
      </c>
    </row>
    <row r="15" spans="1:10" x14ac:dyDescent="0.25">
      <c r="G15" s="8" t="s">
        <v>66</v>
      </c>
      <c r="H15" s="9" t="s">
        <v>67</v>
      </c>
      <c r="I15" s="9">
        <v>10000240</v>
      </c>
      <c r="J15" t="s">
        <v>90</v>
      </c>
    </row>
    <row r="16" spans="1:10" x14ac:dyDescent="0.25">
      <c r="G16" s="8" t="s">
        <v>27</v>
      </c>
      <c r="H16" s="9" t="s">
        <v>28</v>
      </c>
      <c r="I16" s="9">
        <v>10000234</v>
      </c>
      <c r="J16" t="s">
        <v>122</v>
      </c>
    </row>
    <row r="17" spans="6:10" x14ac:dyDescent="0.25">
      <c r="F17">
        <f>110+120</f>
        <v>230</v>
      </c>
      <c r="G17" s="8" t="s">
        <v>27</v>
      </c>
      <c r="H17" s="9" t="s">
        <v>28</v>
      </c>
      <c r="I17" s="9">
        <v>10000285</v>
      </c>
      <c r="J17" t="s">
        <v>123</v>
      </c>
    </row>
    <row r="18" spans="6:10" x14ac:dyDescent="0.25">
      <c r="F18">
        <f>F17/2</f>
        <v>115</v>
      </c>
      <c r="G18" s="8" t="s">
        <v>27</v>
      </c>
      <c r="H18" s="9" t="s">
        <v>28</v>
      </c>
      <c r="I18" s="9">
        <v>10000284</v>
      </c>
      <c r="J18" t="s">
        <v>124</v>
      </c>
    </row>
    <row r="19" spans="6:10" x14ac:dyDescent="0.25">
      <c r="G19" s="8" t="s">
        <v>27</v>
      </c>
      <c r="H19" s="9" t="s">
        <v>28</v>
      </c>
      <c r="I19" s="9">
        <v>10000287</v>
      </c>
      <c r="J19" t="s">
        <v>125</v>
      </c>
    </row>
    <row r="20" spans="6:10" x14ac:dyDescent="0.25">
      <c r="G20" s="8" t="s">
        <v>14</v>
      </c>
      <c r="H20" s="9" t="s">
        <v>15</v>
      </c>
      <c r="I20" s="9">
        <v>10000124</v>
      </c>
      <c r="J20" t="s">
        <v>16</v>
      </c>
    </row>
    <row r="21" spans="6:10" x14ac:dyDescent="0.25">
      <c r="G21" s="8" t="s">
        <v>14</v>
      </c>
      <c r="H21" s="9" t="s">
        <v>15</v>
      </c>
      <c r="I21" s="9">
        <v>10164169</v>
      </c>
      <c r="J21" t="s">
        <v>129</v>
      </c>
    </row>
    <row r="22" spans="6:10" x14ac:dyDescent="0.25">
      <c r="G22" s="8" t="s">
        <v>14</v>
      </c>
      <c r="H22" s="9" t="s">
        <v>15</v>
      </c>
      <c r="I22" s="9">
        <v>10000260</v>
      </c>
      <c r="J22" t="s">
        <v>20</v>
      </c>
    </row>
    <row r="23" spans="6:10" x14ac:dyDescent="0.25">
      <c r="G23" s="8" t="s">
        <v>14</v>
      </c>
      <c r="H23" s="9" t="s">
        <v>15</v>
      </c>
      <c r="I23" s="9">
        <v>10000237</v>
      </c>
      <c r="J23" t="s">
        <v>120</v>
      </c>
    </row>
    <row r="24" spans="6:10" x14ac:dyDescent="0.25">
      <c r="G24" s="8" t="s">
        <v>14</v>
      </c>
      <c r="H24" s="9" t="s">
        <v>15</v>
      </c>
      <c r="I24" s="9">
        <v>10000241</v>
      </c>
      <c r="J24" t="s">
        <v>90</v>
      </c>
    </row>
    <row r="25" spans="6:10" x14ac:dyDescent="0.25">
      <c r="G25" s="8" t="s">
        <v>52</v>
      </c>
      <c r="H25" s="9" t="s">
        <v>53</v>
      </c>
      <c r="I25" s="9">
        <v>10038952</v>
      </c>
      <c r="J25" t="s">
        <v>16</v>
      </c>
    </row>
    <row r="26" spans="6:10" x14ac:dyDescent="0.25">
      <c r="G26" s="8" t="s">
        <v>52</v>
      </c>
      <c r="H26" s="9" t="s">
        <v>53</v>
      </c>
      <c r="I26" s="9">
        <v>10038949</v>
      </c>
      <c r="J26" t="s">
        <v>120</v>
      </c>
    </row>
    <row r="27" spans="6:10" x14ac:dyDescent="0.25">
      <c r="G27" s="8" t="s">
        <v>52</v>
      </c>
      <c r="H27" s="9" t="s">
        <v>53</v>
      </c>
      <c r="I27" s="9">
        <v>10038950</v>
      </c>
      <c r="J27" t="s">
        <v>90</v>
      </c>
    </row>
    <row r="28" spans="6:10" x14ac:dyDescent="0.25">
      <c r="G28" s="8" t="s">
        <v>52</v>
      </c>
      <c r="H28" s="9" t="s">
        <v>53</v>
      </c>
      <c r="I28" s="9">
        <v>10049672</v>
      </c>
      <c r="J28" t="s">
        <v>121</v>
      </c>
    </row>
    <row r="29" spans="6:10" x14ac:dyDescent="0.25">
      <c r="G29" s="8" t="s">
        <v>35</v>
      </c>
      <c r="H29" s="9" t="s">
        <v>36</v>
      </c>
      <c r="I29" s="9">
        <v>10038942</v>
      </c>
      <c r="J29" t="s">
        <v>38</v>
      </c>
    </row>
    <row r="30" spans="6:10" x14ac:dyDescent="0.25">
      <c r="G30" s="8" t="s">
        <v>35</v>
      </c>
      <c r="H30" s="9" t="s">
        <v>36</v>
      </c>
      <c r="I30" s="9">
        <v>10038947</v>
      </c>
      <c r="J30" t="s">
        <v>120</v>
      </c>
    </row>
    <row r="31" spans="6:10" x14ac:dyDescent="0.25">
      <c r="G31" s="8" t="s">
        <v>35</v>
      </c>
      <c r="H31" s="9" t="s">
        <v>36</v>
      </c>
      <c r="I31" s="9">
        <v>10038945</v>
      </c>
      <c r="J31" t="s">
        <v>90</v>
      </c>
    </row>
    <row r="32" spans="6:10" x14ac:dyDescent="0.25">
      <c r="G32" s="8" t="s">
        <v>35</v>
      </c>
      <c r="H32" s="9" t="s">
        <v>36</v>
      </c>
      <c r="I32" s="9">
        <v>10038659</v>
      </c>
      <c r="J32" t="s">
        <v>121</v>
      </c>
    </row>
    <row r="33" spans="7:10" x14ac:dyDescent="0.25">
      <c r="G33" s="8" t="s">
        <v>61</v>
      </c>
      <c r="H33" s="9" t="s">
        <v>62</v>
      </c>
      <c r="I33" s="9">
        <v>10000266</v>
      </c>
      <c r="J33" t="s">
        <v>131</v>
      </c>
    </row>
    <row r="34" spans="7:10" x14ac:dyDescent="0.25">
      <c r="G34" s="8" t="s">
        <v>61</v>
      </c>
      <c r="H34" s="9" t="s">
        <v>62</v>
      </c>
      <c r="I34" s="9">
        <v>10000293</v>
      </c>
      <c r="J34" t="s">
        <v>123</v>
      </c>
    </row>
    <row r="35" spans="7:10" x14ac:dyDescent="0.25">
      <c r="G35" s="8" t="s">
        <v>61</v>
      </c>
      <c r="H35" s="9" t="s">
        <v>62</v>
      </c>
      <c r="I35" s="9">
        <v>10000274</v>
      </c>
      <c r="J35" t="s">
        <v>124</v>
      </c>
    </row>
    <row r="36" spans="7:10" x14ac:dyDescent="0.25">
      <c r="G36" s="8" t="s">
        <v>70</v>
      </c>
      <c r="H36" s="9" t="s">
        <v>71</v>
      </c>
      <c r="I36" s="9">
        <v>10051295</v>
      </c>
      <c r="J36" t="s">
        <v>123</v>
      </c>
    </row>
    <row r="37" spans="7:10" x14ac:dyDescent="0.25">
      <c r="G37" s="8" t="s">
        <v>70</v>
      </c>
      <c r="H37" s="9" t="s">
        <v>71</v>
      </c>
      <c r="I37" s="9">
        <v>10051293</v>
      </c>
      <c r="J37" t="s">
        <v>124</v>
      </c>
    </row>
    <row r="38" spans="7:10" x14ac:dyDescent="0.25">
      <c r="G38" s="8" t="s">
        <v>70</v>
      </c>
      <c r="H38" s="9" t="s">
        <v>71</v>
      </c>
      <c r="I38" s="9">
        <v>10199160</v>
      </c>
      <c r="J38" t="s">
        <v>125</v>
      </c>
    </row>
    <row r="39" spans="7:10" x14ac:dyDescent="0.25">
      <c r="G39" s="8" t="s">
        <v>86</v>
      </c>
      <c r="H39" s="9" t="s">
        <v>87</v>
      </c>
      <c r="I39" s="9">
        <v>10000101</v>
      </c>
      <c r="J39" t="s">
        <v>228</v>
      </c>
    </row>
    <row r="40" spans="7:10" x14ac:dyDescent="0.25">
      <c r="G40" s="8" t="s">
        <v>86</v>
      </c>
      <c r="H40" s="9" t="s">
        <v>87</v>
      </c>
      <c r="I40" s="9">
        <v>10000112</v>
      </c>
      <c r="J40" t="s">
        <v>132</v>
      </c>
    </row>
    <row r="41" spans="7:10" x14ac:dyDescent="0.25">
      <c r="G41" s="8" t="s">
        <v>86</v>
      </c>
      <c r="H41" s="9" t="s">
        <v>87</v>
      </c>
      <c r="I41" s="9">
        <v>10000110</v>
      </c>
      <c r="J41" t="s">
        <v>229</v>
      </c>
    </row>
    <row r="42" spans="7:10" x14ac:dyDescent="0.25">
      <c r="G42" s="8" t="s">
        <v>43</v>
      </c>
      <c r="H42" s="9" t="s">
        <v>44</v>
      </c>
      <c r="I42" s="9">
        <v>10003153</v>
      </c>
      <c r="J42" t="s">
        <v>46</v>
      </c>
    </row>
    <row r="43" spans="7:10" x14ac:dyDescent="0.25">
      <c r="G43" s="8" t="s">
        <v>43</v>
      </c>
      <c r="H43" s="9" t="s">
        <v>44</v>
      </c>
      <c r="I43" s="9">
        <v>10001450</v>
      </c>
      <c r="J43" t="s">
        <v>138</v>
      </c>
    </row>
    <row r="44" spans="7:10" x14ac:dyDescent="0.25">
      <c r="G44" s="8" t="s">
        <v>86</v>
      </c>
      <c r="H44" s="9" t="s">
        <v>87</v>
      </c>
      <c r="I44" s="9">
        <v>10000103</v>
      </c>
      <c r="J44" t="s">
        <v>160</v>
      </c>
    </row>
    <row r="45" spans="7:10" x14ac:dyDescent="0.25">
      <c r="G45" s="8" t="s">
        <v>43</v>
      </c>
      <c r="H45" s="9" t="s">
        <v>44</v>
      </c>
      <c r="I45" s="9">
        <v>10002499</v>
      </c>
      <c r="J45" t="s">
        <v>167</v>
      </c>
    </row>
    <row r="46" spans="7:10" x14ac:dyDescent="0.25">
      <c r="G46" s="8" t="s">
        <v>54</v>
      </c>
      <c r="H46" s="9" t="s">
        <v>55</v>
      </c>
      <c r="I46" s="9">
        <v>10001203</v>
      </c>
      <c r="J46" t="s">
        <v>56</v>
      </c>
    </row>
    <row r="47" spans="7:10" x14ac:dyDescent="0.25">
      <c r="G47" s="8" t="s">
        <v>43</v>
      </c>
      <c r="H47" s="9" t="s">
        <v>44</v>
      </c>
      <c r="I47" s="9">
        <v>10066861</v>
      </c>
      <c r="J47" t="s">
        <v>216</v>
      </c>
    </row>
    <row r="48" spans="7:10" x14ac:dyDescent="0.25">
      <c r="G48" s="8" t="s">
        <v>43</v>
      </c>
      <c r="H48" s="9" t="s">
        <v>44</v>
      </c>
      <c r="I48" s="9">
        <v>10002497</v>
      </c>
      <c r="J48" t="s">
        <v>219</v>
      </c>
    </row>
    <row r="49" spans="7:10" x14ac:dyDescent="0.25">
      <c r="G49" s="8" t="s">
        <v>54</v>
      </c>
      <c r="H49" s="9" t="s">
        <v>55</v>
      </c>
      <c r="I49" s="9">
        <v>10172785</v>
      </c>
      <c r="J49" t="s">
        <v>59</v>
      </c>
    </row>
    <row r="50" spans="7:10" x14ac:dyDescent="0.25">
      <c r="G50" s="8" t="s">
        <v>54</v>
      </c>
      <c r="H50" s="9" t="s">
        <v>55</v>
      </c>
      <c r="I50" s="9">
        <v>10173784</v>
      </c>
      <c r="J50" t="s">
        <v>60</v>
      </c>
    </row>
    <row r="51" spans="7:10" x14ac:dyDescent="0.25">
      <c r="G51" s="8" t="s">
        <v>86</v>
      </c>
      <c r="H51" s="9" t="s">
        <v>87</v>
      </c>
      <c r="I51" s="9">
        <v>10264038</v>
      </c>
      <c r="J51" t="s">
        <v>230</v>
      </c>
    </row>
    <row r="52" spans="7:10" x14ac:dyDescent="0.25">
      <c r="G52" s="8" t="s">
        <v>86</v>
      </c>
      <c r="H52" s="9" t="s">
        <v>87</v>
      </c>
      <c r="I52" s="9">
        <v>10264039</v>
      </c>
      <c r="J52" t="s">
        <v>227</v>
      </c>
    </row>
    <row r="53" spans="7:10" x14ac:dyDescent="0.25">
      <c r="G53" s="8" t="s">
        <v>43</v>
      </c>
      <c r="H53" s="9" t="s">
        <v>44</v>
      </c>
      <c r="I53" s="9">
        <v>10000290</v>
      </c>
      <c r="J53" t="s">
        <v>47</v>
      </c>
    </row>
    <row r="54" spans="7:10" x14ac:dyDescent="0.25">
      <c r="G54" s="8" t="s">
        <v>86</v>
      </c>
      <c r="H54" s="9" t="s">
        <v>87</v>
      </c>
      <c r="I54" s="9">
        <v>10264103</v>
      </c>
      <c r="J54" t="s">
        <v>234</v>
      </c>
    </row>
    <row r="55" spans="7:10" x14ac:dyDescent="0.25">
      <c r="G55" s="8" t="s">
        <v>86</v>
      </c>
      <c r="H55" s="9" t="s">
        <v>87</v>
      </c>
      <c r="I55" s="9">
        <v>10000355</v>
      </c>
      <c r="J55" t="s">
        <v>132</v>
      </c>
    </row>
    <row r="56" spans="7:10" x14ac:dyDescent="0.25">
      <c r="G56" s="8" t="s">
        <v>14</v>
      </c>
      <c r="H56" s="9" t="s">
        <v>15</v>
      </c>
      <c r="I56" s="9">
        <v>10001170</v>
      </c>
      <c r="J56" t="s">
        <v>292</v>
      </c>
    </row>
    <row r="57" spans="7:10" x14ac:dyDescent="0.25">
      <c r="G57" s="8" t="s">
        <v>86</v>
      </c>
      <c r="H57" s="9" t="s">
        <v>87</v>
      </c>
      <c r="I57" s="9">
        <v>10271224</v>
      </c>
      <c r="J57" t="s">
        <v>313</v>
      </c>
    </row>
    <row r="58" spans="7:10" x14ac:dyDescent="0.25">
      <c r="G58" s="8" t="s">
        <v>14</v>
      </c>
      <c r="H58" s="9" t="s">
        <v>15</v>
      </c>
      <c r="I58" s="9">
        <v>10000262</v>
      </c>
      <c r="J58" t="s">
        <v>25</v>
      </c>
    </row>
    <row r="59" spans="7:10" x14ac:dyDescent="0.25">
      <c r="G59" s="8" t="s">
        <v>360</v>
      </c>
      <c r="H59" s="9" t="s">
        <v>361</v>
      </c>
      <c r="I59" s="9">
        <v>10263701</v>
      </c>
      <c r="J59" t="s">
        <v>365</v>
      </c>
    </row>
    <row r="60" spans="7:10" x14ac:dyDescent="0.25">
      <c r="G60" s="8" t="s">
        <v>360</v>
      </c>
      <c r="H60" s="9" t="s">
        <v>361</v>
      </c>
      <c r="I60" s="9">
        <v>10248659</v>
      </c>
      <c r="J60" t="s">
        <v>384</v>
      </c>
    </row>
    <row r="61" spans="7:10" x14ac:dyDescent="0.25">
      <c r="G61" s="8" t="s">
        <v>86</v>
      </c>
      <c r="H61" s="9" t="s">
        <v>87</v>
      </c>
      <c r="I61" s="9">
        <v>10000195</v>
      </c>
      <c r="J61" t="s">
        <v>402</v>
      </c>
    </row>
    <row r="62" spans="7:10" x14ac:dyDescent="0.25">
      <c r="G62" s="8" t="s">
        <v>86</v>
      </c>
      <c r="H62" s="9" t="s">
        <v>87</v>
      </c>
      <c r="I62" s="9">
        <v>10000115</v>
      </c>
      <c r="J62" t="s">
        <v>17</v>
      </c>
    </row>
    <row r="63" spans="7:10" x14ac:dyDescent="0.25">
      <c r="G63" s="8" t="s">
        <v>14</v>
      </c>
      <c r="H63" s="9" t="s">
        <v>15</v>
      </c>
      <c r="I63" s="9">
        <v>10036488</v>
      </c>
      <c r="J63" t="s">
        <v>26</v>
      </c>
    </row>
    <row r="64" spans="7:10" x14ac:dyDescent="0.25">
      <c r="G64" s="8" t="s">
        <v>14</v>
      </c>
      <c r="H64" s="9" t="s">
        <v>15</v>
      </c>
      <c r="I64" s="9">
        <v>10000248</v>
      </c>
      <c r="J64" t="s">
        <v>410</v>
      </c>
    </row>
    <row r="65" spans="7:10" x14ac:dyDescent="0.25">
      <c r="G65" s="8" t="s">
        <v>14</v>
      </c>
      <c r="H65" s="9" t="s">
        <v>15</v>
      </c>
      <c r="I65" s="9">
        <v>10148825</v>
      </c>
      <c r="J65" t="s">
        <v>429</v>
      </c>
    </row>
    <row r="66" spans="7:10" x14ac:dyDescent="0.25">
      <c r="G66" s="8" t="s">
        <v>14</v>
      </c>
      <c r="H66" s="9" t="s">
        <v>15</v>
      </c>
      <c r="I66" s="9">
        <v>10148824</v>
      </c>
      <c r="J66" t="s">
        <v>430</v>
      </c>
    </row>
    <row r="67" spans="7:10" x14ac:dyDescent="0.25">
      <c r="G67" s="8" t="s">
        <v>14</v>
      </c>
      <c r="H67" s="9" t="s">
        <v>15</v>
      </c>
      <c r="I67" s="9">
        <v>10001222</v>
      </c>
      <c r="J67" t="s">
        <v>431</v>
      </c>
    </row>
    <row r="68" spans="7:10" x14ac:dyDescent="0.25">
      <c r="G68" s="8" t="s">
        <v>14</v>
      </c>
      <c r="H68" s="9" t="s">
        <v>15</v>
      </c>
      <c r="I68" s="9">
        <v>10001201</v>
      </c>
      <c r="J68" t="s">
        <v>432</v>
      </c>
    </row>
    <row r="69" spans="7:10" x14ac:dyDescent="0.25">
      <c r="G69" s="8" t="s">
        <v>27</v>
      </c>
      <c r="H69" s="9" t="s">
        <v>28</v>
      </c>
      <c r="I69" s="9">
        <v>10023108</v>
      </c>
      <c r="J69" t="s">
        <v>391</v>
      </c>
    </row>
    <row r="70" spans="7:10" x14ac:dyDescent="0.25">
      <c r="G70" s="8" t="s">
        <v>27</v>
      </c>
      <c r="H70" s="9" t="s">
        <v>28</v>
      </c>
      <c r="I70" s="9">
        <v>10001077</v>
      </c>
      <c r="J70" t="s">
        <v>386</v>
      </c>
    </row>
    <row r="71" spans="7:10" x14ac:dyDescent="0.25">
      <c r="G71" s="8" t="s">
        <v>27</v>
      </c>
      <c r="H71" s="9" t="s">
        <v>28</v>
      </c>
      <c r="I71" s="9">
        <v>10191647</v>
      </c>
      <c r="J71" t="s">
        <v>387</v>
      </c>
    </row>
    <row r="72" spans="7:10" x14ac:dyDescent="0.25">
      <c r="G72" s="8" t="s">
        <v>27</v>
      </c>
      <c r="H72" s="9" t="s">
        <v>28</v>
      </c>
      <c r="I72" s="9">
        <v>10000289</v>
      </c>
      <c r="J72" t="s">
        <v>388</v>
      </c>
    </row>
    <row r="73" spans="7:10" x14ac:dyDescent="0.25">
      <c r="G73" s="8" t="s">
        <v>52</v>
      </c>
      <c r="H73" s="9" t="s">
        <v>53</v>
      </c>
      <c r="I73" s="9">
        <v>10038957</v>
      </c>
      <c r="J73" t="s">
        <v>292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7D8A5282068D4C9AF0B4D60B812A02" ma:contentTypeVersion="16" ma:contentTypeDescription="Crear nuevo documento." ma:contentTypeScope="" ma:versionID="ce436344cab17a277895a41b3c3b266e">
  <xsd:schema xmlns:xsd="http://www.w3.org/2001/XMLSchema" xmlns:xs="http://www.w3.org/2001/XMLSchema" xmlns:p="http://schemas.microsoft.com/office/2006/metadata/properties" xmlns:ns3="6578f00b-b2c7-45f0-b7a7-0858288372f3" xmlns:ns4="043ceebc-8189-495d-b20b-081614e371f1" targetNamespace="http://schemas.microsoft.com/office/2006/metadata/properties" ma:root="true" ma:fieldsID="b8d2122ce3d15d801f18c1017d993005" ns3:_="" ns4:_="">
    <xsd:import namespace="6578f00b-b2c7-45f0-b7a7-0858288372f3"/>
    <xsd:import namespace="043ceebc-8189-495d-b20b-081614e371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78f00b-b2c7-45f0-b7a7-0858288372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ceebc-8189-495d-b20b-081614e371f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78f00b-b2c7-45f0-b7a7-0858288372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E3D363-3EF2-4F62-897E-3E500F0DD1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78f00b-b2c7-45f0-b7a7-0858288372f3"/>
    <ds:schemaRef ds:uri="043ceebc-8189-495d-b20b-081614e371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7B7553-E3B0-426C-A4B5-E601DB084458}">
  <ds:schemaRefs>
    <ds:schemaRef ds:uri="043ceebc-8189-495d-b20b-081614e371f1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6578f00b-b2c7-45f0-b7a7-0858288372f3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56E550B1-9F14-4B6D-9489-42732B7DB07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33f049c-059e-4077-8401-8aceac0515e7}" enabled="1" method="Standard" siteId="{6ee19001-d0c4-45f8-af8b-ff00f16d07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Materiales,canteras</vt:lpstr>
      <vt:lpstr>NO MODIFICAR</vt:lpstr>
      <vt:lpstr>Formato Alta Precio</vt:lpstr>
      <vt:lpstr>Formato cambio</vt:lpstr>
      <vt:lpstr>P.Referencia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Shamara Martinez Montero</dc:creator>
  <cp:lastModifiedBy>Edwin David Ramos Valdivieso</cp:lastModifiedBy>
  <dcterms:created xsi:type="dcterms:W3CDTF">2025-03-19T00:23:25Z</dcterms:created>
  <dcterms:modified xsi:type="dcterms:W3CDTF">2026-09-03T18:18:18Z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0x010100937D8A5282068D4C9AF0B4D60B812A02</vt:lpwstr>
  </property>
</Properties>
</file>